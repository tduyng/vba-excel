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blogs\phd\charting\fireworks\"/>
    </mc:Choice>
  </mc:AlternateContent>
  <bookViews>
    <workbookView xWindow="0" yWindow="0" windowWidth="19785" windowHeight="11100"/>
  </bookViews>
  <sheets>
    <sheet name="fire works" sheetId="2" r:id="rId1"/>
    <sheet name="calc" sheetId="1" r:id="rId2"/>
  </sheets>
  <definedNames>
    <definedName name="change">calc!$Z$4</definedName>
    <definedName name="cracker.angles">calc!$U$7:$U$16</definedName>
    <definedName name="cracker.changes">calc!$Y$7:$Y$16</definedName>
    <definedName name="cracker.heights">calc!$V$7:$V$16</definedName>
    <definedName name="cracker.mxSizes">calc!$AC$7:$AC$16</definedName>
    <definedName name="cracker.sizes">calc!$AD$7:$AD$16</definedName>
    <definedName name="cracker.x">calc!$S$7:$S$16</definedName>
    <definedName name="rndCracker.angle">calc!$S$24:$S$33</definedName>
    <definedName name="rndCracker.Height">calc!$T$24:$T$33</definedName>
    <definedName name="rndCracker.mxSizes">calc!$U$24:$U$33</definedName>
    <definedName name="rndCracker.x">calc!$R$24:$R$33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5" i="1" l="1"/>
  <c r="R26" i="1"/>
  <c r="R27" i="1"/>
  <c r="R28" i="1"/>
  <c r="R29" i="1"/>
  <c r="R30" i="1"/>
  <c r="R31" i="1"/>
  <c r="R32" i="1"/>
  <c r="R33" i="1"/>
  <c r="R24" i="1"/>
  <c r="U25" i="1"/>
  <c r="U26" i="1"/>
  <c r="U27" i="1"/>
  <c r="U28" i="1"/>
  <c r="U29" i="1"/>
  <c r="U30" i="1"/>
  <c r="U31" i="1"/>
  <c r="U32" i="1"/>
  <c r="U33" i="1"/>
  <c r="U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T24" i="1"/>
  <c r="S24" i="1"/>
  <c r="Z8" i="1"/>
  <c r="Z9" i="1"/>
  <c r="Z10" i="1"/>
  <c r="Z11" i="1"/>
  <c r="Z12" i="1"/>
  <c r="Z13" i="1"/>
  <c r="Z14" i="1"/>
  <c r="Z15" i="1"/>
  <c r="Z16" i="1"/>
  <c r="Z7" i="1"/>
  <c r="AN1" i="1"/>
  <c r="AP1" i="1"/>
  <c r="AR1" i="1"/>
  <c r="AT1" i="1"/>
  <c r="AV1" i="1"/>
  <c r="AX1" i="1"/>
  <c r="AZ1" i="1"/>
  <c r="AL1" i="1"/>
  <c r="AJ1" i="1"/>
  <c r="AH1" i="1"/>
  <c r="AE8" i="1"/>
  <c r="AE9" i="1"/>
  <c r="AE10" i="1"/>
  <c r="AE11" i="1"/>
  <c r="AE12" i="1"/>
  <c r="AE13" i="1"/>
  <c r="AE14" i="1"/>
  <c r="AE15" i="1"/>
  <c r="AE16" i="1"/>
  <c r="AE7" i="1"/>
  <c r="Z4" i="1"/>
  <c r="C31" i="1"/>
  <c r="E31" i="1" s="1"/>
  <c r="D31" i="1"/>
  <c r="C32" i="1"/>
  <c r="D32" i="1" s="1"/>
  <c r="C33" i="1"/>
  <c r="D33" i="1"/>
  <c r="E33" i="1"/>
  <c r="C34" i="1"/>
  <c r="C35" i="1"/>
  <c r="E35" i="1" s="1"/>
  <c r="D35" i="1"/>
  <c r="C36" i="1"/>
  <c r="D36" i="1" s="1"/>
  <c r="C37" i="1"/>
  <c r="D37" i="1"/>
  <c r="E37" i="1"/>
  <c r="C38" i="1"/>
  <c r="C39" i="1"/>
  <c r="E39" i="1" s="1"/>
  <c r="D39" i="1"/>
  <c r="C40" i="1"/>
  <c r="D40" i="1" s="1"/>
  <c r="C41" i="1"/>
  <c r="D41" i="1"/>
  <c r="E41" i="1"/>
  <c r="C42" i="1"/>
  <c r="C43" i="1"/>
  <c r="C44" i="1"/>
  <c r="D44" i="1" s="1"/>
  <c r="C45" i="1"/>
  <c r="D45" i="1"/>
  <c r="E45" i="1"/>
  <c r="C46" i="1"/>
  <c r="D9" i="1"/>
  <c r="D13" i="1"/>
  <c r="D15" i="1"/>
  <c r="D21" i="1"/>
  <c r="D23" i="1"/>
  <c r="D25" i="1"/>
  <c r="D27" i="1"/>
  <c r="E28" i="1"/>
  <c r="E7" i="1"/>
  <c r="C8" i="1"/>
  <c r="D8" i="1" s="1"/>
  <c r="C9" i="1"/>
  <c r="E9" i="1" s="1"/>
  <c r="C10" i="1"/>
  <c r="D10" i="1" s="1"/>
  <c r="C11" i="1"/>
  <c r="C12" i="1"/>
  <c r="C13" i="1"/>
  <c r="E13" i="1" s="1"/>
  <c r="C14" i="1"/>
  <c r="D14" i="1" s="1"/>
  <c r="C15" i="1"/>
  <c r="E15" i="1" s="1"/>
  <c r="C16" i="1"/>
  <c r="D16" i="1" s="1"/>
  <c r="C17" i="1"/>
  <c r="C18" i="1"/>
  <c r="D18" i="1" s="1"/>
  <c r="C19" i="1"/>
  <c r="C20" i="1"/>
  <c r="D20" i="1" s="1"/>
  <c r="C21" i="1"/>
  <c r="E21" i="1" s="1"/>
  <c r="C22" i="1"/>
  <c r="D22" i="1" s="1"/>
  <c r="C23" i="1"/>
  <c r="E23" i="1" s="1"/>
  <c r="C24" i="1"/>
  <c r="C25" i="1"/>
  <c r="E25" i="1" s="1"/>
  <c r="C26" i="1"/>
  <c r="D26" i="1" s="1"/>
  <c r="C27" i="1"/>
  <c r="E27" i="1" s="1"/>
  <c r="C28" i="1"/>
  <c r="D28" i="1" s="1"/>
  <c r="C29" i="1"/>
  <c r="E29" i="1" s="1"/>
  <c r="C30" i="1"/>
  <c r="D30" i="1" s="1"/>
  <c r="C7" i="1"/>
  <c r="D7" i="1" s="1"/>
  <c r="AB15" i="1" l="1"/>
  <c r="AB11" i="1"/>
  <c r="AB14" i="1"/>
  <c r="AB10" i="1"/>
  <c r="AB7" i="1"/>
  <c r="AB13" i="1"/>
  <c r="AB9" i="1"/>
  <c r="AB16" i="1"/>
  <c r="AB12" i="1"/>
  <c r="AB8" i="1"/>
  <c r="AA8" i="1"/>
  <c r="X15" i="1"/>
  <c r="X11" i="1"/>
  <c r="AQ28" i="1" s="1"/>
  <c r="X7" i="1"/>
  <c r="AI48" i="1" s="1"/>
  <c r="X13" i="1"/>
  <c r="AU52" i="1" s="1"/>
  <c r="X9" i="1"/>
  <c r="X16" i="1"/>
  <c r="BA30" i="1" s="1"/>
  <c r="X12" i="1"/>
  <c r="AS28" i="1" s="1"/>
  <c r="X8" i="1"/>
  <c r="AK24" i="1" s="1"/>
  <c r="X14" i="1"/>
  <c r="X10" i="1"/>
  <c r="AO30" i="1" s="1"/>
  <c r="W15" i="1"/>
  <c r="AX48" i="1" s="1"/>
  <c r="W11" i="1"/>
  <c r="AP70" i="1" s="1"/>
  <c r="W13" i="1"/>
  <c r="W9" i="1"/>
  <c r="AL44" i="1" s="1"/>
  <c r="W16" i="1"/>
  <c r="AZ20" i="1" s="1"/>
  <c r="W12" i="1"/>
  <c r="AR86" i="1" s="1"/>
  <c r="W8" i="1"/>
  <c r="W14" i="1"/>
  <c r="AV34" i="1" s="1"/>
  <c r="W10" i="1"/>
  <c r="AN64" i="1" s="1"/>
  <c r="W7" i="1"/>
  <c r="AH30" i="1" s="1"/>
  <c r="E43" i="1"/>
  <c r="D43" i="1"/>
  <c r="D24" i="1"/>
  <c r="E24" i="1"/>
  <c r="D12" i="1"/>
  <c r="E12" i="1"/>
  <c r="E19" i="1"/>
  <c r="D19" i="1"/>
  <c r="E11" i="1"/>
  <c r="D11" i="1"/>
  <c r="E16" i="1"/>
  <c r="E8" i="1"/>
  <c r="D38" i="1"/>
  <c r="E38" i="1"/>
  <c r="E20" i="1"/>
  <c r="D42" i="1"/>
  <c r="E42" i="1"/>
  <c r="D46" i="1"/>
  <c r="E46" i="1"/>
  <c r="E17" i="1"/>
  <c r="D17" i="1"/>
  <c r="D29" i="1"/>
  <c r="D34" i="1"/>
  <c r="E34" i="1"/>
  <c r="E44" i="1"/>
  <c r="E40" i="1"/>
  <c r="E36" i="1"/>
  <c r="E32" i="1"/>
  <c r="E30" i="1"/>
  <c r="E26" i="1"/>
  <c r="E22" i="1"/>
  <c r="E18" i="1"/>
  <c r="E14" i="1"/>
  <c r="E10" i="1"/>
  <c r="AZ76" i="1" l="1"/>
  <c r="AN54" i="1"/>
  <c r="AX34" i="1"/>
  <c r="AU46" i="1"/>
  <c r="AK44" i="1"/>
  <c r="AR22" i="1"/>
  <c r="AH56" i="1"/>
  <c r="AX60" i="1"/>
  <c r="AR74" i="1"/>
  <c r="AS84" i="1"/>
  <c r="AU68" i="1"/>
  <c r="AP38" i="1"/>
  <c r="AR48" i="1"/>
  <c r="AP62" i="1"/>
  <c r="AK84" i="1"/>
  <c r="AS62" i="1"/>
  <c r="AN30" i="1"/>
  <c r="AZ58" i="1"/>
  <c r="AH20" i="1"/>
  <c r="AU74" i="1"/>
  <c r="AP48" i="1"/>
  <c r="AK28" i="1"/>
  <c r="AK76" i="1"/>
  <c r="AR38" i="1"/>
  <c r="AH34" i="1"/>
  <c r="AX86" i="1"/>
  <c r="AH76" i="1"/>
  <c r="AO24" i="1"/>
  <c r="AV74" i="1"/>
  <c r="AO16" i="1"/>
  <c r="AL72" i="1"/>
  <c r="BA74" i="1"/>
  <c r="BA44" i="1"/>
  <c r="AL30" i="1"/>
  <c r="AL18" i="1"/>
  <c r="AV32" i="1"/>
  <c r="AV68" i="1"/>
  <c r="AO62" i="1"/>
  <c r="AO22" i="1"/>
  <c r="BA28" i="1"/>
  <c r="BA10" i="1"/>
  <c r="AQ36" i="1"/>
  <c r="AL66" i="1"/>
  <c r="AV82" i="1"/>
  <c r="AL48" i="1"/>
  <c r="BA68" i="1"/>
  <c r="BA42" i="1"/>
  <c r="AO34" i="1"/>
  <c r="AL70" i="1"/>
  <c r="AO26" i="1"/>
  <c r="AV20" i="1"/>
  <c r="AO82" i="1"/>
  <c r="AO52" i="1"/>
  <c r="AQ20" i="1"/>
  <c r="AQ30" i="1"/>
  <c r="AL12" i="1"/>
  <c r="AQ38" i="1"/>
  <c r="AL58" i="1"/>
  <c r="AU72" i="1"/>
  <c r="AL38" i="1"/>
  <c r="AV56" i="1"/>
  <c r="AU78" i="1"/>
  <c r="AK60" i="1"/>
  <c r="AR14" i="1"/>
  <c r="BA58" i="1"/>
  <c r="BA8" i="1"/>
  <c r="AV46" i="1"/>
  <c r="AU84" i="1"/>
  <c r="AV52" i="1"/>
  <c r="AV16" i="1"/>
  <c r="AO78" i="1"/>
  <c r="AO50" i="1"/>
  <c r="AL52" i="1"/>
  <c r="AQ68" i="1"/>
  <c r="AP86" i="1"/>
  <c r="AR46" i="1"/>
  <c r="AH78" i="1"/>
  <c r="AL76" i="1"/>
  <c r="AU82" i="1"/>
  <c r="AO20" i="1"/>
  <c r="AN46" i="1"/>
  <c r="AR60" i="1"/>
  <c r="AL74" i="1"/>
  <c r="AQ10" i="1"/>
  <c r="AR42" i="1"/>
  <c r="AZ70" i="1"/>
  <c r="AL80" i="1"/>
  <c r="AK52" i="1"/>
  <c r="BA84" i="1"/>
  <c r="BA56" i="1"/>
  <c r="AL54" i="1"/>
  <c r="AL86" i="1"/>
  <c r="AO68" i="1"/>
  <c r="AL84" i="1"/>
  <c r="AP84" i="1"/>
  <c r="AP54" i="1"/>
  <c r="AH70" i="1"/>
  <c r="AN12" i="1"/>
  <c r="AN28" i="1"/>
  <c r="AN74" i="1"/>
  <c r="AN86" i="1"/>
  <c r="AZ84" i="1"/>
  <c r="AZ44" i="1"/>
  <c r="AZ22" i="1"/>
  <c r="AZ38" i="1"/>
  <c r="AZ78" i="1"/>
  <c r="AZ46" i="1"/>
  <c r="AZ72" i="1"/>
  <c r="AZ64" i="1"/>
  <c r="AZ50" i="1"/>
  <c r="AX64" i="1"/>
  <c r="AX18" i="1"/>
  <c r="AX74" i="1"/>
  <c r="AX50" i="1"/>
  <c r="AX10" i="1"/>
  <c r="AX16" i="1"/>
  <c r="AS22" i="1"/>
  <c r="AS44" i="1"/>
  <c r="AS60" i="1"/>
  <c r="AS76" i="1"/>
  <c r="AS8" i="1"/>
  <c r="AI84" i="1"/>
  <c r="AI56" i="1"/>
  <c r="AX84" i="1"/>
  <c r="AI80" i="1"/>
  <c r="AX28" i="1"/>
  <c r="AS78" i="1"/>
  <c r="AS54" i="1"/>
  <c r="AS20" i="1"/>
  <c r="AZ36" i="1"/>
  <c r="AZ14" i="1"/>
  <c r="AN72" i="1"/>
  <c r="AN22" i="1"/>
  <c r="AX40" i="1"/>
  <c r="AX46" i="1"/>
  <c r="AX80" i="1"/>
  <c r="AV60" i="1"/>
  <c r="AV8" i="1"/>
  <c r="AV18" i="1"/>
  <c r="AV28" i="1"/>
  <c r="AV40" i="1"/>
  <c r="AV44" i="1"/>
  <c r="AV86" i="1"/>
  <c r="AV62" i="1"/>
  <c r="AV72" i="1"/>
  <c r="AV64" i="1"/>
  <c r="AV50" i="1"/>
  <c r="AV42" i="1"/>
  <c r="AL22" i="1"/>
  <c r="AL10" i="1"/>
  <c r="AL32" i="1"/>
  <c r="AL14" i="1"/>
  <c r="AO14" i="1"/>
  <c r="AO44" i="1"/>
  <c r="AO54" i="1"/>
  <c r="AO66" i="1"/>
  <c r="AO76" i="1"/>
  <c r="AO86" i="1"/>
  <c r="AO36" i="1"/>
  <c r="AO8" i="1"/>
  <c r="AO10" i="1"/>
  <c r="BA18" i="1"/>
  <c r="BA40" i="1"/>
  <c r="BA50" i="1"/>
  <c r="BA60" i="1"/>
  <c r="BA72" i="1"/>
  <c r="BA82" i="1"/>
  <c r="BA38" i="1"/>
  <c r="BA20" i="1"/>
  <c r="BA26" i="1"/>
  <c r="AQ46" i="1"/>
  <c r="AQ72" i="1"/>
  <c r="AQ12" i="1"/>
  <c r="AQ40" i="1"/>
  <c r="AQ78" i="1"/>
  <c r="AQ52" i="1"/>
  <c r="AQ18" i="1"/>
  <c r="AQ58" i="1"/>
  <c r="AQ56" i="1"/>
  <c r="AQ86" i="1"/>
  <c r="AQ14" i="1"/>
  <c r="AQ70" i="1"/>
  <c r="AQ48" i="1"/>
  <c r="AQ80" i="1"/>
  <c r="AQ54" i="1"/>
  <c r="BA12" i="1"/>
  <c r="AQ32" i="1"/>
  <c r="AS40" i="1"/>
  <c r="AQ50" i="1"/>
  <c r="AV58" i="1"/>
  <c r="AQ66" i="1"/>
  <c r="AN78" i="1"/>
  <c r="AI16" i="1"/>
  <c r="AQ34" i="1"/>
  <c r="AX12" i="1"/>
  <c r="BA34" i="1"/>
  <c r="AN44" i="1"/>
  <c r="AL64" i="1"/>
  <c r="AS70" i="1"/>
  <c r="AS52" i="1"/>
  <c r="BA80" i="1"/>
  <c r="BA66" i="1"/>
  <c r="BA52" i="1"/>
  <c r="BA24" i="1"/>
  <c r="AZ30" i="1"/>
  <c r="AZ12" i="1"/>
  <c r="AO40" i="1"/>
  <c r="AV54" i="1"/>
  <c r="AV70" i="1"/>
  <c r="AL34" i="1"/>
  <c r="AO28" i="1"/>
  <c r="AV84" i="1"/>
  <c r="AV26" i="1"/>
  <c r="AV12" i="1"/>
  <c r="AV76" i="1"/>
  <c r="AO74" i="1"/>
  <c r="AO60" i="1"/>
  <c r="AO46" i="1"/>
  <c r="AN38" i="1"/>
  <c r="AN20" i="1"/>
  <c r="AQ62" i="1"/>
  <c r="AZ74" i="1"/>
  <c r="AX22" i="1"/>
  <c r="AS10" i="1"/>
  <c r="AZ82" i="1"/>
  <c r="AQ84" i="1"/>
  <c r="AZ60" i="1"/>
  <c r="AL8" i="1"/>
  <c r="AO18" i="1"/>
  <c r="AX32" i="1"/>
  <c r="AL42" i="1"/>
  <c r="AX52" i="1"/>
  <c r="AQ82" i="1"/>
  <c r="AI24" i="1"/>
  <c r="AQ26" i="1"/>
  <c r="AO12" i="1"/>
  <c r="BA36" i="1"/>
  <c r="AN68" i="1"/>
  <c r="AN76" i="1"/>
  <c r="AS86" i="1"/>
  <c r="AS68" i="1"/>
  <c r="AS46" i="1"/>
  <c r="BA76" i="1"/>
  <c r="BA64" i="1"/>
  <c r="BA48" i="1"/>
  <c r="BA16" i="1"/>
  <c r="AZ28" i="1"/>
  <c r="AL24" i="1"/>
  <c r="AN42" i="1"/>
  <c r="AN58" i="1"/>
  <c r="AV78" i="1"/>
  <c r="AL26" i="1"/>
  <c r="AO32" i="1"/>
  <c r="AV36" i="1"/>
  <c r="AV24" i="1"/>
  <c r="AV10" i="1"/>
  <c r="AO84" i="1"/>
  <c r="AO70" i="1"/>
  <c r="AO58" i="1"/>
  <c r="AO42" i="1"/>
  <c r="AN36" i="1"/>
  <c r="AN14" i="1"/>
  <c r="AQ16" i="1"/>
  <c r="AX70" i="1"/>
  <c r="AZ42" i="1"/>
  <c r="AQ64" i="1"/>
  <c r="AX42" i="1"/>
  <c r="AZ52" i="1"/>
  <c r="AQ24" i="1"/>
  <c r="AL20" i="1"/>
  <c r="AP28" i="1"/>
  <c r="AK38" i="1"/>
  <c r="AP80" i="1"/>
  <c r="AK68" i="1"/>
  <c r="AR30" i="1"/>
  <c r="AH74" i="1"/>
  <c r="AH60" i="1"/>
  <c r="AJ11" i="1"/>
  <c r="AJ21" i="1"/>
  <c r="AJ27" i="1"/>
  <c r="AJ37" i="1"/>
  <c r="AJ43" i="1"/>
  <c r="AJ47" i="1"/>
  <c r="AJ51" i="1"/>
  <c r="AJ55" i="1"/>
  <c r="AJ59" i="1"/>
  <c r="AJ63" i="1"/>
  <c r="AJ67" i="1"/>
  <c r="AJ13" i="1"/>
  <c r="AJ17" i="1"/>
  <c r="AJ57" i="1"/>
  <c r="AJ77" i="1"/>
  <c r="AJ83" i="1"/>
  <c r="AJ7" i="1"/>
  <c r="AJ25" i="1"/>
  <c r="AJ29" i="1"/>
  <c r="AJ33" i="1"/>
  <c r="AJ53" i="1"/>
  <c r="AJ69" i="1"/>
  <c r="AJ73" i="1"/>
  <c r="AJ79" i="1"/>
  <c r="AJ15" i="1"/>
  <c r="AJ19" i="1"/>
  <c r="AJ23" i="1"/>
  <c r="AJ41" i="1"/>
  <c r="AJ45" i="1"/>
  <c r="AJ49" i="1"/>
  <c r="AJ65" i="1"/>
  <c r="AJ75" i="1"/>
  <c r="AJ85" i="1"/>
  <c r="AJ31" i="1"/>
  <c r="AJ61" i="1"/>
  <c r="AJ35" i="1"/>
  <c r="AJ71" i="1"/>
  <c r="AJ9" i="1"/>
  <c r="AJ39" i="1"/>
  <c r="AJ81" i="1"/>
  <c r="AT11" i="1"/>
  <c r="AT17" i="1"/>
  <c r="AT27" i="1"/>
  <c r="AT33" i="1"/>
  <c r="AT43" i="1"/>
  <c r="AT49" i="1"/>
  <c r="AT53" i="1"/>
  <c r="AT57" i="1"/>
  <c r="AT61" i="1"/>
  <c r="AT65" i="1"/>
  <c r="AT69" i="1"/>
  <c r="AT7" i="1"/>
  <c r="AT15" i="1"/>
  <c r="AT19" i="1"/>
  <c r="AT23" i="1"/>
  <c r="AT47" i="1"/>
  <c r="AT63" i="1"/>
  <c r="AT73" i="1"/>
  <c r="AT83" i="1"/>
  <c r="AT13" i="1"/>
  <c r="AT31" i="1"/>
  <c r="AT35" i="1"/>
  <c r="AT39" i="1"/>
  <c r="AT59" i="1"/>
  <c r="AT79" i="1"/>
  <c r="AT85" i="1"/>
  <c r="AT9" i="1"/>
  <c r="AT21" i="1"/>
  <c r="AT25" i="1"/>
  <c r="AT29" i="1"/>
  <c r="AT55" i="1"/>
  <c r="AT75" i="1"/>
  <c r="AT45" i="1"/>
  <c r="AT71" i="1"/>
  <c r="AT67" i="1"/>
  <c r="AT37" i="1"/>
  <c r="AT51" i="1"/>
  <c r="AT77" i="1"/>
  <c r="AT81" i="1"/>
  <c r="AT41" i="1"/>
  <c r="AW9" i="1"/>
  <c r="AW13" i="1"/>
  <c r="AW17" i="1"/>
  <c r="AW21" i="1"/>
  <c r="AW25" i="1"/>
  <c r="AW29" i="1"/>
  <c r="AW33" i="1"/>
  <c r="AW37" i="1"/>
  <c r="AW41" i="1"/>
  <c r="AW45" i="1"/>
  <c r="AW19" i="1"/>
  <c r="AW35" i="1"/>
  <c r="AW73" i="1"/>
  <c r="AW77" i="1"/>
  <c r="AW81" i="1"/>
  <c r="AW85" i="1"/>
  <c r="AW49" i="1"/>
  <c r="AW55" i="1"/>
  <c r="AW65" i="1"/>
  <c r="AW75" i="1"/>
  <c r="AW15" i="1"/>
  <c r="AW51" i="1"/>
  <c r="AW61" i="1"/>
  <c r="AW67" i="1"/>
  <c r="AW71" i="1"/>
  <c r="AW11" i="1"/>
  <c r="AW23" i="1"/>
  <c r="AW27" i="1"/>
  <c r="AW31" i="1"/>
  <c r="AW47" i="1"/>
  <c r="AW57" i="1"/>
  <c r="AW63" i="1"/>
  <c r="AW59" i="1"/>
  <c r="AW7" i="1"/>
  <c r="AW39" i="1"/>
  <c r="AW69" i="1"/>
  <c r="AW79" i="1"/>
  <c r="AW43" i="1"/>
  <c r="AW53" i="1"/>
  <c r="AW83" i="1"/>
  <c r="AM11" i="1"/>
  <c r="AM15" i="1"/>
  <c r="AM19" i="1"/>
  <c r="AM23" i="1"/>
  <c r="AM27" i="1"/>
  <c r="AM31" i="1"/>
  <c r="AM35" i="1"/>
  <c r="AM39" i="1"/>
  <c r="AM43" i="1"/>
  <c r="AM13" i="1"/>
  <c r="AM29" i="1"/>
  <c r="AM45" i="1"/>
  <c r="AM71" i="1"/>
  <c r="AM75" i="1"/>
  <c r="AM79" i="1"/>
  <c r="AM83" i="1"/>
  <c r="AM9" i="1"/>
  <c r="AM49" i="1"/>
  <c r="AM59" i="1"/>
  <c r="AM65" i="1"/>
  <c r="AM85" i="1"/>
  <c r="AM55" i="1"/>
  <c r="AM61" i="1"/>
  <c r="AM81" i="1"/>
  <c r="AM17" i="1"/>
  <c r="AM21" i="1"/>
  <c r="AM25" i="1"/>
  <c r="AM51" i="1"/>
  <c r="AM57" i="1"/>
  <c r="AM67" i="1"/>
  <c r="AM77" i="1"/>
  <c r="AM33" i="1"/>
  <c r="AM53" i="1"/>
  <c r="AM7" i="1"/>
  <c r="AM37" i="1"/>
  <c r="AM63" i="1"/>
  <c r="AM41" i="1"/>
  <c r="AM47" i="1"/>
  <c r="AM73" i="1"/>
  <c r="AM69" i="1"/>
  <c r="AY11" i="1"/>
  <c r="AY15" i="1"/>
  <c r="AY19" i="1"/>
  <c r="AY23" i="1"/>
  <c r="AY27" i="1"/>
  <c r="AY31" i="1"/>
  <c r="AY35" i="1"/>
  <c r="AY39" i="1"/>
  <c r="AY43" i="1"/>
  <c r="AY17" i="1"/>
  <c r="AY33" i="1"/>
  <c r="AY71" i="1"/>
  <c r="AY75" i="1"/>
  <c r="AY79" i="1"/>
  <c r="AY83" i="1"/>
  <c r="AY9" i="1"/>
  <c r="AY13" i="1"/>
  <c r="AY47" i="1"/>
  <c r="AY53" i="1"/>
  <c r="AY63" i="1"/>
  <c r="AY69" i="1"/>
  <c r="AY73" i="1"/>
  <c r="AY21" i="1"/>
  <c r="AY25" i="1"/>
  <c r="AY29" i="1"/>
  <c r="AY49" i="1"/>
  <c r="AY59" i="1"/>
  <c r="AY65" i="1"/>
  <c r="AY85" i="1"/>
  <c r="AY7" i="1"/>
  <c r="AY37" i="1"/>
  <c r="AY41" i="1"/>
  <c r="AY45" i="1"/>
  <c r="AY55" i="1"/>
  <c r="AY61" i="1"/>
  <c r="AY81" i="1"/>
  <c r="AY57" i="1"/>
  <c r="AY67" i="1"/>
  <c r="AY51" i="1"/>
  <c r="AY77" i="1"/>
  <c r="AT10" i="1"/>
  <c r="AM16" i="1"/>
  <c r="AY34" i="1"/>
  <c r="AJ56" i="1"/>
  <c r="AY62" i="1"/>
  <c r="AM68" i="1"/>
  <c r="AT70" i="1"/>
  <c r="AY30" i="1"/>
  <c r="AY14" i="1"/>
  <c r="AM14" i="1"/>
  <c r="AW20" i="1"/>
  <c r="AM34" i="1"/>
  <c r="AT36" i="1"/>
  <c r="AM50" i="1"/>
  <c r="AJ54" i="1"/>
  <c r="AT60" i="1"/>
  <c r="AM82" i="1"/>
  <c r="AJ86" i="1"/>
  <c r="AJ38" i="1"/>
  <c r="AJ30" i="1"/>
  <c r="AJ22" i="1"/>
  <c r="AJ14" i="1"/>
  <c r="AT28" i="1"/>
  <c r="AM38" i="1"/>
  <c r="AT38" i="1"/>
  <c r="AT22" i="1"/>
  <c r="AW36" i="1"/>
  <c r="AW84" i="1"/>
  <c r="AW76" i="1"/>
  <c r="AW68" i="1"/>
  <c r="AW60" i="1"/>
  <c r="AW52" i="1"/>
  <c r="AW44" i="1"/>
  <c r="AW18" i="1"/>
  <c r="AM30" i="1"/>
  <c r="AT72" i="1"/>
  <c r="AY24" i="1"/>
  <c r="AJ66" i="1"/>
  <c r="AY28" i="1"/>
  <c r="AJ82" i="1"/>
  <c r="AJ42" i="1"/>
  <c r="AT18" i="1"/>
  <c r="AM46" i="1"/>
  <c r="AY60" i="1"/>
  <c r="AY68" i="1"/>
  <c r="AM70" i="1"/>
  <c r="AR13" i="1"/>
  <c r="AR19" i="1"/>
  <c r="AR29" i="1"/>
  <c r="AR35" i="1"/>
  <c r="AR45" i="1"/>
  <c r="AR47" i="1"/>
  <c r="AR51" i="1"/>
  <c r="AR55" i="1"/>
  <c r="AR59" i="1"/>
  <c r="AR63" i="1"/>
  <c r="AR67" i="1"/>
  <c r="AR70" i="1"/>
  <c r="AR9" i="1"/>
  <c r="AR11" i="1"/>
  <c r="AR39" i="1"/>
  <c r="AR43" i="1"/>
  <c r="AR49" i="1"/>
  <c r="AR65" i="1"/>
  <c r="AR75" i="1"/>
  <c r="AR85" i="1"/>
  <c r="AR17" i="1"/>
  <c r="AR21" i="1"/>
  <c r="AR25" i="1"/>
  <c r="AR61" i="1"/>
  <c r="AR71" i="1"/>
  <c r="AR81" i="1"/>
  <c r="AR15" i="1"/>
  <c r="AR33" i="1"/>
  <c r="AR37" i="1"/>
  <c r="AR41" i="1"/>
  <c r="AR57" i="1"/>
  <c r="AR77" i="1"/>
  <c r="AR23" i="1"/>
  <c r="AR69" i="1"/>
  <c r="AR83" i="1"/>
  <c r="AR27" i="1"/>
  <c r="AR53" i="1"/>
  <c r="AR31" i="1"/>
  <c r="AR7" i="1"/>
  <c r="AR73" i="1"/>
  <c r="AR79" i="1"/>
  <c r="AP15" i="1"/>
  <c r="AP21" i="1"/>
  <c r="AP31" i="1"/>
  <c r="AP37" i="1"/>
  <c r="AP49" i="1"/>
  <c r="AP53" i="1"/>
  <c r="AP57" i="1"/>
  <c r="AP61" i="1"/>
  <c r="AP65" i="1"/>
  <c r="AP69" i="1"/>
  <c r="AP7" i="1"/>
  <c r="AP11" i="1"/>
  <c r="AP25" i="1"/>
  <c r="AP29" i="1"/>
  <c r="AP33" i="1"/>
  <c r="AP51" i="1"/>
  <c r="AP67" i="1"/>
  <c r="AP71" i="1"/>
  <c r="AP77" i="1"/>
  <c r="AP9" i="1"/>
  <c r="AP41" i="1"/>
  <c r="AP45" i="1"/>
  <c r="AP47" i="1"/>
  <c r="AP63" i="1"/>
  <c r="AP73" i="1"/>
  <c r="AP83" i="1"/>
  <c r="AP19" i="1"/>
  <c r="AP23" i="1"/>
  <c r="AP27" i="1"/>
  <c r="AP59" i="1"/>
  <c r="AP17" i="1"/>
  <c r="AP39" i="1"/>
  <c r="AP55" i="1"/>
  <c r="AP43" i="1"/>
  <c r="AP81" i="1"/>
  <c r="AP75" i="1"/>
  <c r="AP79" i="1"/>
  <c r="AP85" i="1"/>
  <c r="AP13" i="1"/>
  <c r="AP35" i="1"/>
  <c r="AK9" i="1"/>
  <c r="AK13" i="1"/>
  <c r="AK17" i="1"/>
  <c r="AK21" i="1"/>
  <c r="AK25" i="1"/>
  <c r="AK29" i="1"/>
  <c r="AK33" i="1"/>
  <c r="AK37" i="1"/>
  <c r="AK41" i="1"/>
  <c r="AK45" i="1"/>
  <c r="AK15" i="1"/>
  <c r="AK31" i="1"/>
  <c r="AK73" i="1"/>
  <c r="AK77" i="1"/>
  <c r="AK81" i="1"/>
  <c r="AK85" i="1"/>
  <c r="AK11" i="1"/>
  <c r="AK35" i="1"/>
  <c r="AK39" i="1"/>
  <c r="AK43" i="1"/>
  <c r="AK51" i="1"/>
  <c r="AK61" i="1"/>
  <c r="AK67" i="1"/>
  <c r="AK71" i="1"/>
  <c r="AK47" i="1"/>
  <c r="AK57" i="1"/>
  <c r="AK63" i="1"/>
  <c r="AK83" i="1"/>
  <c r="AK53" i="1"/>
  <c r="AK59" i="1"/>
  <c r="AK69" i="1"/>
  <c r="AK27" i="1"/>
  <c r="AK65" i="1"/>
  <c r="AK79" i="1"/>
  <c r="AK49" i="1"/>
  <c r="AK75" i="1"/>
  <c r="AK7" i="1"/>
  <c r="AK19" i="1"/>
  <c r="AK23" i="1"/>
  <c r="AK55" i="1"/>
  <c r="AU11" i="1"/>
  <c r="AU15" i="1"/>
  <c r="AU19" i="1"/>
  <c r="AU23" i="1"/>
  <c r="AU27" i="1"/>
  <c r="AU31" i="1"/>
  <c r="AU35" i="1"/>
  <c r="AU39" i="1"/>
  <c r="AU43" i="1"/>
  <c r="AU21" i="1"/>
  <c r="AU37" i="1"/>
  <c r="AU71" i="1"/>
  <c r="AU75" i="1"/>
  <c r="AU79" i="1"/>
  <c r="AU83" i="1"/>
  <c r="AU41" i="1"/>
  <c r="AU45" i="1"/>
  <c r="AU51" i="1"/>
  <c r="AU57" i="1"/>
  <c r="AU67" i="1"/>
  <c r="AU77" i="1"/>
  <c r="AU7" i="1"/>
  <c r="AU47" i="1"/>
  <c r="AU53" i="1"/>
  <c r="AU63" i="1"/>
  <c r="AU69" i="1"/>
  <c r="AU73" i="1"/>
  <c r="AU13" i="1"/>
  <c r="AU17" i="1"/>
  <c r="AU49" i="1"/>
  <c r="AU59" i="1"/>
  <c r="AU65" i="1"/>
  <c r="AU9" i="1"/>
  <c r="AU29" i="1"/>
  <c r="AU85" i="1"/>
  <c r="AU33" i="1"/>
  <c r="AU55" i="1"/>
  <c r="AU25" i="1"/>
  <c r="AU61" i="1"/>
  <c r="AU81" i="1"/>
  <c r="AT16" i="1"/>
  <c r="AU20" i="1"/>
  <c r="AW24" i="1"/>
  <c r="AW28" i="1"/>
  <c r="AK36" i="1"/>
  <c r="AY40" i="1"/>
  <c r="AM44" i="1"/>
  <c r="AT46" i="1"/>
  <c r="AU48" i="1"/>
  <c r="AP56" i="1"/>
  <c r="AJ64" i="1"/>
  <c r="AR68" i="1"/>
  <c r="AY70" i="1"/>
  <c r="AM76" i="1"/>
  <c r="AT78" i="1"/>
  <c r="AU80" i="1"/>
  <c r="AP40" i="1"/>
  <c r="AP24" i="1"/>
  <c r="AP8" i="1"/>
  <c r="AU10" i="1"/>
  <c r="AU14" i="1"/>
  <c r="AW22" i="1"/>
  <c r="AK30" i="1"/>
  <c r="AT34" i="1"/>
  <c r="AM40" i="1"/>
  <c r="AR50" i="1"/>
  <c r="AU54" i="1"/>
  <c r="AM58" i="1"/>
  <c r="AJ62" i="1"/>
  <c r="AT68" i="1"/>
  <c r="AR82" i="1"/>
  <c r="AU86" i="1"/>
  <c r="AK82" i="1"/>
  <c r="AK74" i="1"/>
  <c r="AK66" i="1"/>
  <c r="AK58" i="1"/>
  <c r="AK50" i="1"/>
  <c r="AK42" i="1"/>
  <c r="AK16" i="1"/>
  <c r="AJ36" i="1"/>
  <c r="AJ28" i="1"/>
  <c r="AJ20" i="1"/>
  <c r="AJ12" i="1"/>
  <c r="AR36" i="1"/>
  <c r="AR28" i="1"/>
  <c r="AR20" i="1"/>
  <c r="AR12" i="1"/>
  <c r="AW8" i="1"/>
  <c r="AM26" i="1"/>
  <c r="AU34" i="1"/>
  <c r="AU38" i="1"/>
  <c r="AT42" i="1"/>
  <c r="AM48" i="1"/>
  <c r="AT58" i="1"/>
  <c r="AM64" i="1"/>
  <c r="AT74" i="1"/>
  <c r="AM80" i="1"/>
  <c r="AM28" i="1"/>
  <c r="AM12" i="1"/>
  <c r="AU32" i="1"/>
  <c r="AU16" i="1"/>
  <c r="AW38" i="1"/>
  <c r="AW82" i="1"/>
  <c r="AW74" i="1"/>
  <c r="AW66" i="1"/>
  <c r="AW58" i="1"/>
  <c r="AW50" i="1"/>
  <c r="AW42" i="1"/>
  <c r="AW10" i="1"/>
  <c r="AH42" i="1"/>
  <c r="AY10" i="1"/>
  <c r="AY18" i="1"/>
  <c r="AR64" i="1"/>
  <c r="AR72" i="1"/>
  <c r="AP78" i="1"/>
  <c r="AY16" i="1"/>
  <c r="AY26" i="1"/>
  <c r="AP82" i="1"/>
  <c r="AP66" i="1"/>
  <c r="AP50" i="1"/>
  <c r="AP10" i="1"/>
  <c r="AY44" i="1"/>
  <c r="AY64" i="1"/>
  <c r="AY20" i="1"/>
  <c r="AJ60" i="1"/>
  <c r="AK18" i="1"/>
  <c r="AH40" i="1"/>
  <c r="AH84" i="1"/>
  <c r="AH22" i="1"/>
  <c r="AH80" i="1"/>
  <c r="AH68" i="1"/>
  <c r="AJ68" i="1"/>
  <c r="AT20" i="1"/>
  <c r="AY52" i="1"/>
  <c r="AM62" i="1"/>
  <c r="AP46" i="1"/>
  <c r="AP76" i="1"/>
  <c r="AY84" i="1"/>
  <c r="AP34" i="1"/>
  <c r="AU28" i="1"/>
  <c r="AM54" i="1"/>
  <c r="AK20" i="1"/>
  <c r="AN17" i="1"/>
  <c r="AN23" i="1"/>
  <c r="AN33" i="1"/>
  <c r="AN39" i="1"/>
  <c r="AN47" i="1"/>
  <c r="AN51" i="1"/>
  <c r="AN55" i="1"/>
  <c r="AN59" i="1"/>
  <c r="AN63" i="1"/>
  <c r="AN67" i="1"/>
  <c r="AN9" i="1"/>
  <c r="AN15" i="1"/>
  <c r="AN19" i="1"/>
  <c r="AN37" i="1"/>
  <c r="AN41" i="1"/>
  <c r="AN45" i="1"/>
  <c r="AN53" i="1"/>
  <c r="AN69" i="1"/>
  <c r="AN73" i="1"/>
  <c r="AN79" i="1"/>
  <c r="AN27" i="1"/>
  <c r="AN31" i="1"/>
  <c r="AN35" i="1"/>
  <c r="AN49" i="1"/>
  <c r="AN65" i="1"/>
  <c r="AN75" i="1"/>
  <c r="AN85" i="1"/>
  <c r="AN7" i="1"/>
  <c r="AN13" i="1"/>
  <c r="AN43" i="1"/>
  <c r="AN61" i="1"/>
  <c r="AN71" i="1"/>
  <c r="AN81" i="1"/>
  <c r="AN11" i="1"/>
  <c r="AN21" i="1"/>
  <c r="AN77" i="1"/>
  <c r="AN25" i="1"/>
  <c r="AN29" i="1"/>
  <c r="AN57" i="1"/>
  <c r="AN83" i="1"/>
  <c r="AZ11" i="1"/>
  <c r="AZ21" i="1"/>
  <c r="AZ27" i="1"/>
  <c r="AZ37" i="1"/>
  <c r="AZ43" i="1"/>
  <c r="AZ47" i="1"/>
  <c r="AZ51" i="1"/>
  <c r="AZ55" i="1"/>
  <c r="AZ59" i="1"/>
  <c r="AZ63" i="1"/>
  <c r="AZ67" i="1"/>
  <c r="AZ31" i="1"/>
  <c r="AZ35" i="1"/>
  <c r="AZ39" i="1"/>
  <c r="AZ57" i="1"/>
  <c r="AZ77" i="1"/>
  <c r="AZ83" i="1"/>
  <c r="AZ7" i="1"/>
  <c r="AZ9" i="1"/>
  <c r="AZ13" i="1"/>
  <c r="AZ17" i="1"/>
  <c r="AZ53" i="1"/>
  <c r="AZ69" i="1"/>
  <c r="AZ73" i="1"/>
  <c r="AZ79" i="1"/>
  <c r="AZ25" i="1"/>
  <c r="AZ29" i="1"/>
  <c r="AZ33" i="1"/>
  <c r="AZ49" i="1"/>
  <c r="AZ65" i="1"/>
  <c r="AZ75" i="1"/>
  <c r="AZ19" i="1"/>
  <c r="AZ41" i="1"/>
  <c r="AZ61" i="1"/>
  <c r="AZ23" i="1"/>
  <c r="AZ45" i="1"/>
  <c r="AZ71" i="1"/>
  <c r="AZ81" i="1"/>
  <c r="AZ85" i="1"/>
  <c r="AZ15" i="1"/>
  <c r="AX13" i="1"/>
  <c r="AX23" i="1"/>
  <c r="AX29" i="1"/>
  <c r="AX39" i="1"/>
  <c r="AX45" i="1"/>
  <c r="AX49" i="1"/>
  <c r="AX53" i="1"/>
  <c r="AX57" i="1"/>
  <c r="AX61" i="1"/>
  <c r="AX65" i="1"/>
  <c r="AX69" i="1"/>
  <c r="AX7" i="1"/>
  <c r="AX9" i="1"/>
  <c r="AX17" i="1"/>
  <c r="AX21" i="1"/>
  <c r="AX25" i="1"/>
  <c r="AX43" i="1"/>
  <c r="AX59" i="1"/>
  <c r="AX79" i="1"/>
  <c r="AX85" i="1"/>
  <c r="AX33" i="1"/>
  <c r="AX37" i="1"/>
  <c r="AX41" i="1"/>
  <c r="AX55" i="1"/>
  <c r="AX75" i="1"/>
  <c r="AX81" i="1"/>
  <c r="AX15" i="1"/>
  <c r="AX19" i="1"/>
  <c r="AX51" i="1"/>
  <c r="AX67" i="1"/>
  <c r="AX71" i="1"/>
  <c r="AX77" i="1"/>
  <c r="AX35" i="1"/>
  <c r="AX47" i="1"/>
  <c r="AX73" i="1"/>
  <c r="AX11" i="1"/>
  <c r="AX27" i="1"/>
  <c r="AX31" i="1"/>
  <c r="AX63" i="1"/>
  <c r="AX83" i="1"/>
  <c r="AS9" i="1"/>
  <c r="AS13" i="1"/>
  <c r="AS17" i="1"/>
  <c r="AS21" i="1"/>
  <c r="AS25" i="1"/>
  <c r="AS29" i="1"/>
  <c r="AS33" i="1"/>
  <c r="AS37" i="1"/>
  <c r="AS41" i="1"/>
  <c r="AS45" i="1"/>
  <c r="AS23" i="1"/>
  <c r="AS39" i="1"/>
  <c r="AS73" i="1"/>
  <c r="AS77" i="1"/>
  <c r="AS81" i="1"/>
  <c r="AS85" i="1"/>
  <c r="AS27" i="1"/>
  <c r="AS31" i="1"/>
  <c r="AS35" i="1"/>
  <c r="AS53" i="1"/>
  <c r="AS59" i="1"/>
  <c r="AS69" i="1"/>
  <c r="AS79" i="1"/>
  <c r="AS11" i="1"/>
  <c r="AS43" i="1"/>
  <c r="AS49" i="1"/>
  <c r="AS55" i="1"/>
  <c r="AS65" i="1"/>
  <c r="AS75" i="1"/>
  <c r="AS7" i="1"/>
  <c r="AS51" i="1"/>
  <c r="AS61" i="1"/>
  <c r="AS67" i="1"/>
  <c r="AS71" i="1"/>
  <c r="AS57" i="1"/>
  <c r="AS83" i="1"/>
  <c r="AS15" i="1"/>
  <c r="AS63" i="1"/>
  <c r="AS19" i="1"/>
  <c r="AS47" i="1"/>
  <c r="AY8" i="1"/>
  <c r="AS14" i="1"/>
  <c r="AM22" i="1"/>
  <c r="AP26" i="1"/>
  <c r="AP30" i="1"/>
  <c r="AK34" i="1"/>
  <c r="AX38" i="1"/>
  <c r="AR44" i="1"/>
  <c r="AY46" i="1"/>
  <c r="AZ48" i="1"/>
  <c r="AM52" i="1"/>
  <c r="AT54" i="1"/>
  <c r="AU56" i="1"/>
  <c r="AN62" i="1"/>
  <c r="AP64" i="1"/>
  <c r="AX68" i="1"/>
  <c r="AJ72" i="1"/>
  <c r="AR76" i="1"/>
  <c r="AY78" i="1"/>
  <c r="AZ80" i="1"/>
  <c r="AM84" i="1"/>
  <c r="AT86" i="1"/>
  <c r="AI32" i="1"/>
  <c r="AI64" i="1"/>
  <c r="AY38" i="1"/>
  <c r="AY22" i="1"/>
  <c r="AM8" i="1"/>
  <c r="AK26" i="1"/>
  <c r="AT40" i="1"/>
  <c r="AT44" i="1"/>
  <c r="AN52" i="1"/>
  <c r="AZ54" i="1"/>
  <c r="AR58" i="1"/>
  <c r="AU62" i="1"/>
  <c r="AM66" i="1"/>
  <c r="AJ70" i="1"/>
  <c r="AT76" i="1"/>
  <c r="AN84" i="1"/>
  <c r="AZ86" i="1"/>
  <c r="AK80" i="1"/>
  <c r="AK72" i="1"/>
  <c r="AK64" i="1"/>
  <c r="AK56" i="1"/>
  <c r="AK48" i="1"/>
  <c r="AK40" i="1"/>
  <c r="AK8" i="1"/>
  <c r="AJ34" i="1"/>
  <c r="AJ26" i="1"/>
  <c r="AJ18" i="1"/>
  <c r="AJ10" i="1"/>
  <c r="AS82" i="1"/>
  <c r="AS74" i="1"/>
  <c r="AS66" i="1"/>
  <c r="AS58" i="1"/>
  <c r="AS50" i="1"/>
  <c r="AS42" i="1"/>
  <c r="AS12" i="1"/>
  <c r="AR34" i="1"/>
  <c r="AR26" i="1"/>
  <c r="AR18" i="1"/>
  <c r="AR10" i="1"/>
  <c r="AZ34" i="1"/>
  <c r="AZ26" i="1"/>
  <c r="AZ18" i="1"/>
  <c r="AZ10" i="1"/>
  <c r="AW12" i="1"/>
  <c r="AT26" i="1"/>
  <c r="AM32" i="1"/>
  <c r="AU44" i="1"/>
  <c r="AN50" i="1"/>
  <c r="AU60" i="1"/>
  <c r="AN66" i="1"/>
  <c r="AU76" i="1"/>
  <c r="AN82" i="1"/>
  <c r="AT30" i="1"/>
  <c r="AT14" i="1"/>
  <c r="AW80" i="1"/>
  <c r="AW72" i="1"/>
  <c r="AW64" i="1"/>
  <c r="AW56" i="1"/>
  <c r="AW48" i="1"/>
  <c r="AW34" i="1"/>
  <c r="AN34" i="1"/>
  <c r="AN26" i="1"/>
  <c r="AN18" i="1"/>
  <c r="AN10" i="1"/>
  <c r="AT56" i="1"/>
  <c r="AH10" i="1"/>
  <c r="AH58" i="1"/>
  <c r="AP12" i="1"/>
  <c r="AJ52" i="1"/>
  <c r="AY66" i="1"/>
  <c r="AY74" i="1"/>
  <c r="AX82" i="1"/>
  <c r="AP18" i="1"/>
  <c r="AP44" i="1"/>
  <c r="AP60" i="1"/>
  <c r="AX72" i="1"/>
  <c r="AR80" i="1"/>
  <c r="AP20" i="1"/>
  <c r="AY58" i="1"/>
  <c r="AY42" i="1"/>
  <c r="AY12" i="1"/>
  <c r="AX58" i="1"/>
  <c r="AY32" i="1"/>
  <c r="AX8" i="1"/>
  <c r="AJ50" i="1"/>
  <c r="AJ58" i="1"/>
  <c r="AK22" i="1"/>
  <c r="AR78" i="1"/>
  <c r="AS18" i="1"/>
  <c r="AZ68" i="1"/>
  <c r="AH46" i="1"/>
  <c r="AH44" i="1"/>
  <c r="AH28" i="1"/>
  <c r="AH86" i="1"/>
  <c r="AH36" i="1"/>
  <c r="AK12" i="1"/>
  <c r="AM24" i="1"/>
  <c r="AX54" i="1"/>
  <c r="AT64" i="1"/>
  <c r="AM86" i="1"/>
  <c r="AT48" i="1"/>
  <c r="AX66" i="1"/>
  <c r="AM78" i="1"/>
  <c r="AY76" i="1"/>
  <c r="AU42" i="1"/>
  <c r="AM18" i="1"/>
  <c r="AT24" i="1"/>
  <c r="AR56" i="1"/>
  <c r="AV9" i="1"/>
  <c r="AV15" i="1"/>
  <c r="AV25" i="1"/>
  <c r="AV31" i="1"/>
  <c r="AV41" i="1"/>
  <c r="AV47" i="1"/>
  <c r="AV51" i="1"/>
  <c r="AV55" i="1"/>
  <c r="AV59" i="1"/>
  <c r="AV63" i="1"/>
  <c r="AV67" i="1"/>
  <c r="AV11" i="1"/>
  <c r="AV29" i="1"/>
  <c r="AV33" i="1"/>
  <c r="AV37" i="1"/>
  <c r="AV61" i="1"/>
  <c r="AV71" i="1"/>
  <c r="AV81" i="1"/>
  <c r="AV19" i="1"/>
  <c r="AV23" i="1"/>
  <c r="AV27" i="1"/>
  <c r="AV45" i="1"/>
  <c r="AV57" i="1"/>
  <c r="AV77" i="1"/>
  <c r="AV83" i="1"/>
  <c r="AV35" i="1"/>
  <c r="AV39" i="1"/>
  <c r="AV43" i="1"/>
  <c r="AV53" i="1"/>
  <c r="AV69" i="1"/>
  <c r="AV73" i="1"/>
  <c r="AV13" i="1"/>
  <c r="AV79" i="1"/>
  <c r="AV17" i="1"/>
  <c r="AV85" i="1"/>
  <c r="AV7" i="1"/>
  <c r="AV21" i="1"/>
  <c r="AV65" i="1"/>
  <c r="AV49" i="1"/>
  <c r="AV75" i="1"/>
  <c r="AL9" i="1"/>
  <c r="AL19" i="1"/>
  <c r="AL25" i="1"/>
  <c r="AL35" i="1"/>
  <c r="AL41" i="1"/>
  <c r="AL49" i="1"/>
  <c r="AL53" i="1"/>
  <c r="AL57" i="1"/>
  <c r="AL61" i="1"/>
  <c r="AL65" i="1"/>
  <c r="AL69" i="1"/>
  <c r="AL7" i="1"/>
  <c r="AL23" i="1"/>
  <c r="AL27" i="1"/>
  <c r="AL31" i="1"/>
  <c r="AL55" i="1"/>
  <c r="AL75" i="1"/>
  <c r="AL81" i="1"/>
  <c r="AL13" i="1"/>
  <c r="AL17" i="1"/>
  <c r="AL21" i="1"/>
  <c r="AL39" i="1"/>
  <c r="AL43" i="1"/>
  <c r="AL51" i="1"/>
  <c r="AL67" i="1"/>
  <c r="AL71" i="1"/>
  <c r="AL77" i="1"/>
  <c r="AL11" i="1"/>
  <c r="AL29" i="1"/>
  <c r="AL33" i="1"/>
  <c r="AL37" i="1"/>
  <c r="AL47" i="1"/>
  <c r="AL63" i="1"/>
  <c r="AL73" i="1"/>
  <c r="AL15" i="1"/>
  <c r="AL79" i="1"/>
  <c r="AL85" i="1"/>
  <c r="AL59" i="1"/>
  <c r="AL83" i="1"/>
  <c r="AL45" i="1"/>
  <c r="AO9" i="1"/>
  <c r="AO13" i="1"/>
  <c r="AO17" i="1"/>
  <c r="AO21" i="1"/>
  <c r="AO25" i="1"/>
  <c r="AO29" i="1"/>
  <c r="AO33" i="1"/>
  <c r="AO37" i="1"/>
  <c r="AO41" i="1"/>
  <c r="AO45" i="1"/>
  <c r="AO11" i="1"/>
  <c r="AO27" i="1"/>
  <c r="AO43" i="1"/>
  <c r="AO73" i="1"/>
  <c r="AO77" i="1"/>
  <c r="AO81" i="1"/>
  <c r="AO85" i="1"/>
  <c r="AO47" i="1"/>
  <c r="AO57" i="1"/>
  <c r="AO63" i="1"/>
  <c r="AO83" i="1"/>
  <c r="AO7" i="1"/>
  <c r="AO15" i="1"/>
  <c r="AO19" i="1"/>
  <c r="AO23" i="1"/>
  <c r="AO53" i="1"/>
  <c r="AO59" i="1"/>
  <c r="AO69" i="1"/>
  <c r="AO79" i="1"/>
  <c r="AO31" i="1"/>
  <c r="AO35" i="1"/>
  <c r="AO39" i="1"/>
  <c r="AO49" i="1"/>
  <c r="AO55" i="1"/>
  <c r="AO65" i="1"/>
  <c r="AO75" i="1"/>
  <c r="AO67" i="1"/>
  <c r="AO51" i="1"/>
  <c r="AO61" i="1"/>
  <c r="AO71" i="1"/>
  <c r="BA9" i="1"/>
  <c r="BA13" i="1"/>
  <c r="BA17" i="1"/>
  <c r="BA21" i="1"/>
  <c r="BA25" i="1"/>
  <c r="BA29" i="1"/>
  <c r="BA33" i="1"/>
  <c r="BA37" i="1"/>
  <c r="BA41" i="1"/>
  <c r="BA15" i="1"/>
  <c r="BA31" i="1"/>
  <c r="BA73" i="1"/>
  <c r="BA77" i="1"/>
  <c r="BA81" i="1"/>
  <c r="BA85" i="1"/>
  <c r="BA11" i="1"/>
  <c r="BA19" i="1"/>
  <c r="BA23" i="1"/>
  <c r="BA27" i="1"/>
  <c r="BA45" i="1"/>
  <c r="BA51" i="1"/>
  <c r="BA61" i="1"/>
  <c r="BA67" i="1"/>
  <c r="BA71" i="1"/>
  <c r="BA35" i="1"/>
  <c r="BA39" i="1"/>
  <c r="BA43" i="1"/>
  <c r="BA47" i="1"/>
  <c r="BA57" i="1"/>
  <c r="BA63" i="1"/>
  <c r="BA83" i="1"/>
  <c r="BA53" i="1"/>
  <c r="BA59" i="1"/>
  <c r="BA69" i="1"/>
  <c r="BA49" i="1"/>
  <c r="BA75" i="1"/>
  <c r="BA55" i="1"/>
  <c r="BA79" i="1"/>
  <c r="BA65" i="1"/>
  <c r="BA7" i="1"/>
  <c r="AQ11" i="1"/>
  <c r="AQ15" i="1"/>
  <c r="AQ19" i="1"/>
  <c r="AQ23" i="1"/>
  <c r="AQ27" i="1"/>
  <c r="AQ31" i="1"/>
  <c r="AQ35" i="1"/>
  <c r="AQ39" i="1"/>
  <c r="AQ43" i="1"/>
  <c r="AQ9" i="1"/>
  <c r="AQ25" i="1"/>
  <c r="AQ41" i="1"/>
  <c r="AQ71" i="1"/>
  <c r="AQ75" i="1"/>
  <c r="AQ79" i="1"/>
  <c r="AQ83" i="1"/>
  <c r="AQ13" i="1"/>
  <c r="AQ17" i="1"/>
  <c r="AQ21" i="1"/>
  <c r="AQ55" i="1"/>
  <c r="AQ61" i="1"/>
  <c r="AQ81" i="1"/>
  <c r="AQ29" i="1"/>
  <c r="AQ33" i="1"/>
  <c r="AQ37" i="1"/>
  <c r="AQ51" i="1"/>
  <c r="AQ57" i="1"/>
  <c r="AQ67" i="1"/>
  <c r="AQ77" i="1"/>
  <c r="AQ45" i="1"/>
  <c r="AQ47" i="1"/>
  <c r="AQ53" i="1"/>
  <c r="AQ63" i="1"/>
  <c r="AQ69" i="1"/>
  <c r="AQ73" i="1"/>
  <c r="AQ65" i="1"/>
  <c r="AQ49" i="1"/>
  <c r="AQ59" i="1"/>
  <c r="AQ85" i="1"/>
  <c r="AQ7" i="1"/>
  <c r="AM10" i="1"/>
  <c r="AT12" i="1"/>
  <c r="BA14" i="1"/>
  <c r="AU18" i="1"/>
  <c r="AU22" i="1"/>
  <c r="AX26" i="1"/>
  <c r="AW30" i="1"/>
  <c r="AS34" i="1"/>
  <c r="AY36" i="1"/>
  <c r="AL40" i="1"/>
  <c r="AQ42" i="1"/>
  <c r="AX44" i="1"/>
  <c r="AJ48" i="1"/>
  <c r="AL50" i="1"/>
  <c r="AR52" i="1"/>
  <c r="AY54" i="1"/>
  <c r="AZ56" i="1"/>
  <c r="AM60" i="1"/>
  <c r="AT62" i="1"/>
  <c r="AU64" i="1"/>
  <c r="AV66" i="1"/>
  <c r="AN70" i="1"/>
  <c r="AP72" i="1"/>
  <c r="AQ74" i="1"/>
  <c r="AX76" i="1"/>
  <c r="AJ80" i="1"/>
  <c r="AL82" i="1"/>
  <c r="AR84" i="1"/>
  <c r="AY86" i="1"/>
  <c r="AI40" i="1"/>
  <c r="AI72" i="1"/>
  <c r="AP32" i="1"/>
  <c r="AP16" i="1"/>
  <c r="AX36" i="1"/>
  <c r="AX20" i="1"/>
  <c r="AT8" i="1"/>
  <c r="AU12" i="1"/>
  <c r="AW16" i="1"/>
  <c r="AS26" i="1"/>
  <c r="AS32" i="1"/>
  <c r="AL36" i="1"/>
  <c r="AS38" i="1"/>
  <c r="AM42" i="1"/>
  <c r="AJ46" i="1"/>
  <c r="AV48" i="1"/>
  <c r="AT52" i="1"/>
  <c r="AL56" i="1"/>
  <c r="AN60" i="1"/>
  <c r="AZ62" i="1"/>
  <c r="AR66" i="1"/>
  <c r="AU70" i="1"/>
  <c r="AM74" i="1"/>
  <c r="AJ78" i="1"/>
  <c r="AV80" i="1"/>
  <c r="AT84" i="1"/>
  <c r="AK86" i="1"/>
  <c r="AK78" i="1"/>
  <c r="AK70" i="1"/>
  <c r="AK62" i="1"/>
  <c r="AK54" i="1"/>
  <c r="AK46" i="1"/>
  <c r="AK32" i="1"/>
  <c r="AJ40" i="1"/>
  <c r="AJ32" i="1"/>
  <c r="AJ24" i="1"/>
  <c r="AJ16" i="1"/>
  <c r="AJ8" i="1"/>
  <c r="AS80" i="1"/>
  <c r="AS72" i="1"/>
  <c r="AS64" i="1"/>
  <c r="AS56" i="1"/>
  <c r="AS48" i="1"/>
  <c r="AS36" i="1"/>
  <c r="AR40" i="1"/>
  <c r="AR32" i="1"/>
  <c r="AR24" i="1"/>
  <c r="AR16" i="1"/>
  <c r="AR8" i="1"/>
  <c r="BA78" i="1"/>
  <c r="BA70" i="1"/>
  <c r="BA62" i="1"/>
  <c r="BA54" i="1"/>
  <c r="BA46" i="1"/>
  <c r="BA32" i="1"/>
  <c r="AZ40" i="1"/>
  <c r="AZ32" i="1"/>
  <c r="AZ24" i="1"/>
  <c r="AZ16" i="1"/>
  <c r="AZ8" i="1"/>
  <c r="AW14" i="1"/>
  <c r="AL28" i="1"/>
  <c r="AT32" i="1"/>
  <c r="AU36" i="1"/>
  <c r="AW40" i="1"/>
  <c r="AL46" i="1"/>
  <c r="AT50" i="1"/>
  <c r="AM56" i="1"/>
  <c r="AL62" i="1"/>
  <c r="AT66" i="1"/>
  <c r="AM72" i="1"/>
  <c r="AL78" i="1"/>
  <c r="AT82" i="1"/>
  <c r="AM36" i="1"/>
  <c r="AM20" i="1"/>
  <c r="AU40" i="1"/>
  <c r="AU24" i="1"/>
  <c r="AU8" i="1"/>
  <c r="AW32" i="1"/>
  <c r="AN48" i="1"/>
  <c r="AW86" i="1"/>
  <c r="AW78" i="1"/>
  <c r="AW70" i="1"/>
  <c r="AW62" i="1"/>
  <c r="AW54" i="1"/>
  <c r="AW46" i="1"/>
  <c r="AW26" i="1"/>
  <c r="AV38" i="1"/>
  <c r="AV30" i="1"/>
  <c r="AV22" i="1"/>
  <c r="AV14" i="1"/>
  <c r="AN56" i="1"/>
  <c r="AN80" i="1"/>
  <c r="AO80" i="1"/>
  <c r="AO72" i="1"/>
  <c r="AO64" i="1"/>
  <c r="AO56" i="1"/>
  <c r="AO48" i="1"/>
  <c r="AO38" i="1"/>
  <c r="AN40" i="1"/>
  <c r="AN32" i="1"/>
  <c r="AN24" i="1"/>
  <c r="AN16" i="1"/>
  <c r="AN8" i="1"/>
  <c r="AL68" i="1"/>
  <c r="AH26" i="1"/>
  <c r="AH66" i="1"/>
  <c r="AX14" i="1"/>
  <c r="AS24" i="1"/>
  <c r="AY56" i="1"/>
  <c r="AP68" i="1"/>
  <c r="AJ76" i="1"/>
  <c r="AJ84" i="1"/>
  <c r="AP22" i="1"/>
  <c r="AS30" i="1"/>
  <c r="AY50" i="1"/>
  <c r="AX62" i="1"/>
  <c r="AJ74" i="1"/>
  <c r="AY82" i="1"/>
  <c r="AP52" i="1"/>
  <c r="AP14" i="1"/>
  <c r="AQ76" i="1"/>
  <c r="AQ60" i="1"/>
  <c r="AQ44" i="1"/>
  <c r="AX56" i="1"/>
  <c r="AX24" i="1"/>
  <c r="AY80" i="1"/>
  <c r="AY48" i="1"/>
  <c r="AX30" i="1"/>
  <c r="AK10" i="1"/>
  <c r="AR54" i="1"/>
  <c r="AJ44" i="1"/>
  <c r="AK14" i="1"/>
  <c r="AR62" i="1"/>
  <c r="AS16" i="1"/>
  <c r="BA86" i="1"/>
  <c r="AZ66" i="1"/>
  <c r="AH8" i="1"/>
  <c r="AH72" i="1"/>
  <c r="AH64" i="1"/>
  <c r="AH48" i="1"/>
  <c r="AH38" i="1"/>
  <c r="AL16" i="1"/>
  <c r="AU26" i="1"/>
  <c r="AU58" i="1"/>
  <c r="AU66" i="1"/>
  <c r="AP74" i="1"/>
  <c r="AQ8" i="1"/>
  <c r="AP42" i="1"/>
  <c r="AU50" i="1"/>
  <c r="AY72" i="1"/>
  <c r="AT80" i="1"/>
  <c r="AP36" i="1"/>
  <c r="AX78" i="1"/>
  <c r="AP58" i="1"/>
  <c r="AL60" i="1"/>
  <c r="AU30" i="1"/>
  <c r="AQ22" i="1"/>
  <c r="BA22" i="1"/>
  <c r="AI10" i="1"/>
  <c r="AI18" i="1"/>
  <c r="AI26" i="1"/>
  <c r="AI34" i="1"/>
  <c r="AI42" i="1"/>
  <c r="AI50" i="1"/>
  <c r="AI58" i="1"/>
  <c r="AI66" i="1"/>
  <c r="AI74" i="1"/>
  <c r="AI82" i="1"/>
  <c r="AH9" i="1"/>
  <c r="AH13" i="1"/>
  <c r="AH17" i="1"/>
  <c r="AH21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7" i="1"/>
  <c r="AH11" i="1"/>
  <c r="AH15" i="1"/>
  <c r="AH19" i="1"/>
  <c r="AH23" i="1"/>
  <c r="AH27" i="1"/>
  <c r="AH31" i="1"/>
  <c r="AH35" i="1"/>
  <c r="AH39" i="1"/>
  <c r="AH43" i="1"/>
  <c r="AH47" i="1"/>
  <c r="AH51" i="1"/>
  <c r="AH55" i="1"/>
  <c r="AH59" i="1"/>
  <c r="AH63" i="1"/>
  <c r="AH67" i="1"/>
  <c r="AH71" i="1"/>
  <c r="AH75" i="1"/>
  <c r="AH79" i="1"/>
  <c r="AH83" i="1"/>
  <c r="AI12" i="1"/>
  <c r="AI20" i="1"/>
  <c r="AI28" i="1"/>
  <c r="AI36" i="1"/>
  <c r="AI44" i="1"/>
  <c r="AI52" i="1"/>
  <c r="AI60" i="1"/>
  <c r="AI68" i="1"/>
  <c r="AI76" i="1"/>
  <c r="AH18" i="1"/>
  <c r="AH50" i="1"/>
  <c r="AH82" i="1"/>
  <c r="AH14" i="1"/>
  <c r="AH52" i="1"/>
  <c r="AH12" i="1"/>
  <c r="AH16" i="1"/>
  <c r="AH54" i="1"/>
  <c r="AH32" i="1"/>
  <c r="AH24" i="1"/>
  <c r="AH62" i="1"/>
  <c r="AI11" i="1"/>
  <c r="AI15" i="1"/>
  <c r="AI19" i="1"/>
  <c r="AI23" i="1"/>
  <c r="AI27" i="1"/>
  <c r="AI31" i="1"/>
  <c r="AI35" i="1"/>
  <c r="AI39" i="1"/>
  <c r="AI43" i="1"/>
  <c r="AI47" i="1"/>
  <c r="AI51" i="1"/>
  <c r="AI55" i="1"/>
  <c r="AI59" i="1"/>
  <c r="AI63" i="1"/>
  <c r="AI67" i="1"/>
  <c r="AI71" i="1"/>
  <c r="AI75" i="1"/>
  <c r="AI79" i="1"/>
  <c r="AI83" i="1"/>
  <c r="AI9" i="1"/>
  <c r="AI13" i="1"/>
  <c r="AI17" i="1"/>
  <c r="AI21" i="1"/>
  <c r="AI25" i="1"/>
  <c r="AI29" i="1"/>
  <c r="AI33" i="1"/>
  <c r="AI37" i="1"/>
  <c r="AI41" i="1"/>
  <c r="AI45" i="1"/>
  <c r="AI49" i="1"/>
  <c r="AI53" i="1"/>
  <c r="AI57" i="1"/>
  <c r="AI61" i="1"/>
  <c r="AI65" i="1"/>
  <c r="AI69" i="1"/>
  <c r="AI73" i="1"/>
  <c r="AI77" i="1"/>
  <c r="AI81" i="1"/>
  <c r="AI85" i="1"/>
  <c r="AI7" i="1"/>
  <c r="AI14" i="1"/>
  <c r="AI22" i="1"/>
  <c r="AI30" i="1"/>
  <c r="AI38" i="1"/>
  <c r="AI46" i="1"/>
  <c r="AI54" i="1"/>
  <c r="AI62" i="1"/>
  <c r="AI70" i="1"/>
  <c r="AI78" i="1"/>
  <c r="AI86" i="1"/>
  <c r="AI8" i="1"/>
  <c r="AA11" i="1"/>
  <c r="AA12" i="1"/>
  <c r="AA14" i="1"/>
  <c r="AA7" i="1"/>
  <c r="AA10" i="1"/>
  <c r="AA16" i="1"/>
  <c r="AA15" i="1"/>
  <c r="AA9" i="1"/>
  <c r="AA13" i="1"/>
</calcChain>
</file>

<file path=xl/sharedStrings.xml><?xml version="1.0" encoding="utf-8"?>
<sst xmlns="http://schemas.openxmlformats.org/spreadsheetml/2006/main" count="77" uniqueCount="55">
  <si>
    <t>Deg</t>
  </si>
  <si>
    <r>
      <t>Radians (</t>
    </r>
    <r>
      <rPr>
        <sz val="11"/>
        <color theme="1"/>
        <rFont val="Calibri"/>
        <family val="2"/>
      </rPr>
      <t>θ)</t>
    </r>
  </si>
  <si>
    <t>Sin θ</t>
  </si>
  <si>
    <t>Cos θ</t>
  </si>
  <si>
    <t>#</t>
  </si>
  <si>
    <t>X1</t>
  </si>
  <si>
    <t>Y1</t>
  </si>
  <si>
    <t>X2</t>
  </si>
  <si>
    <t>Y2</t>
  </si>
  <si>
    <t>X3</t>
  </si>
  <si>
    <t>Y3</t>
  </si>
  <si>
    <t>X4</t>
  </si>
  <si>
    <t>Y4</t>
  </si>
  <si>
    <t>Cracker Co-ords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</si>
  <si>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</si>
  <si>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</si>
  <si>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</si>
  <si>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</si>
  <si>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</si>
  <si>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</si>
  <si>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</si>
  <si>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</si>
  <si>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</si>
  <si>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</si>
  <si>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Angle</t>
  </si>
  <si>
    <t>Max-Height</t>
  </si>
  <si>
    <t>Last point Co-ords</t>
  </si>
  <si>
    <t>Current Co-ords</t>
  </si>
  <si>
    <t>Cur-height</t>
  </si>
  <si>
    <t>Xcur</t>
  </si>
  <si>
    <t>Ycur</t>
  </si>
  <si>
    <t>Cur Pos</t>
  </si>
  <si>
    <t>curSize</t>
  </si>
  <si>
    <t>maxSize</t>
  </si>
  <si>
    <t>curSize %</t>
  </si>
  <si>
    <t>c6</t>
  </si>
  <si>
    <t>c7</t>
  </si>
  <si>
    <t>c8</t>
  </si>
  <si>
    <t>c9</t>
  </si>
  <si>
    <t>c10</t>
  </si>
  <si>
    <t>X5</t>
  </si>
  <si>
    <t>Y5</t>
  </si>
  <si>
    <t>X6</t>
  </si>
  <si>
    <t>Y6</t>
  </si>
  <si>
    <t>X7</t>
  </si>
  <si>
    <t>Y7</t>
  </si>
  <si>
    <t>X8</t>
  </si>
  <si>
    <t>Y8</t>
  </si>
  <si>
    <t>X9</t>
  </si>
  <si>
    <t>Y9</t>
  </si>
  <si>
    <t>X10</t>
  </si>
  <si>
    <t>Y10</t>
  </si>
  <si>
    <t>Random Values</t>
  </si>
  <si>
    <t>MaxSize</t>
  </si>
  <si>
    <t>Calculations for the fireworks. Do not 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</si>
</sst>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9" fontId="0" fillId="0" borderId="0" xfId="0" applyNumberFormat="1"/>
    <xf numFmtId="0" fontId="0" fillId="0" borderId="0" xfId="0" applyFill="1"/>
    <xf numFmtId="0" fontId="0" fillId="0" borderId="1" xfId="0" applyBorder="1"/>
    <xf numFmtId="166" fontId="0" fillId="0" borderId="1" xfId="0" applyNumberFormat="1" applyBorder="1"/>
    <xf numFmtId="9" fontId="0" fillId="0" borderId="1" xfId="1" applyFont="1" applyBorder="1"/>
    <xf numFmtId="9" fontId="0" fillId="0" borderId="1" xfId="0" applyNumberFormat="1" applyBorder="1"/>
    <xf numFmtId="0" fontId="3" fillId="2" borderId="0" xfId="0" applyFont="1" applyFill="1" applyAlignment="1">
      <alignment vertical="center"/>
    </xf>
    <xf numFmtId="0" fontId="3" fillId="2" borderId="1" xfId="0" applyFont="1" applyFill="1" applyBorder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calc!$R$7</c:f>
              <c:strCache>
                <c:ptCount val="1"/>
                <c:pt idx="0">
                  <c:v>C1</c:v>
                </c:pt>
              </c:strCache>
            </c:strRef>
          </c:tx>
          <c:spPr>
            <a:ln w="3175" cap="rnd">
              <a:solidFill>
                <a:schemeClr val="accent4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(calc!$S$7,calc!$AA$7)</c:f>
              <c:numCache>
                <c:formatCode>0.0</c:formatCode>
                <c:ptCount val="2"/>
                <c:pt idx="0" formatCode="General">
                  <c:v>20</c:v>
                </c:pt>
                <c:pt idx="1">
                  <c:v>20</c:v>
                </c:pt>
              </c:numCache>
            </c:numRef>
          </c:xVal>
          <c:yVal>
            <c:numRef>
              <c:f>(calc!$T$7,calc!$AB$7)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calc!$AH$1</c:f>
              <c:strCache>
                <c:ptCount val="1"/>
                <c:pt idx="0">
                  <c:v>C1 flower</c:v>
                </c:pt>
              </c:strCache>
            </c:strRef>
          </c:tx>
          <c:spPr>
            <a:ln w="31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calc!$AH$7:$AH$86</c:f>
              <c:numCache>
                <c:formatCode>General</c:formatCode>
                <c:ptCount val="80"/>
                <c:pt idx="0">
                  <c:v>41.772970603970094</c:v>
                </c:pt>
                <c:pt idx="1">
                  <c:v>41.772970603970094</c:v>
                </c:pt>
                <c:pt idx="2">
                  <c:v>41.772970603970094</c:v>
                </c:pt>
                <c:pt idx="3">
                  <c:v>41.772970603970094</c:v>
                </c:pt>
                <c:pt idx="4">
                  <c:v>41.772970603970094</c:v>
                </c:pt>
                <c:pt idx="5">
                  <c:v>41.772970603970094</c:v>
                </c:pt>
                <c:pt idx="6">
                  <c:v>41.772970603970094</c:v>
                </c:pt>
                <c:pt idx="7">
                  <c:v>41.772970603970094</c:v>
                </c:pt>
                <c:pt idx="8">
                  <c:v>41.772970603970094</c:v>
                </c:pt>
                <c:pt idx="9">
                  <c:v>41.772970603970094</c:v>
                </c:pt>
                <c:pt idx="10">
                  <c:v>41.772970603970094</c:v>
                </c:pt>
                <c:pt idx="11">
                  <c:v>41.772970603970094</c:v>
                </c:pt>
                <c:pt idx="12">
                  <c:v>41.772970603970094</c:v>
                </c:pt>
                <c:pt idx="13">
                  <c:v>41.772970603970094</c:v>
                </c:pt>
                <c:pt idx="14">
                  <c:v>41.772970603970094</c:v>
                </c:pt>
                <c:pt idx="15">
                  <c:v>41.772970603970094</c:v>
                </c:pt>
                <c:pt idx="16">
                  <c:v>41.772970603970094</c:v>
                </c:pt>
                <c:pt idx="17">
                  <c:v>41.772970603970094</c:v>
                </c:pt>
                <c:pt idx="18">
                  <c:v>41.772970603970094</c:v>
                </c:pt>
                <c:pt idx="19">
                  <c:v>41.772970603970094</c:v>
                </c:pt>
                <c:pt idx="20">
                  <c:v>41.772970603970094</c:v>
                </c:pt>
                <c:pt idx="21">
                  <c:v>41.772970603970094</c:v>
                </c:pt>
                <c:pt idx="22">
                  <c:v>41.772970603970094</c:v>
                </c:pt>
                <c:pt idx="23">
                  <c:v>41.772970603970094</c:v>
                </c:pt>
                <c:pt idx="24">
                  <c:v>41.772970603970094</c:v>
                </c:pt>
                <c:pt idx="25">
                  <c:v>41.772970603970094</c:v>
                </c:pt>
                <c:pt idx="26">
                  <c:v>41.772970603970094</c:v>
                </c:pt>
                <c:pt idx="27">
                  <c:v>41.772970603970094</c:v>
                </c:pt>
                <c:pt idx="28">
                  <c:v>41.772970603970094</c:v>
                </c:pt>
                <c:pt idx="29">
                  <c:v>41.772970603970094</c:v>
                </c:pt>
                <c:pt idx="30">
                  <c:v>41.772970603970094</c:v>
                </c:pt>
                <c:pt idx="31">
                  <c:v>41.772970603970094</c:v>
                </c:pt>
                <c:pt idx="32">
                  <c:v>41.772970603970094</c:v>
                </c:pt>
                <c:pt idx="33">
                  <c:v>41.772970603970094</c:v>
                </c:pt>
                <c:pt idx="34">
                  <c:v>41.772970603970094</c:v>
                </c:pt>
                <c:pt idx="35">
                  <c:v>41.772970603970094</c:v>
                </c:pt>
                <c:pt idx="36">
                  <c:v>41.772970603970094</c:v>
                </c:pt>
                <c:pt idx="37">
                  <c:v>41.772970603970094</c:v>
                </c:pt>
                <c:pt idx="38">
                  <c:v>41.772970603970094</c:v>
                </c:pt>
                <c:pt idx="39">
                  <c:v>41.772970603970094</c:v>
                </c:pt>
                <c:pt idx="40">
                  <c:v>41.772970603970094</c:v>
                </c:pt>
                <c:pt idx="41">
                  <c:v>41.772970603970094</c:v>
                </c:pt>
                <c:pt idx="42">
                  <c:v>41.772970603970094</c:v>
                </c:pt>
                <c:pt idx="43">
                  <c:v>41.772970603970094</c:v>
                </c:pt>
                <c:pt idx="44">
                  <c:v>41.772970603970094</c:v>
                </c:pt>
                <c:pt idx="45">
                  <c:v>41.772970603970094</c:v>
                </c:pt>
                <c:pt idx="46">
                  <c:v>41.772970603970094</c:v>
                </c:pt>
                <c:pt idx="47">
                  <c:v>41.772970603970094</c:v>
                </c:pt>
                <c:pt idx="48">
                  <c:v>41.772970603970094</c:v>
                </c:pt>
                <c:pt idx="49">
                  <c:v>41.772970603970094</c:v>
                </c:pt>
                <c:pt idx="50">
                  <c:v>41.772970603970094</c:v>
                </c:pt>
                <c:pt idx="51">
                  <c:v>41.772970603970094</c:v>
                </c:pt>
                <c:pt idx="52">
                  <c:v>41.772970603970094</c:v>
                </c:pt>
                <c:pt idx="53">
                  <c:v>41.772970603970094</c:v>
                </c:pt>
                <c:pt idx="54">
                  <c:v>41.772970603970094</c:v>
                </c:pt>
                <c:pt idx="55">
                  <c:v>41.772970603970094</c:v>
                </c:pt>
                <c:pt idx="56">
                  <c:v>41.772970603970094</c:v>
                </c:pt>
                <c:pt idx="57">
                  <c:v>41.772970603970094</c:v>
                </c:pt>
                <c:pt idx="58">
                  <c:v>41.772970603970094</c:v>
                </c:pt>
                <c:pt idx="59">
                  <c:v>41.772970603970094</c:v>
                </c:pt>
                <c:pt idx="60">
                  <c:v>41.772970603970094</c:v>
                </c:pt>
                <c:pt idx="61">
                  <c:v>41.772970603970094</c:v>
                </c:pt>
                <c:pt idx="62">
                  <c:v>41.772970603970094</c:v>
                </c:pt>
                <c:pt idx="63">
                  <c:v>41.772970603970094</c:v>
                </c:pt>
                <c:pt idx="64">
                  <c:v>41.772970603970094</c:v>
                </c:pt>
                <c:pt idx="65">
                  <c:v>41.772970603970094</c:v>
                </c:pt>
                <c:pt idx="66">
                  <c:v>41.772970603970094</c:v>
                </c:pt>
                <c:pt idx="67">
                  <c:v>41.772970603970094</c:v>
                </c:pt>
                <c:pt idx="68">
                  <c:v>41.772970603970094</c:v>
                </c:pt>
                <c:pt idx="69">
                  <c:v>41.772970603970094</c:v>
                </c:pt>
                <c:pt idx="70">
                  <c:v>41.772970603970094</c:v>
                </c:pt>
                <c:pt idx="71">
                  <c:v>41.772970603970094</c:v>
                </c:pt>
                <c:pt idx="72">
                  <c:v>41.772970603970094</c:v>
                </c:pt>
                <c:pt idx="73">
                  <c:v>41.772970603970094</c:v>
                </c:pt>
                <c:pt idx="74">
                  <c:v>41.772970603970094</c:v>
                </c:pt>
                <c:pt idx="75">
                  <c:v>41.772970603970094</c:v>
                </c:pt>
                <c:pt idx="76">
                  <c:v>41.772970603970094</c:v>
                </c:pt>
                <c:pt idx="77">
                  <c:v>41.772970603970094</c:v>
                </c:pt>
                <c:pt idx="78">
                  <c:v>41.772970603970094</c:v>
                </c:pt>
                <c:pt idx="79">
                  <c:v>41.772970603970094</c:v>
                </c:pt>
              </c:numCache>
            </c:numRef>
          </c:xVal>
          <c:yVal>
            <c:numRef>
              <c:f>calc!$AI$7:$AI$86</c:f>
              <c:numCache>
                <c:formatCode>General</c:formatCode>
                <c:ptCount val="80"/>
                <c:pt idx="0">
                  <c:v>87.326615364839682</c:v>
                </c:pt>
                <c:pt idx="1">
                  <c:v>87.326615364839682</c:v>
                </c:pt>
                <c:pt idx="2">
                  <c:v>87.326615364839682</c:v>
                </c:pt>
                <c:pt idx="3">
                  <c:v>87.326615364839682</c:v>
                </c:pt>
                <c:pt idx="4">
                  <c:v>87.326615364839682</c:v>
                </c:pt>
                <c:pt idx="5">
                  <c:v>87.326615364839682</c:v>
                </c:pt>
                <c:pt idx="6">
                  <c:v>87.326615364839682</c:v>
                </c:pt>
                <c:pt idx="7">
                  <c:v>87.326615364839682</c:v>
                </c:pt>
                <c:pt idx="8">
                  <c:v>87.326615364839682</c:v>
                </c:pt>
                <c:pt idx="9">
                  <c:v>87.326615364839682</c:v>
                </c:pt>
                <c:pt idx="10">
                  <c:v>87.326615364839682</c:v>
                </c:pt>
                <c:pt idx="11">
                  <c:v>87.326615364839682</c:v>
                </c:pt>
                <c:pt idx="12">
                  <c:v>87.326615364839682</c:v>
                </c:pt>
                <c:pt idx="13">
                  <c:v>87.326615364839682</c:v>
                </c:pt>
                <c:pt idx="14">
                  <c:v>87.326615364839682</c:v>
                </c:pt>
                <c:pt idx="15">
                  <c:v>87.326615364839682</c:v>
                </c:pt>
                <c:pt idx="16">
                  <c:v>87.326615364839682</c:v>
                </c:pt>
                <c:pt idx="17">
                  <c:v>87.326615364839682</c:v>
                </c:pt>
                <c:pt idx="18">
                  <c:v>87.326615364839682</c:v>
                </c:pt>
                <c:pt idx="19">
                  <c:v>87.326615364839682</c:v>
                </c:pt>
                <c:pt idx="20">
                  <c:v>87.326615364839682</c:v>
                </c:pt>
                <c:pt idx="21">
                  <c:v>87.326615364839682</c:v>
                </c:pt>
                <c:pt idx="22">
                  <c:v>87.326615364839682</c:v>
                </c:pt>
                <c:pt idx="23">
                  <c:v>87.326615364839682</c:v>
                </c:pt>
                <c:pt idx="24">
                  <c:v>87.326615364839682</c:v>
                </c:pt>
                <c:pt idx="25">
                  <c:v>87.326615364839682</c:v>
                </c:pt>
                <c:pt idx="26">
                  <c:v>87.326615364839682</c:v>
                </c:pt>
                <c:pt idx="27">
                  <c:v>87.326615364839682</c:v>
                </c:pt>
                <c:pt idx="28">
                  <c:v>87.326615364839682</c:v>
                </c:pt>
                <c:pt idx="29">
                  <c:v>87.326615364839682</c:v>
                </c:pt>
                <c:pt idx="30">
                  <c:v>87.326615364839682</c:v>
                </c:pt>
                <c:pt idx="31">
                  <c:v>87.326615364839682</c:v>
                </c:pt>
                <c:pt idx="32">
                  <c:v>87.326615364839682</c:v>
                </c:pt>
                <c:pt idx="33">
                  <c:v>87.326615364839682</c:v>
                </c:pt>
                <c:pt idx="34">
                  <c:v>87.326615364839682</c:v>
                </c:pt>
                <c:pt idx="35">
                  <c:v>87.326615364839682</c:v>
                </c:pt>
                <c:pt idx="36">
                  <c:v>87.326615364839682</c:v>
                </c:pt>
                <c:pt idx="37">
                  <c:v>87.326615364839682</c:v>
                </c:pt>
                <c:pt idx="38">
                  <c:v>87.326615364839682</c:v>
                </c:pt>
                <c:pt idx="39">
                  <c:v>87.326615364839682</c:v>
                </c:pt>
                <c:pt idx="40">
                  <c:v>87.326615364839682</c:v>
                </c:pt>
                <c:pt idx="41">
                  <c:v>87.326615364839682</c:v>
                </c:pt>
                <c:pt idx="42">
                  <c:v>87.326615364839682</c:v>
                </c:pt>
                <c:pt idx="43">
                  <c:v>87.326615364839682</c:v>
                </c:pt>
                <c:pt idx="44">
                  <c:v>87.326615364839682</c:v>
                </c:pt>
                <c:pt idx="45">
                  <c:v>87.326615364839682</c:v>
                </c:pt>
                <c:pt idx="46">
                  <c:v>87.326615364839682</c:v>
                </c:pt>
                <c:pt idx="47">
                  <c:v>87.326615364839682</c:v>
                </c:pt>
                <c:pt idx="48">
                  <c:v>87.326615364839682</c:v>
                </c:pt>
                <c:pt idx="49">
                  <c:v>87.326615364839682</c:v>
                </c:pt>
                <c:pt idx="50">
                  <c:v>87.326615364839682</c:v>
                </c:pt>
                <c:pt idx="51">
                  <c:v>87.326615364839682</c:v>
                </c:pt>
                <c:pt idx="52">
                  <c:v>87.326615364839682</c:v>
                </c:pt>
                <c:pt idx="53">
                  <c:v>87.326615364839682</c:v>
                </c:pt>
                <c:pt idx="54">
                  <c:v>87.326615364839682</c:v>
                </c:pt>
                <c:pt idx="55">
                  <c:v>87.326615364839682</c:v>
                </c:pt>
                <c:pt idx="56">
                  <c:v>87.326615364839682</c:v>
                </c:pt>
                <c:pt idx="57">
                  <c:v>87.326615364839682</c:v>
                </c:pt>
                <c:pt idx="58">
                  <c:v>87.326615364839682</c:v>
                </c:pt>
                <c:pt idx="59">
                  <c:v>87.326615364839682</c:v>
                </c:pt>
                <c:pt idx="60">
                  <c:v>87.326615364839682</c:v>
                </c:pt>
                <c:pt idx="61">
                  <c:v>87.326615364839682</c:v>
                </c:pt>
                <c:pt idx="62">
                  <c:v>87.326615364839682</c:v>
                </c:pt>
                <c:pt idx="63">
                  <c:v>87.326615364839682</c:v>
                </c:pt>
                <c:pt idx="64">
                  <c:v>87.326615364839682</c:v>
                </c:pt>
                <c:pt idx="65">
                  <c:v>87.326615364839682</c:v>
                </c:pt>
                <c:pt idx="66">
                  <c:v>87.326615364839682</c:v>
                </c:pt>
                <c:pt idx="67">
                  <c:v>87.326615364839682</c:v>
                </c:pt>
                <c:pt idx="68">
                  <c:v>87.326615364839682</c:v>
                </c:pt>
                <c:pt idx="69">
                  <c:v>87.326615364839682</c:v>
                </c:pt>
                <c:pt idx="70">
                  <c:v>87.326615364839682</c:v>
                </c:pt>
                <c:pt idx="71">
                  <c:v>87.326615364839682</c:v>
                </c:pt>
                <c:pt idx="72">
                  <c:v>87.326615364839682</c:v>
                </c:pt>
                <c:pt idx="73">
                  <c:v>87.326615364839682</c:v>
                </c:pt>
                <c:pt idx="74">
                  <c:v>87.326615364839682</c:v>
                </c:pt>
                <c:pt idx="75">
                  <c:v>87.326615364839682</c:v>
                </c:pt>
                <c:pt idx="76">
                  <c:v>87.326615364839682</c:v>
                </c:pt>
                <c:pt idx="77">
                  <c:v>87.326615364839682</c:v>
                </c:pt>
                <c:pt idx="78">
                  <c:v>87.326615364839682</c:v>
                </c:pt>
                <c:pt idx="79">
                  <c:v>87.326615364839682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calc!$R$8</c:f>
              <c:strCache>
                <c:ptCount val="1"/>
                <c:pt idx="0">
                  <c:v>C2</c:v>
                </c:pt>
              </c:strCache>
            </c:strRef>
          </c:tx>
          <c:spPr>
            <a:ln w="3175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(calc!$S$8,calc!$AA$8)</c:f>
              <c:numCache>
                <c:formatCode>0.0</c:formatCode>
                <c:ptCount val="2"/>
                <c:pt idx="0" formatCode="General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(calc!$T$8,calc!$AB$8)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calc!$AJ$1</c:f>
              <c:strCache>
                <c:ptCount val="1"/>
                <c:pt idx="0">
                  <c:v>C2 flower</c:v>
                </c:pt>
              </c:strCache>
            </c:strRef>
          </c:tx>
          <c:spPr>
            <a:ln w="9525" cap="rnd">
              <a:solidFill>
                <a:schemeClr val="accent6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38100" sx="105000" sy="105000" algn="ctr" rotWithShape="0">
                <a:srgbClr val="FFC000">
                  <a:alpha val="40000"/>
                </a:srgbClr>
              </a:outerShdw>
            </a:effectLst>
          </c:spPr>
          <c:marker>
            <c:symbol val="none"/>
          </c:marker>
          <c:xVal>
            <c:numRef>
              <c:f>calc!$AJ$7:$AJ$86</c:f>
              <c:numCache>
                <c:formatCode>General</c:formatCode>
                <c:ptCount val="80"/>
                <c:pt idx="0">
                  <c:v>108.86615192319476</c:v>
                </c:pt>
                <c:pt idx="1">
                  <c:v>108.86615192319476</c:v>
                </c:pt>
                <c:pt idx="2">
                  <c:v>108.86615192319476</c:v>
                </c:pt>
                <c:pt idx="3">
                  <c:v>108.86615192319476</c:v>
                </c:pt>
                <c:pt idx="4">
                  <c:v>108.86615192319476</c:v>
                </c:pt>
                <c:pt idx="5">
                  <c:v>108.86615192319476</c:v>
                </c:pt>
                <c:pt idx="6">
                  <c:v>108.86615192319476</c:v>
                </c:pt>
                <c:pt idx="7">
                  <c:v>108.86615192319476</c:v>
                </c:pt>
                <c:pt idx="8">
                  <c:v>108.86615192319476</c:v>
                </c:pt>
                <c:pt idx="9">
                  <c:v>108.86615192319476</c:v>
                </c:pt>
                <c:pt idx="10">
                  <c:v>108.86615192319476</c:v>
                </c:pt>
                <c:pt idx="11">
                  <c:v>108.86615192319476</c:v>
                </c:pt>
                <c:pt idx="12">
                  <c:v>108.86615192319476</c:v>
                </c:pt>
                <c:pt idx="13">
                  <c:v>108.86615192319476</c:v>
                </c:pt>
                <c:pt idx="14">
                  <c:v>108.86615192319476</c:v>
                </c:pt>
                <c:pt idx="15">
                  <c:v>108.86615192319476</c:v>
                </c:pt>
                <c:pt idx="16">
                  <c:v>108.86615192319476</c:v>
                </c:pt>
                <c:pt idx="17">
                  <c:v>108.86615192319476</c:v>
                </c:pt>
                <c:pt idx="18">
                  <c:v>108.86615192319476</c:v>
                </c:pt>
                <c:pt idx="19">
                  <c:v>108.86615192319476</c:v>
                </c:pt>
                <c:pt idx="20">
                  <c:v>108.86615192319476</c:v>
                </c:pt>
                <c:pt idx="21">
                  <c:v>108.86615192319476</c:v>
                </c:pt>
                <c:pt idx="22">
                  <c:v>108.86615192319476</c:v>
                </c:pt>
                <c:pt idx="23">
                  <c:v>108.86615192319476</c:v>
                </c:pt>
                <c:pt idx="24">
                  <c:v>108.86615192319476</c:v>
                </c:pt>
                <c:pt idx="25">
                  <c:v>108.86615192319476</c:v>
                </c:pt>
                <c:pt idx="26">
                  <c:v>108.86615192319476</c:v>
                </c:pt>
                <c:pt idx="27">
                  <c:v>108.86615192319476</c:v>
                </c:pt>
                <c:pt idx="28">
                  <c:v>108.86615192319476</c:v>
                </c:pt>
                <c:pt idx="29">
                  <c:v>108.86615192319476</c:v>
                </c:pt>
                <c:pt idx="30">
                  <c:v>108.86615192319476</c:v>
                </c:pt>
                <c:pt idx="31">
                  <c:v>108.86615192319476</c:v>
                </c:pt>
                <c:pt idx="32">
                  <c:v>108.86615192319476</c:v>
                </c:pt>
                <c:pt idx="33">
                  <c:v>108.86615192319476</c:v>
                </c:pt>
                <c:pt idx="34">
                  <c:v>108.86615192319476</c:v>
                </c:pt>
                <c:pt idx="35">
                  <c:v>108.86615192319476</c:v>
                </c:pt>
                <c:pt idx="36">
                  <c:v>108.86615192319476</c:v>
                </c:pt>
                <c:pt idx="37">
                  <c:v>108.86615192319476</c:v>
                </c:pt>
                <c:pt idx="38">
                  <c:v>108.86615192319476</c:v>
                </c:pt>
                <c:pt idx="39">
                  <c:v>108.86615192319476</c:v>
                </c:pt>
                <c:pt idx="40">
                  <c:v>108.86615192319476</c:v>
                </c:pt>
                <c:pt idx="41">
                  <c:v>108.86615192319476</c:v>
                </c:pt>
                <c:pt idx="42">
                  <c:v>108.86615192319476</c:v>
                </c:pt>
                <c:pt idx="43">
                  <c:v>108.86615192319476</c:v>
                </c:pt>
                <c:pt idx="44">
                  <c:v>108.86615192319476</c:v>
                </c:pt>
                <c:pt idx="45">
                  <c:v>108.86615192319476</c:v>
                </c:pt>
                <c:pt idx="46">
                  <c:v>108.86615192319476</c:v>
                </c:pt>
                <c:pt idx="47">
                  <c:v>108.86615192319476</c:v>
                </c:pt>
                <c:pt idx="48">
                  <c:v>108.86615192319476</c:v>
                </c:pt>
                <c:pt idx="49">
                  <c:v>108.86615192319476</c:v>
                </c:pt>
                <c:pt idx="50">
                  <c:v>108.86615192319476</c:v>
                </c:pt>
                <c:pt idx="51">
                  <c:v>108.86615192319476</c:v>
                </c:pt>
                <c:pt idx="52">
                  <c:v>108.86615192319476</c:v>
                </c:pt>
                <c:pt idx="53">
                  <c:v>108.86615192319476</c:v>
                </c:pt>
                <c:pt idx="54">
                  <c:v>108.86615192319476</c:v>
                </c:pt>
                <c:pt idx="55">
                  <c:v>108.86615192319476</c:v>
                </c:pt>
                <c:pt idx="56">
                  <c:v>108.86615192319476</c:v>
                </c:pt>
                <c:pt idx="57">
                  <c:v>108.86615192319476</c:v>
                </c:pt>
                <c:pt idx="58">
                  <c:v>108.86615192319476</c:v>
                </c:pt>
                <c:pt idx="59">
                  <c:v>108.86615192319476</c:v>
                </c:pt>
                <c:pt idx="60">
                  <c:v>108.86615192319476</c:v>
                </c:pt>
                <c:pt idx="61">
                  <c:v>108.86615192319476</c:v>
                </c:pt>
                <c:pt idx="62">
                  <c:v>108.86615192319476</c:v>
                </c:pt>
                <c:pt idx="63">
                  <c:v>108.86615192319476</c:v>
                </c:pt>
                <c:pt idx="64">
                  <c:v>108.86615192319476</c:v>
                </c:pt>
                <c:pt idx="65">
                  <c:v>108.86615192319476</c:v>
                </c:pt>
                <c:pt idx="66">
                  <c:v>108.86615192319476</c:v>
                </c:pt>
                <c:pt idx="67">
                  <c:v>108.86615192319476</c:v>
                </c:pt>
                <c:pt idx="68">
                  <c:v>108.86615192319476</c:v>
                </c:pt>
                <c:pt idx="69">
                  <c:v>108.86615192319476</c:v>
                </c:pt>
                <c:pt idx="70">
                  <c:v>108.86615192319476</c:v>
                </c:pt>
                <c:pt idx="71">
                  <c:v>108.86615192319476</c:v>
                </c:pt>
                <c:pt idx="72">
                  <c:v>108.86615192319476</c:v>
                </c:pt>
                <c:pt idx="73">
                  <c:v>108.86615192319476</c:v>
                </c:pt>
                <c:pt idx="74">
                  <c:v>108.86615192319476</c:v>
                </c:pt>
                <c:pt idx="75">
                  <c:v>108.86615192319476</c:v>
                </c:pt>
                <c:pt idx="76">
                  <c:v>108.86615192319476</c:v>
                </c:pt>
                <c:pt idx="77">
                  <c:v>108.86615192319476</c:v>
                </c:pt>
                <c:pt idx="78">
                  <c:v>108.86615192319476</c:v>
                </c:pt>
                <c:pt idx="79">
                  <c:v>108.86615192319476</c:v>
                </c:pt>
              </c:numCache>
            </c:numRef>
          </c:xVal>
          <c:yVal>
            <c:numRef>
              <c:f>calc!$AK$7:$AK$86</c:f>
              <c:numCache>
                <c:formatCode>General</c:formatCode>
                <c:ptCount val="80"/>
                <c:pt idx="0">
                  <c:v>79.221445499325625</c:v>
                </c:pt>
                <c:pt idx="1">
                  <c:v>79.221445499325625</c:v>
                </c:pt>
                <c:pt idx="2">
                  <c:v>79.221445499325625</c:v>
                </c:pt>
                <c:pt idx="3">
                  <c:v>79.221445499325625</c:v>
                </c:pt>
                <c:pt idx="4">
                  <c:v>79.221445499325625</c:v>
                </c:pt>
                <c:pt idx="5">
                  <c:v>79.221445499325625</c:v>
                </c:pt>
                <c:pt idx="6">
                  <c:v>79.221445499325625</c:v>
                </c:pt>
                <c:pt idx="7">
                  <c:v>79.221445499325625</c:v>
                </c:pt>
                <c:pt idx="8">
                  <c:v>79.221445499325625</c:v>
                </c:pt>
                <c:pt idx="9">
                  <c:v>79.221445499325625</c:v>
                </c:pt>
                <c:pt idx="10">
                  <c:v>79.221445499325625</c:v>
                </c:pt>
                <c:pt idx="11">
                  <c:v>79.221445499325625</c:v>
                </c:pt>
                <c:pt idx="12">
                  <c:v>79.221445499325625</c:v>
                </c:pt>
                <c:pt idx="13">
                  <c:v>79.221445499325625</c:v>
                </c:pt>
                <c:pt idx="14">
                  <c:v>79.221445499325625</c:v>
                </c:pt>
                <c:pt idx="15">
                  <c:v>79.221445499325625</c:v>
                </c:pt>
                <c:pt idx="16">
                  <c:v>79.221445499325625</c:v>
                </c:pt>
                <c:pt idx="17">
                  <c:v>79.221445499325625</c:v>
                </c:pt>
                <c:pt idx="18">
                  <c:v>79.221445499325625</c:v>
                </c:pt>
                <c:pt idx="19">
                  <c:v>79.221445499325625</c:v>
                </c:pt>
                <c:pt idx="20">
                  <c:v>79.221445499325625</c:v>
                </c:pt>
                <c:pt idx="21">
                  <c:v>79.221445499325625</c:v>
                </c:pt>
                <c:pt idx="22">
                  <c:v>79.221445499325625</c:v>
                </c:pt>
                <c:pt idx="23">
                  <c:v>79.221445499325625</c:v>
                </c:pt>
                <c:pt idx="24">
                  <c:v>79.221445499325625</c:v>
                </c:pt>
                <c:pt idx="25">
                  <c:v>79.221445499325625</c:v>
                </c:pt>
                <c:pt idx="26">
                  <c:v>79.221445499325625</c:v>
                </c:pt>
                <c:pt idx="27">
                  <c:v>79.221445499325625</c:v>
                </c:pt>
                <c:pt idx="28">
                  <c:v>79.221445499325625</c:v>
                </c:pt>
                <c:pt idx="29">
                  <c:v>79.221445499325625</c:v>
                </c:pt>
                <c:pt idx="30">
                  <c:v>79.221445499325625</c:v>
                </c:pt>
                <c:pt idx="31">
                  <c:v>79.221445499325625</c:v>
                </c:pt>
                <c:pt idx="32">
                  <c:v>79.221445499325625</c:v>
                </c:pt>
                <c:pt idx="33">
                  <c:v>79.221445499325625</c:v>
                </c:pt>
                <c:pt idx="34">
                  <c:v>79.221445499325625</c:v>
                </c:pt>
                <c:pt idx="35">
                  <c:v>79.221445499325625</c:v>
                </c:pt>
                <c:pt idx="36">
                  <c:v>79.221445499325625</c:v>
                </c:pt>
                <c:pt idx="37">
                  <c:v>79.221445499325625</c:v>
                </c:pt>
                <c:pt idx="38">
                  <c:v>79.221445499325625</c:v>
                </c:pt>
                <c:pt idx="39">
                  <c:v>79.221445499325625</c:v>
                </c:pt>
                <c:pt idx="40">
                  <c:v>79.221445499325625</c:v>
                </c:pt>
                <c:pt idx="41">
                  <c:v>79.221445499325625</c:v>
                </c:pt>
                <c:pt idx="42">
                  <c:v>79.221445499325625</c:v>
                </c:pt>
                <c:pt idx="43">
                  <c:v>79.221445499325625</c:v>
                </c:pt>
                <c:pt idx="44">
                  <c:v>79.221445499325625</c:v>
                </c:pt>
                <c:pt idx="45">
                  <c:v>79.221445499325625</c:v>
                </c:pt>
                <c:pt idx="46">
                  <c:v>79.221445499325625</c:v>
                </c:pt>
                <c:pt idx="47">
                  <c:v>79.221445499325625</c:v>
                </c:pt>
                <c:pt idx="48">
                  <c:v>79.221445499325625</c:v>
                </c:pt>
                <c:pt idx="49">
                  <c:v>79.221445499325625</c:v>
                </c:pt>
                <c:pt idx="50">
                  <c:v>79.221445499325625</c:v>
                </c:pt>
                <c:pt idx="51">
                  <c:v>79.221445499325625</c:v>
                </c:pt>
                <c:pt idx="52">
                  <c:v>79.221445499325625</c:v>
                </c:pt>
                <c:pt idx="53">
                  <c:v>79.221445499325625</c:v>
                </c:pt>
                <c:pt idx="54">
                  <c:v>79.221445499325625</c:v>
                </c:pt>
                <c:pt idx="55">
                  <c:v>79.221445499325625</c:v>
                </c:pt>
                <c:pt idx="56">
                  <c:v>79.221445499325625</c:v>
                </c:pt>
                <c:pt idx="57">
                  <c:v>79.221445499325625</c:v>
                </c:pt>
                <c:pt idx="58">
                  <c:v>79.221445499325625</c:v>
                </c:pt>
                <c:pt idx="59">
                  <c:v>79.221445499325625</c:v>
                </c:pt>
                <c:pt idx="60">
                  <c:v>79.221445499325625</c:v>
                </c:pt>
                <c:pt idx="61">
                  <c:v>79.221445499325625</c:v>
                </c:pt>
                <c:pt idx="62">
                  <c:v>79.221445499325625</c:v>
                </c:pt>
                <c:pt idx="63">
                  <c:v>79.221445499325625</c:v>
                </c:pt>
                <c:pt idx="64">
                  <c:v>79.221445499325625</c:v>
                </c:pt>
                <c:pt idx="65">
                  <c:v>79.221445499325625</c:v>
                </c:pt>
                <c:pt idx="66">
                  <c:v>79.221445499325625</c:v>
                </c:pt>
                <c:pt idx="67">
                  <c:v>79.221445499325625</c:v>
                </c:pt>
                <c:pt idx="68">
                  <c:v>79.221445499325625</c:v>
                </c:pt>
                <c:pt idx="69">
                  <c:v>79.221445499325625</c:v>
                </c:pt>
                <c:pt idx="70">
                  <c:v>79.221445499325625</c:v>
                </c:pt>
                <c:pt idx="71">
                  <c:v>79.221445499325625</c:v>
                </c:pt>
                <c:pt idx="72">
                  <c:v>79.221445499325625</c:v>
                </c:pt>
                <c:pt idx="73">
                  <c:v>79.221445499325625</c:v>
                </c:pt>
                <c:pt idx="74">
                  <c:v>79.221445499325625</c:v>
                </c:pt>
                <c:pt idx="75">
                  <c:v>79.221445499325625</c:v>
                </c:pt>
                <c:pt idx="76">
                  <c:v>79.221445499325625</c:v>
                </c:pt>
                <c:pt idx="77">
                  <c:v>79.221445499325625</c:v>
                </c:pt>
                <c:pt idx="78">
                  <c:v>79.221445499325625</c:v>
                </c:pt>
                <c:pt idx="79">
                  <c:v>79.221445499325625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calc!$R$9</c:f>
              <c:strCache>
                <c:ptCount val="1"/>
                <c:pt idx="0">
                  <c:v>C3</c:v>
                </c:pt>
              </c:strCache>
            </c:strRef>
          </c:tx>
          <c:spPr>
            <a:ln w="31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(calc!$S$9,calc!$AA$9)</c:f>
              <c:numCache>
                <c:formatCode>0.0</c:formatCode>
                <c:ptCount val="2"/>
                <c:pt idx="0" formatCode="General">
                  <c:v>30</c:v>
                </c:pt>
                <c:pt idx="1">
                  <c:v>30</c:v>
                </c:pt>
              </c:numCache>
            </c:numRef>
          </c:xVal>
          <c:yVal>
            <c:numRef>
              <c:f>(calc!$T$9,calc!$AB$9)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calc!$R$10</c:f>
              <c:strCache>
                <c:ptCount val="1"/>
                <c:pt idx="0">
                  <c:v>C4</c:v>
                </c:pt>
              </c:strCache>
            </c:strRef>
          </c:tx>
          <c:spPr>
            <a:ln w="31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(calc!$S$10,calc!$AA$10)</c:f>
              <c:numCache>
                <c:formatCode>0.0</c:formatCode>
                <c:ptCount val="2"/>
                <c:pt idx="0" formatCode="General">
                  <c:v>10</c:v>
                </c:pt>
                <c:pt idx="1">
                  <c:v>10</c:v>
                </c:pt>
              </c:numCache>
            </c:numRef>
          </c:xVal>
          <c:yVal>
            <c:numRef>
              <c:f>(calc!$T$10,calc!$AB$10)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calc!$R$11</c:f>
              <c:strCache>
                <c:ptCount val="1"/>
                <c:pt idx="0">
                  <c:v>C5</c:v>
                </c:pt>
              </c:strCache>
            </c:strRef>
          </c:tx>
          <c:spPr>
            <a:ln w="31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(calc!$S$11,calc!$AA$11)</c:f>
              <c:numCache>
                <c:formatCode>0.0</c:formatCode>
                <c:ptCount val="2"/>
                <c:pt idx="0" formatCode="General">
                  <c:v>70</c:v>
                </c:pt>
                <c:pt idx="1">
                  <c:v>70</c:v>
                </c:pt>
              </c:numCache>
            </c:numRef>
          </c:xVal>
          <c:yVal>
            <c:numRef>
              <c:f>(calc!$T$11,calc!$AB$11)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calc!$R$12</c:f>
              <c:strCache>
                <c:ptCount val="1"/>
                <c:pt idx="0">
                  <c:v>C6</c:v>
                </c:pt>
              </c:strCache>
            </c:strRef>
          </c:tx>
          <c:spPr>
            <a:ln w="31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(calc!$S$12,calc!$AA$12)</c:f>
              <c:numCache>
                <c:formatCode>0.0</c:formatCode>
                <c:ptCount val="2"/>
                <c:pt idx="0" formatCode="General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(calc!$T$12,calc!$AB$12)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calc!$R$13</c:f>
              <c:strCache>
                <c:ptCount val="1"/>
                <c:pt idx="0">
                  <c:v>C7</c:v>
                </c:pt>
              </c:strCache>
            </c:strRef>
          </c:tx>
          <c:spPr>
            <a:ln w="31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(calc!$S$13,calc!$AA$13)</c:f>
              <c:numCache>
                <c:formatCode>0.0</c:formatCode>
                <c:ptCount val="2"/>
                <c:pt idx="0" formatCode="General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(calc!$T$13,calc!$AB$13)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calc!$R$14</c:f>
              <c:strCache>
                <c:ptCount val="1"/>
                <c:pt idx="0">
                  <c:v>C8</c:v>
                </c:pt>
              </c:strCache>
            </c:strRef>
          </c:tx>
          <c:spPr>
            <a:ln w="31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(calc!$S$14,calc!$AA$14)</c:f>
              <c:numCache>
                <c:formatCode>0.0</c:formatCode>
                <c:ptCount val="2"/>
                <c:pt idx="0" formatCode="General">
                  <c:v>40</c:v>
                </c:pt>
                <c:pt idx="1">
                  <c:v>40</c:v>
                </c:pt>
              </c:numCache>
            </c:numRef>
          </c:xVal>
          <c:yVal>
            <c:numRef>
              <c:f>(calc!$T$14,calc!$AB$14)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calc!$R$15</c:f>
              <c:strCache>
                <c:ptCount val="1"/>
                <c:pt idx="0">
                  <c:v>C9</c:v>
                </c:pt>
              </c:strCache>
            </c:strRef>
          </c:tx>
          <c:spPr>
            <a:ln w="31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(calc!$S$15,calc!$AA$15)</c:f>
              <c:numCache>
                <c:formatCode>0.0</c:formatCode>
                <c:ptCount val="2"/>
                <c:pt idx="0" formatCode="General">
                  <c:v>50</c:v>
                </c:pt>
                <c:pt idx="1">
                  <c:v>50</c:v>
                </c:pt>
              </c:numCache>
            </c:numRef>
          </c:xVal>
          <c:yVal>
            <c:numRef>
              <c:f>(calc!$T$15,calc!$AB$15)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calc!$R$16</c:f>
              <c:strCache>
                <c:ptCount val="1"/>
                <c:pt idx="0">
                  <c:v>C10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(calc!$S$16,calc!$AA$16)</c:f>
              <c:numCache>
                <c:formatCode>0.0</c:formatCode>
                <c:ptCount val="2"/>
                <c:pt idx="0" formatCode="General">
                  <c:v>60</c:v>
                </c:pt>
                <c:pt idx="1">
                  <c:v>60</c:v>
                </c:pt>
              </c:numCache>
            </c:numRef>
          </c:xVal>
          <c:yVal>
            <c:numRef>
              <c:f>(calc!$T$16,calc!$AB$16)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calc!$AL$1</c:f>
              <c:strCache>
                <c:ptCount val="1"/>
                <c:pt idx="0">
                  <c:v>C3 flower</c:v>
                </c:pt>
              </c:strCache>
            </c:strRef>
          </c:tx>
          <c:spPr>
            <a:ln w="31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calc!$AL$7:$AL$86</c:f>
              <c:numCache>
                <c:formatCode>General</c:formatCode>
                <c:ptCount val="80"/>
                <c:pt idx="0">
                  <c:v>17.798196015327857</c:v>
                </c:pt>
                <c:pt idx="1">
                  <c:v>17.798196015327857</c:v>
                </c:pt>
                <c:pt idx="2">
                  <c:v>17.798196015327857</c:v>
                </c:pt>
                <c:pt idx="3">
                  <c:v>17.798196015327857</c:v>
                </c:pt>
                <c:pt idx="4">
                  <c:v>17.798196015327857</c:v>
                </c:pt>
                <c:pt idx="5">
                  <c:v>17.798196015327857</c:v>
                </c:pt>
                <c:pt idx="6">
                  <c:v>17.798196015327857</c:v>
                </c:pt>
                <c:pt idx="7">
                  <c:v>17.798196015327857</c:v>
                </c:pt>
                <c:pt idx="8">
                  <c:v>17.798196015327857</c:v>
                </c:pt>
                <c:pt idx="9">
                  <c:v>17.798196015327857</c:v>
                </c:pt>
                <c:pt idx="10">
                  <c:v>17.798196015327857</c:v>
                </c:pt>
                <c:pt idx="11">
                  <c:v>17.798196015327857</c:v>
                </c:pt>
                <c:pt idx="12">
                  <c:v>17.798196015327857</c:v>
                </c:pt>
                <c:pt idx="13">
                  <c:v>17.798196015327857</c:v>
                </c:pt>
                <c:pt idx="14">
                  <c:v>17.798196015327857</c:v>
                </c:pt>
                <c:pt idx="15">
                  <c:v>17.798196015327857</c:v>
                </c:pt>
                <c:pt idx="16">
                  <c:v>17.798196015327857</c:v>
                </c:pt>
                <c:pt idx="17">
                  <c:v>17.798196015327857</c:v>
                </c:pt>
                <c:pt idx="18">
                  <c:v>17.798196015327857</c:v>
                </c:pt>
                <c:pt idx="19">
                  <c:v>17.798196015327857</c:v>
                </c:pt>
                <c:pt idx="20">
                  <c:v>17.798196015327857</c:v>
                </c:pt>
                <c:pt idx="21">
                  <c:v>17.798196015327857</c:v>
                </c:pt>
                <c:pt idx="22">
                  <c:v>17.798196015327857</c:v>
                </c:pt>
                <c:pt idx="23">
                  <c:v>17.798196015327857</c:v>
                </c:pt>
                <c:pt idx="24">
                  <c:v>17.798196015327857</c:v>
                </c:pt>
                <c:pt idx="25">
                  <c:v>17.798196015327857</c:v>
                </c:pt>
                <c:pt idx="26">
                  <c:v>17.798196015327857</c:v>
                </c:pt>
                <c:pt idx="27">
                  <c:v>17.798196015327857</c:v>
                </c:pt>
                <c:pt idx="28">
                  <c:v>17.798196015327857</c:v>
                </c:pt>
                <c:pt idx="29">
                  <c:v>17.798196015327857</c:v>
                </c:pt>
                <c:pt idx="30">
                  <c:v>17.798196015327857</c:v>
                </c:pt>
                <c:pt idx="31">
                  <c:v>17.798196015327857</c:v>
                </c:pt>
                <c:pt idx="32">
                  <c:v>17.798196015327857</c:v>
                </c:pt>
                <c:pt idx="33">
                  <c:v>17.798196015327857</c:v>
                </c:pt>
                <c:pt idx="34">
                  <c:v>17.798196015327857</c:v>
                </c:pt>
                <c:pt idx="35">
                  <c:v>17.798196015327857</c:v>
                </c:pt>
                <c:pt idx="36">
                  <c:v>17.798196015327857</c:v>
                </c:pt>
                <c:pt idx="37">
                  <c:v>17.798196015327857</c:v>
                </c:pt>
                <c:pt idx="38">
                  <c:v>17.798196015327857</c:v>
                </c:pt>
                <c:pt idx="39">
                  <c:v>17.798196015327857</c:v>
                </c:pt>
                <c:pt idx="40">
                  <c:v>17.798196015327857</c:v>
                </c:pt>
                <c:pt idx="41">
                  <c:v>17.798196015327857</c:v>
                </c:pt>
                <c:pt idx="42">
                  <c:v>17.798196015327857</c:v>
                </c:pt>
                <c:pt idx="43">
                  <c:v>17.798196015327857</c:v>
                </c:pt>
                <c:pt idx="44">
                  <c:v>17.798196015327857</c:v>
                </c:pt>
                <c:pt idx="45">
                  <c:v>17.798196015327857</c:v>
                </c:pt>
                <c:pt idx="46">
                  <c:v>17.798196015327857</c:v>
                </c:pt>
                <c:pt idx="47">
                  <c:v>17.798196015327857</c:v>
                </c:pt>
                <c:pt idx="48">
                  <c:v>17.798196015327857</c:v>
                </c:pt>
                <c:pt idx="49">
                  <c:v>17.798196015327857</c:v>
                </c:pt>
                <c:pt idx="50">
                  <c:v>17.798196015327857</c:v>
                </c:pt>
                <c:pt idx="51">
                  <c:v>17.798196015327857</c:v>
                </c:pt>
                <c:pt idx="52">
                  <c:v>17.798196015327857</c:v>
                </c:pt>
                <c:pt idx="53">
                  <c:v>17.798196015327857</c:v>
                </c:pt>
                <c:pt idx="54">
                  <c:v>17.798196015327857</c:v>
                </c:pt>
                <c:pt idx="55">
                  <c:v>17.798196015327857</c:v>
                </c:pt>
                <c:pt idx="56">
                  <c:v>17.798196015327857</c:v>
                </c:pt>
                <c:pt idx="57">
                  <c:v>17.798196015327857</c:v>
                </c:pt>
                <c:pt idx="58">
                  <c:v>17.798196015327857</c:v>
                </c:pt>
                <c:pt idx="59">
                  <c:v>17.798196015327857</c:v>
                </c:pt>
                <c:pt idx="60">
                  <c:v>17.798196015327857</c:v>
                </c:pt>
                <c:pt idx="61">
                  <c:v>17.798196015327857</c:v>
                </c:pt>
                <c:pt idx="62">
                  <c:v>17.798196015327857</c:v>
                </c:pt>
                <c:pt idx="63">
                  <c:v>17.798196015327857</c:v>
                </c:pt>
                <c:pt idx="64">
                  <c:v>17.798196015327857</c:v>
                </c:pt>
                <c:pt idx="65">
                  <c:v>17.798196015327857</c:v>
                </c:pt>
                <c:pt idx="66">
                  <c:v>17.798196015327857</c:v>
                </c:pt>
                <c:pt idx="67">
                  <c:v>17.798196015327857</c:v>
                </c:pt>
                <c:pt idx="68">
                  <c:v>17.798196015327857</c:v>
                </c:pt>
                <c:pt idx="69">
                  <c:v>17.798196015327857</c:v>
                </c:pt>
                <c:pt idx="70">
                  <c:v>17.798196015327857</c:v>
                </c:pt>
                <c:pt idx="71">
                  <c:v>17.798196015327857</c:v>
                </c:pt>
                <c:pt idx="72">
                  <c:v>17.798196015327857</c:v>
                </c:pt>
                <c:pt idx="73">
                  <c:v>17.798196015327857</c:v>
                </c:pt>
                <c:pt idx="74">
                  <c:v>17.798196015327857</c:v>
                </c:pt>
                <c:pt idx="75">
                  <c:v>17.798196015327857</c:v>
                </c:pt>
                <c:pt idx="76">
                  <c:v>17.798196015327857</c:v>
                </c:pt>
                <c:pt idx="77">
                  <c:v>17.798196015327857</c:v>
                </c:pt>
                <c:pt idx="78">
                  <c:v>17.798196015327857</c:v>
                </c:pt>
                <c:pt idx="79">
                  <c:v>17.798196015327857</c:v>
                </c:pt>
              </c:numCache>
            </c:numRef>
          </c:xVal>
          <c:yVal>
            <c:numRef>
              <c:f>calc!$AM$7:$AM$86</c:f>
              <c:numCache>
                <c:formatCode>General</c:formatCode>
                <c:ptCount val="80"/>
                <c:pt idx="0">
                  <c:v>139.46725773284439</c:v>
                </c:pt>
                <c:pt idx="1">
                  <c:v>139.46725773284439</c:v>
                </c:pt>
                <c:pt idx="2">
                  <c:v>139.46725773284439</c:v>
                </c:pt>
                <c:pt idx="3">
                  <c:v>139.46725773284439</c:v>
                </c:pt>
                <c:pt idx="4">
                  <c:v>139.46725773284439</c:v>
                </c:pt>
                <c:pt idx="5">
                  <c:v>139.46725773284439</c:v>
                </c:pt>
                <c:pt idx="6">
                  <c:v>139.46725773284439</c:v>
                </c:pt>
                <c:pt idx="7">
                  <c:v>139.46725773284439</c:v>
                </c:pt>
                <c:pt idx="8">
                  <c:v>139.46725773284439</c:v>
                </c:pt>
                <c:pt idx="9">
                  <c:v>139.46725773284439</c:v>
                </c:pt>
                <c:pt idx="10">
                  <c:v>139.46725773284439</c:v>
                </c:pt>
                <c:pt idx="11">
                  <c:v>139.46725773284439</c:v>
                </c:pt>
                <c:pt idx="12">
                  <c:v>139.46725773284439</c:v>
                </c:pt>
                <c:pt idx="13">
                  <c:v>139.46725773284439</c:v>
                </c:pt>
                <c:pt idx="14">
                  <c:v>139.46725773284439</c:v>
                </c:pt>
                <c:pt idx="15">
                  <c:v>139.46725773284439</c:v>
                </c:pt>
                <c:pt idx="16">
                  <c:v>139.46725773284439</c:v>
                </c:pt>
                <c:pt idx="17">
                  <c:v>139.46725773284439</c:v>
                </c:pt>
                <c:pt idx="18">
                  <c:v>139.46725773284439</c:v>
                </c:pt>
                <c:pt idx="19">
                  <c:v>139.46725773284439</c:v>
                </c:pt>
                <c:pt idx="20">
                  <c:v>139.46725773284439</c:v>
                </c:pt>
                <c:pt idx="21">
                  <c:v>139.46725773284439</c:v>
                </c:pt>
                <c:pt idx="22">
                  <c:v>139.46725773284439</c:v>
                </c:pt>
                <c:pt idx="23">
                  <c:v>139.46725773284439</c:v>
                </c:pt>
                <c:pt idx="24">
                  <c:v>139.46725773284439</c:v>
                </c:pt>
                <c:pt idx="25">
                  <c:v>139.46725773284439</c:v>
                </c:pt>
                <c:pt idx="26">
                  <c:v>139.46725773284439</c:v>
                </c:pt>
                <c:pt idx="27">
                  <c:v>139.46725773284439</c:v>
                </c:pt>
                <c:pt idx="28">
                  <c:v>139.46725773284439</c:v>
                </c:pt>
                <c:pt idx="29">
                  <c:v>139.46725773284439</c:v>
                </c:pt>
                <c:pt idx="30">
                  <c:v>139.46725773284439</c:v>
                </c:pt>
                <c:pt idx="31">
                  <c:v>139.46725773284439</c:v>
                </c:pt>
                <c:pt idx="32">
                  <c:v>139.46725773284439</c:v>
                </c:pt>
                <c:pt idx="33">
                  <c:v>139.46725773284439</c:v>
                </c:pt>
                <c:pt idx="34">
                  <c:v>139.46725773284439</c:v>
                </c:pt>
                <c:pt idx="35">
                  <c:v>139.46725773284439</c:v>
                </c:pt>
                <c:pt idx="36">
                  <c:v>139.46725773284439</c:v>
                </c:pt>
                <c:pt idx="37">
                  <c:v>139.46725773284439</c:v>
                </c:pt>
                <c:pt idx="38">
                  <c:v>139.46725773284439</c:v>
                </c:pt>
                <c:pt idx="39">
                  <c:v>139.46725773284439</c:v>
                </c:pt>
                <c:pt idx="40">
                  <c:v>139.46725773284439</c:v>
                </c:pt>
                <c:pt idx="41">
                  <c:v>139.46725773284439</c:v>
                </c:pt>
                <c:pt idx="42">
                  <c:v>139.46725773284439</c:v>
                </c:pt>
                <c:pt idx="43">
                  <c:v>139.46725773284439</c:v>
                </c:pt>
                <c:pt idx="44">
                  <c:v>139.46725773284439</c:v>
                </c:pt>
                <c:pt idx="45">
                  <c:v>139.46725773284439</c:v>
                </c:pt>
                <c:pt idx="46">
                  <c:v>139.46725773284439</c:v>
                </c:pt>
                <c:pt idx="47">
                  <c:v>139.46725773284439</c:v>
                </c:pt>
                <c:pt idx="48">
                  <c:v>139.46725773284439</c:v>
                </c:pt>
                <c:pt idx="49">
                  <c:v>139.46725773284439</c:v>
                </c:pt>
                <c:pt idx="50">
                  <c:v>139.46725773284439</c:v>
                </c:pt>
                <c:pt idx="51">
                  <c:v>139.46725773284439</c:v>
                </c:pt>
                <c:pt idx="52">
                  <c:v>139.46725773284439</c:v>
                </c:pt>
                <c:pt idx="53">
                  <c:v>139.46725773284439</c:v>
                </c:pt>
                <c:pt idx="54">
                  <c:v>139.46725773284439</c:v>
                </c:pt>
                <c:pt idx="55">
                  <c:v>139.46725773284439</c:v>
                </c:pt>
                <c:pt idx="56">
                  <c:v>139.46725773284439</c:v>
                </c:pt>
                <c:pt idx="57">
                  <c:v>139.46725773284439</c:v>
                </c:pt>
                <c:pt idx="58">
                  <c:v>139.46725773284439</c:v>
                </c:pt>
                <c:pt idx="59">
                  <c:v>139.46725773284439</c:v>
                </c:pt>
                <c:pt idx="60">
                  <c:v>139.46725773284439</c:v>
                </c:pt>
                <c:pt idx="61">
                  <c:v>139.46725773284439</c:v>
                </c:pt>
                <c:pt idx="62">
                  <c:v>139.46725773284439</c:v>
                </c:pt>
                <c:pt idx="63">
                  <c:v>139.46725773284439</c:v>
                </c:pt>
                <c:pt idx="64">
                  <c:v>139.46725773284439</c:v>
                </c:pt>
                <c:pt idx="65">
                  <c:v>139.46725773284439</c:v>
                </c:pt>
                <c:pt idx="66">
                  <c:v>139.46725773284439</c:v>
                </c:pt>
                <c:pt idx="67">
                  <c:v>139.46725773284439</c:v>
                </c:pt>
                <c:pt idx="68">
                  <c:v>139.46725773284439</c:v>
                </c:pt>
                <c:pt idx="69">
                  <c:v>139.46725773284439</c:v>
                </c:pt>
                <c:pt idx="70">
                  <c:v>139.46725773284439</c:v>
                </c:pt>
                <c:pt idx="71">
                  <c:v>139.46725773284439</c:v>
                </c:pt>
                <c:pt idx="72">
                  <c:v>139.46725773284439</c:v>
                </c:pt>
                <c:pt idx="73">
                  <c:v>139.46725773284439</c:v>
                </c:pt>
                <c:pt idx="74">
                  <c:v>139.46725773284439</c:v>
                </c:pt>
                <c:pt idx="75">
                  <c:v>139.46725773284439</c:v>
                </c:pt>
                <c:pt idx="76">
                  <c:v>139.46725773284439</c:v>
                </c:pt>
                <c:pt idx="77">
                  <c:v>139.46725773284439</c:v>
                </c:pt>
                <c:pt idx="78">
                  <c:v>139.46725773284439</c:v>
                </c:pt>
                <c:pt idx="79">
                  <c:v>139.46725773284439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calc!$AN$1</c:f>
              <c:strCache>
                <c:ptCount val="1"/>
                <c:pt idx="0">
                  <c:v>C4 flower</c:v>
                </c:pt>
              </c:strCache>
            </c:strRef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calc!$AN$7:$AN$86</c:f>
              <c:numCache>
                <c:formatCode>General</c:formatCode>
                <c:ptCount val="80"/>
                <c:pt idx="0">
                  <c:v>0.59243830591118751</c:v>
                </c:pt>
                <c:pt idx="1">
                  <c:v>0.59243830591118751</c:v>
                </c:pt>
                <c:pt idx="2">
                  <c:v>0.59243830591118751</c:v>
                </c:pt>
                <c:pt idx="3">
                  <c:v>0.59243830591118751</c:v>
                </c:pt>
                <c:pt idx="4">
                  <c:v>0.59243830591118751</c:v>
                </c:pt>
                <c:pt idx="5">
                  <c:v>0.59243830591118751</c:v>
                </c:pt>
                <c:pt idx="6">
                  <c:v>0.59243830591118751</c:v>
                </c:pt>
                <c:pt idx="7">
                  <c:v>0.59243830591118751</c:v>
                </c:pt>
                <c:pt idx="8">
                  <c:v>0.59243830591118751</c:v>
                </c:pt>
                <c:pt idx="9">
                  <c:v>0.59243830591118751</c:v>
                </c:pt>
                <c:pt idx="10">
                  <c:v>0.59243830591118751</c:v>
                </c:pt>
                <c:pt idx="11">
                  <c:v>0.59243830591118751</c:v>
                </c:pt>
                <c:pt idx="12">
                  <c:v>0.59243830591118751</c:v>
                </c:pt>
                <c:pt idx="13">
                  <c:v>0.59243830591118751</c:v>
                </c:pt>
                <c:pt idx="14">
                  <c:v>0.59243830591118751</c:v>
                </c:pt>
                <c:pt idx="15">
                  <c:v>0.59243830591118751</c:v>
                </c:pt>
                <c:pt idx="16">
                  <c:v>0.59243830591118751</c:v>
                </c:pt>
                <c:pt idx="17">
                  <c:v>0.59243830591118751</c:v>
                </c:pt>
                <c:pt idx="18">
                  <c:v>0.59243830591118751</c:v>
                </c:pt>
                <c:pt idx="19">
                  <c:v>0.59243830591118751</c:v>
                </c:pt>
                <c:pt idx="20">
                  <c:v>0.59243830591118751</c:v>
                </c:pt>
                <c:pt idx="21">
                  <c:v>0.59243830591118751</c:v>
                </c:pt>
                <c:pt idx="22">
                  <c:v>0.59243830591118751</c:v>
                </c:pt>
                <c:pt idx="23">
                  <c:v>0.59243830591118751</c:v>
                </c:pt>
                <c:pt idx="24">
                  <c:v>0.59243830591118751</c:v>
                </c:pt>
                <c:pt idx="25">
                  <c:v>0.59243830591118751</c:v>
                </c:pt>
                <c:pt idx="26">
                  <c:v>0.59243830591118751</c:v>
                </c:pt>
                <c:pt idx="27">
                  <c:v>0.59243830591118751</c:v>
                </c:pt>
                <c:pt idx="28">
                  <c:v>0.59243830591118751</c:v>
                </c:pt>
                <c:pt idx="29">
                  <c:v>0.59243830591118751</c:v>
                </c:pt>
                <c:pt idx="30">
                  <c:v>0.59243830591118751</c:v>
                </c:pt>
                <c:pt idx="31">
                  <c:v>0.59243830591118751</c:v>
                </c:pt>
                <c:pt idx="32">
                  <c:v>0.59243830591118751</c:v>
                </c:pt>
                <c:pt idx="33">
                  <c:v>0.59243830591118751</c:v>
                </c:pt>
                <c:pt idx="34">
                  <c:v>0.59243830591118751</c:v>
                </c:pt>
                <c:pt idx="35">
                  <c:v>0.59243830591118751</c:v>
                </c:pt>
                <c:pt idx="36">
                  <c:v>0.59243830591118751</c:v>
                </c:pt>
                <c:pt idx="37">
                  <c:v>0.59243830591118751</c:v>
                </c:pt>
                <c:pt idx="38">
                  <c:v>0.59243830591118751</c:v>
                </c:pt>
                <c:pt idx="39">
                  <c:v>0.59243830591118751</c:v>
                </c:pt>
                <c:pt idx="40">
                  <c:v>0.59243830591118751</c:v>
                </c:pt>
                <c:pt idx="41">
                  <c:v>0.59243830591118751</c:v>
                </c:pt>
                <c:pt idx="42">
                  <c:v>0.59243830591118751</c:v>
                </c:pt>
                <c:pt idx="43">
                  <c:v>0.59243830591118751</c:v>
                </c:pt>
                <c:pt idx="44">
                  <c:v>0.59243830591118751</c:v>
                </c:pt>
                <c:pt idx="45">
                  <c:v>0.59243830591118751</c:v>
                </c:pt>
                <c:pt idx="46">
                  <c:v>0.59243830591118751</c:v>
                </c:pt>
                <c:pt idx="47">
                  <c:v>0.59243830591118751</c:v>
                </c:pt>
                <c:pt idx="48">
                  <c:v>0.59243830591118751</c:v>
                </c:pt>
                <c:pt idx="49">
                  <c:v>0.59243830591118751</c:v>
                </c:pt>
                <c:pt idx="50">
                  <c:v>0.59243830591118751</c:v>
                </c:pt>
                <c:pt idx="51">
                  <c:v>0.59243830591118751</c:v>
                </c:pt>
                <c:pt idx="52">
                  <c:v>0.59243830591118751</c:v>
                </c:pt>
                <c:pt idx="53">
                  <c:v>0.59243830591118751</c:v>
                </c:pt>
                <c:pt idx="54">
                  <c:v>0.59243830591118751</c:v>
                </c:pt>
                <c:pt idx="55">
                  <c:v>0.59243830591118751</c:v>
                </c:pt>
                <c:pt idx="56">
                  <c:v>0.59243830591118751</c:v>
                </c:pt>
                <c:pt idx="57">
                  <c:v>0.59243830591118751</c:v>
                </c:pt>
                <c:pt idx="58">
                  <c:v>0.59243830591118751</c:v>
                </c:pt>
                <c:pt idx="59">
                  <c:v>0.59243830591118751</c:v>
                </c:pt>
                <c:pt idx="60">
                  <c:v>0.59243830591118751</c:v>
                </c:pt>
                <c:pt idx="61">
                  <c:v>0.59243830591118751</c:v>
                </c:pt>
                <c:pt idx="62">
                  <c:v>0.59243830591118751</c:v>
                </c:pt>
                <c:pt idx="63">
                  <c:v>0.59243830591118751</c:v>
                </c:pt>
                <c:pt idx="64">
                  <c:v>0.59243830591118751</c:v>
                </c:pt>
                <c:pt idx="65">
                  <c:v>0.59243830591118751</c:v>
                </c:pt>
                <c:pt idx="66">
                  <c:v>0.59243830591118751</c:v>
                </c:pt>
                <c:pt idx="67">
                  <c:v>0.59243830591118751</c:v>
                </c:pt>
                <c:pt idx="68">
                  <c:v>0.59243830591118751</c:v>
                </c:pt>
                <c:pt idx="69">
                  <c:v>0.59243830591118751</c:v>
                </c:pt>
                <c:pt idx="70">
                  <c:v>0.59243830591118751</c:v>
                </c:pt>
                <c:pt idx="71">
                  <c:v>0.59243830591118751</c:v>
                </c:pt>
                <c:pt idx="72">
                  <c:v>0.59243830591118751</c:v>
                </c:pt>
                <c:pt idx="73">
                  <c:v>0.59243830591118751</c:v>
                </c:pt>
                <c:pt idx="74">
                  <c:v>0.59243830591118751</c:v>
                </c:pt>
                <c:pt idx="75">
                  <c:v>0.59243830591118751</c:v>
                </c:pt>
                <c:pt idx="76">
                  <c:v>0.59243830591118751</c:v>
                </c:pt>
                <c:pt idx="77">
                  <c:v>0.59243830591118751</c:v>
                </c:pt>
                <c:pt idx="78">
                  <c:v>0.59243830591118751</c:v>
                </c:pt>
                <c:pt idx="79">
                  <c:v>0.59243830591118751</c:v>
                </c:pt>
              </c:numCache>
            </c:numRef>
          </c:xVal>
          <c:yVal>
            <c:numRef>
              <c:f>calc!$AO$7:$AO$86</c:f>
              <c:numCache>
                <c:formatCode>General</c:formatCode>
                <c:ptCount val="80"/>
                <c:pt idx="0">
                  <c:v>89.506970583144593</c:v>
                </c:pt>
                <c:pt idx="1">
                  <c:v>89.506970583144593</c:v>
                </c:pt>
                <c:pt idx="2">
                  <c:v>89.506970583144593</c:v>
                </c:pt>
                <c:pt idx="3">
                  <c:v>89.506970583144593</c:v>
                </c:pt>
                <c:pt idx="4">
                  <c:v>89.506970583144593</c:v>
                </c:pt>
                <c:pt idx="5">
                  <c:v>89.506970583144593</c:v>
                </c:pt>
                <c:pt idx="6">
                  <c:v>89.506970583144593</c:v>
                </c:pt>
                <c:pt idx="7">
                  <c:v>89.506970583144593</c:v>
                </c:pt>
                <c:pt idx="8">
                  <c:v>89.506970583144593</c:v>
                </c:pt>
                <c:pt idx="9">
                  <c:v>89.506970583144593</c:v>
                </c:pt>
                <c:pt idx="10">
                  <c:v>89.506970583144593</c:v>
                </c:pt>
                <c:pt idx="11">
                  <c:v>89.506970583144593</c:v>
                </c:pt>
                <c:pt idx="12">
                  <c:v>89.506970583144593</c:v>
                </c:pt>
                <c:pt idx="13">
                  <c:v>89.506970583144593</c:v>
                </c:pt>
                <c:pt idx="14">
                  <c:v>89.506970583144593</c:v>
                </c:pt>
                <c:pt idx="15">
                  <c:v>89.506970583144593</c:v>
                </c:pt>
                <c:pt idx="16">
                  <c:v>89.506970583144593</c:v>
                </c:pt>
                <c:pt idx="17">
                  <c:v>89.506970583144593</c:v>
                </c:pt>
                <c:pt idx="18">
                  <c:v>89.506970583144593</c:v>
                </c:pt>
                <c:pt idx="19">
                  <c:v>89.506970583144593</c:v>
                </c:pt>
                <c:pt idx="20">
                  <c:v>89.506970583144593</c:v>
                </c:pt>
                <c:pt idx="21">
                  <c:v>89.506970583144593</c:v>
                </c:pt>
                <c:pt idx="22">
                  <c:v>89.506970583144593</c:v>
                </c:pt>
                <c:pt idx="23">
                  <c:v>89.506970583144593</c:v>
                </c:pt>
                <c:pt idx="24">
                  <c:v>89.506970583144593</c:v>
                </c:pt>
                <c:pt idx="25">
                  <c:v>89.506970583144593</c:v>
                </c:pt>
                <c:pt idx="26">
                  <c:v>89.506970583144593</c:v>
                </c:pt>
                <c:pt idx="27">
                  <c:v>89.506970583144593</c:v>
                </c:pt>
                <c:pt idx="28">
                  <c:v>89.506970583144593</c:v>
                </c:pt>
                <c:pt idx="29">
                  <c:v>89.506970583144593</c:v>
                </c:pt>
                <c:pt idx="30">
                  <c:v>89.506970583144593</c:v>
                </c:pt>
                <c:pt idx="31">
                  <c:v>89.506970583144593</c:v>
                </c:pt>
                <c:pt idx="32">
                  <c:v>89.506970583144593</c:v>
                </c:pt>
                <c:pt idx="33">
                  <c:v>89.506970583144593</c:v>
                </c:pt>
                <c:pt idx="34">
                  <c:v>89.506970583144593</c:v>
                </c:pt>
                <c:pt idx="35">
                  <c:v>89.506970583144593</c:v>
                </c:pt>
                <c:pt idx="36">
                  <c:v>89.506970583144593</c:v>
                </c:pt>
                <c:pt idx="37">
                  <c:v>89.506970583144593</c:v>
                </c:pt>
                <c:pt idx="38">
                  <c:v>89.506970583144593</c:v>
                </c:pt>
                <c:pt idx="39">
                  <c:v>89.506970583144593</c:v>
                </c:pt>
                <c:pt idx="40">
                  <c:v>89.506970583144593</c:v>
                </c:pt>
                <c:pt idx="41">
                  <c:v>89.506970583144593</c:v>
                </c:pt>
                <c:pt idx="42">
                  <c:v>89.506970583144593</c:v>
                </c:pt>
                <c:pt idx="43">
                  <c:v>89.506970583144593</c:v>
                </c:pt>
                <c:pt idx="44">
                  <c:v>89.506970583144593</c:v>
                </c:pt>
                <c:pt idx="45">
                  <c:v>89.506970583144593</c:v>
                </c:pt>
                <c:pt idx="46">
                  <c:v>89.506970583144593</c:v>
                </c:pt>
                <c:pt idx="47">
                  <c:v>89.506970583144593</c:v>
                </c:pt>
                <c:pt idx="48">
                  <c:v>89.506970583144593</c:v>
                </c:pt>
                <c:pt idx="49">
                  <c:v>89.506970583144593</c:v>
                </c:pt>
                <c:pt idx="50">
                  <c:v>89.506970583144593</c:v>
                </c:pt>
                <c:pt idx="51">
                  <c:v>89.506970583144593</c:v>
                </c:pt>
                <c:pt idx="52">
                  <c:v>89.506970583144593</c:v>
                </c:pt>
                <c:pt idx="53">
                  <c:v>89.506970583144593</c:v>
                </c:pt>
                <c:pt idx="54">
                  <c:v>89.506970583144593</c:v>
                </c:pt>
                <c:pt idx="55">
                  <c:v>89.506970583144593</c:v>
                </c:pt>
                <c:pt idx="56">
                  <c:v>89.506970583144593</c:v>
                </c:pt>
                <c:pt idx="57">
                  <c:v>89.506970583144593</c:v>
                </c:pt>
                <c:pt idx="58">
                  <c:v>89.506970583144593</c:v>
                </c:pt>
                <c:pt idx="59">
                  <c:v>89.506970583144593</c:v>
                </c:pt>
                <c:pt idx="60">
                  <c:v>89.506970583144593</c:v>
                </c:pt>
                <c:pt idx="61">
                  <c:v>89.506970583144593</c:v>
                </c:pt>
                <c:pt idx="62">
                  <c:v>89.506970583144593</c:v>
                </c:pt>
                <c:pt idx="63">
                  <c:v>89.506970583144593</c:v>
                </c:pt>
                <c:pt idx="64">
                  <c:v>89.506970583144593</c:v>
                </c:pt>
                <c:pt idx="65">
                  <c:v>89.506970583144593</c:v>
                </c:pt>
                <c:pt idx="66">
                  <c:v>89.506970583144593</c:v>
                </c:pt>
                <c:pt idx="67">
                  <c:v>89.506970583144593</c:v>
                </c:pt>
                <c:pt idx="68">
                  <c:v>89.506970583144593</c:v>
                </c:pt>
                <c:pt idx="69">
                  <c:v>89.506970583144593</c:v>
                </c:pt>
                <c:pt idx="70">
                  <c:v>89.506970583144593</c:v>
                </c:pt>
                <c:pt idx="71">
                  <c:v>89.506970583144593</c:v>
                </c:pt>
                <c:pt idx="72">
                  <c:v>89.506970583144593</c:v>
                </c:pt>
                <c:pt idx="73">
                  <c:v>89.506970583144593</c:v>
                </c:pt>
                <c:pt idx="74">
                  <c:v>89.506970583144593</c:v>
                </c:pt>
                <c:pt idx="75">
                  <c:v>89.506970583144593</c:v>
                </c:pt>
                <c:pt idx="76">
                  <c:v>89.506970583144593</c:v>
                </c:pt>
                <c:pt idx="77">
                  <c:v>89.506970583144593</c:v>
                </c:pt>
                <c:pt idx="78">
                  <c:v>89.506970583144593</c:v>
                </c:pt>
                <c:pt idx="79">
                  <c:v>89.506970583144593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calc!$AP$1</c:f>
              <c:strCache>
                <c:ptCount val="1"/>
                <c:pt idx="0">
                  <c:v>C5 flower</c:v>
                </c:pt>
              </c:strCache>
            </c:strRef>
          </c:tx>
          <c:spPr>
            <a:ln w="31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calc!$AP$7:$AP$86</c:f>
              <c:numCache>
                <c:formatCode>General</c:formatCode>
                <c:ptCount val="80"/>
                <c:pt idx="0">
                  <c:v>74.186876499435513</c:v>
                </c:pt>
                <c:pt idx="1">
                  <c:v>74.186876499435513</c:v>
                </c:pt>
                <c:pt idx="2">
                  <c:v>74.186876499435513</c:v>
                </c:pt>
                <c:pt idx="3">
                  <c:v>74.186876499435513</c:v>
                </c:pt>
                <c:pt idx="4">
                  <c:v>74.186876499435513</c:v>
                </c:pt>
                <c:pt idx="5">
                  <c:v>74.186876499435513</c:v>
                </c:pt>
                <c:pt idx="6">
                  <c:v>74.186876499435513</c:v>
                </c:pt>
                <c:pt idx="7">
                  <c:v>74.186876499435513</c:v>
                </c:pt>
                <c:pt idx="8">
                  <c:v>74.186876499435513</c:v>
                </c:pt>
                <c:pt idx="9">
                  <c:v>74.186876499435513</c:v>
                </c:pt>
                <c:pt idx="10">
                  <c:v>74.186876499435513</c:v>
                </c:pt>
                <c:pt idx="11">
                  <c:v>74.186876499435513</c:v>
                </c:pt>
                <c:pt idx="12">
                  <c:v>74.186876499435513</c:v>
                </c:pt>
                <c:pt idx="13">
                  <c:v>74.186876499435513</c:v>
                </c:pt>
                <c:pt idx="14">
                  <c:v>74.186876499435513</c:v>
                </c:pt>
                <c:pt idx="15">
                  <c:v>74.186876499435513</c:v>
                </c:pt>
                <c:pt idx="16">
                  <c:v>74.186876499435513</c:v>
                </c:pt>
                <c:pt idx="17">
                  <c:v>74.186876499435513</c:v>
                </c:pt>
                <c:pt idx="18">
                  <c:v>74.186876499435513</c:v>
                </c:pt>
                <c:pt idx="19">
                  <c:v>74.186876499435513</c:v>
                </c:pt>
                <c:pt idx="20">
                  <c:v>74.186876499435513</c:v>
                </c:pt>
                <c:pt idx="21">
                  <c:v>74.186876499435513</c:v>
                </c:pt>
                <c:pt idx="22">
                  <c:v>74.186876499435513</c:v>
                </c:pt>
                <c:pt idx="23">
                  <c:v>74.186876499435513</c:v>
                </c:pt>
                <c:pt idx="24">
                  <c:v>74.186876499435513</c:v>
                </c:pt>
                <c:pt idx="25">
                  <c:v>74.186876499435513</c:v>
                </c:pt>
                <c:pt idx="26">
                  <c:v>74.186876499435513</c:v>
                </c:pt>
                <c:pt idx="27">
                  <c:v>74.186876499435513</c:v>
                </c:pt>
                <c:pt idx="28">
                  <c:v>74.186876499435513</c:v>
                </c:pt>
                <c:pt idx="29">
                  <c:v>74.186876499435513</c:v>
                </c:pt>
                <c:pt idx="30">
                  <c:v>74.186876499435513</c:v>
                </c:pt>
                <c:pt idx="31">
                  <c:v>74.186876499435513</c:v>
                </c:pt>
                <c:pt idx="32">
                  <c:v>74.186876499435513</c:v>
                </c:pt>
                <c:pt idx="33">
                  <c:v>74.186876499435513</c:v>
                </c:pt>
                <c:pt idx="34">
                  <c:v>74.186876499435513</c:v>
                </c:pt>
                <c:pt idx="35">
                  <c:v>74.186876499435513</c:v>
                </c:pt>
                <c:pt idx="36">
                  <c:v>74.186876499435513</c:v>
                </c:pt>
                <c:pt idx="37">
                  <c:v>74.186876499435513</c:v>
                </c:pt>
                <c:pt idx="38">
                  <c:v>74.186876499435513</c:v>
                </c:pt>
                <c:pt idx="39">
                  <c:v>74.186876499435513</c:v>
                </c:pt>
                <c:pt idx="40">
                  <c:v>74.186876499435513</c:v>
                </c:pt>
                <c:pt idx="41">
                  <c:v>74.186876499435513</c:v>
                </c:pt>
                <c:pt idx="42">
                  <c:v>74.186876499435513</c:v>
                </c:pt>
                <c:pt idx="43">
                  <c:v>74.186876499435513</c:v>
                </c:pt>
                <c:pt idx="44">
                  <c:v>74.186876499435513</c:v>
                </c:pt>
                <c:pt idx="45">
                  <c:v>74.186876499435513</c:v>
                </c:pt>
                <c:pt idx="46">
                  <c:v>74.186876499435513</c:v>
                </c:pt>
                <c:pt idx="47">
                  <c:v>74.186876499435513</c:v>
                </c:pt>
                <c:pt idx="48">
                  <c:v>74.186876499435513</c:v>
                </c:pt>
                <c:pt idx="49">
                  <c:v>74.186876499435513</c:v>
                </c:pt>
                <c:pt idx="50">
                  <c:v>74.186876499435513</c:v>
                </c:pt>
                <c:pt idx="51">
                  <c:v>74.186876499435513</c:v>
                </c:pt>
                <c:pt idx="52">
                  <c:v>74.186876499435513</c:v>
                </c:pt>
                <c:pt idx="53">
                  <c:v>74.186876499435513</c:v>
                </c:pt>
                <c:pt idx="54">
                  <c:v>74.186876499435513</c:v>
                </c:pt>
                <c:pt idx="55">
                  <c:v>74.186876499435513</c:v>
                </c:pt>
                <c:pt idx="56">
                  <c:v>74.186876499435513</c:v>
                </c:pt>
                <c:pt idx="57">
                  <c:v>74.186876499435513</c:v>
                </c:pt>
                <c:pt idx="58">
                  <c:v>74.186876499435513</c:v>
                </c:pt>
                <c:pt idx="59">
                  <c:v>74.186876499435513</c:v>
                </c:pt>
                <c:pt idx="60">
                  <c:v>74.186876499435513</c:v>
                </c:pt>
                <c:pt idx="61">
                  <c:v>74.186876499435513</c:v>
                </c:pt>
                <c:pt idx="62">
                  <c:v>74.186876499435513</c:v>
                </c:pt>
                <c:pt idx="63">
                  <c:v>74.186876499435513</c:v>
                </c:pt>
                <c:pt idx="64">
                  <c:v>74.186876499435513</c:v>
                </c:pt>
                <c:pt idx="65">
                  <c:v>74.186876499435513</c:v>
                </c:pt>
                <c:pt idx="66">
                  <c:v>74.186876499435513</c:v>
                </c:pt>
                <c:pt idx="67">
                  <c:v>74.186876499435513</c:v>
                </c:pt>
                <c:pt idx="68">
                  <c:v>74.186876499435513</c:v>
                </c:pt>
                <c:pt idx="69">
                  <c:v>74.186876499435513</c:v>
                </c:pt>
                <c:pt idx="70">
                  <c:v>74.186876499435513</c:v>
                </c:pt>
                <c:pt idx="71">
                  <c:v>74.186876499435513</c:v>
                </c:pt>
                <c:pt idx="72">
                  <c:v>74.186876499435513</c:v>
                </c:pt>
                <c:pt idx="73">
                  <c:v>74.186876499435513</c:v>
                </c:pt>
                <c:pt idx="74">
                  <c:v>74.186876499435513</c:v>
                </c:pt>
                <c:pt idx="75">
                  <c:v>74.186876499435513</c:v>
                </c:pt>
                <c:pt idx="76">
                  <c:v>74.186876499435513</c:v>
                </c:pt>
                <c:pt idx="77">
                  <c:v>74.186876499435513</c:v>
                </c:pt>
                <c:pt idx="78">
                  <c:v>74.186876499435513</c:v>
                </c:pt>
                <c:pt idx="79">
                  <c:v>74.186876499435513</c:v>
                </c:pt>
              </c:numCache>
            </c:numRef>
          </c:xVal>
          <c:yVal>
            <c:numRef>
              <c:f>calc!$AQ$7:$AQ$86</c:f>
              <c:numCache>
                <c:formatCode>General</c:formatCode>
                <c:ptCount val="80"/>
                <c:pt idx="0">
                  <c:v>79.890362780365905</c:v>
                </c:pt>
                <c:pt idx="1">
                  <c:v>79.890362780365905</c:v>
                </c:pt>
                <c:pt idx="2">
                  <c:v>79.890362780365905</c:v>
                </c:pt>
                <c:pt idx="3">
                  <c:v>79.890362780365905</c:v>
                </c:pt>
                <c:pt idx="4">
                  <c:v>79.890362780365905</c:v>
                </c:pt>
                <c:pt idx="5">
                  <c:v>79.890362780365905</c:v>
                </c:pt>
                <c:pt idx="6">
                  <c:v>79.890362780365905</c:v>
                </c:pt>
                <c:pt idx="7">
                  <c:v>79.890362780365905</c:v>
                </c:pt>
                <c:pt idx="8">
                  <c:v>79.890362780365905</c:v>
                </c:pt>
                <c:pt idx="9">
                  <c:v>79.890362780365905</c:v>
                </c:pt>
                <c:pt idx="10">
                  <c:v>79.890362780365905</c:v>
                </c:pt>
                <c:pt idx="11">
                  <c:v>79.890362780365905</c:v>
                </c:pt>
                <c:pt idx="12">
                  <c:v>79.890362780365905</c:v>
                </c:pt>
                <c:pt idx="13">
                  <c:v>79.890362780365905</c:v>
                </c:pt>
                <c:pt idx="14">
                  <c:v>79.890362780365905</c:v>
                </c:pt>
                <c:pt idx="15">
                  <c:v>79.890362780365905</c:v>
                </c:pt>
                <c:pt idx="16">
                  <c:v>79.890362780365905</c:v>
                </c:pt>
                <c:pt idx="17">
                  <c:v>79.890362780365905</c:v>
                </c:pt>
                <c:pt idx="18">
                  <c:v>79.890362780365905</c:v>
                </c:pt>
                <c:pt idx="19">
                  <c:v>79.890362780365905</c:v>
                </c:pt>
                <c:pt idx="20">
                  <c:v>79.890362780365905</c:v>
                </c:pt>
                <c:pt idx="21">
                  <c:v>79.890362780365905</c:v>
                </c:pt>
                <c:pt idx="22">
                  <c:v>79.890362780365905</c:v>
                </c:pt>
                <c:pt idx="23">
                  <c:v>79.890362780365905</c:v>
                </c:pt>
                <c:pt idx="24">
                  <c:v>79.890362780365905</c:v>
                </c:pt>
                <c:pt idx="25">
                  <c:v>79.890362780365905</c:v>
                </c:pt>
                <c:pt idx="26">
                  <c:v>79.890362780365905</c:v>
                </c:pt>
                <c:pt idx="27">
                  <c:v>79.890362780365905</c:v>
                </c:pt>
                <c:pt idx="28">
                  <c:v>79.890362780365905</c:v>
                </c:pt>
                <c:pt idx="29">
                  <c:v>79.890362780365905</c:v>
                </c:pt>
                <c:pt idx="30">
                  <c:v>79.890362780365905</c:v>
                </c:pt>
                <c:pt idx="31">
                  <c:v>79.890362780365905</c:v>
                </c:pt>
                <c:pt idx="32">
                  <c:v>79.890362780365905</c:v>
                </c:pt>
                <c:pt idx="33">
                  <c:v>79.890362780365905</c:v>
                </c:pt>
                <c:pt idx="34">
                  <c:v>79.890362780365905</c:v>
                </c:pt>
                <c:pt idx="35">
                  <c:v>79.890362780365905</c:v>
                </c:pt>
                <c:pt idx="36">
                  <c:v>79.890362780365905</c:v>
                </c:pt>
                <c:pt idx="37">
                  <c:v>79.890362780365905</c:v>
                </c:pt>
                <c:pt idx="38">
                  <c:v>79.890362780365905</c:v>
                </c:pt>
                <c:pt idx="39">
                  <c:v>79.890362780365905</c:v>
                </c:pt>
                <c:pt idx="40">
                  <c:v>79.890362780365905</c:v>
                </c:pt>
                <c:pt idx="41">
                  <c:v>79.890362780365905</c:v>
                </c:pt>
                <c:pt idx="42">
                  <c:v>79.890362780365905</c:v>
                </c:pt>
                <c:pt idx="43">
                  <c:v>79.890362780365905</c:v>
                </c:pt>
                <c:pt idx="44">
                  <c:v>79.890362780365905</c:v>
                </c:pt>
                <c:pt idx="45">
                  <c:v>79.890362780365905</c:v>
                </c:pt>
                <c:pt idx="46">
                  <c:v>79.890362780365905</c:v>
                </c:pt>
                <c:pt idx="47">
                  <c:v>79.890362780365905</c:v>
                </c:pt>
                <c:pt idx="48">
                  <c:v>79.890362780365905</c:v>
                </c:pt>
                <c:pt idx="49">
                  <c:v>79.890362780365905</c:v>
                </c:pt>
                <c:pt idx="50">
                  <c:v>79.890362780365905</c:v>
                </c:pt>
                <c:pt idx="51">
                  <c:v>79.890362780365905</c:v>
                </c:pt>
                <c:pt idx="52">
                  <c:v>79.890362780365905</c:v>
                </c:pt>
                <c:pt idx="53">
                  <c:v>79.890362780365905</c:v>
                </c:pt>
                <c:pt idx="54">
                  <c:v>79.890362780365905</c:v>
                </c:pt>
                <c:pt idx="55">
                  <c:v>79.890362780365905</c:v>
                </c:pt>
                <c:pt idx="56">
                  <c:v>79.890362780365905</c:v>
                </c:pt>
                <c:pt idx="57">
                  <c:v>79.890362780365905</c:v>
                </c:pt>
                <c:pt idx="58">
                  <c:v>79.890362780365905</c:v>
                </c:pt>
                <c:pt idx="59">
                  <c:v>79.890362780365905</c:v>
                </c:pt>
                <c:pt idx="60">
                  <c:v>79.890362780365905</c:v>
                </c:pt>
                <c:pt idx="61">
                  <c:v>79.890362780365905</c:v>
                </c:pt>
                <c:pt idx="62">
                  <c:v>79.890362780365905</c:v>
                </c:pt>
                <c:pt idx="63">
                  <c:v>79.890362780365905</c:v>
                </c:pt>
                <c:pt idx="64">
                  <c:v>79.890362780365905</c:v>
                </c:pt>
                <c:pt idx="65">
                  <c:v>79.890362780365905</c:v>
                </c:pt>
                <c:pt idx="66">
                  <c:v>79.890362780365905</c:v>
                </c:pt>
                <c:pt idx="67">
                  <c:v>79.890362780365905</c:v>
                </c:pt>
                <c:pt idx="68">
                  <c:v>79.890362780365905</c:v>
                </c:pt>
                <c:pt idx="69">
                  <c:v>79.890362780365905</c:v>
                </c:pt>
                <c:pt idx="70">
                  <c:v>79.890362780365905</c:v>
                </c:pt>
                <c:pt idx="71">
                  <c:v>79.890362780365905</c:v>
                </c:pt>
                <c:pt idx="72">
                  <c:v>79.890362780365905</c:v>
                </c:pt>
                <c:pt idx="73">
                  <c:v>79.890362780365905</c:v>
                </c:pt>
                <c:pt idx="74">
                  <c:v>79.890362780365905</c:v>
                </c:pt>
                <c:pt idx="75">
                  <c:v>79.890362780365905</c:v>
                </c:pt>
                <c:pt idx="76">
                  <c:v>79.890362780365905</c:v>
                </c:pt>
                <c:pt idx="77">
                  <c:v>79.890362780365905</c:v>
                </c:pt>
                <c:pt idx="78">
                  <c:v>79.890362780365905</c:v>
                </c:pt>
                <c:pt idx="79">
                  <c:v>79.890362780365905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calc!$AR$1</c:f>
              <c:strCache>
                <c:ptCount val="1"/>
                <c:pt idx="0">
                  <c:v>C6 flower</c:v>
                </c:pt>
              </c:strCache>
            </c:strRef>
          </c:tx>
          <c:spPr>
            <a:ln w="3175" cap="rnd">
              <a:solidFill>
                <a:schemeClr val="accent2"/>
              </a:solidFill>
              <a:round/>
            </a:ln>
            <a:effectLst>
              <a:glow rad="38100">
                <a:schemeClr val="accent4">
                  <a:satMod val="175000"/>
                  <a:alpha val="18000"/>
                </a:schemeClr>
              </a:glow>
            </a:effectLst>
          </c:spPr>
          <c:marker>
            <c:symbol val="none"/>
          </c:marker>
          <c:xVal>
            <c:numRef>
              <c:f>calc!$AR$7:$AR$86</c:f>
              <c:numCache>
                <c:formatCode>General</c:formatCode>
                <c:ptCount val="8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</c:numCache>
            </c:numRef>
          </c:xVal>
          <c:yVal>
            <c:numRef>
              <c:f>calc!$AS$7:$AS$86</c:f>
              <c:numCache>
                <c:formatCode>General</c:formatCode>
                <c:ptCount val="80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calc!$AT$1</c:f>
              <c:strCache>
                <c:ptCount val="1"/>
                <c:pt idx="0">
                  <c:v>C7 flower</c:v>
                </c:pt>
              </c:strCache>
            </c:strRef>
          </c:tx>
          <c:spPr>
            <a:ln w="31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calc!$AT$7:$AT$86</c:f>
              <c:numCache>
                <c:formatCode>General</c:formatCode>
                <c:ptCount val="80"/>
                <c:pt idx="0">
                  <c:v>112.54341559211842</c:v>
                </c:pt>
                <c:pt idx="1">
                  <c:v>112.54341559211842</c:v>
                </c:pt>
                <c:pt idx="2">
                  <c:v>112.54341559211842</c:v>
                </c:pt>
                <c:pt idx="3">
                  <c:v>112.54341559211842</c:v>
                </c:pt>
                <c:pt idx="4">
                  <c:v>112.54341559211842</c:v>
                </c:pt>
                <c:pt idx="5">
                  <c:v>112.54341559211842</c:v>
                </c:pt>
                <c:pt idx="6">
                  <c:v>112.54341559211842</c:v>
                </c:pt>
                <c:pt idx="7">
                  <c:v>112.54341559211842</c:v>
                </c:pt>
                <c:pt idx="8">
                  <c:v>112.54341559211842</c:v>
                </c:pt>
                <c:pt idx="9">
                  <c:v>112.54341559211842</c:v>
                </c:pt>
                <c:pt idx="10">
                  <c:v>112.54341559211842</c:v>
                </c:pt>
                <c:pt idx="11">
                  <c:v>112.54341559211842</c:v>
                </c:pt>
                <c:pt idx="12">
                  <c:v>112.54341559211842</c:v>
                </c:pt>
                <c:pt idx="13">
                  <c:v>112.54341559211842</c:v>
                </c:pt>
                <c:pt idx="14">
                  <c:v>112.54341559211842</c:v>
                </c:pt>
                <c:pt idx="15">
                  <c:v>112.54341559211842</c:v>
                </c:pt>
                <c:pt idx="16">
                  <c:v>112.54341559211842</c:v>
                </c:pt>
                <c:pt idx="17">
                  <c:v>112.54341559211842</c:v>
                </c:pt>
                <c:pt idx="18">
                  <c:v>112.54341559211842</c:v>
                </c:pt>
                <c:pt idx="19">
                  <c:v>112.54341559211842</c:v>
                </c:pt>
                <c:pt idx="20">
                  <c:v>112.54341559211842</c:v>
                </c:pt>
                <c:pt idx="21">
                  <c:v>112.54341559211842</c:v>
                </c:pt>
                <c:pt idx="22">
                  <c:v>112.54341559211842</c:v>
                </c:pt>
                <c:pt idx="23">
                  <c:v>112.54341559211842</c:v>
                </c:pt>
                <c:pt idx="24">
                  <c:v>112.54341559211842</c:v>
                </c:pt>
                <c:pt idx="25">
                  <c:v>112.54341559211842</c:v>
                </c:pt>
                <c:pt idx="26">
                  <c:v>112.54341559211842</c:v>
                </c:pt>
                <c:pt idx="27">
                  <c:v>112.54341559211842</c:v>
                </c:pt>
                <c:pt idx="28">
                  <c:v>112.54341559211842</c:v>
                </c:pt>
                <c:pt idx="29">
                  <c:v>112.54341559211842</c:v>
                </c:pt>
                <c:pt idx="30">
                  <c:v>112.54341559211842</c:v>
                </c:pt>
                <c:pt idx="31">
                  <c:v>112.54341559211842</c:v>
                </c:pt>
                <c:pt idx="32">
                  <c:v>112.54341559211842</c:v>
                </c:pt>
                <c:pt idx="33">
                  <c:v>112.54341559211842</c:v>
                </c:pt>
                <c:pt idx="34">
                  <c:v>112.54341559211842</c:v>
                </c:pt>
                <c:pt idx="35">
                  <c:v>112.54341559211842</c:v>
                </c:pt>
                <c:pt idx="36">
                  <c:v>112.54341559211842</c:v>
                </c:pt>
                <c:pt idx="37">
                  <c:v>112.54341559211842</c:v>
                </c:pt>
                <c:pt idx="38">
                  <c:v>112.54341559211842</c:v>
                </c:pt>
                <c:pt idx="39">
                  <c:v>112.54341559211842</c:v>
                </c:pt>
                <c:pt idx="40">
                  <c:v>112.54341559211842</c:v>
                </c:pt>
                <c:pt idx="41">
                  <c:v>112.54341559211842</c:v>
                </c:pt>
                <c:pt idx="42">
                  <c:v>112.54341559211842</c:v>
                </c:pt>
                <c:pt idx="43">
                  <c:v>112.54341559211842</c:v>
                </c:pt>
                <c:pt idx="44">
                  <c:v>112.54341559211842</c:v>
                </c:pt>
                <c:pt idx="45">
                  <c:v>112.54341559211842</c:v>
                </c:pt>
                <c:pt idx="46">
                  <c:v>112.54341559211842</c:v>
                </c:pt>
                <c:pt idx="47">
                  <c:v>112.54341559211842</c:v>
                </c:pt>
                <c:pt idx="48">
                  <c:v>112.54341559211842</c:v>
                </c:pt>
                <c:pt idx="49">
                  <c:v>112.54341559211842</c:v>
                </c:pt>
                <c:pt idx="50">
                  <c:v>112.54341559211842</c:v>
                </c:pt>
                <c:pt idx="51">
                  <c:v>112.54341559211842</c:v>
                </c:pt>
                <c:pt idx="52">
                  <c:v>112.54341559211842</c:v>
                </c:pt>
                <c:pt idx="53">
                  <c:v>112.54341559211842</c:v>
                </c:pt>
                <c:pt idx="54">
                  <c:v>112.54341559211842</c:v>
                </c:pt>
                <c:pt idx="55">
                  <c:v>112.54341559211842</c:v>
                </c:pt>
                <c:pt idx="56">
                  <c:v>112.54341559211842</c:v>
                </c:pt>
                <c:pt idx="57">
                  <c:v>112.54341559211842</c:v>
                </c:pt>
                <c:pt idx="58">
                  <c:v>112.54341559211842</c:v>
                </c:pt>
                <c:pt idx="59">
                  <c:v>112.54341559211842</c:v>
                </c:pt>
                <c:pt idx="60">
                  <c:v>112.54341559211842</c:v>
                </c:pt>
                <c:pt idx="61">
                  <c:v>112.54341559211842</c:v>
                </c:pt>
                <c:pt idx="62">
                  <c:v>112.54341559211842</c:v>
                </c:pt>
                <c:pt idx="63">
                  <c:v>112.54341559211842</c:v>
                </c:pt>
                <c:pt idx="64">
                  <c:v>112.54341559211842</c:v>
                </c:pt>
                <c:pt idx="65">
                  <c:v>112.54341559211842</c:v>
                </c:pt>
                <c:pt idx="66">
                  <c:v>112.54341559211842</c:v>
                </c:pt>
                <c:pt idx="67">
                  <c:v>112.54341559211842</c:v>
                </c:pt>
                <c:pt idx="68">
                  <c:v>112.54341559211842</c:v>
                </c:pt>
                <c:pt idx="69">
                  <c:v>112.54341559211842</c:v>
                </c:pt>
                <c:pt idx="70">
                  <c:v>112.54341559211842</c:v>
                </c:pt>
                <c:pt idx="71">
                  <c:v>112.54341559211842</c:v>
                </c:pt>
                <c:pt idx="72">
                  <c:v>112.54341559211842</c:v>
                </c:pt>
                <c:pt idx="73">
                  <c:v>112.54341559211842</c:v>
                </c:pt>
                <c:pt idx="74">
                  <c:v>112.54341559211842</c:v>
                </c:pt>
                <c:pt idx="75">
                  <c:v>112.54341559211842</c:v>
                </c:pt>
                <c:pt idx="76">
                  <c:v>112.54341559211842</c:v>
                </c:pt>
                <c:pt idx="77">
                  <c:v>112.54341559211842</c:v>
                </c:pt>
                <c:pt idx="78">
                  <c:v>112.54341559211842</c:v>
                </c:pt>
                <c:pt idx="79">
                  <c:v>112.54341559211842</c:v>
                </c:pt>
              </c:numCache>
            </c:numRef>
          </c:xVal>
          <c:yVal>
            <c:numRef>
              <c:f>calc!$AU$7:$AU$86</c:f>
              <c:numCache>
                <c:formatCode>General</c:formatCode>
                <c:ptCount val="80"/>
                <c:pt idx="0">
                  <c:v>119.3426274441928</c:v>
                </c:pt>
                <c:pt idx="1">
                  <c:v>119.3426274441928</c:v>
                </c:pt>
                <c:pt idx="2">
                  <c:v>119.3426274441928</c:v>
                </c:pt>
                <c:pt idx="3">
                  <c:v>119.3426274441928</c:v>
                </c:pt>
                <c:pt idx="4">
                  <c:v>119.3426274441928</c:v>
                </c:pt>
                <c:pt idx="5">
                  <c:v>119.3426274441928</c:v>
                </c:pt>
                <c:pt idx="6">
                  <c:v>119.3426274441928</c:v>
                </c:pt>
                <c:pt idx="7">
                  <c:v>119.3426274441928</c:v>
                </c:pt>
                <c:pt idx="8">
                  <c:v>119.3426274441928</c:v>
                </c:pt>
                <c:pt idx="9">
                  <c:v>119.3426274441928</c:v>
                </c:pt>
                <c:pt idx="10">
                  <c:v>119.3426274441928</c:v>
                </c:pt>
                <c:pt idx="11">
                  <c:v>119.3426274441928</c:v>
                </c:pt>
                <c:pt idx="12">
                  <c:v>119.3426274441928</c:v>
                </c:pt>
                <c:pt idx="13">
                  <c:v>119.3426274441928</c:v>
                </c:pt>
                <c:pt idx="14">
                  <c:v>119.3426274441928</c:v>
                </c:pt>
                <c:pt idx="15">
                  <c:v>119.3426274441928</c:v>
                </c:pt>
                <c:pt idx="16">
                  <c:v>119.3426274441928</c:v>
                </c:pt>
                <c:pt idx="17">
                  <c:v>119.3426274441928</c:v>
                </c:pt>
                <c:pt idx="18">
                  <c:v>119.3426274441928</c:v>
                </c:pt>
                <c:pt idx="19">
                  <c:v>119.3426274441928</c:v>
                </c:pt>
                <c:pt idx="20">
                  <c:v>119.3426274441928</c:v>
                </c:pt>
                <c:pt idx="21">
                  <c:v>119.3426274441928</c:v>
                </c:pt>
                <c:pt idx="22">
                  <c:v>119.3426274441928</c:v>
                </c:pt>
                <c:pt idx="23">
                  <c:v>119.3426274441928</c:v>
                </c:pt>
                <c:pt idx="24">
                  <c:v>119.3426274441928</c:v>
                </c:pt>
                <c:pt idx="25">
                  <c:v>119.3426274441928</c:v>
                </c:pt>
                <c:pt idx="26">
                  <c:v>119.3426274441928</c:v>
                </c:pt>
                <c:pt idx="27">
                  <c:v>119.3426274441928</c:v>
                </c:pt>
                <c:pt idx="28">
                  <c:v>119.3426274441928</c:v>
                </c:pt>
                <c:pt idx="29">
                  <c:v>119.3426274441928</c:v>
                </c:pt>
                <c:pt idx="30">
                  <c:v>119.3426274441928</c:v>
                </c:pt>
                <c:pt idx="31">
                  <c:v>119.3426274441928</c:v>
                </c:pt>
                <c:pt idx="32">
                  <c:v>119.3426274441928</c:v>
                </c:pt>
                <c:pt idx="33">
                  <c:v>119.3426274441928</c:v>
                </c:pt>
                <c:pt idx="34">
                  <c:v>119.3426274441928</c:v>
                </c:pt>
                <c:pt idx="35">
                  <c:v>119.3426274441928</c:v>
                </c:pt>
                <c:pt idx="36">
                  <c:v>119.3426274441928</c:v>
                </c:pt>
                <c:pt idx="37">
                  <c:v>119.3426274441928</c:v>
                </c:pt>
                <c:pt idx="38">
                  <c:v>119.3426274441928</c:v>
                </c:pt>
                <c:pt idx="39">
                  <c:v>119.3426274441928</c:v>
                </c:pt>
                <c:pt idx="40">
                  <c:v>119.3426274441928</c:v>
                </c:pt>
                <c:pt idx="41">
                  <c:v>119.3426274441928</c:v>
                </c:pt>
                <c:pt idx="42">
                  <c:v>119.3426274441928</c:v>
                </c:pt>
                <c:pt idx="43">
                  <c:v>119.3426274441928</c:v>
                </c:pt>
                <c:pt idx="44">
                  <c:v>119.3426274441928</c:v>
                </c:pt>
                <c:pt idx="45">
                  <c:v>119.3426274441928</c:v>
                </c:pt>
                <c:pt idx="46">
                  <c:v>119.3426274441928</c:v>
                </c:pt>
                <c:pt idx="47">
                  <c:v>119.3426274441928</c:v>
                </c:pt>
                <c:pt idx="48">
                  <c:v>119.3426274441928</c:v>
                </c:pt>
                <c:pt idx="49">
                  <c:v>119.3426274441928</c:v>
                </c:pt>
                <c:pt idx="50">
                  <c:v>119.3426274441928</c:v>
                </c:pt>
                <c:pt idx="51">
                  <c:v>119.3426274441928</c:v>
                </c:pt>
                <c:pt idx="52">
                  <c:v>119.3426274441928</c:v>
                </c:pt>
                <c:pt idx="53">
                  <c:v>119.3426274441928</c:v>
                </c:pt>
                <c:pt idx="54">
                  <c:v>119.3426274441928</c:v>
                </c:pt>
                <c:pt idx="55">
                  <c:v>119.3426274441928</c:v>
                </c:pt>
                <c:pt idx="56">
                  <c:v>119.3426274441928</c:v>
                </c:pt>
                <c:pt idx="57">
                  <c:v>119.3426274441928</c:v>
                </c:pt>
                <c:pt idx="58">
                  <c:v>119.3426274441928</c:v>
                </c:pt>
                <c:pt idx="59">
                  <c:v>119.3426274441928</c:v>
                </c:pt>
                <c:pt idx="60">
                  <c:v>119.3426274441928</c:v>
                </c:pt>
                <c:pt idx="61">
                  <c:v>119.3426274441928</c:v>
                </c:pt>
                <c:pt idx="62">
                  <c:v>119.3426274441928</c:v>
                </c:pt>
                <c:pt idx="63">
                  <c:v>119.3426274441928</c:v>
                </c:pt>
                <c:pt idx="64">
                  <c:v>119.3426274441928</c:v>
                </c:pt>
                <c:pt idx="65">
                  <c:v>119.3426274441928</c:v>
                </c:pt>
                <c:pt idx="66">
                  <c:v>119.3426274441928</c:v>
                </c:pt>
                <c:pt idx="67">
                  <c:v>119.3426274441928</c:v>
                </c:pt>
                <c:pt idx="68">
                  <c:v>119.3426274441928</c:v>
                </c:pt>
                <c:pt idx="69">
                  <c:v>119.3426274441928</c:v>
                </c:pt>
                <c:pt idx="70">
                  <c:v>119.3426274441928</c:v>
                </c:pt>
                <c:pt idx="71">
                  <c:v>119.3426274441928</c:v>
                </c:pt>
                <c:pt idx="72">
                  <c:v>119.3426274441928</c:v>
                </c:pt>
                <c:pt idx="73">
                  <c:v>119.3426274441928</c:v>
                </c:pt>
                <c:pt idx="74">
                  <c:v>119.3426274441928</c:v>
                </c:pt>
                <c:pt idx="75">
                  <c:v>119.3426274441928</c:v>
                </c:pt>
                <c:pt idx="76">
                  <c:v>119.3426274441928</c:v>
                </c:pt>
                <c:pt idx="77">
                  <c:v>119.3426274441928</c:v>
                </c:pt>
                <c:pt idx="78">
                  <c:v>119.3426274441928</c:v>
                </c:pt>
                <c:pt idx="79">
                  <c:v>119.3426274441928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calc!$AV$1</c:f>
              <c:strCache>
                <c:ptCount val="1"/>
                <c:pt idx="0">
                  <c:v>C8 flower</c:v>
                </c:pt>
              </c:strCache>
            </c:strRef>
          </c:tx>
          <c:spPr>
            <a:ln w="6350" cap="flat" cmpd="sng" algn="ctr">
              <a:solidFill>
                <a:schemeClr val="bg1"/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calc!$AV$7:$AV$86</c:f>
              <c:numCache>
                <c:formatCode>General</c:formatCode>
                <c:ptCount val="80"/>
                <c:pt idx="0">
                  <c:v>52.201803984672139</c:v>
                </c:pt>
                <c:pt idx="1">
                  <c:v>52.201803984672139</c:v>
                </c:pt>
                <c:pt idx="2">
                  <c:v>52.201803984672139</c:v>
                </c:pt>
                <c:pt idx="3">
                  <c:v>52.201803984672139</c:v>
                </c:pt>
                <c:pt idx="4">
                  <c:v>52.201803984672139</c:v>
                </c:pt>
                <c:pt idx="5">
                  <c:v>52.201803984672139</c:v>
                </c:pt>
                <c:pt idx="6">
                  <c:v>52.201803984672139</c:v>
                </c:pt>
                <c:pt idx="7">
                  <c:v>52.201803984672139</c:v>
                </c:pt>
                <c:pt idx="8">
                  <c:v>52.201803984672139</c:v>
                </c:pt>
                <c:pt idx="9">
                  <c:v>52.201803984672139</c:v>
                </c:pt>
                <c:pt idx="10">
                  <c:v>52.201803984672139</c:v>
                </c:pt>
                <c:pt idx="11">
                  <c:v>52.201803984672139</c:v>
                </c:pt>
                <c:pt idx="12">
                  <c:v>52.201803984672139</c:v>
                </c:pt>
                <c:pt idx="13">
                  <c:v>52.201803984672139</c:v>
                </c:pt>
                <c:pt idx="14">
                  <c:v>52.201803984672139</c:v>
                </c:pt>
                <c:pt idx="15">
                  <c:v>52.201803984672139</c:v>
                </c:pt>
                <c:pt idx="16">
                  <c:v>52.201803984672139</c:v>
                </c:pt>
                <c:pt idx="17">
                  <c:v>52.201803984672139</c:v>
                </c:pt>
                <c:pt idx="18">
                  <c:v>52.201803984672139</c:v>
                </c:pt>
                <c:pt idx="19">
                  <c:v>52.201803984672139</c:v>
                </c:pt>
                <c:pt idx="20">
                  <c:v>52.201803984672139</c:v>
                </c:pt>
                <c:pt idx="21">
                  <c:v>52.201803984672139</c:v>
                </c:pt>
                <c:pt idx="22">
                  <c:v>52.201803984672139</c:v>
                </c:pt>
                <c:pt idx="23">
                  <c:v>52.201803984672139</c:v>
                </c:pt>
                <c:pt idx="24">
                  <c:v>52.201803984672139</c:v>
                </c:pt>
                <c:pt idx="25">
                  <c:v>52.201803984672139</c:v>
                </c:pt>
                <c:pt idx="26">
                  <c:v>52.201803984672139</c:v>
                </c:pt>
                <c:pt idx="27">
                  <c:v>52.201803984672139</c:v>
                </c:pt>
                <c:pt idx="28">
                  <c:v>52.201803984672139</c:v>
                </c:pt>
                <c:pt idx="29">
                  <c:v>52.201803984672139</c:v>
                </c:pt>
                <c:pt idx="30">
                  <c:v>52.201803984672139</c:v>
                </c:pt>
                <c:pt idx="31">
                  <c:v>52.201803984672139</c:v>
                </c:pt>
                <c:pt idx="32">
                  <c:v>52.201803984672139</c:v>
                </c:pt>
                <c:pt idx="33">
                  <c:v>52.201803984672139</c:v>
                </c:pt>
                <c:pt idx="34">
                  <c:v>52.201803984672139</c:v>
                </c:pt>
                <c:pt idx="35">
                  <c:v>52.201803984672139</c:v>
                </c:pt>
                <c:pt idx="36">
                  <c:v>52.201803984672139</c:v>
                </c:pt>
                <c:pt idx="37">
                  <c:v>52.201803984672139</c:v>
                </c:pt>
                <c:pt idx="38">
                  <c:v>52.201803984672139</c:v>
                </c:pt>
                <c:pt idx="39">
                  <c:v>52.201803984672139</c:v>
                </c:pt>
                <c:pt idx="40">
                  <c:v>52.201803984672139</c:v>
                </c:pt>
                <c:pt idx="41">
                  <c:v>52.201803984672139</c:v>
                </c:pt>
                <c:pt idx="42">
                  <c:v>52.201803984672139</c:v>
                </c:pt>
                <c:pt idx="43">
                  <c:v>52.201803984672139</c:v>
                </c:pt>
                <c:pt idx="44">
                  <c:v>52.201803984672139</c:v>
                </c:pt>
                <c:pt idx="45">
                  <c:v>52.201803984672139</c:v>
                </c:pt>
                <c:pt idx="46">
                  <c:v>52.201803984672139</c:v>
                </c:pt>
                <c:pt idx="47">
                  <c:v>52.201803984672139</c:v>
                </c:pt>
                <c:pt idx="48">
                  <c:v>52.201803984672139</c:v>
                </c:pt>
                <c:pt idx="49">
                  <c:v>52.201803984672139</c:v>
                </c:pt>
                <c:pt idx="50">
                  <c:v>52.201803984672139</c:v>
                </c:pt>
                <c:pt idx="51">
                  <c:v>52.201803984672139</c:v>
                </c:pt>
                <c:pt idx="52">
                  <c:v>52.201803984672139</c:v>
                </c:pt>
                <c:pt idx="53">
                  <c:v>52.201803984672139</c:v>
                </c:pt>
                <c:pt idx="54">
                  <c:v>52.201803984672139</c:v>
                </c:pt>
                <c:pt idx="55">
                  <c:v>52.201803984672139</c:v>
                </c:pt>
                <c:pt idx="56">
                  <c:v>52.201803984672139</c:v>
                </c:pt>
                <c:pt idx="57">
                  <c:v>52.201803984672139</c:v>
                </c:pt>
                <c:pt idx="58">
                  <c:v>52.201803984672139</c:v>
                </c:pt>
                <c:pt idx="59">
                  <c:v>52.201803984672139</c:v>
                </c:pt>
                <c:pt idx="60">
                  <c:v>52.201803984672139</c:v>
                </c:pt>
                <c:pt idx="61">
                  <c:v>52.201803984672139</c:v>
                </c:pt>
                <c:pt idx="62">
                  <c:v>52.201803984672139</c:v>
                </c:pt>
                <c:pt idx="63">
                  <c:v>52.201803984672139</c:v>
                </c:pt>
                <c:pt idx="64">
                  <c:v>52.201803984672139</c:v>
                </c:pt>
                <c:pt idx="65">
                  <c:v>52.201803984672139</c:v>
                </c:pt>
                <c:pt idx="66">
                  <c:v>52.201803984672139</c:v>
                </c:pt>
                <c:pt idx="67">
                  <c:v>52.201803984672139</c:v>
                </c:pt>
                <c:pt idx="68">
                  <c:v>52.201803984672139</c:v>
                </c:pt>
                <c:pt idx="69">
                  <c:v>52.201803984672139</c:v>
                </c:pt>
                <c:pt idx="70">
                  <c:v>52.201803984672139</c:v>
                </c:pt>
                <c:pt idx="71">
                  <c:v>52.201803984672139</c:v>
                </c:pt>
                <c:pt idx="72">
                  <c:v>52.201803984672139</c:v>
                </c:pt>
                <c:pt idx="73">
                  <c:v>52.201803984672139</c:v>
                </c:pt>
                <c:pt idx="74">
                  <c:v>52.201803984672139</c:v>
                </c:pt>
                <c:pt idx="75">
                  <c:v>52.201803984672139</c:v>
                </c:pt>
                <c:pt idx="76">
                  <c:v>52.201803984672139</c:v>
                </c:pt>
                <c:pt idx="77">
                  <c:v>52.201803984672139</c:v>
                </c:pt>
                <c:pt idx="78">
                  <c:v>52.201803984672139</c:v>
                </c:pt>
                <c:pt idx="79">
                  <c:v>52.201803984672139</c:v>
                </c:pt>
              </c:numCache>
            </c:numRef>
          </c:xVal>
          <c:yVal>
            <c:numRef>
              <c:f>calc!$AW$7:$AW$86</c:f>
              <c:numCache>
                <c:formatCode>General</c:formatCode>
                <c:ptCount val="80"/>
                <c:pt idx="0">
                  <c:v>139.46725773284439</c:v>
                </c:pt>
                <c:pt idx="1">
                  <c:v>139.46725773284439</c:v>
                </c:pt>
                <c:pt idx="2">
                  <c:v>139.46725773284439</c:v>
                </c:pt>
                <c:pt idx="3">
                  <c:v>139.46725773284439</c:v>
                </c:pt>
                <c:pt idx="4">
                  <c:v>139.46725773284439</c:v>
                </c:pt>
                <c:pt idx="5">
                  <c:v>139.46725773284439</c:v>
                </c:pt>
                <c:pt idx="6">
                  <c:v>139.46725773284439</c:v>
                </c:pt>
                <c:pt idx="7">
                  <c:v>139.46725773284439</c:v>
                </c:pt>
                <c:pt idx="8">
                  <c:v>139.46725773284439</c:v>
                </c:pt>
                <c:pt idx="9">
                  <c:v>139.46725773284439</c:v>
                </c:pt>
                <c:pt idx="10">
                  <c:v>139.46725773284439</c:v>
                </c:pt>
                <c:pt idx="11">
                  <c:v>139.46725773284439</c:v>
                </c:pt>
                <c:pt idx="12">
                  <c:v>139.46725773284439</c:v>
                </c:pt>
                <c:pt idx="13">
                  <c:v>139.46725773284439</c:v>
                </c:pt>
                <c:pt idx="14">
                  <c:v>139.46725773284439</c:v>
                </c:pt>
                <c:pt idx="15">
                  <c:v>139.46725773284439</c:v>
                </c:pt>
                <c:pt idx="16">
                  <c:v>139.46725773284439</c:v>
                </c:pt>
                <c:pt idx="17">
                  <c:v>139.46725773284439</c:v>
                </c:pt>
                <c:pt idx="18">
                  <c:v>139.46725773284439</c:v>
                </c:pt>
                <c:pt idx="19">
                  <c:v>139.46725773284439</c:v>
                </c:pt>
                <c:pt idx="20">
                  <c:v>139.46725773284439</c:v>
                </c:pt>
                <c:pt idx="21">
                  <c:v>139.46725773284439</c:v>
                </c:pt>
                <c:pt idx="22">
                  <c:v>139.46725773284439</c:v>
                </c:pt>
                <c:pt idx="23">
                  <c:v>139.46725773284439</c:v>
                </c:pt>
                <c:pt idx="24">
                  <c:v>139.46725773284439</c:v>
                </c:pt>
                <c:pt idx="25">
                  <c:v>139.46725773284439</c:v>
                </c:pt>
                <c:pt idx="26">
                  <c:v>139.46725773284439</c:v>
                </c:pt>
                <c:pt idx="27">
                  <c:v>139.46725773284439</c:v>
                </c:pt>
                <c:pt idx="28">
                  <c:v>139.46725773284439</c:v>
                </c:pt>
                <c:pt idx="29">
                  <c:v>139.46725773284439</c:v>
                </c:pt>
                <c:pt idx="30">
                  <c:v>139.46725773284439</c:v>
                </c:pt>
                <c:pt idx="31">
                  <c:v>139.46725773284439</c:v>
                </c:pt>
                <c:pt idx="32">
                  <c:v>139.46725773284439</c:v>
                </c:pt>
                <c:pt idx="33">
                  <c:v>139.46725773284439</c:v>
                </c:pt>
                <c:pt idx="34">
                  <c:v>139.46725773284439</c:v>
                </c:pt>
                <c:pt idx="35">
                  <c:v>139.46725773284439</c:v>
                </c:pt>
                <c:pt idx="36">
                  <c:v>139.46725773284439</c:v>
                </c:pt>
                <c:pt idx="37">
                  <c:v>139.46725773284439</c:v>
                </c:pt>
                <c:pt idx="38">
                  <c:v>139.46725773284439</c:v>
                </c:pt>
                <c:pt idx="39">
                  <c:v>139.46725773284439</c:v>
                </c:pt>
                <c:pt idx="40">
                  <c:v>139.46725773284439</c:v>
                </c:pt>
                <c:pt idx="41">
                  <c:v>139.46725773284439</c:v>
                </c:pt>
                <c:pt idx="42">
                  <c:v>139.46725773284439</c:v>
                </c:pt>
                <c:pt idx="43">
                  <c:v>139.46725773284439</c:v>
                </c:pt>
                <c:pt idx="44">
                  <c:v>139.46725773284439</c:v>
                </c:pt>
                <c:pt idx="45">
                  <c:v>139.46725773284439</c:v>
                </c:pt>
                <c:pt idx="46">
                  <c:v>139.46725773284439</c:v>
                </c:pt>
                <c:pt idx="47">
                  <c:v>139.46725773284439</c:v>
                </c:pt>
                <c:pt idx="48">
                  <c:v>139.46725773284439</c:v>
                </c:pt>
                <c:pt idx="49">
                  <c:v>139.46725773284439</c:v>
                </c:pt>
                <c:pt idx="50">
                  <c:v>139.46725773284439</c:v>
                </c:pt>
                <c:pt idx="51">
                  <c:v>139.46725773284439</c:v>
                </c:pt>
                <c:pt idx="52">
                  <c:v>139.46725773284439</c:v>
                </c:pt>
                <c:pt idx="53">
                  <c:v>139.46725773284439</c:v>
                </c:pt>
                <c:pt idx="54">
                  <c:v>139.46725773284439</c:v>
                </c:pt>
                <c:pt idx="55">
                  <c:v>139.46725773284439</c:v>
                </c:pt>
                <c:pt idx="56">
                  <c:v>139.46725773284439</c:v>
                </c:pt>
                <c:pt idx="57">
                  <c:v>139.46725773284439</c:v>
                </c:pt>
                <c:pt idx="58">
                  <c:v>139.46725773284439</c:v>
                </c:pt>
                <c:pt idx="59">
                  <c:v>139.46725773284439</c:v>
                </c:pt>
                <c:pt idx="60">
                  <c:v>139.46725773284439</c:v>
                </c:pt>
                <c:pt idx="61">
                  <c:v>139.46725773284439</c:v>
                </c:pt>
                <c:pt idx="62">
                  <c:v>139.46725773284439</c:v>
                </c:pt>
                <c:pt idx="63">
                  <c:v>139.46725773284439</c:v>
                </c:pt>
                <c:pt idx="64">
                  <c:v>139.46725773284439</c:v>
                </c:pt>
                <c:pt idx="65">
                  <c:v>139.46725773284439</c:v>
                </c:pt>
                <c:pt idx="66">
                  <c:v>139.46725773284439</c:v>
                </c:pt>
                <c:pt idx="67">
                  <c:v>139.46725773284439</c:v>
                </c:pt>
                <c:pt idx="68">
                  <c:v>139.46725773284439</c:v>
                </c:pt>
                <c:pt idx="69">
                  <c:v>139.46725773284439</c:v>
                </c:pt>
                <c:pt idx="70">
                  <c:v>139.46725773284439</c:v>
                </c:pt>
                <c:pt idx="71">
                  <c:v>139.46725773284439</c:v>
                </c:pt>
                <c:pt idx="72">
                  <c:v>139.46725773284439</c:v>
                </c:pt>
                <c:pt idx="73">
                  <c:v>139.46725773284439</c:v>
                </c:pt>
                <c:pt idx="74">
                  <c:v>139.46725773284439</c:v>
                </c:pt>
                <c:pt idx="75">
                  <c:v>139.46725773284439</c:v>
                </c:pt>
                <c:pt idx="76">
                  <c:v>139.46725773284439</c:v>
                </c:pt>
                <c:pt idx="77">
                  <c:v>139.46725773284439</c:v>
                </c:pt>
                <c:pt idx="78">
                  <c:v>139.46725773284439</c:v>
                </c:pt>
                <c:pt idx="79">
                  <c:v>139.46725773284439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calc!$AX$1</c:f>
              <c:strCache>
                <c:ptCount val="1"/>
                <c:pt idx="0">
                  <c:v>C9 flower</c:v>
                </c:pt>
              </c:strCache>
            </c:strRef>
          </c:tx>
          <c:spPr>
            <a:ln w="317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38100" dist="12700" sx="108000" sy="108000" algn="ctr" rotWithShape="0">
                <a:schemeClr val="accent4">
                  <a:alpha val="87000"/>
                </a:schemeClr>
              </a:outerShdw>
            </a:effectLst>
          </c:spPr>
          <c:marker>
            <c:symbol val="none"/>
          </c:marker>
          <c:xVal>
            <c:numRef>
              <c:f>calc!$AX$7:$AX$86</c:f>
              <c:numCache>
                <c:formatCode>General</c:formatCode>
                <c:ptCount val="80"/>
                <c:pt idx="0">
                  <c:v>16.353524136672306</c:v>
                </c:pt>
                <c:pt idx="1">
                  <c:v>16.353524136672306</c:v>
                </c:pt>
                <c:pt idx="2">
                  <c:v>16.353524136672306</c:v>
                </c:pt>
                <c:pt idx="3">
                  <c:v>16.353524136672306</c:v>
                </c:pt>
                <c:pt idx="4">
                  <c:v>16.353524136672306</c:v>
                </c:pt>
                <c:pt idx="5">
                  <c:v>16.353524136672306</c:v>
                </c:pt>
                <c:pt idx="6">
                  <c:v>16.353524136672306</c:v>
                </c:pt>
                <c:pt idx="7">
                  <c:v>16.353524136672306</c:v>
                </c:pt>
                <c:pt idx="8">
                  <c:v>16.353524136672306</c:v>
                </c:pt>
                <c:pt idx="9">
                  <c:v>16.353524136672306</c:v>
                </c:pt>
                <c:pt idx="10">
                  <c:v>16.353524136672306</c:v>
                </c:pt>
                <c:pt idx="11">
                  <c:v>16.353524136672306</c:v>
                </c:pt>
                <c:pt idx="12">
                  <c:v>16.353524136672306</c:v>
                </c:pt>
                <c:pt idx="13">
                  <c:v>16.353524136672306</c:v>
                </c:pt>
                <c:pt idx="14">
                  <c:v>16.353524136672306</c:v>
                </c:pt>
                <c:pt idx="15">
                  <c:v>16.353524136672306</c:v>
                </c:pt>
                <c:pt idx="16">
                  <c:v>16.353524136672306</c:v>
                </c:pt>
                <c:pt idx="17">
                  <c:v>16.353524136672306</c:v>
                </c:pt>
                <c:pt idx="18">
                  <c:v>16.353524136672306</c:v>
                </c:pt>
                <c:pt idx="19">
                  <c:v>16.353524136672306</c:v>
                </c:pt>
                <c:pt idx="20">
                  <c:v>16.353524136672306</c:v>
                </c:pt>
                <c:pt idx="21">
                  <c:v>16.353524136672306</c:v>
                </c:pt>
                <c:pt idx="22">
                  <c:v>16.353524136672306</c:v>
                </c:pt>
                <c:pt idx="23">
                  <c:v>16.353524136672306</c:v>
                </c:pt>
                <c:pt idx="24">
                  <c:v>16.353524136672306</c:v>
                </c:pt>
                <c:pt idx="25">
                  <c:v>16.353524136672306</c:v>
                </c:pt>
                <c:pt idx="26">
                  <c:v>16.353524136672306</c:v>
                </c:pt>
                <c:pt idx="27">
                  <c:v>16.353524136672306</c:v>
                </c:pt>
                <c:pt idx="28">
                  <c:v>16.353524136672306</c:v>
                </c:pt>
                <c:pt idx="29">
                  <c:v>16.353524136672306</c:v>
                </c:pt>
                <c:pt idx="30">
                  <c:v>16.353524136672306</c:v>
                </c:pt>
                <c:pt idx="31">
                  <c:v>16.353524136672306</c:v>
                </c:pt>
                <c:pt idx="32">
                  <c:v>16.353524136672306</c:v>
                </c:pt>
                <c:pt idx="33">
                  <c:v>16.353524136672306</c:v>
                </c:pt>
                <c:pt idx="34">
                  <c:v>16.353524136672306</c:v>
                </c:pt>
                <c:pt idx="35">
                  <c:v>16.353524136672306</c:v>
                </c:pt>
                <c:pt idx="36">
                  <c:v>16.353524136672306</c:v>
                </c:pt>
                <c:pt idx="37">
                  <c:v>16.353524136672306</c:v>
                </c:pt>
                <c:pt idx="38">
                  <c:v>16.353524136672306</c:v>
                </c:pt>
                <c:pt idx="39">
                  <c:v>16.353524136672306</c:v>
                </c:pt>
                <c:pt idx="40">
                  <c:v>16.353524136672306</c:v>
                </c:pt>
                <c:pt idx="41">
                  <c:v>16.353524136672306</c:v>
                </c:pt>
                <c:pt idx="42">
                  <c:v>16.353524136672306</c:v>
                </c:pt>
                <c:pt idx="43">
                  <c:v>16.353524136672306</c:v>
                </c:pt>
                <c:pt idx="44">
                  <c:v>16.353524136672306</c:v>
                </c:pt>
                <c:pt idx="45">
                  <c:v>16.353524136672306</c:v>
                </c:pt>
                <c:pt idx="46">
                  <c:v>16.353524136672306</c:v>
                </c:pt>
                <c:pt idx="47">
                  <c:v>16.353524136672306</c:v>
                </c:pt>
                <c:pt idx="48">
                  <c:v>16.353524136672306</c:v>
                </c:pt>
                <c:pt idx="49">
                  <c:v>16.353524136672306</c:v>
                </c:pt>
                <c:pt idx="50">
                  <c:v>16.353524136672306</c:v>
                </c:pt>
                <c:pt idx="51">
                  <c:v>16.353524136672306</c:v>
                </c:pt>
                <c:pt idx="52">
                  <c:v>16.353524136672306</c:v>
                </c:pt>
                <c:pt idx="53">
                  <c:v>16.353524136672306</c:v>
                </c:pt>
                <c:pt idx="54">
                  <c:v>16.353524136672306</c:v>
                </c:pt>
                <c:pt idx="55">
                  <c:v>16.353524136672306</c:v>
                </c:pt>
                <c:pt idx="56">
                  <c:v>16.353524136672306</c:v>
                </c:pt>
                <c:pt idx="57">
                  <c:v>16.353524136672306</c:v>
                </c:pt>
                <c:pt idx="58">
                  <c:v>16.353524136672306</c:v>
                </c:pt>
                <c:pt idx="59">
                  <c:v>16.353524136672306</c:v>
                </c:pt>
                <c:pt idx="60">
                  <c:v>16.353524136672306</c:v>
                </c:pt>
                <c:pt idx="61">
                  <c:v>16.353524136672306</c:v>
                </c:pt>
                <c:pt idx="62">
                  <c:v>16.353524136672306</c:v>
                </c:pt>
                <c:pt idx="63">
                  <c:v>16.353524136672306</c:v>
                </c:pt>
                <c:pt idx="64">
                  <c:v>16.353524136672306</c:v>
                </c:pt>
                <c:pt idx="65">
                  <c:v>16.353524136672306</c:v>
                </c:pt>
                <c:pt idx="66">
                  <c:v>16.353524136672306</c:v>
                </c:pt>
                <c:pt idx="67">
                  <c:v>16.353524136672306</c:v>
                </c:pt>
                <c:pt idx="68">
                  <c:v>16.353524136672306</c:v>
                </c:pt>
                <c:pt idx="69">
                  <c:v>16.353524136672306</c:v>
                </c:pt>
                <c:pt idx="70">
                  <c:v>16.353524136672306</c:v>
                </c:pt>
                <c:pt idx="71">
                  <c:v>16.353524136672306</c:v>
                </c:pt>
                <c:pt idx="72">
                  <c:v>16.353524136672306</c:v>
                </c:pt>
                <c:pt idx="73">
                  <c:v>16.353524136672306</c:v>
                </c:pt>
                <c:pt idx="74">
                  <c:v>16.353524136672306</c:v>
                </c:pt>
                <c:pt idx="75">
                  <c:v>16.353524136672306</c:v>
                </c:pt>
                <c:pt idx="76">
                  <c:v>16.353524136672306</c:v>
                </c:pt>
                <c:pt idx="77">
                  <c:v>16.353524136672306</c:v>
                </c:pt>
                <c:pt idx="78">
                  <c:v>16.353524136672306</c:v>
                </c:pt>
                <c:pt idx="79">
                  <c:v>16.353524136672306</c:v>
                </c:pt>
              </c:numCache>
            </c:numRef>
          </c:xVal>
          <c:yVal>
            <c:numRef>
              <c:f>calc!$AY$7:$AY$86</c:f>
              <c:numCache>
                <c:formatCode>General</c:formatCode>
                <c:ptCount val="80"/>
                <c:pt idx="0">
                  <c:v>125.57035741757888</c:v>
                </c:pt>
                <c:pt idx="1">
                  <c:v>125.57035741757888</c:v>
                </c:pt>
                <c:pt idx="2">
                  <c:v>125.57035741757888</c:v>
                </c:pt>
                <c:pt idx="3">
                  <c:v>125.57035741757888</c:v>
                </c:pt>
                <c:pt idx="4">
                  <c:v>125.57035741757888</c:v>
                </c:pt>
                <c:pt idx="5">
                  <c:v>125.57035741757888</c:v>
                </c:pt>
                <c:pt idx="6">
                  <c:v>125.57035741757888</c:v>
                </c:pt>
                <c:pt idx="7">
                  <c:v>125.57035741757888</c:v>
                </c:pt>
                <c:pt idx="8">
                  <c:v>125.57035741757888</c:v>
                </c:pt>
                <c:pt idx="9">
                  <c:v>125.57035741757888</c:v>
                </c:pt>
                <c:pt idx="10">
                  <c:v>125.57035741757888</c:v>
                </c:pt>
                <c:pt idx="11">
                  <c:v>125.57035741757888</c:v>
                </c:pt>
                <c:pt idx="12">
                  <c:v>125.57035741757888</c:v>
                </c:pt>
                <c:pt idx="13">
                  <c:v>125.57035741757888</c:v>
                </c:pt>
                <c:pt idx="14">
                  <c:v>125.57035741757888</c:v>
                </c:pt>
                <c:pt idx="15">
                  <c:v>125.57035741757888</c:v>
                </c:pt>
                <c:pt idx="16">
                  <c:v>125.57035741757888</c:v>
                </c:pt>
                <c:pt idx="17">
                  <c:v>125.57035741757888</c:v>
                </c:pt>
                <c:pt idx="18">
                  <c:v>125.57035741757888</c:v>
                </c:pt>
                <c:pt idx="19">
                  <c:v>125.57035741757888</c:v>
                </c:pt>
                <c:pt idx="20">
                  <c:v>125.57035741757888</c:v>
                </c:pt>
                <c:pt idx="21">
                  <c:v>125.57035741757888</c:v>
                </c:pt>
                <c:pt idx="22">
                  <c:v>125.57035741757888</c:v>
                </c:pt>
                <c:pt idx="23">
                  <c:v>125.57035741757888</c:v>
                </c:pt>
                <c:pt idx="24">
                  <c:v>125.57035741757888</c:v>
                </c:pt>
                <c:pt idx="25">
                  <c:v>125.57035741757888</c:v>
                </c:pt>
                <c:pt idx="26">
                  <c:v>125.57035741757888</c:v>
                </c:pt>
                <c:pt idx="27">
                  <c:v>125.57035741757888</c:v>
                </c:pt>
                <c:pt idx="28">
                  <c:v>125.57035741757888</c:v>
                </c:pt>
                <c:pt idx="29">
                  <c:v>125.57035741757888</c:v>
                </c:pt>
                <c:pt idx="30">
                  <c:v>125.57035741757888</c:v>
                </c:pt>
                <c:pt idx="31">
                  <c:v>125.57035741757888</c:v>
                </c:pt>
                <c:pt idx="32">
                  <c:v>125.57035741757888</c:v>
                </c:pt>
                <c:pt idx="33">
                  <c:v>125.57035741757888</c:v>
                </c:pt>
                <c:pt idx="34">
                  <c:v>125.57035741757888</c:v>
                </c:pt>
                <c:pt idx="35">
                  <c:v>125.57035741757888</c:v>
                </c:pt>
                <c:pt idx="36">
                  <c:v>125.57035741757888</c:v>
                </c:pt>
                <c:pt idx="37">
                  <c:v>125.57035741757888</c:v>
                </c:pt>
                <c:pt idx="38">
                  <c:v>125.57035741757888</c:v>
                </c:pt>
                <c:pt idx="39">
                  <c:v>125.57035741757888</c:v>
                </c:pt>
                <c:pt idx="40">
                  <c:v>125.57035741757888</c:v>
                </c:pt>
                <c:pt idx="41">
                  <c:v>125.57035741757888</c:v>
                </c:pt>
                <c:pt idx="42">
                  <c:v>125.57035741757888</c:v>
                </c:pt>
                <c:pt idx="43">
                  <c:v>125.57035741757888</c:v>
                </c:pt>
                <c:pt idx="44">
                  <c:v>125.57035741757888</c:v>
                </c:pt>
                <c:pt idx="45">
                  <c:v>125.57035741757888</c:v>
                </c:pt>
                <c:pt idx="46">
                  <c:v>125.57035741757888</c:v>
                </c:pt>
                <c:pt idx="47">
                  <c:v>125.57035741757888</c:v>
                </c:pt>
                <c:pt idx="48">
                  <c:v>125.57035741757888</c:v>
                </c:pt>
                <c:pt idx="49">
                  <c:v>125.57035741757888</c:v>
                </c:pt>
                <c:pt idx="50">
                  <c:v>125.57035741757888</c:v>
                </c:pt>
                <c:pt idx="51">
                  <c:v>125.57035741757888</c:v>
                </c:pt>
                <c:pt idx="52">
                  <c:v>125.57035741757888</c:v>
                </c:pt>
                <c:pt idx="53">
                  <c:v>125.57035741757888</c:v>
                </c:pt>
                <c:pt idx="54">
                  <c:v>125.57035741757888</c:v>
                </c:pt>
                <c:pt idx="55">
                  <c:v>125.57035741757888</c:v>
                </c:pt>
                <c:pt idx="56">
                  <c:v>125.57035741757888</c:v>
                </c:pt>
                <c:pt idx="57">
                  <c:v>125.57035741757888</c:v>
                </c:pt>
                <c:pt idx="58">
                  <c:v>125.57035741757888</c:v>
                </c:pt>
                <c:pt idx="59">
                  <c:v>125.57035741757888</c:v>
                </c:pt>
                <c:pt idx="60">
                  <c:v>125.57035741757888</c:v>
                </c:pt>
                <c:pt idx="61">
                  <c:v>125.57035741757888</c:v>
                </c:pt>
                <c:pt idx="62">
                  <c:v>125.57035741757888</c:v>
                </c:pt>
                <c:pt idx="63">
                  <c:v>125.57035741757888</c:v>
                </c:pt>
                <c:pt idx="64">
                  <c:v>125.57035741757888</c:v>
                </c:pt>
                <c:pt idx="65">
                  <c:v>125.57035741757888</c:v>
                </c:pt>
                <c:pt idx="66">
                  <c:v>125.57035741757888</c:v>
                </c:pt>
                <c:pt idx="67">
                  <c:v>125.57035741757888</c:v>
                </c:pt>
                <c:pt idx="68">
                  <c:v>125.57035741757888</c:v>
                </c:pt>
                <c:pt idx="69">
                  <c:v>125.57035741757888</c:v>
                </c:pt>
                <c:pt idx="70">
                  <c:v>125.57035741757888</c:v>
                </c:pt>
                <c:pt idx="71">
                  <c:v>125.57035741757888</c:v>
                </c:pt>
                <c:pt idx="72">
                  <c:v>125.57035741757888</c:v>
                </c:pt>
                <c:pt idx="73">
                  <c:v>125.57035741757888</c:v>
                </c:pt>
                <c:pt idx="74">
                  <c:v>125.57035741757888</c:v>
                </c:pt>
                <c:pt idx="75">
                  <c:v>125.57035741757888</c:v>
                </c:pt>
                <c:pt idx="76">
                  <c:v>125.57035741757888</c:v>
                </c:pt>
                <c:pt idx="77">
                  <c:v>125.57035741757888</c:v>
                </c:pt>
                <c:pt idx="78">
                  <c:v>125.57035741757888</c:v>
                </c:pt>
                <c:pt idx="79">
                  <c:v>125.57035741757888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calc!$AZ$1</c:f>
              <c:strCache>
                <c:ptCount val="1"/>
                <c:pt idx="0">
                  <c:v>C10 flower</c:v>
                </c:pt>
              </c:strCache>
            </c:strRef>
          </c:tx>
          <c:spPr>
            <a:ln w="31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calc!$AZ$7:$AZ$86</c:f>
              <c:numCache>
                <c:formatCode>General</c:formatCode>
                <c:ptCount val="80"/>
                <c:pt idx="0">
                  <c:v>44.6909588943928</c:v>
                </c:pt>
                <c:pt idx="1">
                  <c:v>44.6909588943928</c:v>
                </c:pt>
                <c:pt idx="2">
                  <c:v>44.6909588943928</c:v>
                </c:pt>
                <c:pt idx="3">
                  <c:v>44.6909588943928</c:v>
                </c:pt>
                <c:pt idx="4">
                  <c:v>44.6909588943928</c:v>
                </c:pt>
                <c:pt idx="5">
                  <c:v>44.6909588943928</c:v>
                </c:pt>
                <c:pt idx="6">
                  <c:v>44.6909588943928</c:v>
                </c:pt>
                <c:pt idx="7">
                  <c:v>44.6909588943928</c:v>
                </c:pt>
                <c:pt idx="8">
                  <c:v>44.6909588943928</c:v>
                </c:pt>
                <c:pt idx="9">
                  <c:v>44.6909588943928</c:v>
                </c:pt>
                <c:pt idx="10">
                  <c:v>44.6909588943928</c:v>
                </c:pt>
                <c:pt idx="11">
                  <c:v>44.6909588943928</c:v>
                </c:pt>
                <c:pt idx="12">
                  <c:v>44.6909588943928</c:v>
                </c:pt>
                <c:pt idx="13">
                  <c:v>44.6909588943928</c:v>
                </c:pt>
                <c:pt idx="14">
                  <c:v>44.6909588943928</c:v>
                </c:pt>
                <c:pt idx="15">
                  <c:v>44.6909588943928</c:v>
                </c:pt>
                <c:pt idx="16">
                  <c:v>44.6909588943928</c:v>
                </c:pt>
                <c:pt idx="17">
                  <c:v>44.6909588943928</c:v>
                </c:pt>
                <c:pt idx="18">
                  <c:v>44.6909588943928</c:v>
                </c:pt>
                <c:pt idx="19">
                  <c:v>44.6909588943928</c:v>
                </c:pt>
                <c:pt idx="20">
                  <c:v>44.6909588943928</c:v>
                </c:pt>
                <c:pt idx="21">
                  <c:v>44.6909588943928</c:v>
                </c:pt>
                <c:pt idx="22">
                  <c:v>44.6909588943928</c:v>
                </c:pt>
                <c:pt idx="23">
                  <c:v>44.6909588943928</c:v>
                </c:pt>
                <c:pt idx="24">
                  <c:v>44.6909588943928</c:v>
                </c:pt>
                <c:pt idx="25">
                  <c:v>44.6909588943928</c:v>
                </c:pt>
                <c:pt idx="26">
                  <c:v>44.6909588943928</c:v>
                </c:pt>
                <c:pt idx="27">
                  <c:v>44.6909588943928</c:v>
                </c:pt>
                <c:pt idx="28">
                  <c:v>44.6909588943928</c:v>
                </c:pt>
                <c:pt idx="29">
                  <c:v>44.6909588943928</c:v>
                </c:pt>
                <c:pt idx="30">
                  <c:v>44.6909588943928</c:v>
                </c:pt>
                <c:pt idx="31">
                  <c:v>44.6909588943928</c:v>
                </c:pt>
                <c:pt idx="32">
                  <c:v>44.6909588943928</c:v>
                </c:pt>
                <c:pt idx="33">
                  <c:v>44.6909588943928</c:v>
                </c:pt>
                <c:pt idx="34">
                  <c:v>44.6909588943928</c:v>
                </c:pt>
                <c:pt idx="35">
                  <c:v>44.6909588943928</c:v>
                </c:pt>
                <c:pt idx="36">
                  <c:v>44.6909588943928</c:v>
                </c:pt>
                <c:pt idx="37">
                  <c:v>44.6909588943928</c:v>
                </c:pt>
                <c:pt idx="38">
                  <c:v>44.6909588943928</c:v>
                </c:pt>
                <c:pt idx="39">
                  <c:v>44.6909588943928</c:v>
                </c:pt>
                <c:pt idx="40">
                  <c:v>44.6909588943928</c:v>
                </c:pt>
                <c:pt idx="41">
                  <c:v>44.6909588943928</c:v>
                </c:pt>
                <c:pt idx="42">
                  <c:v>44.6909588943928</c:v>
                </c:pt>
                <c:pt idx="43">
                  <c:v>44.6909588943928</c:v>
                </c:pt>
                <c:pt idx="44">
                  <c:v>44.6909588943928</c:v>
                </c:pt>
                <c:pt idx="45">
                  <c:v>44.6909588943928</c:v>
                </c:pt>
                <c:pt idx="46">
                  <c:v>44.6909588943928</c:v>
                </c:pt>
                <c:pt idx="47">
                  <c:v>44.6909588943928</c:v>
                </c:pt>
                <c:pt idx="48">
                  <c:v>44.6909588943928</c:v>
                </c:pt>
                <c:pt idx="49">
                  <c:v>44.6909588943928</c:v>
                </c:pt>
                <c:pt idx="50">
                  <c:v>44.6909588943928</c:v>
                </c:pt>
                <c:pt idx="51">
                  <c:v>44.6909588943928</c:v>
                </c:pt>
                <c:pt idx="52">
                  <c:v>44.6909588943928</c:v>
                </c:pt>
                <c:pt idx="53">
                  <c:v>44.6909588943928</c:v>
                </c:pt>
                <c:pt idx="54">
                  <c:v>44.6909588943928</c:v>
                </c:pt>
                <c:pt idx="55">
                  <c:v>44.6909588943928</c:v>
                </c:pt>
                <c:pt idx="56">
                  <c:v>44.6909588943928</c:v>
                </c:pt>
                <c:pt idx="57">
                  <c:v>44.6909588943928</c:v>
                </c:pt>
                <c:pt idx="58">
                  <c:v>44.6909588943928</c:v>
                </c:pt>
                <c:pt idx="59">
                  <c:v>44.6909588943928</c:v>
                </c:pt>
                <c:pt idx="60">
                  <c:v>44.6909588943928</c:v>
                </c:pt>
                <c:pt idx="61">
                  <c:v>44.6909588943928</c:v>
                </c:pt>
                <c:pt idx="62">
                  <c:v>44.6909588943928</c:v>
                </c:pt>
                <c:pt idx="63">
                  <c:v>44.6909588943928</c:v>
                </c:pt>
                <c:pt idx="64">
                  <c:v>44.6909588943928</c:v>
                </c:pt>
                <c:pt idx="65">
                  <c:v>44.6909588943928</c:v>
                </c:pt>
                <c:pt idx="66">
                  <c:v>44.6909588943928</c:v>
                </c:pt>
                <c:pt idx="67">
                  <c:v>44.6909588943928</c:v>
                </c:pt>
                <c:pt idx="68">
                  <c:v>44.6909588943928</c:v>
                </c:pt>
                <c:pt idx="69">
                  <c:v>44.6909588943928</c:v>
                </c:pt>
                <c:pt idx="70">
                  <c:v>44.6909588943928</c:v>
                </c:pt>
                <c:pt idx="71">
                  <c:v>44.6909588943928</c:v>
                </c:pt>
                <c:pt idx="72">
                  <c:v>44.6909588943928</c:v>
                </c:pt>
                <c:pt idx="73">
                  <c:v>44.6909588943928</c:v>
                </c:pt>
                <c:pt idx="74">
                  <c:v>44.6909588943928</c:v>
                </c:pt>
                <c:pt idx="75">
                  <c:v>44.6909588943928</c:v>
                </c:pt>
                <c:pt idx="76">
                  <c:v>44.6909588943928</c:v>
                </c:pt>
                <c:pt idx="77">
                  <c:v>44.6909588943928</c:v>
                </c:pt>
                <c:pt idx="78">
                  <c:v>44.6909588943928</c:v>
                </c:pt>
                <c:pt idx="79">
                  <c:v>44.6909588943928</c:v>
                </c:pt>
              </c:numCache>
            </c:numRef>
          </c:xVal>
          <c:yVal>
            <c:numRef>
              <c:f>calc!$BA$7:$BA$86</c:f>
              <c:numCache>
                <c:formatCode>General</c:formatCode>
                <c:ptCount val="80"/>
                <c:pt idx="0">
                  <c:v>108.92948756157274</c:v>
                </c:pt>
                <c:pt idx="1">
                  <c:v>108.92948756157274</c:v>
                </c:pt>
                <c:pt idx="2">
                  <c:v>108.92948756157274</c:v>
                </c:pt>
                <c:pt idx="3">
                  <c:v>108.92948756157274</c:v>
                </c:pt>
                <c:pt idx="4">
                  <c:v>108.92948756157274</c:v>
                </c:pt>
                <c:pt idx="5">
                  <c:v>108.92948756157274</c:v>
                </c:pt>
                <c:pt idx="6">
                  <c:v>108.92948756157274</c:v>
                </c:pt>
                <c:pt idx="7">
                  <c:v>108.92948756157274</c:v>
                </c:pt>
                <c:pt idx="8">
                  <c:v>108.92948756157274</c:v>
                </c:pt>
                <c:pt idx="9">
                  <c:v>108.92948756157274</c:v>
                </c:pt>
                <c:pt idx="10">
                  <c:v>108.92948756157274</c:v>
                </c:pt>
                <c:pt idx="11">
                  <c:v>108.92948756157274</c:v>
                </c:pt>
                <c:pt idx="12">
                  <c:v>108.92948756157274</c:v>
                </c:pt>
                <c:pt idx="13">
                  <c:v>108.92948756157274</c:v>
                </c:pt>
                <c:pt idx="14">
                  <c:v>108.92948756157274</c:v>
                </c:pt>
                <c:pt idx="15">
                  <c:v>108.92948756157274</c:v>
                </c:pt>
                <c:pt idx="16">
                  <c:v>108.92948756157274</c:v>
                </c:pt>
                <c:pt idx="17">
                  <c:v>108.92948756157274</c:v>
                </c:pt>
                <c:pt idx="18">
                  <c:v>108.92948756157274</c:v>
                </c:pt>
                <c:pt idx="19">
                  <c:v>108.92948756157274</c:v>
                </c:pt>
                <c:pt idx="20">
                  <c:v>108.92948756157274</c:v>
                </c:pt>
                <c:pt idx="21">
                  <c:v>108.92948756157274</c:v>
                </c:pt>
                <c:pt idx="22">
                  <c:v>108.92948756157274</c:v>
                </c:pt>
                <c:pt idx="23">
                  <c:v>108.92948756157274</c:v>
                </c:pt>
                <c:pt idx="24">
                  <c:v>108.92948756157274</c:v>
                </c:pt>
                <c:pt idx="25">
                  <c:v>108.92948756157274</c:v>
                </c:pt>
                <c:pt idx="26">
                  <c:v>108.92948756157274</c:v>
                </c:pt>
                <c:pt idx="27">
                  <c:v>108.92948756157274</c:v>
                </c:pt>
                <c:pt idx="28">
                  <c:v>108.92948756157274</c:v>
                </c:pt>
                <c:pt idx="29">
                  <c:v>108.92948756157274</c:v>
                </c:pt>
                <c:pt idx="30">
                  <c:v>108.92948756157274</c:v>
                </c:pt>
                <c:pt idx="31">
                  <c:v>108.92948756157274</c:v>
                </c:pt>
                <c:pt idx="32">
                  <c:v>108.92948756157274</c:v>
                </c:pt>
                <c:pt idx="33">
                  <c:v>108.92948756157274</c:v>
                </c:pt>
                <c:pt idx="34">
                  <c:v>108.92948756157274</c:v>
                </c:pt>
                <c:pt idx="35">
                  <c:v>108.92948756157274</c:v>
                </c:pt>
                <c:pt idx="36">
                  <c:v>108.92948756157274</c:v>
                </c:pt>
                <c:pt idx="37">
                  <c:v>108.92948756157274</c:v>
                </c:pt>
                <c:pt idx="38">
                  <c:v>108.92948756157274</c:v>
                </c:pt>
                <c:pt idx="39">
                  <c:v>108.92948756157274</c:v>
                </c:pt>
                <c:pt idx="40">
                  <c:v>108.92948756157274</c:v>
                </c:pt>
                <c:pt idx="41">
                  <c:v>108.92948756157274</c:v>
                </c:pt>
                <c:pt idx="42">
                  <c:v>108.92948756157274</c:v>
                </c:pt>
                <c:pt idx="43">
                  <c:v>108.92948756157274</c:v>
                </c:pt>
                <c:pt idx="44">
                  <c:v>108.92948756157274</c:v>
                </c:pt>
                <c:pt idx="45">
                  <c:v>108.92948756157274</c:v>
                </c:pt>
                <c:pt idx="46">
                  <c:v>108.92948756157274</c:v>
                </c:pt>
                <c:pt idx="47">
                  <c:v>108.92948756157274</c:v>
                </c:pt>
                <c:pt idx="48">
                  <c:v>108.92948756157274</c:v>
                </c:pt>
                <c:pt idx="49">
                  <c:v>108.92948756157274</c:v>
                </c:pt>
                <c:pt idx="50">
                  <c:v>108.92948756157274</c:v>
                </c:pt>
                <c:pt idx="51">
                  <c:v>108.92948756157274</c:v>
                </c:pt>
                <c:pt idx="52">
                  <c:v>108.92948756157274</c:v>
                </c:pt>
                <c:pt idx="53">
                  <c:v>108.92948756157274</c:v>
                </c:pt>
                <c:pt idx="54">
                  <c:v>108.92948756157274</c:v>
                </c:pt>
                <c:pt idx="55">
                  <c:v>108.92948756157274</c:v>
                </c:pt>
                <c:pt idx="56">
                  <c:v>108.92948756157274</c:v>
                </c:pt>
                <c:pt idx="57">
                  <c:v>108.92948756157274</c:v>
                </c:pt>
                <c:pt idx="58">
                  <c:v>108.92948756157274</c:v>
                </c:pt>
                <c:pt idx="59">
                  <c:v>108.92948756157274</c:v>
                </c:pt>
                <c:pt idx="60">
                  <c:v>108.92948756157274</c:v>
                </c:pt>
                <c:pt idx="61">
                  <c:v>108.92948756157274</c:v>
                </c:pt>
                <c:pt idx="62">
                  <c:v>108.92948756157274</c:v>
                </c:pt>
                <c:pt idx="63">
                  <c:v>108.92948756157274</c:v>
                </c:pt>
                <c:pt idx="64">
                  <c:v>108.92948756157274</c:v>
                </c:pt>
                <c:pt idx="65">
                  <c:v>108.92948756157274</c:v>
                </c:pt>
                <c:pt idx="66">
                  <c:v>108.92948756157274</c:v>
                </c:pt>
                <c:pt idx="67">
                  <c:v>108.92948756157274</c:v>
                </c:pt>
                <c:pt idx="68">
                  <c:v>108.92948756157274</c:v>
                </c:pt>
                <c:pt idx="69">
                  <c:v>108.92948756157274</c:v>
                </c:pt>
                <c:pt idx="70">
                  <c:v>108.92948756157274</c:v>
                </c:pt>
                <c:pt idx="71">
                  <c:v>108.92948756157274</c:v>
                </c:pt>
                <c:pt idx="72">
                  <c:v>108.92948756157274</c:v>
                </c:pt>
                <c:pt idx="73">
                  <c:v>108.92948756157274</c:v>
                </c:pt>
                <c:pt idx="74">
                  <c:v>108.92948756157274</c:v>
                </c:pt>
                <c:pt idx="75">
                  <c:v>108.92948756157274</c:v>
                </c:pt>
                <c:pt idx="76">
                  <c:v>108.92948756157274</c:v>
                </c:pt>
                <c:pt idx="77">
                  <c:v>108.92948756157274</c:v>
                </c:pt>
                <c:pt idx="78">
                  <c:v>108.92948756157274</c:v>
                </c:pt>
                <c:pt idx="79">
                  <c:v>108.92948756157274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5314128"/>
        <c:axId val="1015313568"/>
      </c:scatterChart>
      <c:valAx>
        <c:axId val="1015314128"/>
        <c:scaling>
          <c:orientation val="minMax"/>
          <c:max val="190"/>
          <c:min val="-60"/>
        </c:scaling>
        <c:delete val="1"/>
        <c:axPos val="b"/>
        <c:numFmt formatCode="General" sourceLinked="1"/>
        <c:majorTickMark val="out"/>
        <c:minorTickMark val="none"/>
        <c:tickLblPos val="nextTo"/>
        <c:crossAx val="1015313568"/>
        <c:crosses val="autoZero"/>
        <c:crossBetween val="midCat"/>
      </c:valAx>
      <c:valAx>
        <c:axId val="1015313568"/>
        <c:scaling>
          <c:orientation val="minMax"/>
          <c:max val="2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015314128"/>
        <c:crossesAt val="-5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hyperlink" Target="http://chandoo.org/wp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168211</xdr:colOff>
      <xdr:row>40</xdr:row>
      <xdr:rowOff>152400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093011" cy="7772400"/>
        </a:xfrm>
        <a:prstGeom prst="rect">
          <a:avLst/>
        </a:prstGeom>
      </xdr:spPr>
    </xdr:pic>
    <xdr:clientData/>
  </xdr:twoCellAnchor>
  <xdr:twoCellAnchor>
    <xdr:from>
      <xdr:col>1</xdr:col>
      <xdr:colOff>314325</xdr:colOff>
      <xdr:row>0</xdr:row>
      <xdr:rowOff>144780</xdr:rowOff>
    </xdr:from>
    <xdr:to>
      <xdr:col>12</xdr:col>
      <xdr:colOff>266700</xdr:colOff>
      <xdr:row>28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13</xdr:col>
      <xdr:colOff>168211</xdr:colOff>
      <xdr:row>40</xdr:row>
      <xdr:rowOff>152400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093011" cy="7772400"/>
        </a:xfrm>
        <a:prstGeom prst="rect">
          <a:avLst/>
        </a:prstGeom>
      </xdr:spPr>
    </xdr:pic>
    <xdr:clientData/>
  </xdr:twoCellAnchor>
  <xdr:twoCellAnchor>
    <xdr:from>
      <xdr:col>10</xdr:col>
      <xdr:colOff>323850</xdr:colOff>
      <xdr:row>38</xdr:row>
      <xdr:rowOff>53340</xdr:rowOff>
    </xdr:from>
    <xdr:to>
      <xdr:col>13</xdr:col>
      <xdr:colOff>0</xdr:colOff>
      <xdr:row>39</xdr:row>
      <xdr:rowOff>137160</xdr:rowOff>
    </xdr:to>
    <xdr:sp macro="[0]!startFireworks" textlink="">
      <xdr:nvSpPr>
        <xdr:cNvPr id="3" name="Rounded Rectangle 2"/>
        <xdr:cNvSpPr/>
      </xdr:nvSpPr>
      <xdr:spPr>
        <a:xfrm>
          <a:off x="6419850" y="7292340"/>
          <a:ext cx="1504950" cy="2743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</a:t>
          </a:r>
          <a:r>
            <a:rPr lang="en-US" sz="1100" baseline="0"/>
            <a:t> Fireworks</a:t>
          </a:r>
          <a:endParaRPr lang="en-US" sz="1100"/>
        </a:p>
      </xdr:txBody>
    </xdr:sp>
    <xdr:clientData/>
  </xdr:twoCellAnchor>
  <xdr:twoCellAnchor>
    <xdr:from>
      <xdr:col>0</xdr:col>
      <xdr:colOff>180975</xdr:colOff>
      <xdr:row>38</xdr:row>
      <xdr:rowOff>53340</xdr:rowOff>
    </xdr:from>
    <xdr:to>
      <xdr:col>1</xdr:col>
      <xdr:colOff>276225</xdr:colOff>
      <xdr:row>39</xdr:row>
      <xdr:rowOff>137160</xdr:rowOff>
    </xdr:to>
    <xdr:sp macro="[0]!resetFireworks" textlink="">
      <xdr:nvSpPr>
        <xdr:cNvPr id="4" name="Rounded Rectangle 3"/>
        <xdr:cNvSpPr/>
      </xdr:nvSpPr>
      <xdr:spPr>
        <a:xfrm>
          <a:off x="180975" y="7292340"/>
          <a:ext cx="704850" cy="2743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  <xdr:oneCellAnchor>
    <xdr:from>
      <xdr:col>4</xdr:col>
      <xdr:colOff>349649</xdr:colOff>
      <xdr:row>38</xdr:row>
      <xdr:rowOff>73898</xdr:rowOff>
    </xdr:from>
    <xdr:ext cx="1729576" cy="233205"/>
    <xdr:sp macro="" textlink="">
      <xdr:nvSpPr>
        <xdr:cNvPr id="17" name="TextBox 16"/>
        <xdr:cNvSpPr txBox="1"/>
      </xdr:nvSpPr>
      <xdr:spPr>
        <a:xfrm>
          <a:off x="2788049" y="7312898"/>
          <a:ext cx="1729576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900">
              <a:solidFill>
                <a:schemeClr val="accent4">
                  <a:lumMod val="75000"/>
                </a:schemeClr>
              </a:solidFill>
            </a:rPr>
            <a:t>fireworks made by chandoo.org.</a:t>
          </a:r>
          <a:r>
            <a:rPr lang="en-US" sz="900" baseline="0">
              <a:solidFill>
                <a:schemeClr val="accent4">
                  <a:lumMod val="75000"/>
                </a:schemeClr>
              </a:solidFill>
            </a:rPr>
            <a:t> </a:t>
          </a:r>
          <a:endParaRPr lang="en-US" sz="900">
            <a:solidFill>
              <a:schemeClr val="accent4">
                <a:lumMod val="75000"/>
              </a:schemeClr>
            </a:solidFill>
          </a:endParaRPr>
        </a:p>
      </xdr:txBody>
    </xdr:sp>
    <xdr:clientData/>
  </xdr:oneCellAnchor>
  <xdr:oneCellAnchor>
    <xdr:from>
      <xdr:col>0</xdr:col>
      <xdr:colOff>0</xdr:colOff>
      <xdr:row>10</xdr:row>
      <xdr:rowOff>137584</xdr:rowOff>
    </xdr:from>
    <xdr:ext cx="8138582" cy="761999"/>
    <xdr:sp macro="" textlink="">
      <xdr:nvSpPr>
        <xdr:cNvPr id="18" name="txtWishes" hidden="1"/>
        <xdr:cNvSpPr txBox="1"/>
      </xdr:nvSpPr>
      <xdr:spPr>
        <a:xfrm>
          <a:off x="0" y="2042584"/>
          <a:ext cx="8138582" cy="7619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3600" b="1" cap="none" spc="0">
              <a:ln>
                <a:solidFill>
                  <a:schemeClr val="bg1">
                    <a:lumMod val="95000"/>
                  </a:schemeClr>
                </a:solidFill>
              </a:ln>
              <a:solidFill>
                <a:schemeClr val="bg1"/>
              </a:solidFill>
              <a:effectLst>
                <a:outerShdw blurRad="50800" sx="101000" sy="101000" algn="ctr" rotWithShape="0">
                  <a:schemeClr val="accent4">
                    <a:lumMod val="60000"/>
                    <a:lumOff val="40000"/>
                    <a:alpha val="40000"/>
                  </a:schemeClr>
                </a:outerShdw>
              </a:effectLst>
              <a:latin typeface="Bradley Hand ITC" panose="03070402050302030203" pitchFamily="66" charset="0"/>
            </a:rPr>
            <a:t>Have a fun 4th of</a:t>
          </a:r>
          <a:r>
            <a:rPr lang="en-US" sz="3600" b="1" cap="none" spc="0" baseline="0">
              <a:ln>
                <a:solidFill>
                  <a:schemeClr val="bg1">
                    <a:lumMod val="95000"/>
                  </a:schemeClr>
                </a:solidFill>
              </a:ln>
              <a:solidFill>
                <a:schemeClr val="bg1"/>
              </a:solidFill>
              <a:effectLst>
                <a:outerShdw blurRad="50800" sx="101000" sy="101000" algn="ctr" rotWithShape="0">
                  <a:schemeClr val="accent4">
                    <a:lumMod val="60000"/>
                    <a:lumOff val="40000"/>
                    <a:alpha val="40000"/>
                  </a:schemeClr>
                </a:outerShdw>
              </a:effectLst>
              <a:latin typeface="Bradley Hand ITC" panose="03070402050302030203" pitchFamily="66" charset="0"/>
            </a:rPr>
            <a:t> </a:t>
          </a:r>
          <a:r>
            <a:rPr lang="en-US" sz="3600" b="1" cap="none" spc="0">
              <a:ln>
                <a:solidFill>
                  <a:schemeClr val="bg1">
                    <a:lumMod val="95000"/>
                  </a:schemeClr>
                </a:solidFill>
              </a:ln>
              <a:solidFill>
                <a:schemeClr val="bg1"/>
              </a:solidFill>
              <a:effectLst>
                <a:outerShdw blurRad="50800" sx="101000" sy="101000" algn="ctr" rotWithShape="0">
                  <a:schemeClr val="accent4">
                    <a:lumMod val="60000"/>
                    <a:lumOff val="40000"/>
                    <a:alpha val="40000"/>
                  </a:schemeClr>
                </a:outerShdw>
              </a:effectLst>
              <a:latin typeface="Bradley Hand ITC" panose="03070402050302030203" pitchFamily="66" charset="0"/>
            </a:rPr>
            <a:t>July.</a:t>
          </a:r>
        </a:p>
      </xdr:txBody>
    </xdr:sp>
    <xdr:clientData/>
  </xdr:oneCellAnchor>
  <xdr:twoCellAnchor>
    <xdr:from>
      <xdr:col>10</xdr:col>
      <xdr:colOff>0</xdr:colOff>
      <xdr:row>1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19" name="Rounded Rectangle 18">
          <a:hlinkClick xmlns:r="http://schemas.openxmlformats.org/officeDocument/2006/relationships" r:id="rId4"/>
        </xdr:cNvPr>
        <xdr:cNvSpPr/>
      </xdr:nvSpPr>
      <xdr:spPr>
        <a:xfrm>
          <a:off x="6138333" y="190500"/>
          <a:ext cx="1841500" cy="3810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Visit Chandoo.org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42"/>
  <sheetViews>
    <sheetView showGridLines="0" tabSelected="1" zoomScale="90" zoomScaleNormal="90" workbookViewId="0">
      <selection activeCell="A43" sqref="A43:XFD1048576"/>
    </sheetView>
  </sheetViews>
  <sheetFormatPr defaultColWidth="0" defaultRowHeight="15" zeroHeight="1" x14ac:dyDescent="0.25"/>
  <cols>
    <col min="1" max="14" width="9.140625" customWidth="1"/>
    <col min="18" max="16384" width="9.140625" hidden="1"/>
  </cols>
  <sheetData>
    <row r="1" spans="1:1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x14ac:dyDescent="0.25"/>
    <row r="38" spans="1:17" x14ac:dyDescent="0.25"/>
    <row r="39" spans="1:17" x14ac:dyDescent="0.25"/>
    <row r="40" spans="1:17" x14ac:dyDescent="0.25"/>
    <row r="41" spans="1:17" x14ac:dyDescent="0.25"/>
    <row r="42" spans="1:17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A86"/>
  <sheetViews>
    <sheetView showGridLines="0" workbookViewId="0">
      <selection activeCell="R24" sqref="R24:R33"/>
    </sheetView>
  </sheetViews>
  <sheetFormatPr defaultRowHeight="15" x14ac:dyDescent="0.25"/>
  <sheetData>
    <row r="1" spans="2:53" s="7" customFormat="1" ht="31.5" customHeight="1" x14ac:dyDescent="0.25">
      <c r="B1" s="7" t="s">
        <v>54</v>
      </c>
      <c r="AH1" s="8" t="str">
        <f>"C"&amp;AH2&amp;" flower"</f>
        <v>C1 flower</v>
      </c>
      <c r="AI1" s="8"/>
      <c r="AJ1" s="8" t="str">
        <f>"C"&amp;AJ2&amp;" flower"</f>
        <v>C2 flower</v>
      </c>
      <c r="AK1" s="8"/>
      <c r="AL1" s="8" t="str">
        <f>"C"&amp;AL2&amp;" flower"</f>
        <v>C3 flower</v>
      </c>
      <c r="AM1" s="8"/>
      <c r="AN1" s="8" t="str">
        <f t="shared" ref="AN1" si="0">"C"&amp;AN2&amp;" flower"</f>
        <v>C4 flower</v>
      </c>
      <c r="AO1" s="8"/>
      <c r="AP1" s="8" t="str">
        <f t="shared" ref="AP1" si="1">"C"&amp;AP2&amp;" flower"</f>
        <v>C5 flower</v>
      </c>
      <c r="AQ1" s="8"/>
      <c r="AR1" s="8" t="str">
        <f t="shared" ref="AR1" si="2">"C"&amp;AR2&amp;" flower"</f>
        <v>C6 flower</v>
      </c>
      <c r="AS1" s="8"/>
      <c r="AT1" s="8" t="str">
        <f t="shared" ref="AT1" si="3">"C"&amp;AT2&amp;" flower"</f>
        <v>C7 flower</v>
      </c>
      <c r="AU1" s="8"/>
      <c r="AV1" s="8" t="str">
        <f t="shared" ref="AV1" si="4">"C"&amp;AV2&amp;" flower"</f>
        <v>C8 flower</v>
      </c>
      <c r="AW1" s="8"/>
      <c r="AX1" s="8" t="str">
        <f t="shared" ref="AX1" si="5">"C"&amp;AX2&amp;" flower"</f>
        <v>C9 flower</v>
      </c>
      <c r="AY1" s="8"/>
      <c r="AZ1" s="8" t="str">
        <f t="shared" ref="AZ1" si="6">"C"&amp;AZ2&amp;" flower"</f>
        <v>C10 flower</v>
      </c>
      <c r="BA1" s="8"/>
    </row>
    <row r="2" spans="2:53" x14ac:dyDescent="0.25">
      <c r="AH2" s="3">
        <v>1</v>
      </c>
      <c r="AI2" s="3">
        <v>1</v>
      </c>
      <c r="AJ2" s="3">
        <v>2</v>
      </c>
      <c r="AK2" s="3">
        <v>2</v>
      </c>
      <c r="AL2" s="3">
        <v>3</v>
      </c>
      <c r="AM2" s="3">
        <v>3</v>
      </c>
      <c r="AN2" s="3">
        <v>4</v>
      </c>
      <c r="AO2" s="3">
        <v>4</v>
      </c>
      <c r="AP2" s="3">
        <v>5</v>
      </c>
      <c r="AQ2" s="3">
        <v>5</v>
      </c>
      <c r="AR2" s="3">
        <v>6</v>
      </c>
      <c r="AS2" s="3">
        <v>6</v>
      </c>
      <c r="AT2" s="3">
        <v>7</v>
      </c>
      <c r="AU2" s="3">
        <v>7</v>
      </c>
      <c r="AV2" s="3">
        <v>8</v>
      </c>
      <c r="AW2" s="3">
        <v>8</v>
      </c>
      <c r="AX2" s="3">
        <v>9</v>
      </c>
      <c r="AY2" s="3">
        <v>9</v>
      </c>
      <c r="AZ2" s="3">
        <v>10</v>
      </c>
      <c r="BA2" s="3">
        <v>10</v>
      </c>
    </row>
    <row r="4" spans="2:53" x14ac:dyDescent="0.25">
      <c r="X4">
        <v>0</v>
      </c>
      <c r="Z4" s="1">
        <f>X4/100</f>
        <v>0</v>
      </c>
    </row>
    <row r="5" spans="2:53" x14ac:dyDescent="0.25">
      <c r="R5" s="3" t="s">
        <v>13</v>
      </c>
      <c r="S5" s="3"/>
      <c r="T5" s="3"/>
      <c r="U5" s="3"/>
      <c r="V5" s="3"/>
      <c r="W5" s="3" t="s">
        <v>26</v>
      </c>
      <c r="X5" s="3"/>
      <c r="Y5" s="3"/>
      <c r="Z5" s="3" t="s">
        <v>27</v>
      </c>
      <c r="AA5" s="3"/>
      <c r="AB5" s="3"/>
      <c r="AC5" s="3"/>
      <c r="AD5" s="3"/>
      <c r="AE5" s="3"/>
      <c r="AG5" s="3"/>
      <c r="AH5" s="3" t="s">
        <v>14</v>
      </c>
      <c r="AI5" s="3" t="s">
        <v>14</v>
      </c>
      <c r="AJ5" s="3" t="s">
        <v>15</v>
      </c>
      <c r="AK5" s="3" t="s">
        <v>15</v>
      </c>
      <c r="AL5" s="3" t="s">
        <v>16</v>
      </c>
      <c r="AM5" s="3" t="s">
        <v>16</v>
      </c>
      <c r="AN5" s="3" t="s">
        <v>17</v>
      </c>
      <c r="AO5" s="3" t="s">
        <v>17</v>
      </c>
      <c r="AP5" s="3" t="s">
        <v>18</v>
      </c>
      <c r="AQ5" s="3" t="s">
        <v>18</v>
      </c>
      <c r="AR5" s="3" t="s">
        <v>19</v>
      </c>
      <c r="AS5" s="3" t="s">
        <v>35</v>
      </c>
      <c r="AT5" s="3" t="s">
        <v>36</v>
      </c>
      <c r="AU5" s="3" t="s">
        <v>36</v>
      </c>
      <c r="AV5" s="3" t="s">
        <v>37</v>
      </c>
      <c r="AW5" s="3" t="s">
        <v>37</v>
      </c>
      <c r="AX5" s="3" t="s">
        <v>38</v>
      </c>
      <c r="AY5" s="3" t="s">
        <v>38</v>
      </c>
      <c r="AZ5" s="3" t="s">
        <v>39</v>
      </c>
      <c r="BA5" s="3" t="s">
        <v>39</v>
      </c>
    </row>
    <row r="6" spans="2:53" x14ac:dyDescent="0.25">
      <c r="B6" s="3" t="s">
        <v>0</v>
      </c>
      <c r="C6" s="3" t="s">
        <v>1</v>
      </c>
      <c r="D6" s="3" t="s">
        <v>2</v>
      </c>
      <c r="E6" s="3" t="s">
        <v>3</v>
      </c>
      <c r="R6" s="3"/>
      <c r="S6" s="3" t="s">
        <v>5</v>
      </c>
      <c r="T6" s="3" t="s">
        <v>6</v>
      </c>
      <c r="U6" s="3" t="s">
        <v>24</v>
      </c>
      <c r="V6" s="3" t="s">
        <v>25</v>
      </c>
      <c r="W6" s="3" t="s">
        <v>7</v>
      </c>
      <c r="X6" s="3" t="s">
        <v>8</v>
      </c>
      <c r="Y6" s="3" t="s">
        <v>31</v>
      </c>
      <c r="Z6" s="3" t="s">
        <v>28</v>
      </c>
      <c r="AA6" s="3" t="s">
        <v>29</v>
      </c>
      <c r="AB6" s="3" t="s">
        <v>30</v>
      </c>
      <c r="AC6" s="3" t="s">
        <v>33</v>
      </c>
      <c r="AD6" s="3" t="s">
        <v>34</v>
      </c>
      <c r="AE6" s="3" t="s">
        <v>32</v>
      </c>
      <c r="AG6" s="3" t="s">
        <v>4</v>
      </c>
      <c r="AH6" s="3" t="s">
        <v>5</v>
      </c>
      <c r="AI6" s="3" t="s">
        <v>6</v>
      </c>
      <c r="AJ6" s="3" t="s">
        <v>7</v>
      </c>
      <c r="AK6" s="3" t="s">
        <v>8</v>
      </c>
      <c r="AL6" s="3" t="s">
        <v>9</v>
      </c>
      <c r="AM6" s="3" t="s">
        <v>10</v>
      </c>
      <c r="AN6" s="3" t="s">
        <v>11</v>
      </c>
      <c r="AO6" s="3" t="s">
        <v>12</v>
      </c>
      <c r="AP6" s="3" t="s">
        <v>40</v>
      </c>
      <c r="AQ6" s="3" t="s">
        <v>41</v>
      </c>
      <c r="AR6" s="3" t="s">
        <v>42</v>
      </c>
      <c r="AS6" s="3" t="s">
        <v>43</v>
      </c>
      <c r="AT6" s="3" t="s">
        <v>44</v>
      </c>
      <c r="AU6" s="3" t="s">
        <v>45</v>
      </c>
      <c r="AV6" s="3" t="s">
        <v>46</v>
      </c>
      <c r="AW6" s="3" t="s">
        <v>47</v>
      </c>
      <c r="AX6" s="3" t="s">
        <v>48</v>
      </c>
      <c r="AY6" s="3" t="s">
        <v>49</v>
      </c>
      <c r="AZ6" s="3" t="s">
        <v>50</v>
      </c>
      <c r="BA6" s="3" t="s">
        <v>51</v>
      </c>
    </row>
    <row r="7" spans="2:53" x14ac:dyDescent="0.25">
      <c r="B7" s="3">
        <v>0</v>
      </c>
      <c r="C7" s="3">
        <f>RADIANS(B7)</f>
        <v>0</v>
      </c>
      <c r="D7" s="3">
        <f>SIN($C7)</f>
        <v>0</v>
      </c>
      <c r="E7" s="3">
        <f>COS($C7)</f>
        <v>1</v>
      </c>
      <c r="R7" s="3" t="s">
        <v>14</v>
      </c>
      <c r="S7" s="3">
        <v>20</v>
      </c>
      <c r="T7" s="3">
        <v>0</v>
      </c>
      <c r="U7" s="3">
        <v>76</v>
      </c>
      <c r="V7" s="3">
        <v>90</v>
      </c>
      <c r="W7" s="4">
        <f>V7*SIN(RADIANS(90-U7))+S7</f>
        <v>41.772970603970094</v>
      </c>
      <c r="X7" s="4">
        <f>V7*COS(RADIANS(90-U7))+T7</f>
        <v>87.326615364839682</v>
      </c>
      <c r="Y7" s="5">
        <v>0</v>
      </c>
      <c r="Z7" s="3">
        <f>V7*Y7</f>
        <v>0</v>
      </c>
      <c r="AA7" s="4">
        <f>Z7*SIN(RADIANS(90-U7))+S7</f>
        <v>20</v>
      </c>
      <c r="AB7" s="4">
        <f>Z7*COS(RADIANS(90-U7))+T7</f>
        <v>0</v>
      </c>
      <c r="AC7" s="3">
        <v>15</v>
      </c>
      <c r="AD7" s="6">
        <v>0</v>
      </c>
      <c r="AE7" s="3">
        <f>AC7*AD7</f>
        <v>0</v>
      </c>
      <c r="AG7" s="3">
        <v>1</v>
      </c>
      <c r="AH7" s="3">
        <f>IF(MOD($AG7,2)=1,0,INDEX($D$7:$D$46,$AG7/2)*INDEX($AE$7:$AE$16,AH$2))+INDEX($W$7:$W$16,AH$2)</f>
        <v>41.772970603970094</v>
      </c>
      <c r="AI7" s="3">
        <f>IF(MOD($AG7,2)=1,0,INDEX($E$7:$E$46,$AG7/2)*INDEX($AE$7:$AE$16,AI$2))+INDEX($X$7:$X$16,AI$2)</f>
        <v>87.326615364839682</v>
      </c>
      <c r="AJ7" s="3">
        <f>IF(MOD($AG7,2)=1,0,INDEX($D$7:$D$46,$AG7/2)*INDEX($AE$7:$AE$16,AJ$2))+INDEX($W$7:$W$16,AJ$2)</f>
        <v>108.86615192319476</v>
      </c>
      <c r="AK7" s="3">
        <f>IF(MOD($AG7,2)=1,0,INDEX($E$7:$E$46,$AG7/2)*INDEX($AE$7:$AE$16,AK$2))+INDEX($X$7:$X$16,AK$2)</f>
        <v>79.221445499325625</v>
      </c>
      <c r="AL7" s="3">
        <f t="shared" ref="AL7:BA22" si="7">IF(MOD($AG7,2)=1,0,INDEX($D$7:$D$46,$AG7/2)*INDEX($AE$7:$AE$16,AL$2))+INDEX($W$7:$W$16,AL$2)</f>
        <v>17.798196015327857</v>
      </c>
      <c r="AM7" s="3">
        <f t="shared" ref="AM7:BA22" si="8">IF(MOD($AG7,2)=1,0,INDEX($E$7:$E$46,$AG7/2)*INDEX($AE$7:$AE$16,AM$2))+INDEX($X$7:$X$16,AM$2)</f>
        <v>139.46725773284439</v>
      </c>
      <c r="AN7" s="3">
        <f t="shared" ref="AN7:BA22" si="9">IF(MOD($AG7,2)=1,0,INDEX($D$7:$D$46,$AG7/2)*INDEX($AE$7:$AE$16,AN$2))+INDEX($W$7:$W$16,AN$2)</f>
        <v>0.59243830591118751</v>
      </c>
      <c r="AO7" s="3">
        <f t="shared" ref="AO7:BA22" si="10">IF(MOD($AG7,2)=1,0,INDEX($E$7:$E$46,$AG7/2)*INDEX($AE$7:$AE$16,AO$2))+INDEX($X$7:$X$16,AO$2)</f>
        <v>89.506970583144593</v>
      </c>
      <c r="AP7" s="3">
        <f t="shared" ref="AP7:BA22" si="11">IF(MOD($AG7,2)=1,0,INDEX($D$7:$D$46,$AG7/2)*INDEX($AE$7:$AE$16,AP$2))+INDEX($W$7:$W$16,AP$2)</f>
        <v>74.186876499435513</v>
      </c>
      <c r="AQ7" s="3">
        <f t="shared" ref="AQ7:BA22" si="12">IF(MOD($AG7,2)=1,0,INDEX($E$7:$E$46,$AG7/2)*INDEX($AE$7:$AE$16,AQ$2))+INDEX($X$7:$X$16,AQ$2)</f>
        <v>79.890362780365905</v>
      </c>
      <c r="AR7" s="3">
        <f t="shared" ref="AR7:BA22" si="13">IF(MOD($AG7,2)=1,0,INDEX($D$7:$D$46,$AG7/2)*INDEX($AE$7:$AE$16,AR$2))+INDEX($W$7:$W$16,AR$2)</f>
        <v>100</v>
      </c>
      <c r="AS7" s="3">
        <f t="shared" ref="AS7:BA22" si="14">IF(MOD($AG7,2)=1,0,INDEX($E$7:$E$46,$AG7/2)*INDEX($AE$7:$AE$16,AS$2))+INDEX($X$7:$X$16,AS$2)</f>
        <v>140</v>
      </c>
      <c r="AT7" s="3">
        <f t="shared" ref="AT7:BA22" si="15">IF(MOD($AG7,2)=1,0,INDEX($D$7:$D$46,$AG7/2)*INDEX($AE$7:$AE$16,AT$2))+INDEX($W$7:$W$16,AT$2)</f>
        <v>112.54341559211842</v>
      </c>
      <c r="AU7" s="3">
        <f t="shared" ref="AU7:BA22" si="16">IF(MOD($AG7,2)=1,0,INDEX($E$7:$E$46,$AG7/2)*INDEX($AE$7:$AE$16,AU$2))+INDEX($X$7:$X$16,AU$2)</f>
        <v>119.3426274441928</v>
      </c>
      <c r="AV7" s="3">
        <f t="shared" ref="AV7:BA22" si="17">IF(MOD($AG7,2)=1,0,INDEX($D$7:$D$46,$AG7/2)*INDEX($AE$7:$AE$16,AV$2))+INDEX($W$7:$W$16,AV$2)</f>
        <v>52.201803984672139</v>
      </c>
      <c r="AW7" s="3">
        <f t="shared" ref="AW7:BA22" si="18">IF(MOD($AG7,2)=1,0,INDEX($E$7:$E$46,$AG7/2)*INDEX($AE$7:$AE$16,AW$2))+INDEX($X$7:$X$16,AW$2)</f>
        <v>139.46725773284439</v>
      </c>
      <c r="AX7" s="3">
        <f t="shared" ref="AX7:BA22" si="19">IF(MOD($AG7,2)=1,0,INDEX($D$7:$D$46,$AG7/2)*INDEX($AE$7:$AE$16,AX$2))+INDEX($W$7:$W$16,AX$2)</f>
        <v>16.353524136672306</v>
      </c>
      <c r="AY7" s="3">
        <f t="shared" ref="AY7:BA22" si="20">IF(MOD($AG7,2)=1,0,INDEX($E$7:$E$46,$AG7/2)*INDEX($AE$7:$AE$16,AY$2))+INDEX($X$7:$X$16,AY$2)</f>
        <v>125.57035741757888</v>
      </c>
      <c r="AZ7" s="3">
        <f t="shared" ref="AZ7:BA22" si="21">IF(MOD($AG7,2)=1,0,INDEX($D$7:$D$46,$AG7/2)*INDEX($AE$7:$AE$16,AZ$2))+INDEX($W$7:$W$16,AZ$2)</f>
        <v>44.6909588943928</v>
      </c>
      <c r="BA7" s="3">
        <f t="shared" ref="BA7:BA70" si="22">IF(MOD($AG7,2)=1,0,INDEX($E$7:$E$46,$AG7/2)*INDEX($AE$7:$AE$16,BA$2))+INDEX($X$7:$X$16,BA$2)</f>
        <v>108.92948756157274</v>
      </c>
    </row>
    <row r="8" spans="2:53" x14ac:dyDescent="0.25">
      <c r="B8" s="3">
        <v>9</v>
      </c>
      <c r="C8" s="3">
        <f t="shared" ref="C8:C46" si="23">RADIANS(B8)</f>
        <v>0.15707963267948966</v>
      </c>
      <c r="D8" s="3">
        <f t="shared" ref="D8:D46" si="24">SIN($C8)</f>
        <v>0.15643446504023087</v>
      </c>
      <c r="E8" s="3">
        <f t="shared" ref="E8:E46" si="25">COS($C8)</f>
        <v>0.98768834059513777</v>
      </c>
      <c r="R8" s="3" t="s">
        <v>15</v>
      </c>
      <c r="S8" s="3">
        <v>120</v>
      </c>
      <c r="T8" s="3">
        <v>0</v>
      </c>
      <c r="U8" s="3">
        <v>98</v>
      </c>
      <c r="V8" s="3">
        <v>80</v>
      </c>
      <c r="W8" s="4">
        <f t="shared" ref="W8:W16" si="26">V8*SIN(RADIANS(90-U8))+S8</f>
        <v>108.86615192319476</v>
      </c>
      <c r="X8" s="4">
        <f t="shared" ref="X8:X16" si="27">V8*COS(RADIANS(90-U8))+T8</f>
        <v>79.221445499325625</v>
      </c>
      <c r="Y8" s="5">
        <v>0</v>
      </c>
      <c r="Z8" s="3">
        <f t="shared" ref="Z8:Z16" si="28">V8*Y8</f>
        <v>0</v>
      </c>
      <c r="AA8" s="4">
        <f>Z8*SIN(RADIANS(90-U8))+S8</f>
        <v>120</v>
      </c>
      <c r="AB8" s="4">
        <f t="shared" ref="AB8:AB16" si="29">Z8*COS(RADIANS(90-U8))+T8</f>
        <v>0</v>
      </c>
      <c r="AC8" s="3">
        <v>15</v>
      </c>
      <c r="AD8" s="6">
        <v>0</v>
      </c>
      <c r="AE8" s="3">
        <f t="shared" ref="AE8:AE16" si="30">AC8*AD8</f>
        <v>0</v>
      </c>
      <c r="AG8" s="3">
        <v>2</v>
      </c>
      <c r="AH8" s="3">
        <f t="shared" ref="AH8:AH71" si="31">IF(MOD($AG8,2)=1,0,INDEX($D$7:$D$46,$AG8/2)*INDEX($AE$7:$AE$16,AH$2))+INDEX($W$7:$W$16,AH$2)</f>
        <v>41.772970603970094</v>
      </c>
      <c r="AI8" s="3">
        <f t="shared" ref="AI8:AI71" si="32">IF(MOD($AG8,2)=1,0,INDEX($E$7:$E$46,$AG8/2)*INDEX($AE$7:$AE$16,AI$2))+INDEX($X$7:$X$16,AI$2)</f>
        <v>87.326615364839682</v>
      </c>
      <c r="AJ8" s="3">
        <f t="shared" ref="AJ8:AJ71" si="33">IF(MOD($AG8,2)=1,0,INDEX($D$7:$D$46,$AG8/2)*INDEX($AE$7:$AE$16,AJ$2))+INDEX($W$7:$W$16,AJ$2)</f>
        <v>108.86615192319476</v>
      </c>
      <c r="AK8" s="3">
        <f t="shared" ref="AK8:AK71" si="34">IF(MOD($AG8,2)=1,0,INDEX($E$7:$E$46,$AG8/2)*INDEX($AE$7:$AE$16,AK$2))+INDEX($X$7:$X$16,AK$2)</f>
        <v>79.221445499325625</v>
      </c>
      <c r="AL8" s="3">
        <f t="shared" si="7"/>
        <v>17.798196015327857</v>
      </c>
      <c r="AM8" s="3">
        <f t="shared" si="8"/>
        <v>139.46725773284439</v>
      </c>
      <c r="AN8" s="3">
        <f t="shared" si="9"/>
        <v>0.59243830591118751</v>
      </c>
      <c r="AO8" s="3">
        <f t="shared" si="10"/>
        <v>89.506970583144593</v>
      </c>
      <c r="AP8" s="3">
        <f t="shared" si="11"/>
        <v>74.186876499435513</v>
      </c>
      <c r="AQ8" s="3">
        <f t="shared" si="12"/>
        <v>79.890362780365905</v>
      </c>
      <c r="AR8" s="3">
        <f t="shared" si="13"/>
        <v>100</v>
      </c>
      <c r="AS8" s="3">
        <f t="shared" si="14"/>
        <v>140</v>
      </c>
      <c r="AT8" s="3">
        <f t="shared" si="15"/>
        <v>112.54341559211842</v>
      </c>
      <c r="AU8" s="3">
        <f t="shared" si="16"/>
        <v>119.3426274441928</v>
      </c>
      <c r="AV8" s="3">
        <f t="shared" si="17"/>
        <v>52.201803984672139</v>
      </c>
      <c r="AW8" s="3">
        <f t="shared" si="18"/>
        <v>139.46725773284439</v>
      </c>
      <c r="AX8" s="3">
        <f t="shared" si="19"/>
        <v>16.353524136672306</v>
      </c>
      <c r="AY8" s="3">
        <f t="shared" si="20"/>
        <v>125.57035741757888</v>
      </c>
      <c r="AZ8" s="3">
        <f t="shared" si="21"/>
        <v>44.6909588943928</v>
      </c>
      <c r="BA8" s="3">
        <f t="shared" si="22"/>
        <v>108.92948756157274</v>
      </c>
    </row>
    <row r="9" spans="2:53" x14ac:dyDescent="0.25">
      <c r="B9" s="3">
        <v>18</v>
      </c>
      <c r="C9" s="3">
        <f t="shared" si="23"/>
        <v>0.31415926535897931</v>
      </c>
      <c r="D9" s="3">
        <f t="shared" si="24"/>
        <v>0.3090169943749474</v>
      </c>
      <c r="E9" s="3">
        <f t="shared" si="25"/>
        <v>0.95105651629515353</v>
      </c>
      <c r="R9" s="3" t="s">
        <v>16</v>
      </c>
      <c r="S9" s="3">
        <v>30</v>
      </c>
      <c r="T9" s="3">
        <v>0</v>
      </c>
      <c r="U9" s="3">
        <v>95</v>
      </c>
      <c r="V9" s="3">
        <v>140</v>
      </c>
      <c r="W9" s="4">
        <f t="shared" si="26"/>
        <v>17.798196015327857</v>
      </c>
      <c r="X9" s="4">
        <f t="shared" si="27"/>
        <v>139.46725773284439</v>
      </c>
      <c r="Y9" s="5">
        <v>0</v>
      </c>
      <c r="Z9" s="3">
        <f t="shared" si="28"/>
        <v>0</v>
      </c>
      <c r="AA9" s="4">
        <f>Z9*SIN(RADIANS(90-U9))+S9</f>
        <v>30</v>
      </c>
      <c r="AB9" s="4">
        <f t="shared" si="29"/>
        <v>0</v>
      </c>
      <c r="AC9" s="3">
        <v>20</v>
      </c>
      <c r="AD9" s="6">
        <v>0</v>
      </c>
      <c r="AE9" s="3">
        <f t="shared" si="30"/>
        <v>0</v>
      </c>
      <c r="AG9" s="3">
        <v>3</v>
      </c>
      <c r="AH9" s="3">
        <f t="shared" si="31"/>
        <v>41.772970603970094</v>
      </c>
      <c r="AI9" s="3">
        <f t="shared" si="32"/>
        <v>87.326615364839682</v>
      </c>
      <c r="AJ9" s="3">
        <f t="shared" si="33"/>
        <v>108.86615192319476</v>
      </c>
      <c r="AK9" s="3">
        <f t="shared" si="34"/>
        <v>79.221445499325625</v>
      </c>
      <c r="AL9" s="3">
        <f t="shared" si="7"/>
        <v>17.798196015327857</v>
      </c>
      <c r="AM9" s="3">
        <f t="shared" si="8"/>
        <v>139.46725773284439</v>
      </c>
      <c r="AN9" s="3">
        <f t="shared" si="9"/>
        <v>0.59243830591118751</v>
      </c>
      <c r="AO9" s="3">
        <f t="shared" si="10"/>
        <v>89.506970583144593</v>
      </c>
      <c r="AP9" s="3">
        <f t="shared" si="11"/>
        <v>74.186876499435513</v>
      </c>
      <c r="AQ9" s="3">
        <f t="shared" si="12"/>
        <v>79.890362780365905</v>
      </c>
      <c r="AR9" s="3">
        <f t="shared" si="13"/>
        <v>100</v>
      </c>
      <c r="AS9" s="3">
        <f t="shared" si="14"/>
        <v>140</v>
      </c>
      <c r="AT9" s="3">
        <f t="shared" si="15"/>
        <v>112.54341559211842</v>
      </c>
      <c r="AU9" s="3">
        <f t="shared" si="16"/>
        <v>119.3426274441928</v>
      </c>
      <c r="AV9" s="3">
        <f t="shared" si="17"/>
        <v>52.201803984672139</v>
      </c>
      <c r="AW9" s="3">
        <f t="shared" si="18"/>
        <v>139.46725773284439</v>
      </c>
      <c r="AX9" s="3">
        <f t="shared" si="19"/>
        <v>16.353524136672306</v>
      </c>
      <c r="AY9" s="3">
        <f t="shared" si="20"/>
        <v>125.57035741757888</v>
      </c>
      <c r="AZ9" s="3">
        <f t="shared" si="21"/>
        <v>44.6909588943928</v>
      </c>
      <c r="BA9" s="3">
        <f t="shared" si="22"/>
        <v>108.92948756157274</v>
      </c>
    </row>
    <row r="10" spans="2:53" x14ac:dyDescent="0.25">
      <c r="B10" s="3">
        <v>27</v>
      </c>
      <c r="C10" s="3">
        <f t="shared" si="23"/>
        <v>0.47123889803846897</v>
      </c>
      <c r="D10" s="3">
        <f t="shared" si="24"/>
        <v>0.45399049973954675</v>
      </c>
      <c r="E10" s="3">
        <f t="shared" si="25"/>
        <v>0.8910065241883679</v>
      </c>
      <c r="R10" s="3" t="s">
        <v>17</v>
      </c>
      <c r="S10" s="3">
        <v>10</v>
      </c>
      <c r="T10" s="3">
        <v>0</v>
      </c>
      <c r="U10" s="3">
        <v>96</v>
      </c>
      <c r="V10" s="3">
        <v>90</v>
      </c>
      <c r="W10" s="4">
        <f t="shared" si="26"/>
        <v>0.59243830591118751</v>
      </c>
      <c r="X10" s="4">
        <f t="shared" si="27"/>
        <v>89.506970583144593</v>
      </c>
      <c r="Y10" s="5">
        <v>0</v>
      </c>
      <c r="Z10" s="3">
        <f t="shared" si="28"/>
        <v>0</v>
      </c>
      <c r="AA10" s="4">
        <f>Z10*SIN(RADIANS(90-U10))+S10</f>
        <v>10</v>
      </c>
      <c r="AB10" s="4">
        <f t="shared" si="29"/>
        <v>0</v>
      </c>
      <c r="AC10" s="3">
        <v>15</v>
      </c>
      <c r="AD10" s="6">
        <v>0</v>
      </c>
      <c r="AE10" s="3">
        <f t="shared" si="30"/>
        <v>0</v>
      </c>
      <c r="AG10" s="3">
        <v>4</v>
      </c>
      <c r="AH10" s="3">
        <f t="shared" si="31"/>
        <v>41.772970603970094</v>
      </c>
      <c r="AI10" s="3">
        <f t="shared" si="32"/>
        <v>87.326615364839682</v>
      </c>
      <c r="AJ10" s="3">
        <f t="shared" si="33"/>
        <v>108.86615192319476</v>
      </c>
      <c r="AK10" s="3">
        <f t="shared" si="34"/>
        <v>79.221445499325625</v>
      </c>
      <c r="AL10" s="3">
        <f t="shared" si="7"/>
        <v>17.798196015327857</v>
      </c>
      <c r="AM10" s="3">
        <f t="shared" si="8"/>
        <v>139.46725773284439</v>
      </c>
      <c r="AN10" s="3">
        <f t="shared" si="9"/>
        <v>0.59243830591118751</v>
      </c>
      <c r="AO10" s="3">
        <f t="shared" si="10"/>
        <v>89.506970583144593</v>
      </c>
      <c r="AP10" s="3">
        <f t="shared" si="11"/>
        <v>74.186876499435513</v>
      </c>
      <c r="AQ10" s="3">
        <f t="shared" si="12"/>
        <v>79.890362780365905</v>
      </c>
      <c r="AR10" s="3">
        <f t="shared" si="13"/>
        <v>100</v>
      </c>
      <c r="AS10" s="3">
        <f t="shared" si="14"/>
        <v>140</v>
      </c>
      <c r="AT10" s="3">
        <f t="shared" si="15"/>
        <v>112.54341559211842</v>
      </c>
      <c r="AU10" s="3">
        <f t="shared" si="16"/>
        <v>119.3426274441928</v>
      </c>
      <c r="AV10" s="3">
        <f t="shared" si="17"/>
        <v>52.201803984672139</v>
      </c>
      <c r="AW10" s="3">
        <f t="shared" si="18"/>
        <v>139.46725773284439</v>
      </c>
      <c r="AX10" s="3">
        <f t="shared" si="19"/>
        <v>16.353524136672306</v>
      </c>
      <c r="AY10" s="3">
        <f t="shared" si="20"/>
        <v>125.57035741757888</v>
      </c>
      <c r="AZ10" s="3">
        <f t="shared" si="21"/>
        <v>44.6909588943928</v>
      </c>
      <c r="BA10" s="3">
        <f t="shared" si="22"/>
        <v>108.92948756157274</v>
      </c>
    </row>
    <row r="11" spans="2:53" x14ac:dyDescent="0.25">
      <c r="B11" s="3">
        <v>36</v>
      </c>
      <c r="C11" s="3">
        <f t="shared" si="23"/>
        <v>0.62831853071795862</v>
      </c>
      <c r="D11" s="3">
        <f t="shared" si="24"/>
        <v>0.58778525229247314</v>
      </c>
      <c r="E11" s="3">
        <f t="shared" si="25"/>
        <v>0.80901699437494745</v>
      </c>
      <c r="R11" s="3" t="s">
        <v>18</v>
      </c>
      <c r="S11" s="3">
        <v>70</v>
      </c>
      <c r="T11" s="3">
        <v>0</v>
      </c>
      <c r="U11" s="3">
        <v>87</v>
      </c>
      <c r="V11" s="3">
        <v>80</v>
      </c>
      <c r="W11" s="4">
        <f t="shared" si="26"/>
        <v>74.186876499435513</v>
      </c>
      <c r="X11" s="4">
        <f t="shared" si="27"/>
        <v>79.890362780365905</v>
      </c>
      <c r="Y11" s="5">
        <v>0</v>
      </c>
      <c r="Z11" s="3">
        <f t="shared" si="28"/>
        <v>0</v>
      </c>
      <c r="AA11" s="4">
        <f>Z11*SIN(RADIANS(90-U11))+S11</f>
        <v>70</v>
      </c>
      <c r="AB11" s="4">
        <f t="shared" si="29"/>
        <v>0</v>
      </c>
      <c r="AC11" s="3">
        <v>25</v>
      </c>
      <c r="AD11" s="6">
        <v>0</v>
      </c>
      <c r="AE11" s="3">
        <f t="shared" si="30"/>
        <v>0</v>
      </c>
      <c r="AG11" s="3">
        <v>5</v>
      </c>
      <c r="AH11" s="3">
        <f t="shared" si="31"/>
        <v>41.772970603970094</v>
      </c>
      <c r="AI11" s="3">
        <f t="shared" si="32"/>
        <v>87.326615364839682</v>
      </c>
      <c r="AJ11" s="3">
        <f t="shared" si="33"/>
        <v>108.86615192319476</v>
      </c>
      <c r="AK11" s="3">
        <f t="shared" si="34"/>
        <v>79.221445499325625</v>
      </c>
      <c r="AL11" s="3">
        <f t="shared" si="7"/>
        <v>17.798196015327857</v>
      </c>
      <c r="AM11" s="3">
        <f t="shared" si="8"/>
        <v>139.46725773284439</v>
      </c>
      <c r="AN11" s="3">
        <f t="shared" si="9"/>
        <v>0.59243830591118751</v>
      </c>
      <c r="AO11" s="3">
        <f t="shared" si="10"/>
        <v>89.506970583144593</v>
      </c>
      <c r="AP11" s="3">
        <f t="shared" si="11"/>
        <v>74.186876499435513</v>
      </c>
      <c r="AQ11" s="3">
        <f t="shared" si="12"/>
        <v>79.890362780365905</v>
      </c>
      <c r="AR11" s="3">
        <f t="shared" si="13"/>
        <v>100</v>
      </c>
      <c r="AS11" s="3">
        <f t="shared" si="14"/>
        <v>140</v>
      </c>
      <c r="AT11" s="3">
        <f t="shared" si="15"/>
        <v>112.54341559211842</v>
      </c>
      <c r="AU11" s="3">
        <f t="shared" si="16"/>
        <v>119.3426274441928</v>
      </c>
      <c r="AV11" s="3">
        <f t="shared" si="17"/>
        <v>52.201803984672139</v>
      </c>
      <c r="AW11" s="3">
        <f t="shared" si="18"/>
        <v>139.46725773284439</v>
      </c>
      <c r="AX11" s="3">
        <f t="shared" si="19"/>
        <v>16.353524136672306</v>
      </c>
      <c r="AY11" s="3">
        <f t="shared" si="20"/>
        <v>125.57035741757888</v>
      </c>
      <c r="AZ11" s="3">
        <f t="shared" si="21"/>
        <v>44.6909588943928</v>
      </c>
      <c r="BA11" s="3">
        <f t="shared" si="22"/>
        <v>108.92948756157274</v>
      </c>
    </row>
    <row r="12" spans="2:53" x14ac:dyDescent="0.25">
      <c r="B12" s="3">
        <v>45</v>
      </c>
      <c r="C12" s="3">
        <f t="shared" si="23"/>
        <v>0.78539816339744828</v>
      </c>
      <c r="D12" s="3">
        <f t="shared" si="24"/>
        <v>0.70710678118654746</v>
      </c>
      <c r="E12" s="3">
        <f t="shared" si="25"/>
        <v>0.70710678118654757</v>
      </c>
      <c r="R12" s="3" t="s">
        <v>19</v>
      </c>
      <c r="S12" s="3">
        <v>100</v>
      </c>
      <c r="T12" s="3">
        <v>0</v>
      </c>
      <c r="U12" s="3">
        <v>90</v>
      </c>
      <c r="V12" s="3">
        <v>140</v>
      </c>
      <c r="W12" s="4">
        <f t="shared" si="26"/>
        <v>100</v>
      </c>
      <c r="X12" s="4">
        <f t="shared" si="27"/>
        <v>140</v>
      </c>
      <c r="Y12" s="5">
        <v>0</v>
      </c>
      <c r="Z12" s="3">
        <f t="shared" si="28"/>
        <v>0</v>
      </c>
      <c r="AA12" s="4">
        <f>Z12*SIN(RADIANS(90-U12))+S12</f>
        <v>100</v>
      </c>
      <c r="AB12" s="4">
        <f t="shared" si="29"/>
        <v>0</v>
      </c>
      <c r="AC12" s="3">
        <v>25</v>
      </c>
      <c r="AD12" s="6">
        <v>0</v>
      </c>
      <c r="AE12" s="3">
        <f t="shared" si="30"/>
        <v>0</v>
      </c>
      <c r="AG12" s="3">
        <v>6</v>
      </c>
      <c r="AH12" s="3">
        <f t="shared" si="31"/>
        <v>41.772970603970094</v>
      </c>
      <c r="AI12" s="3">
        <f t="shared" si="32"/>
        <v>87.326615364839682</v>
      </c>
      <c r="AJ12" s="3">
        <f t="shared" si="33"/>
        <v>108.86615192319476</v>
      </c>
      <c r="AK12" s="3">
        <f t="shared" si="34"/>
        <v>79.221445499325625</v>
      </c>
      <c r="AL12" s="3">
        <f t="shared" si="7"/>
        <v>17.798196015327857</v>
      </c>
      <c r="AM12" s="3">
        <f t="shared" si="8"/>
        <v>139.46725773284439</v>
      </c>
      <c r="AN12" s="3">
        <f t="shared" si="9"/>
        <v>0.59243830591118751</v>
      </c>
      <c r="AO12" s="3">
        <f t="shared" si="10"/>
        <v>89.506970583144593</v>
      </c>
      <c r="AP12" s="3">
        <f t="shared" si="11"/>
        <v>74.186876499435513</v>
      </c>
      <c r="AQ12" s="3">
        <f t="shared" si="12"/>
        <v>79.890362780365905</v>
      </c>
      <c r="AR12" s="3">
        <f t="shared" si="13"/>
        <v>100</v>
      </c>
      <c r="AS12" s="3">
        <f t="shared" si="14"/>
        <v>140</v>
      </c>
      <c r="AT12" s="3">
        <f t="shared" si="15"/>
        <v>112.54341559211842</v>
      </c>
      <c r="AU12" s="3">
        <f t="shared" si="16"/>
        <v>119.3426274441928</v>
      </c>
      <c r="AV12" s="3">
        <f t="shared" si="17"/>
        <v>52.201803984672139</v>
      </c>
      <c r="AW12" s="3">
        <f t="shared" si="18"/>
        <v>139.46725773284439</v>
      </c>
      <c r="AX12" s="3">
        <f t="shared" si="19"/>
        <v>16.353524136672306</v>
      </c>
      <c r="AY12" s="3">
        <f t="shared" si="20"/>
        <v>125.57035741757888</v>
      </c>
      <c r="AZ12" s="3">
        <f t="shared" si="21"/>
        <v>44.6909588943928</v>
      </c>
      <c r="BA12" s="3">
        <f t="shared" si="22"/>
        <v>108.92948756157274</v>
      </c>
    </row>
    <row r="13" spans="2:53" x14ac:dyDescent="0.25">
      <c r="B13" s="3">
        <v>54</v>
      </c>
      <c r="C13" s="3">
        <f t="shared" si="23"/>
        <v>0.94247779607693793</v>
      </c>
      <c r="D13" s="3">
        <f t="shared" si="24"/>
        <v>0.80901699437494745</v>
      </c>
      <c r="E13" s="3">
        <f t="shared" si="25"/>
        <v>0.58778525229247314</v>
      </c>
      <c r="R13" s="3" t="s">
        <v>20</v>
      </c>
      <c r="S13" s="3">
        <v>100</v>
      </c>
      <c r="T13" s="3">
        <v>0</v>
      </c>
      <c r="U13" s="3">
        <v>84</v>
      </c>
      <c r="V13" s="3">
        <v>120</v>
      </c>
      <c r="W13" s="4">
        <f t="shared" si="26"/>
        <v>112.54341559211842</v>
      </c>
      <c r="X13" s="4">
        <f t="shared" si="27"/>
        <v>119.3426274441928</v>
      </c>
      <c r="Y13" s="5">
        <v>0</v>
      </c>
      <c r="Z13" s="3">
        <f t="shared" si="28"/>
        <v>0</v>
      </c>
      <c r="AA13" s="4">
        <f>Z13*SIN(RADIANS(90-U13))+S13</f>
        <v>100</v>
      </c>
      <c r="AB13" s="4">
        <f t="shared" si="29"/>
        <v>0</v>
      </c>
      <c r="AC13" s="3">
        <v>35</v>
      </c>
      <c r="AD13" s="6">
        <v>0</v>
      </c>
      <c r="AE13" s="3">
        <f t="shared" si="30"/>
        <v>0</v>
      </c>
      <c r="AG13" s="3">
        <v>7</v>
      </c>
      <c r="AH13" s="3">
        <f t="shared" si="31"/>
        <v>41.772970603970094</v>
      </c>
      <c r="AI13" s="3">
        <f t="shared" si="32"/>
        <v>87.326615364839682</v>
      </c>
      <c r="AJ13" s="3">
        <f t="shared" si="33"/>
        <v>108.86615192319476</v>
      </c>
      <c r="AK13" s="3">
        <f t="shared" si="34"/>
        <v>79.221445499325625</v>
      </c>
      <c r="AL13" s="3">
        <f t="shared" si="7"/>
        <v>17.798196015327857</v>
      </c>
      <c r="AM13" s="3">
        <f t="shared" si="8"/>
        <v>139.46725773284439</v>
      </c>
      <c r="AN13" s="3">
        <f t="shared" si="9"/>
        <v>0.59243830591118751</v>
      </c>
      <c r="AO13" s="3">
        <f t="shared" si="10"/>
        <v>89.506970583144593</v>
      </c>
      <c r="AP13" s="3">
        <f t="shared" si="11"/>
        <v>74.186876499435513</v>
      </c>
      <c r="AQ13" s="3">
        <f t="shared" si="12"/>
        <v>79.890362780365905</v>
      </c>
      <c r="AR13" s="3">
        <f t="shared" si="13"/>
        <v>100</v>
      </c>
      <c r="AS13" s="3">
        <f t="shared" si="14"/>
        <v>140</v>
      </c>
      <c r="AT13" s="3">
        <f t="shared" si="15"/>
        <v>112.54341559211842</v>
      </c>
      <c r="AU13" s="3">
        <f t="shared" si="16"/>
        <v>119.3426274441928</v>
      </c>
      <c r="AV13" s="3">
        <f t="shared" si="17"/>
        <v>52.201803984672139</v>
      </c>
      <c r="AW13" s="3">
        <f t="shared" si="18"/>
        <v>139.46725773284439</v>
      </c>
      <c r="AX13" s="3">
        <f t="shared" si="19"/>
        <v>16.353524136672306</v>
      </c>
      <c r="AY13" s="3">
        <f t="shared" si="20"/>
        <v>125.57035741757888</v>
      </c>
      <c r="AZ13" s="3">
        <f t="shared" si="21"/>
        <v>44.6909588943928</v>
      </c>
      <c r="BA13" s="3">
        <f t="shared" si="22"/>
        <v>108.92948756157274</v>
      </c>
    </row>
    <row r="14" spans="2:53" x14ac:dyDescent="0.25">
      <c r="B14" s="3">
        <v>63</v>
      </c>
      <c r="C14" s="3">
        <f t="shared" si="23"/>
        <v>1.0995574287564276</v>
      </c>
      <c r="D14" s="3">
        <f t="shared" si="24"/>
        <v>0.89100652418836779</v>
      </c>
      <c r="E14" s="3">
        <f t="shared" si="25"/>
        <v>0.4539904997395468</v>
      </c>
      <c r="R14" s="3" t="s">
        <v>21</v>
      </c>
      <c r="S14" s="3">
        <v>40</v>
      </c>
      <c r="T14" s="3">
        <v>0</v>
      </c>
      <c r="U14" s="3">
        <v>85</v>
      </c>
      <c r="V14" s="3">
        <v>140</v>
      </c>
      <c r="W14" s="4">
        <f t="shared" si="26"/>
        <v>52.201803984672139</v>
      </c>
      <c r="X14" s="4">
        <f t="shared" si="27"/>
        <v>139.46725773284439</v>
      </c>
      <c r="Y14" s="5">
        <v>0</v>
      </c>
      <c r="Z14" s="3">
        <f t="shared" si="28"/>
        <v>0</v>
      </c>
      <c r="AA14" s="4">
        <f>Z14*SIN(RADIANS(90-U14))+S14</f>
        <v>40</v>
      </c>
      <c r="AB14" s="4">
        <f t="shared" si="29"/>
        <v>0</v>
      </c>
      <c r="AC14" s="3">
        <v>15</v>
      </c>
      <c r="AD14" s="6">
        <v>0</v>
      </c>
      <c r="AE14" s="3">
        <f t="shared" si="30"/>
        <v>0</v>
      </c>
      <c r="AG14" s="3">
        <v>8</v>
      </c>
      <c r="AH14" s="3">
        <f t="shared" si="31"/>
        <v>41.772970603970094</v>
      </c>
      <c r="AI14" s="3">
        <f t="shared" si="32"/>
        <v>87.326615364839682</v>
      </c>
      <c r="AJ14" s="3">
        <f t="shared" si="33"/>
        <v>108.86615192319476</v>
      </c>
      <c r="AK14" s="3">
        <f t="shared" si="34"/>
        <v>79.221445499325625</v>
      </c>
      <c r="AL14" s="3">
        <f t="shared" si="7"/>
        <v>17.798196015327857</v>
      </c>
      <c r="AM14" s="3">
        <f t="shared" si="8"/>
        <v>139.46725773284439</v>
      </c>
      <c r="AN14" s="3">
        <f t="shared" si="9"/>
        <v>0.59243830591118751</v>
      </c>
      <c r="AO14" s="3">
        <f t="shared" si="10"/>
        <v>89.506970583144593</v>
      </c>
      <c r="AP14" s="3">
        <f t="shared" si="11"/>
        <v>74.186876499435513</v>
      </c>
      <c r="AQ14" s="3">
        <f t="shared" si="12"/>
        <v>79.890362780365905</v>
      </c>
      <c r="AR14" s="3">
        <f t="shared" si="13"/>
        <v>100</v>
      </c>
      <c r="AS14" s="3">
        <f t="shared" si="14"/>
        <v>140</v>
      </c>
      <c r="AT14" s="3">
        <f t="shared" si="15"/>
        <v>112.54341559211842</v>
      </c>
      <c r="AU14" s="3">
        <f t="shared" si="16"/>
        <v>119.3426274441928</v>
      </c>
      <c r="AV14" s="3">
        <f t="shared" si="17"/>
        <v>52.201803984672139</v>
      </c>
      <c r="AW14" s="3">
        <f t="shared" si="18"/>
        <v>139.46725773284439</v>
      </c>
      <c r="AX14" s="3">
        <f t="shared" si="19"/>
        <v>16.353524136672306</v>
      </c>
      <c r="AY14" s="3">
        <f t="shared" si="20"/>
        <v>125.57035741757888</v>
      </c>
      <c r="AZ14" s="3">
        <f t="shared" si="21"/>
        <v>44.6909588943928</v>
      </c>
      <c r="BA14" s="3">
        <f t="shared" si="22"/>
        <v>108.92948756157274</v>
      </c>
    </row>
    <row r="15" spans="2:53" x14ac:dyDescent="0.25">
      <c r="B15" s="3">
        <v>72</v>
      </c>
      <c r="C15" s="3">
        <f t="shared" si="23"/>
        <v>1.2566370614359172</v>
      </c>
      <c r="D15" s="3">
        <f t="shared" si="24"/>
        <v>0.95105651629515353</v>
      </c>
      <c r="E15" s="3">
        <f t="shared" si="25"/>
        <v>0.30901699437494745</v>
      </c>
      <c r="R15" s="3" t="s">
        <v>22</v>
      </c>
      <c r="S15" s="3">
        <v>50</v>
      </c>
      <c r="T15" s="3">
        <v>0</v>
      </c>
      <c r="U15" s="3">
        <v>105</v>
      </c>
      <c r="V15" s="3">
        <v>130</v>
      </c>
      <c r="W15" s="4">
        <f t="shared" si="26"/>
        <v>16.353524136672306</v>
      </c>
      <c r="X15" s="4">
        <f t="shared" si="27"/>
        <v>125.57035741757888</v>
      </c>
      <c r="Y15" s="5">
        <v>0</v>
      </c>
      <c r="Z15" s="3">
        <f t="shared" si="28"/>
        <v>0</v>
      </c>
      <c r="AA15" s="4">
        <f>Z15*SIN(RADIANS(90-U15))+S15</f>
        <v>50</v>
      </c>
      <c r="AB15" s="4">
        <f t="shared" si="29"/>
        <v>0</v>
      </c>
      <c r="AC15" s="3">
        <v>25</v>
      </c>
      <c r="AD15" s="6">
        <v>0</v>
      </c>
      <c r="AE15" s="3">
        <f t="shared" si="30"/>
        <v>0</v>
      </c>
      <c r="AG15" s="3">
        <v>9</v>
      </c>
      <c r="AH15" s="3">
        <f t="shared" si="31"/>
        <v>41.772970603970094</v>
      </c>
      <c r="AI15" s="3">
        <f t="shared" si="32"/>
        <v>87.326615364839682</v>
      </c>
      <c r="AJ15" s="3">
        <f t="shared" si="33"/>
        <v>108.86615192319476</v>
      </c>
      <c r="AK15" s="3">
        <f t="shared" si="34"/>
        <v>79.221445499325625</v>
      </c>
      <c r="AL15" s="3">
        <f t="shared" si="7"/>
        <v>17.798196015327857</v>
      </c>
      <c r="AM15" s="3">
        <f t="shared" si="8"/>
        <v>139.46725773284439</v>
      </c>
      <c r="AN15" s="3">
        <f t="shared" si="9"/>
        <v>0.59243830591118751</v>
      </c>
      <c r="AO15" s="3">
        <f t="shared" si="10"/>
        <v>89.506970583144593</v>
      </c>
      <c r="AP15" s="3">
        <f t="shared" si="11"/>
        <v>74.186876499435513</v>
      </c>
      <c r="AQ15" s="3">
        <f t="shared" si="12"/>
        <v>79.890362780365905</v>
      </c>
      <c r="AR15" s="3">
        <f t="shared" si="13"/>
        <v>100</v>
      </c>
      <c r="AS15" s="3">
        <f t="shared" si="14"/>
        <v>140</v>
      </c>
      <c r="AT15" s="3">
        <f t="shared" si="15"/>
        <v>112.54341559211842</v>
      </c>
      <c r="AU15" s="3">
        <f t="shared" si="16"/>
        <v>119.3426274441928</v>
      </c>
      <c r="AV15" s="3">
        <f t="shared" si="17"/>
        <v>52.201803984672139</v>
      </c>
      <c r="AW15" s="3">
        <f t="shared" si="18"/>
        <v>139.46725773284439</v>
      </c>
      <c r="AX15" s="3">
        <f t="shared" si="19"/>
        <v>16.353524136672306</v>
      </c>
      <c r="AY15" s="3">
        <f t="shared" si="20"/>
        <v>125.57035741757888</v>
      </c>
      <c r="AZ15" s="3">
        <f t="shared" si="21"/>
        <v>44.6909588943928</v>
      </c>
      <c r="BA15" s="3">
        <f t="shared" si="22"/>
        <v>108.92948756157274</v>
      </c>
    </row>
    <row r="16" spans="2:53" x14ac:dyDescent="0.25">
      <c r="B16" s="3">
        <v>81</v>
      </c>
      <c r="C16" s="3">
        <f t="shared" si="23"/>
        <v>1.4137166941154069</v>
      </c>
      <c r="D16" s="3">
        <f t="shared" si="24"/>
        <v>0.98768834059513777</v>
      </c>
      <c r="E16" s="3">
        <f t="shared" si="25"/>
        <v>0.15643446504023092</v>
      </c>
      <c r="R16" s="3" t="s">
        <v>23</v>
      </c>
      <c r="S16" s="3">
        <v>60</v>
      </c>
      <c r="T16" s="3">
        <v>0</v>
      </c>
      <c r="U16" s="3">
        <v>98</v>
      </c>
      <c r="V16" s="3">
        <v>110</v>
      </c>
      <c r="W16" s="4">
        <f t="shared" si="26"/>
        <v>44.6909588943928</v>
      </c>
      <c r="X16" s="4">
        <f t="shared" si="27"/>
        <v>108.92948756157274</v>
      </c>
      <c r="Y16" s="5">
        <v>0</v>
      </c>
      <c r="Z16" s="3">
        <f t="shared" si="28"/>
        <v>0</v>
      </c>
      <c r="AA16" s="4">
        <f>Z16*SIN(RADIANS(90-U16))+S16</f>
        <v>60</v>
      </c>
      <c r="AB16" s="4">
        <f t="shared" si="29"/>
        <v>0</v>
      </c>
      <c r="AC16" s="3">
        <v>25</v>
      </c>
      <c r="AD16" s="6">
        <v>0</v>
      </c>
      <c r="AE16" s="3">
        <f t="shared" si="30"/>
        <v>0</v>
      </c>
      <c r="AG16" s="3">
        <v>10</v>
      </c>
      <c r="AH16" s="3">
        <f t="shared" si="31"/>
        <v>41.772970603970094</v>
      </c>
      <c r="AI16" s="3">
        <f t="shared" si="32"/>
        <v>87.326615364839682</v>
      </c>
      <c r="AJ16" s="3">
        <f t="shared" si="33"/>
        <v>108.86615192319476</v>
      </c>
      <c r="AK16" s="3">
        <f t="shared" si="34"/>
        <v>79.221445499325625</v>
      </c>
      <c r="AL16" s="3">
        <f t="shared" si="7"/>
        <v>17.798196015327857</v>
      </c>
      <c r="AM16" s="3">
        <f t="shared" si="8"/>
        <v>139.46725773284439</v>
      </c>
      <c r="AN16" s="3">
        <f t="shared" si="9"/>
        <v>0.59243830591118751</v>
      </c>
      <c r="AO16" s="3">
        <f t="shared" si="10"/>
        <v>89.506970583144593</v>
      </c>
      <c r="AP16" s="3">
        <f t="shared" si="11"/>
        <v>74.186876499435513</v>
      </c>
      <c r="AQ16" s="3">
        <f t="shared" si="12"/>
        <v>79.890362780365905</v>
      </c>
      <c r="AR16" s="3">
        <f t="shared" si="13"/>
        <v>100</v>
      </c>
      <c r="AS16" s="3">
        <f t="shared" si="14"/>
        <v>140</v>
      </c>
      <c r="AT16" s="3">
        <f t="shared" si="15"/>
        <v>112.54341559211842</v>
      </c>
      <c r="AU16" s="3">
        <f t="shared" si="16"/>
        <v>119.3426274441928</v>
      </c>
      <c r="AV16" s="3">
        <f t="shared" si="17"/>
        <v>52.201803984672139</v>
      </c>
      <c r="AW16" s="3">
        <f t="shared" si="18"/>
        <v>139.46725773284439</v>
      </c>
      <c r="AX16" s="3">
        <f t="shared" si="19"/>
        <v>16.353524136672306</v>
      </c>
      <c r="AY16" s="3">
        <f t="shared" si="20"/>
        <v>125.57035741757888</v>
      </c>
      <c r="AZ16" s="3">
        <f t="shared" si="21"/>
        <v>44.6909588943928</v>
      </c>
      <c r="BA16" s="3">
        <f t="shared" si="22"/>
        <v>108.92948756157274</v>
      </c>
    </row>
    <row r="17" spans="2:53" x14ac:dyDescent="0.25">
      <c r="B17" s="3">
        <v>90</v>
      </c>
      <c r="C17" s="3">
        <f t="shared" si="23"/>
        <v>1.5707963267948966</v>
      </c>
      <c r="D17" s="3">
        <f t="shared" si="24"/>
        <v>1</v>
      </c>
      <c r="E17" s="3">
        <f t="shared" si="25"/>
        <v>6.1257422745431001E-17</v>
      </c>
      <c r="AG17" s="3">
        <v>11</v>
      </c>
      <c r="AH17" s="3">
        <f t="shared" si="31"/>
        <v>41.772970603970094</v>
      </c>
      <c r="AI17" s="3">
        <f t="shared" si="32"/>
        <v>87.326615364839682</v>
      </c>
      <c r="AJ17" s="3">
        <f t="shared" si="33"/>
        <v>108.86615192319476</v>
      </c>
      <c r="AK17" s="3">
        <f t="shared" si="34"/>
        <v>79.221445499325625</v>
      </c>
      <c r="AL17" s="3">
        <f t="shared" si="7"/>
        <v>17.798196015327857</v>
      </c>
      <c r="AM17" s="3">
        <f t="shared" si="8"/>
        <v>139.46725773284439</v>
      </c>
      <c r="AN17" s="3">
        <f t="shared" si="9"/>
        <v>0.59243830591118751</v>
      </c>
      <c r="AO17" s="3">
        <f t="shared" si="10"/>
        <v>89.506970583144593</v>
      </c>
      <c r="AP17" s="3">
        <f t="shared" si="11"/>
        <v>74.186876499435513</v>
      </c>
      <c r="AQ17" s="3">
        <f t="shared" si="12"/>
        <v>79.890362780365905</v>
      </c>
      <c r="AR17" s="3">
        <f t="shared" si="13"/>
        <v>100</v>
      </c>
      <c r="AS17" s="3">
        <f t="shared" si="14"/>
        <v>140</v>
      </c>
      <c r="AT17" s="3">
        <f t="shared" si="15"/>
        <v>112.54341559211842</v>
      </c>
      <c r="AU17" s="3">
        <f t="shared" si="16"/>
        <v>119.3426274441928</v>
      </c>
      <c r="AV17" s="3">
        <f t="shared" si="17"/>
        <v>52.201803984672139</v>
      </c>
      <c r="AW17" s="3">
        <f t="shared" si="18"/>
        <v>139.46725773284439</v>
      </c>
      <c r="AX17" s="3">
        <f t="shared" si="19"/>
        <v>16.353524136672306</v>
      </c>
      <c r="AY17" s="3">
        <f t="shared" si="20"/>
        <v>125.57035741757888</v>
      </c>
      <c r="AZ17" s="3">
        <f t="shared" si="21"/>
        <v>44.6909588943928</v>
      </c>
      <c r="BA17" s="3">
        <f t="shared" si="22"/>
        <v>108.92948756157274</v>
      </c>
    </row>
    <row r="18" spans="2:53" x14ac:dyDescent="0.25">
      <c r="B18" s="3">
        <v>99</v>
      </c>
      <c r="C18" s="3">
        <f t="shared" si="23"/>
        <v>1.7278759594743862</v>
      </c>
      <c r="D18" s="3">
        <f t="shared" si="24"/>
        <v>0.98768834059513777</v>
      </c>
      <c r="E18" s="3">
        <f t="shared" si="25"/>
        <v>-0.15643446504023081</v>
      </c>
      <c r="AG18" s="3">
        <v>12</v>
      </c>
      <c r="AH18" s="3">
        <f t="shared" si="31"/>
        <v>41.772970603970094</v>
      </c>
      <c r="AI18" s="3">
        <f t="shared" si="32"/>
        <v>87.326615364839682</v>
      </c>
      <c r="AJ18" s="3">
        <f t="shared" si="33"/>
        <v>108.86615192319476</v>
      </c>
      <c r="AK18" s="3">
        <f t="shared" si="34"/>
        <v>79.221445499325625</v>
      </c>
      <c r="AL18" s="3">
        <f t="shared" si="7"/>
        <v>17.798196015327857</v>
      </c>
      <c r="AM18" s="3">
        <f t="shared" si="8"/>
        <v>139.46725773284439</v>
      </c>
      <c r="AN18" s="3">
        <f t="shared" si="9"/>
        <v>0.59243830591118751</v>
      </c>
      <c r="AO18" s="3">
        <f t="shared" si="10"/>
        <v>89.506970583144593</v>
      </c>
      <c r="AP18" s="3">
        <f t="shared" si="11"/>
        <v>74.186876499435513</v>
      </c>
      <c r="AQ18" s="3">
        <f t="shared" si="12"/>
        <v>79.890362780365905</v>
      </c>
      <c r="AR18" s="3">
        <f t="shared" si="13"/>
        <v>100</v>
      </c>
      <c r="AS18" s="3">
        <f t="shared" si="14"/>
        <v>140</v>
      </c>
      <c r="AT18" s="3">
        <f t="shared" si="15"/>
        <v>112.54341559211842</v>
      </c>
      <c r="AU18" s="3">
        <f t="shared" si="16"/>
        <v>119.3426274441928</v>
      </c>
      <c r="AV18" s="3">
        <f t="shared" si="17"/>
        <v>52.201803984672139</v>
      </c>
      <c r="AW18" s="3">
        <f t="shared" si="18"/>
        <v>139.46725773284439</v>
      </c>
      <c r="AX18" s="3">
        <f t="shared" si="19"/>
        <v>16.353524136672306</v>
      </c>
      <c r="AY18" s="3">
        <f t="shared" si="20"/>
        <v>125.57035741757888</v>
      </c>
      <c r="AZ18" s="3">
        <f t="shared" si="21"/>
        <v>44.6909588943928</v>
      </c>
      <c r="BA18" s="3">
        <f t="shared" si="22"/>
        <v>108.92948756157274</v>
      </c>
    </row>
    <row r="19" spans="2:53" x14ac:dyDescent="0.25">
      <c r="B19" s="3">
        <v>108</v>
      </c>
      <c r="C19" s="3">
        <f t="shared" si="23"/>
        <v>1.8849555921538759</v>
      </c>
      <c r="D19" s="3">
        <f t="shared" si="24"/>
        <v>0.95105651629515364</v>
      </c>
      <c r="E19" s="3">
        <f t="shared" si="25"/>
        <v>-0.30901699437494734</v>
      </c>
      <c r="AG19" s="3">
        <v>13</v>
      </c>
      <c r="AH19" s="3">
        <f t="shared" si="31"/>
        <v>41.772970603970094</v>
      </c>
      <c r="AI19" s="3">
        <f t="shared" si="32"/>
        <v>87.326615364839682</v>
      </c>
      <c r="AJ19" s="3">
        <f t="shared" si="33"/>
        <v>108.86615192319476</v>
      </c>
      <c r="AK19" s="3">
        <f t="shared" si="34"/>
        <v>79.221445499325625</v>
      </c>
      <c r="AL19" s="3">
        <f t="shared" si="7"/>
        <v>17.798196015327857</v>
      </c>
      <c r="AM19" s="3">
        <f t="shared" si="8"/>
        <v>139.46725773284439</v>
      </c>
      <c r="AN19" s="3">
        <f t="shared" si="9"/>
        <v>0.59243830591118751</v>
      </c>
      <c r="AO19" s="3">
        <f t="shared" si="10"/>
        <v>89.506970583144593</v>
      </c>
      <c r="AP19" s="3">
        <f t="shared" si="11"/>
        <v>74.186876499435513</v>
      </c>
      <c r="AQ19" s="3">
        <f t="shared" si="12"/>
        <v>79.890362780365905</v>
      </c>
      <c r="AR19" s="3">
        <f t="shared" si="13"/>
        <v>100</v>
      </c>
      <c r="AS19" s="3">
        <f t="shared" si="14"/>
        <v>140</v>
      </c>
      <c r="AT19" s="3">
        <f t="shared" si="15"/>
        <v>112.54341559211842</v>
      </c>
      <c r="AU19" s="3">
        <f t="shared" si="16"/>
        <v>119.3426274441928</v>
      </c>
      <c r="AV19" s="3">
        <f t="shared" si="17"/>
        <v>52.201803984672139</v>
      </c>
      <c r="AW19" s="3">
        <f t="shared" si="18"/>
        <v>139.46725773284439</v>
      </c>
      <c r="AX19" s="3">
        <f t="shared" si="19"/>
        <v>16.353524136672306</v>
      </c>
      <c r="AY19" s="3">
        <f t="shared" si="20"/>
        <v>125.57035741757888</v>
      </c>
      <c r="AZ19" s="3">
        <f t="shared" si="21"/>
        <v>44.6909588943928</v>
      </c>
      <c r="BA19" s="3">
        <f t="shared" si="22"/>
        <v>108.92948756157274</v>
      </c>
    </row>
    <row r="20" spans="2:53" x14ac:dyDescent="0.25">
      <c r="B20" s="3">
        <v>117</v>
      </c>
      <c r="C20" s="3">
        <f t="shared" si="23"/>
        <v>2.0420352248333655</v>
      </c>
      <c r="D20" s="3">
        <f t="shared" si="24"/>
        <v>0.8910065241883679</v>
      </c>
      <c r="E20" s="3">
        <f t="shared" si="25"/>
        <v>-0.45399049973954669</v>
      </c>
      <c r="AG20" s="3">
        <v>14</v>
      </c>
      <c r="AH20" s="3">
        <f t="shared" si="31"/>
        <v>41.772970603970094</v>
      </c>
      <c r="AI20" s="3">
        <f t="shared" si="32"/>
        <v>87.326615364839682</v>
      </c>
      <c r="AJ20" s="3">
        <f t="shared" si="33"/>
        <v>108.86615192319476</v>
      </c>
      <c r="AK20" s="3">
        <f t="shared" si="34"/>
        <v>79.221445499325625</v>
      </c>
      <c r="AL20" s="3">
        <f t="shared" si="7"/>
        <v>17.798196015327857</v>
      </c>
      <c r="AM20" s="3">
        <f t="shared" si="8"/>
        <v>139.46725773284439</v>
      </c>
      <c r="AN20" s="3">
        <f t="shared" si="9"/>
        <v>0.59243830591118751</v>
      </c>
      <c r="AO20" s="3">
        <f t="shared" si="10"/>
        <v>89.506970583144593</v>
      </c>
      <c r="AP20" s="3">
        <f t="shared" si="11"/>
        <v>74.186876499435513</v>
      </c>
      <c r="AQ20" s="3">
        <f t="shared" si="12"/>
        <v>79.890362780365905</v>
      </c>
      <c r="AR20" s="3">
        <f t="shared" si="13"/>
        <v>100</v>
      </c>
      <c r="AS20" s="3">
        <f t="shared" si="14"/>
        <v>140</v>
      </c>
      <c r="AT20" s="3">
        <f t="shared" si="15"/>
        <v>112.54341559211842</v>
      </c>
      <c r="AU20" s="3">
        <f t="shared" si="16"/>
        <v>119.3426274441928</v>
      </c>
      <c r="AV20" s="3">
        <f t="shared" si="17"/>
        <v>52.201803984672139</v>
      </c>
      <c r="AW20" s="3">
        <f t="shared" si="18"/>
        <v>139.46725773284439</v>
      </c>
      <c r="AX20" s="3">
        <f t="shared" si="19"/>
        <v>16.353524136672306</v>
      </c>
      <c r="AY20" s="3">
        <f t="shared" si="20"/>
        <v>125.57035741757888</v>
      </c>
      <c r="AZ20" s="3">
        <f t="shared" si="21"/>
        <v>44.6909588943928</v>
      </c>
      <c r="BA20" s="3">
        <f t="shared" si="22"/>
        <v>108.92948756157274</v>
      </c>
    </row>
    <row r="21" spans="2:53" x14ac:dyDescent="0.25">
      <c r="B21" s="3">
        <v>126</v>
      </c>
      <c r="C21" s="3">
        <f t="shared" si="23"/>
        <v>2.1991148575128552</v>
      </c>
      <c r="D21" s="3">
        <f t="shared" si="24"/>
        <v>0.80901699437494745</v>
      </c>
      <c r="E21" s="3">
        <f t="shared" si="25"/>
        <v>-0.58778525229247303</v>
      </c>
      <c r="AG21" s="3">
        <v>15</v>
      </c>
      <c r="AH21" s="3">
        <f t="shared" si="31"/>
        <v>41.772970603970094</v>
      </c>
      <c r="AI21" s="3">
        <f t="shared" si="32"/>
        <v>87.326615364839682</v>
      </c>
      <c r="AJ21" s="3">
        <f t="shared" si="33"/>
        <v>108.86615192319476</v>
      </c>
      <c r="AK21" s="3">
        <f t="shared" si="34"/>
        <v>79.221445499325625</v>
      </c>
      <c r="AL21" s="3">
        <f t="shared" si="7"/>
        <v>17.798196015327857</v>
      </c>
      <c r="AM21" s="3">
        <f t="shared" si="8"/>
        <v>139.46725773284439</v>
      </c>
      <c r="AN21" s="3">
        <f t="shared" si="9"/>
        <v>0.59243830591118751</v>
      </c>
      <c r="AO21" s="3">
        <f t="shared" si="10"/>
        <v>89.506970583144593</v>
      </c>
      <c r="AP21" s="3">
        <f t="shared" si="11"/>
        <v>74.186876499435513</v>
      </c>
      <c r="AQ21" s="3">
        <f t="shared" si="12"/>
        <v>79.890362780365905</v>
      </c>
      <c r="AR21" s="3">
        <f t="shared" si="13"/>
        <v>100</v>
      </c>
      <c r="AS21" s="3">
        <f t="shared" si="14"/>
        <v>140</v>
      </c>
      <c r="AT21" s="3">
        <f t="shared" si="15"/>
        <v>112.54341559211842</v>
      </c>
      <c r="AU21" s="3">
        <f t="shared" si="16"/>
        <v>119.3426274441928</v>
      </c>
      <c r="AV21" s="3">
        <f t="shared" si="17"/>
        <v>52.201803984672139</v>
      </c>
      <c r="AW21" s="3">
        <f t="shared" si="18"/>
        <v>139.46725773284439</v>
      </c>
      <c r="AX21" s="3">
        <f t="shared" si="19"/>
        <v>16.353524136672306</v>
      </c>
      <c r="AY21" s="3">
        <f t="shared" si="20"/>
        <v>125.57035741757888</v>
      </c>
      <c r="AZ21" s="3">
        <f t="shared" si="21"/>
        <v>44.6909588943928</v>
      </c>
      <c r="BA21" s="3">
        <f t="shared" si="22"/>
        <v>108.92948756157274</v>
      </c>
    </row>
    <row r="22" spans="2:53" x14ac:dyDescent="0.25">
      <c r="B22" s="3">
        <v>135</v>
      </c>
      <c r="C22" s="3">
        <f t="shared" si="23"/>
        <v>2.3561944901923448</v>
      </c>
      <c r="D22" s="3">
        <f t="shared" si="24"/>
        <v>0.70710678118654757</v>
      </c>
      <c r="E22" s="3">
        <f t="shared" si="25"/>
        <v>-0.70710678118654746</v>
      </c>
      <c r="R22" s="9" t="s">
        <v>52</v>
      </c>
      <c r="S22" s="10"/>
      <c r="T22" s="10"/>
      <c r="U22" s="11"/>
      <c r="AG22" s="3">
        <v>16</v>
      </c>
      <c r="AH22" s="3">
        <f t="shared" si="31"/>
        <v>41.772970603970094</v>
      </c>
      <c r="AI22" s="3">
        <f t="shared" si="32"/>
        <v>87.326615364839682</v>
      </c>
      <c r="AJ22" s="3">
        <f t="shared" si="33"/>
        <v>108.86615192319476</v>
      </c>
      <c r="AK22" s="3">
        <f t="shared" si="34"/>
        <v>79.221445499325625</v>
      </c>
      <c r="AL22" s="3">
        <f t="shared" si="7"/>
        <v>17.798196015327857</v>
      </c>
      <c r="AM22" s="3">
        <f t="shared" si="8"/>
        <v>139.46725773284439</v>
      </c>
      <c r="AN22" s="3">
        <f t="shared" si="9"/>
        <v>0.59243830591118751</v>
      </c>
      <c r="AO22" s="3">
        <f t="shared" si="10"/>
        <v>89.506970583144593</v>
      </c>
      <c r="AP22" s="3">
        <f t="shared" si="11"/>
        <v>74.186876499435513</v>
      </c>
      <c r="AQ22" s="3">
        <f t="shared" si="12"/>
        <v>79.890362780365905</v>
      </c>
      <c r="AR22" s="3">
        <f t="shared" si="13"/>
        <v>100</v>
      </c>
      <c r="AS22" s="3">
        <f t="shared" si="14"/>
        <v>140</v>
      </c>
      <c r="AT22" s="3">
        <f t="shared" si="15"/>
        <v>112.54341559211842</v>
      </c>
      <c r="AU22" s="3">
        <f t="shared" si="16"/>
        <v>119.3426274441928</v>
      </c>
      <c r="AV22" s="3">
        <f t="shared" si="17"/>
        <v>52.201803984672139</v>
      </c>
      <c r="AW22" s="3">
        <f t="shared" si="18"/>
        <v>139.46725773284439</v>
      </c>
      <c r="AX22" s="3">
        <f t="shared" si="19"/>
        <v>16.353524136672306</v>
      </c>
      <c r="AY22" s="3">
        <f t="shared" si="20"/>
        <v>125.57035741757888</v>
      </c>
      <c r="AZ22" s="3">
        <f t="shared" si="21"/>
        <v>44.6909588943928</v>
      </c>
      <c r="BA22" s="3">
        <f t="shared" si="22"/>
        <v>108.92948756157274</v>
      </c>
    </row>
    <row r="23" spans="2:53" x14ac:dyDescent="0.25">
      <c r="B23" s="3">
        <v>144</v>
      </c>
      <c r="C23" s="3">
        <f t="shared" si="23"/>
        <v>2.5132741228718345</v>
      </c>
      <c r="D23" s="3">
        <f t="shared" si="24"/>
        <v>0.58778525229247325</v>
      </c>
      <c r="E23" s="3">
        <f t="shared" si="25"/>
        <v>-0.80901699437494734</v>
      </c>
      <c r="R23" s="3" t="s">
        <v>5</v>
      </c>
      <c r="S23" s="3" t="s">
        <v>24</v>
      </c>
      <c r="T23" s="3" t="s">
        <v>25</v>
      </c>
      <c r="U23" s="3" t="s">
        <v>53</v>
      </c>
      <c r="AG23" s="3">
        <v>17</v>
      </c>
      <c r="AH23" s="3">
        <f t="shared" si="31"/>
        <v>41.772970603970094</v>
      </c>
      <c r="AI23" s="3">
        <f t="shared" si="32"/>
        <v>87.326615364839682</v>
      </c>
      <c r="AJ23" s="3">
        <f t="shared" si="33"/>
        <v>108.86615192319476</v>
      </c>
      <c r="AK23" s="3">
        <f t="shared" si="34"/>
        <v>79.221445499325625</v>
      </c>
      <c r="AL23" s="3">
        <f t="shared" ref="AL23:AL86" si="35">IF(MOD($AG23,2)=1,0,INDEX($D$7:$D$46,$AG23/2)*INDEX($AE$7:$AE$16,AL$2))+INDEX($W$7:$W$16,AL$2)</f>
        <v>17.798196015327857</v>
      </c>
      <c r="AM23" s="3">
        <f t="shared" ref="AM23:AM86" si="36">IF(MOD($AG23,2)=1,0,INDEX($E$7:$E$46,$AG23/2)*INDEX($AE$7:$AE$16,AM$2))+INDEX($X$7:$X$16,AM$2)</f>
        <v>139.46725773284439</v>
      </c>
      <c r="AN23" s="3">
        <f t="shared" ref="AN23:AN86" si="37">IF(MOD($AG23,2)=1,0,INDEX($D$7:$D$46,$AG23/2)*INDEX($AE$7:$AE$16,AN$2))+INDEX($W$7:$W$16,AN$2)</f>
        <v>0.59243830591118751</v>
      </c>
      <c r="AO23" s="3">
        <f t="shared" ref="AO23:AO86" si="38">IF(MOD($AG23,2)=1,0,INDEX($E$7:$E$46,$AG23/2)*INDEX($AE$7:$AE$16,AO$2))+INDEX($X$7:$X$16,AO$2)</f>
        <v>89.506970583144593</v>
      </c>
      <c r="AP23" s="3">
        <f t="shared" ref="AP23:AP86" si="39">IF(MOD($AG23,2)=1,0,INDEX($D$7:$D$46,$AG23/2)*INDEX($AE$7:$AE$16,AP$2))+INDEX($W$7:$W$16,AP$2)</f>
        <v>74.186876499435513</v>
      </c>
      <c r="AQ23" s="3">
        <f t="shared" ref="AQ23:AQ86" si="40">IF(MOD($AG23,2)=1,0,INDEX($E$7:$E$46,$AG23/2)*INDEX($AE$7:$AE$16,AQ$2))+INDEX($X$7:$X$16,AQ$2)</f>
        <v>79.890362780365905</v>
      </c>
      <c r="AR23" s="3">
        <f t="shared" ref="AR23:AR86" si="41">IF(MOD($AG23,2)=1,0,INDEX($D$7:$D$46,$AG23/2)*INDEX($AE$7:$AE$16,AR$2))+INDEX($W$7:$W$16,AR$2)</f>
        <v>100</v>
      </c>
      <c r="AS23" s="3">
        <f t="shared" ref="AS23:AS86" si="42">IF(MOD($AG23,2)=1,0,INDEX($E$7:$E$46,$AG23/2)*INDEX($AE$7:$AE$16,AS$2))+INDEX($X$7:$X$16,AS$2)</f>
        <v>140</v>
      </c>
      <c r="AT23" s="3">
        <f t="shared" ref="AT23:AT86" si="43">IF(MOD($AG23,2)=1,0,INDEX($D$7:$D$46,$AG23/2)*INDEX($AE$7:$AE$16,AT$2))+INDEX($W$7:$W$16,AT$2)</f>
        <v>112.54341559211842</v>
      </c>
      <c r="AU23" s="3">
        <f t="shared" ref="AU23:AU86" si="44">IF(MOD($AG23,2)=1,0,INDEX($E$7:$E$46,$AG23/2)*INDEX($AE$7:$AE$16,AU$2))+INDEX($X$7:$X$16,AU$2)</f>
        <v>119.3426274441928</v>
      </c>
      <c r="AV23" s="3">
        <f t="shared" ref="AV23:AV86" si="45">IF(MOD($AG23,2)=1,0,INDEX($D$7:$D$46,$AG23/2)*INDEX($AE$7:$AE$16,AV$2))+INDEX($W$7:$W$16,AV$2)</f>
        <v>52.201803984672139</v>
      </c>
      <c r="AW23" s="3">
        <f t="shared" ref="AW23:AW86" si="46">IF(MOD($AG23,2)=1,0,INDEX($E$7:$E$46,$AG23/2)*INDEX($AE$7:$AE$16,AW$2))+INDEX($X$7:$X$16,AW$2)</f>
        <v>139.46725773284439</v>
      </c>
      <c r="AX23" s="3">
        <f t="shared" ref="AX23:AX86" si="47">IF(MOD($AG23,2)=1,0,INDEX($D$7:$D$46,$AG23/2)*INDEX($AE$7:$AE$16,AX$2))+INDEX($W$7:$W$16,AX$2)</f>
        <v>16.353524136672306</v>
      </c>
      <c r="AY23" s="3">
        <f t="shared" ref="AY23:AY86" si="48">IF(MOD($AG23,2)=1,0,INDEX($E$7:$E$46,$AG23/2)*INDEX($AE$7:$AE$16,AY$2))+INDEX($X$7:$X$16,AY$2)</f>
        <v>125.57035741757888</v>
      </c>
      <c r="AZ23" s="3">
        <f t="shared" ref="AZ23:AZ86" si="49">IF(MOD($AG23,2)=1,0,INDEX($D$7:$D$46,$AG23/2)*INDEX($AE$7:$AE$16,AZ$2))+INDEX($W$7:$W$16,AZ$2)</f>
        <v>44.6909588943928</v>
      </c>
      <c r="BA23" s="3">
        <f t="shared" si="22"/>
        <v>108.92948756157274</v>
      </c>
    </row>
    <row r="24" spans="2:53" x14ac:dyDescent="0.25">
      <c r="B24" s="3">
        <v>153</v>
      </c>
      <c r="C24" s="3">
        <f t="shared" si="23"/>
        <v>2.6703537555513241</v>
      </c>
      <c r="D24" s="3">
        <f t="shared" si="24"/>
        <v>0.45399049973954686</v>
      </c>
      <c r="E24" s="3">
        <f t="shared" si="25"/>
        <v>-0.89100652418836779</v>
      </c>
      <c r="R24" s="3">
        <f ca="1">RANDBETWEEN(0,12)*10</f>
        <v>60</v>
      </c>
      <c r="S24" s="3">
        <f ca="1">RANDBETWEEN(75,105)</f>
        <v>101</v>
      </c>
      <c r="T24" s="3">
        <f ca="1">RANDBETWEEN(8,16)*10</f>
        <v>90</v>
      </c>
      <c r="U24" s="3">
        <f ca="1">RANDBETWEEN(3,7)*5</f>
        <v>25</v>
      </c>
      <c r="AG24" s="3">
        <v>18</v>
      </c>
      <c r="AH24" s="3">
        <f t="shared" si="31"/>
        <v>41.772970603970094</v>
      </c>
      <c r="AI24" s="3">
        <f t="shared" si="32"/>
        <v>87.326615364839682</v>
      </c>
      <c r="AJ24" s="3">
        <f t="shared" si="33"/>
        <v>108.86615192319476</v>
      </c>
      <c r="AK24" s="3">
        <f t="shared" si="34"/>
        <v>79.221445499325625</v>
      </c>
      <c r="AL24" s="3">
        <f t="shared" si="35"/>
        <v>17.798196015327857</v>
      </c>
      <c r="AM24" s="3">
        <f t="shared" si="36"/>
        <v>139.46725773284439</v>
      </c>
      <c r="AN24" s="3">
        <f t="shared" si="37"/>
        <v>0.59243830591118751</v>
      </c>
      <c r="AO24" s="3">
        <f t="shared" si="38"/>
        <v>89.506970583144593</v>
      </c>
      <c r="AP24" s="3">
        <f t="shared" si="39"/>
        <v>74.186876499435513</v>
      </c>
      <c r="AQ24" s="3">
        <f t="shared" si="40"/>
        <v>79.890362780365905</v>
      </c>
      <c r="AR24" s="3">
        <f t="shared" si="41"/>
        <v>100</v>
      </c>
      <c r="AS24" s="3">
        <f t="shared" si="42"/>
        <v>140</v>
      </c>
      <c r="AT24" s="3">
        <f t="shared" si="43"/>
        <v>112.54341559211842</v>
      </c>
      <c r="AU24" s="3">
        <f t="shared" si="44"/>
        <v>119.3426274441928</v>
      </c>
      <c r="AV24" s="3">
        <f t="shared" si="45"/>
        <v>52.201803984672139</v>
      </c>
      <c r="AW24" s="3">
        <f t="shared" si="46"/>
        <v>139.46725773284439</v>
      </c>
      <c r="AX24" s="3">
        <f t="shared" si="47"/>
        <v>16.353524136672306</v>
      </c>
      <c r="AY24" s="3">
        <f t="shared" si="48"/>
        <v>125.57035741757888</v>
      </c>
      <c r="AZ24" s="3">
        <f t="shared" si="49"/>
        <v>44.6909588943928</v>
      </c>
      <c r="BA24" s="3">
        <f t="shared" si="22"/>
        <v>108.92948756157274</v>
      </c>
    </row>
    <row r="25" spans="2:53" x14ac:dyDescent="0.25">
      <c r="B25" s="3">
        <v>162</v>
      </c>
      <c r="C25" s="3">
        <f t="shared" si="23"/>
        <v>2.8274333882308138</v>
      </c>
      <c r="D25" s="3">
        <f t="shared" si="24"/>
        <v>0.30901699437494751</v>
      </c>
      <c r="E25" s="3">
        <f t="shared" si="25"/>
        <v>-0.95105651629515353</v>
      </c>
      <c r="R25" s="3">
        <f t="shared" ref="R25:R33" ca="1" si="50">RANDBETWEEN(0,12)*10</f>
        <v>100</v>
      </c>
      <c r="S25" s="3">
        <f t="shared" ref="S25:S33" ca="1" si="51">RANDBETWEEN(75,105)</f>
        <v>78</v>
      </c>
      <c r="T25" s="3">
        <f t="shared" ref="T25:T33" ca="1" si="52">RANDBETWEEN(8,16)*10</f>
        <v>130</v>
      </c>
      <c r="U25" s="3">
        <f t="shared" ref="U25:U33" ca="1" si="53">RANDBETWEEN(3,7)*5</f>
        <v>35</v>
      </c>
      <c r="AG25" s="3">
        <v>19</v>
      </c>
      <c r="AH25" s="3">
        <f t="shared" si="31"/>
        <v>41.772970603970094</v>
      </c>
      <c r="AI25" s="3">
        <f t="shared" si="32"/>
        <v>87.326615364839682</v>
      </c>
      <c r="AJ25" s="3">
        <f t="shared" si="33"/>
        <v>108.86615192319476</v>
      </c>
      <c r="AK25" s="3">
        <f t="shared" si="34"/>
        <v>79.221445499325625</v>
      </c>
      <c r="AL25" s="3">
        <f t="shared" si="35"/>
        <v>17.798196015327857</v>
      </c>
      <c r="AM25" s="3">
        <f t="shared" si="36"/>
        <v>139.46725773284439</v>
      </c>
      <c r="AN25" s="3">
        <f t="shared" si="37"/>
        <v>0.59243830591118751</v>
      </c>
      <c r="AO25" s="3">
        <f t="shared" si="38"/>
        <v>89.506970583144593</v>
      </c>
      <c r="AP25" s="3">
        <f t="shared" si="39"/>
        <v>74.186876499435513</v>
      </c>
      <c r="AQ25" s="3">
        <f t="shared" si="40"/>
        <v>79.890362780365905</v>
      </c>
      <c r="AR25" s="3">
        <f t="shared" si="41"/>
        <v>100</v>
      </c>
      <c r="AS25" s="3">
        <f t="shared" si="42"/>
        <v>140</v>
      </c>
      <c r="AT25" s="3">
        <f t="shared" si="43"/>
        <v>112.54341559211842</v>
      </c>
      <c r="AU25" s="3">
        <f t="shared" si="44"/>
        <v>119.3426274441928</v>
      </c>
      <c r="AV25" s="3">
        <f t="shared" si="45"/>
        <v>52.201803984672139</v>
      </c>
      <c r="AW25" s="3">
        <f t="shared" si="46"/>
        <v>139.46725773284439</v>
      </c>
      <c r="AX25" s="3">
        <f t="shared" si="47"/>
        <v>16.353524136672306</v>
      </c>
      <c r="AY25" s="3">
        <f t="shared" si="48"/>
        <v>125.57035741757888</v>
      </c>
      <c r="AZ25" s="3">
        <f t="shared" si="49"/>
        <v>44.6909588943928</v>
      </c>
      <c r="BA25" s="3">
        <f t="shared" si="22"/>
        <v>108.92948756157274</v>
      </c>
    </row>
    <row r="26" spans="2:53" x14ac:dyDescent="0.25">
      <c r="B26" s="3">
        <v>171</v>
      </c>
      <c r="C26" s="3">
        <f t="shared" si="23"/>
        <v>2.9845130209103035</v>
      </c>
      <c r="D26" s="3">
        <f t="shared" si="24"/>
        <v>0.15643446504023098</v>
      </c>
      <c r="E26" s="3">
        <f t="shared" si="25"/>
        <v>-0.98768834059513766</v>
      </c>
      <c r="R26" s="3">
        <f t="shared" ca="1" si="50"/>
        <v>10</v>
      </c>
      <c r="S26" s="3">
        <f t="shared" ca="1" si="51"/>
        <v>101</v>
      </c>
      <c r="T26" s="3">
        <f t="shared" ca="1" si="52"/>
        <v>110</v>
      </c>
      <c r="U26" s="3">
        <f t="shared" ca="1" si="53"/>
        <v>15</v>
      </c>
      <c r="AG26" s="3">
        <v>20</v>
      </c>
      <c r="AH26" s="3">
        <f t="shared" si="31"/>
        <v>41.772970603970094</v>
      </c>
      <c r="AI26" s="3">
        <f t="shared" si="32"/>
        <v>87.326615364839682</v>
      </c>
      <c r="AJ26" s="3">
        <f t="shared" si="33"/>
        <v>108.86615192319476</v>
      </c>
      <c r="AK26" s="3">
        <f t="shared" si="34"/>
        <v>79.221445499325625</v>
      </c>
      <c r="AL26" s="3">
        <f t="shared" si="35"/>
        <v>17.798196015327857</v>
      </c>
      <c r="AM26" s="3">
        <f t="shared" si="36"/>
        <v>139.46725773284439</v>
      </c>
      <c r="AN26" s="3">
        <f t="shared" si="37"/>
        <v>0.59243830591118751</v>
      </c>
      <c r="AO26" s="3">
        <f t="shared" si="38"/>
        <v>89.506970583144593</v>
      </c>
      <c r="AP26" s="3">
        <f t="shared" si="39"/>
        <v>74.186876499435513</v>
      </c>
      <c r="AQ26" s="3">
        <f t="shared" si="40"/>
        <v>79.890362780365905</v>
      </c>
      <c r="AR26" s="3">
        <f t="shared" si="41"/>
        <v>100</v>
      </c>
      <c r="AS26" s="3">
        <f t="shared" si="42"/>
        <v>140</v>
      </c>
      <c r="AT26" s="3">
        <f t="shared" si="43"/>
        <v>112.54341559211842</v>
      </c>
      <c r="AU26" s="3">
        <f t="shared" si="44"/>
        <v>119.3426274441928</v>
      </c>
      <c r="AV26" s="3">
        <f t="shared" si="45"/>
        <v>52.201803984672139</v>
      </c>
      <c r="AW26" s="3">
        <f t="shared" si="46"/>
        <v>139.46725773284439</v>
      </c>
      <c r="AX26" s="3">
        <f t="shared" si="47"/>
        <v>16.353524136672306</v>
      </c>
      <c r="AY26" s="3">
        <f t="shared" si="48"/>
        <v>125.57035741757888</v>
      </c>
      <c r="AZ26" s="3">
        <f t="shared" si="49"/>
        <v>44.6909588943928</v>
      </c>
      <c r="BA26" s="3">
        <f t="shared" si="22"/>
        <v>108.92948756157274</v>
      </c>
    </row>
    <row r="27" spans="2:53" x14ac:dyDescent="0.25">
      <c r="B27" s="3">
        <v>180</v>
      </c>
      <c r="C27" s="3">
        <f t="shared" si="23"/>
        <v>3.1415926535897931</v>
      </c>
      <c r="D27" s="3">
        <f t="shared" si="24"/>
        <v>1.22514845490862E-16</v>
      </c>
      <c r="E27" s="3">
        <f t="shared" si="25"/>
        <v>-1</v>
      </c>
      <c r="R27" s="3">
        <f t="shared" ca="1" si="50"/>
        <v>40</v>
      </c>
      <c r="S27" s="3">
        <f t="shared" ca="1" si="51"/>
        <v>99</v>
      </c>
      <c r="T27" s="3">
        <f t="shared" ca="1" si="52"/>
        <v>150</v>
      </c>
      <c r="U27" s="3">
        <f t="shared" ca="1" si="53"/>
        <v>15</v>
      </c>
      <c r="AG27" s="3">
        <v>21</v>
      </c>
      <c r="AH27" s="3">
        <f t="shared" si="31"/>
        <v>41.772970603970094</v>
      </c>
      <c r="AI27" s="3">
        <f t="shared" si="32"/>
        <v>87.326615364839682</v>
      </c>
      <c r="AJ27" s="3">
        <f t="shared" si="33"/>
        <v>108.86615192319476</v>
      </c>
      <c r="AK27" s="3">
        <f t="shared" si="34"/>
        <v>79.221445499325625</v>
      </c>
      <c r="AL27" s="3">
        <f t="shared" si="35"/>
        <v>17.798196015327857</v>
      </c>
      <c r="AM27" s="3">
        <f t="shared" si="36"/>
        <v>139.46725773284439</v>
      </c>
      <c r="AN27" s="3">
        <f t="shared" si="37"/>
        <v>0.59243830591118751</v>
      </c>
      <c r="AO27" s="3">
        <f t="shared" si="38"/>
        <v>89.506970583144593</v>
      </c>
      <c r="AP27" s="3">
        <f t="shared" si="39"/>
        <v>74.186876499435513</v>
      </c>
      <c r="AQ27" s="3">
        <f t="shared" si="40"/>
        <v>79.890362780365905</v>
      </c>
      <c r="AR27" s="3">
        <f t="shared" si="41"/>
        <v>100</v>
      </c>
      <c r="AS27" s="3">
        <f t="shared" si="42"/>
        <v>140</v>
      </c>
      <c r="AT27" s="3">
        <f t="shared" si="43"/>
        <v>112.54341559211842</v>
      </c>
      <c r="AU27" s="3">
        <f t="shared" si="44"/>
        <v>119.3426274441928</v>
      </c>
      <c r="AV27" s="3">
        <f t="shared" si="45"/>
        <v>52.201803984672139</v>
      </c>
      <c r="AW27" s="3">
        <f t="shared" si="46"/>
        <v>139.46725773284439</v>
      </c>
      <c r="AX27" s="3">
        <f t="shared" si="47"/>
        <v>16.353524136672306</v>
      </c>
      <c r="AY27" s="3">
        <f t="shared" si="48"/>
        <v>125.57035741757888</v>
      </c>
      <c r="AZ27" s="3">
        <f t="shared" si="49"/>
        <v>44.6909588943928</v>
      </c>
      <c r="BA27" s="3">
        <f t="shared" si="22"/>
        <v>108.92948756157274</v>
      </c>
    </row>
    <row r="28" spans="2:53" x14ac:dyDescent="0.25">
      <c r="B28" s="3">
        <v>189</v>
      </c>
      <c r="C28" s="3">
        <f t="shared" si="23"/>
        <v>3.2986722862692828</v>
      </c>
      <c r="D28" s="3">
        <f t="shared" si="24"/>
        <v>-0.15643446504023073</v>
      </c>
      <c r="E28" s="3">
        <f t="shared" si="25"/>
        <v>-0.98768834059513777</v>
      </c>
      <c r="R28" s="3">
        <f t="shared" ca="1" si="50"/>
        <v>20</v>
      </c>
      <c r="S28" s="3">
        <f t="shared" ca="1" si="51"/>
        <v>77</v>
      </c>
      <c r="T28" s="3">
        <f t="shared" ca="1" si="52"/>
        <v>80</v>
      </c>
      <c r="U28" s="3">
        <f t="shared" ca="1" si="53"/>
        <v>15</v>
      </c>
      <c r="AG28" s="3">
        <v>22</v>
      </c>
      <c r="AH28" s="3">
        <f t="shared" si="31"/>
        <v>41.772970603970094</v>
      </c>
      <c r="AI28" s="3">
        <f t="shared" si="32"/>
        <v>87.326615364839682</v>
      </c>
      <c r="AJ28" s="3">
        <f t="shared" si="33"/>
        <v>108.86615192319476</v>
      </c>
      <c r="AK28" s="3">
        <f t="shared" si="34"/>
        <v>79.221445499325625</v>
      </c>
      <c r="AL28" s="3">
        <f t="shared" si="35"/>
        <v>17.798196015327857</v>
      </c>
      <c r="AM28" s="3">
        <f t="shared" si="36"/>
        <v>139.46725773284439</v>
      </c>
      <c r="AN28" s="3">
        <f t="shared" si="37"/>
        <v>0.59243830591118751</v>
      </c>
      <c r="AO28" s="3">
        <f t="shared" si="38"/>
        <v>89.506970583144593</v>
      </c>
      <c r="AP28" s="3">
        <f t="shared" si="39"/>
        <v>74.186876499435513</v>
      </c>
      <c r="AQ28" s="3">
        <f t="shared" si="40"/>
        <v>79.890362780365905</v>
      </c>
      <c r="AR28" s="3">
        <f t="shared" si="41"/>
        <v>100</v>
      </c>
      <c r="AS28" s="3">
        <f t="shared" si="42"/>
        <v>140</v>
      </c>
      <c r="AT28" s="3">
        <f t="shared" si="43"/>
        <v>112.54341559211842</v>
      </c>
      <c r="AU28" s="3">
        <f t="shared" si="44"/>
        <v>119.3426274441928</v>
      </c>
      <c r="AV28" s="3">
        <f t="shared" si="45"/>
        <v>52.201803984672139</v>
      </c>
      <c r="AW28" s="3">
        <f t="shared" si="46"/>
        <v>139.46725773284439</v>
      </c>
      <c r="AX28" s="3">
        <f t="shared" si="47"/>
        <v>16.353524136672306</v>
      </c>
      <c r="AY28" s="3">
        <f t="shared" si="48"/>
        <v>125.57035741757888</v>
      </c>
      <c r="AZ28" s="3">
        <f t="shared" si="49"/>
        <v>44.6909588943928</v>
      </c>
      <c r="BA28" s="3">
        <f t="shared" si="22"/>
        <v>108.92948756157274</v>
      </c>
    </row>
    <row r="29" spans="2:53" x14ac:dyDescent="0.25">
      <c r="B29" s="3">
        <v>198</v>
      </c>
      <c r="C29" s="3">
        <f t="shared" si="23"/>
        <v>3.4557519189487724</v>
      </c>
      <c r="D29" s="3">
        <f t="shared" si="24"/>
        <v>-0.30901699437494728</v>
      </c>
      <c r="E29" s="3">
        <f t="shared" si="25"/>
        <v>-0.95105651629515364</v>
      </c>
      <c r="R29" s="3">
        <f t="shared" ca="1" si="50"/>
        <v>50</v>
      </c>
      <c r="S29" s="3">
        <f t="shared" ca="1" si="51"/>
        <v>89</v>
      </c>
      <c r="T29" s="3">
        <f t="shared" ca="1" si="52"/>
        <v>110</v>
      </c>
      <c r="U29" s="3">
        <f t="shared" ca="1" si="53"/>
        <v>20</v>
      </c>
      <c r="AG29" s="3">
        <v>23</v>
      </c>
      <c r="AH29" s="3">
        <f t="shared" si="31"/>
        <v>41.772970603970094</v>
      </c>
      <c r="AI29" s="3">
        <f t="shared" si="32"/>
        <v>87.326615364839682</v>
      </c>
      <c r="AJ29" s="3">
        <f t="shared" si="33"/>
        <v>108.86615192319476</v>
      </c>
      <c r="AK29" s="3">
        <f t="shared" si="34"/>
        <v>79.221445499325625</v>
      </c>
      <c r="AL29" s="3">
        <f t="shared" si="35"/>
        <v>17.798196015327857</v>
      </c>
      <c r="AM29" s="3">
        <f t="shared" si="36"/>
        <v>139.46725773284439</v>
      </c>
      <c r="AN29" s="3">
        <f t="shared" si="37"/>
        <v>0.59243830591118751</v>
      </c>
      <c r="AO29" s="3">
        <f t="shared" si="38"/>
        <v>89.506970583144593</v>
      </c>
      <c r="AP29" s="3">
        <f t="shared" si="39"/>
        <v>74.186876499435513</v>
      </c>
      <c r="AQ29" s="3">
        <f t="shared" si="40"/>
        <v>79.890362780365905</v>
      </c>
      <c r="AR29" s="3">
        <f t="shared" si="41"/>
        <v>100</v>
      </c>
      <c r="AS29" s="3">
        <f t="shared" si="42"/>
        <v>140</v>
      </c>
      <c r="AT29" s="3">
        <f t="shared" si="43"/>
        <v>112.54341559211842</v>
      </c>
      <c r="AU29" s="3">
        <f t="shared" si="44"/>
        <v>119.3426274441928</v>
      </c>
      <c r="AV29" s="3">
        <f t="shared" si="45"/>
        <v>52.201803984672139</v>
      </c>
      <c r="AW29" s="3">
        <f t="shared" si="46"/>
        <v>139.46725773284439</v>
      </c>
      <c r="AX29" s="3">
        <f t="shared" si="47"/>
        <v>16.353524136672306</v>
      </c>
      <c r="AY29" s="3">
        <f t="shared" si="48"/>
        <v>125.57035741757888</v>
      </c>
      <c r="AZ29" s="3">
        <f t="shared" si="49"/>
        <v>44.6909588943928</v>
      </c>
      <c r="BA29" s="3">
        <f t="shared" si="22"/>
        <v>108.92948756157274</v>
      </c>
    </row>
    <row r="30" spans="2:53" x14ac:dyDescent="0.25">
      <c r="B30" s="3">
        <v>207</v>
      </c>
      <c r="C30" s="3">
        <f t="shared" si="23"/>
        <v>3.6128315516282621</v>
      </c>
      <c r="D30" s="3">
        <f t="shared" si="24"/>
        <v>-0.45399049973954669</v>
      </c>
      <c r="E30" s="3">
        <f t="shared" si="25"/>
        <v>-0.8910065241883679</v>
      </c>
      <c r="R30" s="3">
        <f t="shared" ca="1" si="50"/>
        <v>0</v>
      </c>
      <c r="S30" s="3">
        <f t="shared" ca="1" si="51"/>
        <v>103</v>
      </c>
      <c r="T30" s="3">
        <f t="shared" ca="1" si="52"/>
        <v>150</v>
      </c>
      <c r="U30" s="3">
        <f t="shared" ca="1" si="53"/>
        <v>15</v>
      </c>
      <c r="AG30" s="3">
        <v>24</v>
      </c>
      <c r="AH30" s="3">
        <f t="shared" si="31"/>
        <v>41.772970603970094</v>
      </c>
      <c r="AI30" s="3">
        <f t="shared" si="32"/>
        <v>87.326615364839682</v>
      </c>
      <c r="AJ30" s="3">
        <f t="shared" si="33"/>
        <v>108.86615192319476</v>
      </c>
      <c r="AK30" s="3">
        <f t="shared" si="34"/>
        <v>79.221445499325625</v>
      </c>
      <c r="AL30" s="3">
        <f t="shared" si="35"/>
        <v>17.798196015327857</v>
      </c>
      <c r="AM30" s="3">
        <f t="shared" si="36"/>
        <v>139.46725773284439</v>
      </c>
      <c r="AN30" s="3">
        <f t="shared" si="37"/>
        <v>0.59243830591118751</v>
      </c>
      <c r="AO30" s="3">
        <f t="shared" si="38"/>
        <v>89.506970583144593</v>
      </c>
      <c r="AP30" s="3">
        <f t="shared" si="39"/>
        <v>74.186876499435513</v>
      </c>
      <c r="AQ30" s="3">
        <f t="shared" si="40"/>
        <v>79.890362780365905</v>
      </c>
      <c r="AR30" s="3">
        <f t="shared" si="41"/>
        <v>100</v>
      </c>
      <c r="AS30" s="3">
        <f t="shared" si="42"/>
        <v>140</v>
      </c>
      <c r="AT30" s="3">
        <f t="shared" si="43"/>
        <v>112.54341559211842</v>
      </c>
      <c r="AU30" s="3">
        <f t="shared" si="44"/>
        <v>119.3426274441928</v>
      </c>
      <c r="AV30" s="3">
        <f t="shared" si="45"/>
        <v>52.201803984672139</v>
      </c>
      <c r="AW30" s="3">
        <f t="shared" si="46"/>
        <v>139.46725773284439</v>
      </c>
      <c r="AX30" s="3">
        <f t="shared" si="47"/>
        <v>16.353524136672306</v>
      </c>
      <c r="AY30" s="3">
        <f t="shared" si="48"/>
        <v>125.57035741757888</v>
      </c>
      <c r="AZ30" s="3">
        <f t="shared" si="49"/>
        <v>44.6909588943928</v>
      </c>
      <c r="BA30" s="3">
        <f t="shared" si="22"/>
        <v>108.92948756157274</v>
      </c>
    </row>
    <row r="31" spans="2:53" x14ac:dyDescent="0.25">
      <c r="B31" s="3">
        <v>216</v>
      </c>
      <c r="C31" s="3">
        <f t="shared" si="23"/>
        <v>3.7699111843077517</v>
      </c>
      <c r="D31" s="3">
        <f t="shared" si="24"/>
        <v>-0.58778525229247303</v>
      </c>
      <c r="E31" s="3">
        <f t="shared" si="25"/>
        <v>-0.80901699437494756</v>
      </c>
      <c r="R31" s="3">
        <f t="shared" ca="1" si="50"/>
        <v>10</v>
      </c>
      <c r="S31" s="3">
        <f t="shared" ca="1" si="51"/>
        <v>87</v>
      </c>
      <c r="T31" s="3">
        <f t="shared" ca="1" si="52"/>
        <v>130</v>
      </c>
      <c r="U31" s="3">
        <f t="shared" ca="1" si="53"/>
        <v>25</v>
      </c>
      <c r="AG31" s="3">
        <v>25</v>
      </c>
      <c r="AH31" s="3">
        <f t="shared" si="31"/>
        <v>41.772970603970094</v>
      </c>
      <c r="AI31" s="3">
        <f t="shared" si="32"/>
        <v>87.326615364839682</v>
      </c>
      <c r="AJ31" s="3">
        <f t="shared" si="33"/>
        <v>108.86615192319476</v>
      </c>
      <c r="AK31" s="3">
        <f t="shared" si="34"/>
        <v>79.221445499325625</v>
      </c>
      <c r="AL31" s="3">
        <f t="shared" si="35"/>
        <v>17.798196015327857</v>
      </c>
      <c r="AM31" s="3">
        <f t="shared" si="36"/>
        <v>139.46725773284439</v>
      </c>
      <c r="AN31" s="3">
        <f t="shared" si="37"/>
        <v>0.59243830591118751</v>
      </c>
      <c r="AO31" s="3">
        <f t="shared" si="38"/>
        <v>89.506970583144593</v>
      </c>
      <c r="AP31" s="3">
        <f t="shared" si="39"/>
        <v>74.186876499435513</v>
      </c>
      <c r="AQ31" s="3">
        <f t="shared" si="40"/>
        <v>79.890362780365905</v>
      </c>
      <c r="AR31" s="3">
        <f t="shared" si="41"/>
        <v>100</v>
      </c>
      <c r="AS31" s="3">
        <f t="shared" si="42"/>
        <v>140</v>
      </c>
      <c r="AT31" s="3">
        <f t="shared" si="43"/>
        <v>112.54341559211842</v>
      </c>
      <c r="AU31" s="3">
        <f t="shared" si="44"/>
        <v>119.3426274441928</v>
      </c>
      <c r="AV31" s="3">
        <f t="shared" si="45"/>
        <v>52.201803984672139</v>
      </c>
      <c r="AW31" s="3">
        <f t="shared" si="46"/>
        <v>139.46725773284439</v>
      </c>
      <c r="AX31" s="3">
        <f t="shared" si="47"/>
        <v>16.353524136672306</v>
      </c>
      <c r="AY31" s="3">
        <f t="shared" si="48"/>
        <v>125.57035741757888</v>
      </c>
      <c r="AZ31" s="3">
        <f t="shared" si="49"/>
        <v>44.6909588943928</v>
      </c>
      <c r="BA31" s="3">
        <f t="shared" si="22"/>
        <v>108.92948756157274</v>
      </c>
    </row>
    <row r="32" spans="2:53" x14ac:dyDescent="0.25">
      <c r="B32" s="3">
        <v>225</v>
      </c>
      <c r="C32" s="3">
        <f t="shared" si="23"/>
        <v>3.9269908169872414</v>
      </c>
      <c r="D32" s="3">
        <f t="shared" si="24"/>
        <v>-0.70710678118654746</v>
      </c>
      <c r="E32" s="3">
        <f t="shared" si="25"/>
        <v>-0.70710678118654768</v>
      </c>
      <c r="R32" s="3">
        <f t="shared" ca="1" si="50"/>
        <v>10</v>
      </c>
      <c r="S32" s="3">
        <f t="shared" ca="1" si="51"/>
        <v>96</v>
      </c>
      <c r="T32" s="3">
        <f t="shared" ca="1" si="52"/>
        <v>120</v>
      </c>
      <c r="U32" s="3">
        <f t="shared" ca="1" si="53"/>
        <v>20</v>
      </c>
      <c r="AG32" s="3">
        <v>26</v>
      </c>
      <c r="AH32" s="3">
        <f t="shared" si="31"/>
        <v>41.772970603970094</v>
      </c>
      <c r="AI32" s="3">
        <f t="shared" si="32"/>
        <v>87.326615364839682</v>
      </c>
      <c r="AJ32" s="3">
        <f t="shared" si="33"/>
        <v>108.86615192319476</v>
      </c>
      <c r="AK32" s="3">
        <f t="shared" si="34"/>
        <v>79.221445499325625</v>
      </c>
      <c r="AL32" s="3">
        <f t="shared" si="35"/>
        <v>17.798196015327857</v>
      </c>
      <c r="AM32" s="3">
        <f t="shared" si="36"/>
        <v>139.46725773284439</v>
      </c>
      <c r="AN32" s="3">
        <f t="shared" si="37"/>
        <v>0.59243830591118751</v>
      </c>
      <c r="AO32" s="3">
        <f t="shared" si="38"/>
        <v>89.506970583144593</v>
      </c>
      <c r="AP32" s="3">
        <f t="shared" si="39"/>
        <v>74.186876499435513</v>
      </c>
      <c r="AQ32" s="3">
        <f t="shared" si="40"/>
        <v>79.890362780365905</v>
      </c>
      <c r="AR32" s="3">
        <f t="shared" si="41"/>
        <v>100</v>
      </c>
      <c r="AS32" s="3">
        <f t="shared" si="42"/>
        <v>140</v>
      </c>
      <c r="AT32" s="3">
        <f t="shared" si="43"/>
        <v>112.54341559211842</v>
      </c>
      <c r="AU32" s="3">
        <f t="shared" si="44"/>
        <v>119.3426274441928</v>
      </c>
      <c r="AV32" s="3">
        <f t="shared" si="45"/>
        <v>52.201803984672139</v>
      </c>
      <c r="AW32" s="3">
        <f t="shared" si="46"/>
        <v>139.46725773284439</v>
      </c>
      <c r="AX32" s="3">
        <f t="shared" si="47"/>
        <v>16.353524136672306</v>
      </c>
      <c r="AY32" s="3">
        <f t="shared" si="48"/>
        <v>125.57035741757888</v>
      </c>
      <c r="AZ32" s="3">
        <f t="shared" si="49"/>
        <v>44.6909588943928</v>
      </c>
      <c r="BA32" s="3">
        <f t="shared" si="22"/>
        <v>108.92948756157274</v>
      </c>
    </row>
    <row r="33" spans="2:53" x14ac:dyDescent="0.25">
      <c r="B33" s="3">
        <v>234</v>
      </c>
      <c r="C33" s="3">
        <f t="shared" si="23"/>
        <v>4.0840704496667311</v>
      </c>
      <c r="D33" s="3">
        <f t="shared" si="24"/>
        <v>-0.80901699437494734</v>
      </c>
      <c r="E33" s="3">
        <f t="shared" si="25"/>
        <v>-0.58778525229247325</v>
      </c>
      <c r="R33" s="3">
        <f t="shared" ca="1" si="50"/>
        <v>30</v>
      </c>
      <c r="S33" s="3">
        <f t="shared" ca="1" si="51"/>
        <v>105</v>
      </c>
      <c r="T33" s="3">
        <f t="shared" ca="1" si="52"/>
        <v>140</v>
      </c>
      <c r="U33" s="3">
        <f t="shared" ca="1" si="53"/>
        <v>25</v>
      </c>
      <c r="AG33" s="3">
        <v>27</v>
      </c>
      <c r="AH33" s="3">
        <f t="shared" si="31"/>
        <v>41.772970603970094</v>
      </c>
      <c r="AI33" s="3">
        <f t="shared" si="32"/>
        <v>87.326615364839682</v>
      </c>
      <c r="AJ33" s="3">
        <f t="shared" si="33"/>
        <v>108.86615192319476</v>
      </c>
      <c r="AK33" s="3">
        <f t="shared" si="34"/>
        <v>79.221445499325625</v>
      </c>
      <c r="AL33" s="3">
        <f t="shared" si="35"/>
        <v>17.798196015327857</v>
      </c>
      <c r="AM33" s="3">
        <f t="shared" si="36"/>
        <v>139.46725773284439</v>
      </c>
      <c r="AN33" s="3">
        <f t="shared" si="37"/>
        <v>0.59243830591118751</v>
      </c>
      <c r="AO33" s="3">
        <f t="shared" si="38"/>
        <v>89.506970583144593</v>
      </c>
      <c r="AP33" s="3">
        <f t="shared" si="39"/>
        <v>74.186876499435513</v>
      </c>
      <c r="AQ33" s="3">
        <f t="shared" si="40"/>
        <v>79.890362780365905</v>
      </c>
      <c r="AR33" s="3">
        <f t="shared" si="41"/>
        <v>100</v>
      </c>
      <c r="AS33" s="3">
        <f t="shared" si="42"/>
        <v>140</v>
      </c>
      <c r="AT33" s="3">
        <f t="shared" si="43"/>
        <v>112.54341559211842</v>
      </c>
      <c r="AU33" s="3">
        <f t="shared" si="44"/>
        <v>119.3426274441928</v>
      </c>
      <c r="AV33" s="3">
        <f t="shared" si="45"/>
        <v>52.201803984672139</v>
      </c>
      <c r="AW33" s="3">
        <f t="shared" si="46"/>
        <v>139.46725773284439</v>
      </c>
      <c r="AX33" s="3">
        <f t="shared" si="47"/>
        <v>16.353524136672306</v>
      </c>
      <c r="AY33" s="3">
        <f t="shared" si="48"/>
        <v>125.57035741757888</v>
      </c>
      <c r="AZ33" s="3">
        <f t="shared" si="49"/>
        <v>44.6909588943928</v>
      </c>
      <c r="BA33" s="3">
        <f t="shared" si="22"/>
        <v>108.92948756157274</v>
      </c>
    </row>
    <row r="34" spans="2:53" x14ac:dyDescent="0.25">
      <c r="B34" s="3">
        <v>243</v>
      </c>
      <c r="C34" s="3">
        <f t="shared" si="23"/>
        <v>4.2411500823462207</v>
      </c>
      <c r="D34" s="3">
        <f t="shared" si="24"/>
        <v>-0.89100652418836779</v>
      </c>
      <c r="E34" s="3">
        <f t="shared" si="25"/>
        <v>-0.45399049973954692</v>
      </c>
      <c r="AG34" s="3">
        <v>28</v>
      </c>
      <c r="AH34" s="3">
        <f t="shared" si="31"/>
        <v>41.772970603970094</v>
      </c>
      <c r="AI34" s="3">
        <f t="shared" si="32"/>
        <v>87.326615364839682</v>
      </c>
      <c r="AJ34" s="3">
        <f t="shared" si="33"/>
        <v>108.86615192319476</v>
      </c>
      <c r="AK34" s="3">
        <f t="shared" si="34"/>
        <v>79.221445499325625</v>
      </c>
      <c r="AL34" s="3">
        <f t="shared" si="35"/>
        <v>17.798196015327857</v>
      </c>
      <c r="AM34" s="3">
        <f t="shared" si="36"/>
        <v>139.46725773284439</v>
      </c>
      <c r="AN34" s="3">
        <f t="shared" si="37"/>
        <v>0.59243830591118751</v>
      </c>
      <c r="AO34" s="3">
        <f t="shared" si="38"/>
        <v>89.506970583144593</v>
      </c>
      <c r="AP34" s="3">
        <f t="shared" si="39"/>
        <v>74.186876499435513</v>
      </c>
      <c r="AQ34" s="3">
        <f t="shared" si="40"/>
        <v>79.890362780365905</v>
      </c>
      <c r="AR34" s="3">
        <f t="shared" si="41"/>
        <v>100</v>
      </c>
      <c r="AS34" s="3">
        <f t="shared" si="42"/>
        <v>140</v>
      </c>
      <c r="AT34" s="3">
        <f t="shared" si="43"/>
        <v>112.54341559211842</v>
      </c>
      <c r="AU34" s="3">
        <f t="shared" si="44"/>
        <v>119.3426274441928</v>
      </c>
      <c r="AV34" s="3">
        <f t="shared" si="45"/>
        <v>52.201803984672139</v>
      </c>
      <c r="AW34" s="3">
        <f t="shared" si="46"/>
        <v>139.46725773284439</v>
      </c>
      <c r="AX34" s="3">
        <f t="shared" si="47"/>
        <v>16.353524136672306</v>
      </c>
      <c r="AY34" s="3">
        <f t="shared" si="48"/>
        <v>125.57035741757888</v>
      </c>
      <c r="AZ34" s="3">
        <f t="shared" si="49"/>
        <v>44.6909588943928</v>
      </c>
      <c r="BA34" s="3">
        <f t="shared" si="22"/>
        <v>108.92948756157274</v>
      </c>
    </row>
    <row r="35" spans="2:53" x14ac:dyDescent="0.25">
      <c r="B35" s="3">
        <v>252</v>
      </c>
      <c r="C35" s="3">
        <f t="shared" si="23"/>
        <v>4.3982297150257104</v>
      </c>
      <c r="D35" s="3">
        <f t="shared" si="24"/>
        <v>-0.95105651629515353</v>
      </c>
      <c r="E35" s="3">
        <f t="shared" si="25"/>
        <v>-0.30901699437494756</v>
      </c>
      <c r="AG35" s="3">
        <v>29</v>
      </c>
      <c r="AH35" s="3">
        <f t="shared" si="31"/>
        <v>41.772970603970094</v>
      </c>
      <c r="AI35" s="3">
        <f t="shared" si="32"/>
        <v>87.326615364839682</v>
      </c>
      <c r="AJ35" s="3">
        <f t="shared" si="33"/>
        <v>108.86615192319476</v>
      </c>
      <c r="AK35" s="3">
        <f t="shared" si="34"/>
        <v>79.221445499325625</v>
      </c>
      <c r="AL35" s="3">
        <f t="shared" si="35"/>
        <v>17.798196015327857</v>
      </c>
      <c r="AM35" s="3">
        <f t="shared" si="36"/>
        <v>139.46725773284439</v>
      </c>
      <c r="AN35" s="3">
        <f t="shared" si="37"/>
        <v>0.59243830591118751</v>
      </c>
      <c r="AO35" s="3">
        <f t="shared" si="38"/>
        <v>89.506970583144593</v>
      </c>
      <c r="AP35" s="3">
        <f t="shared" si="39"/>
        <v>74.186876499435513</v>
      </c>
      <c r="AQ35" s="3">
        <f t="shared" si="40"/>
        <v>79.890362780365905</v>
      </c>
      <c r="AR35" s="3">
        <f t="shared" si="41"/>
        <v>100</v>
      </c>
      <c r="AS35" s="3">
        <f t="shared" si="42"/>
        <v>140</v>
      </c>
      <c r="AT35" s="3">
        <f t="shared" si="43"/>
        <v>112.54341559211842</v>
      </c>
      <c r="AU35" s="3">
        <f t="shared" si="44"/>
        <v>119.3426274441928</v>
      </c>
      <c r="AV35" s="3">
        <f t="shared" si="45"/>
        <v>52.201803984672139</v>
      </c>
      <c r="AW35" s="3">
        <f t="shared" si="46"/>
        <v>139.46725773284439</v>
      </c>
      <c r="AX35" s="3">
        <f t="shared" si="47"/>
        <v>16.353524136672306</v>
      </c>
      <c r="AY35" s="3">
        <f t="shared" si="48"/>
        <v>125.57035741757888</v>
      </c>
      <c r="AZ35" s="3">
        <f t="shared" si="49"/>
        <v>44.6909588943928</v>
      </c>
      <c r="BA35" s="3">
        <f t="shared" si="22"/>
        <v>108.92948756157274</v>
      </c>
    </row>
    <row r="36" spans="2:53" x14ac:dyDescent="0.25">
      <c r="B36" s="3">
        <v>261</v>
      </c>
      <c r="C36" s="3">
        <f t="shared" si="23"/>
        <v>4.5553093477052</v>
      </c>
      <c r="D36" s="3">
        <f t="shared" si="24"/>
        <v>-0.98768834059513766</v>
      </c>
      <c r="E36" s="3">
        <f t="shared" si="25"/>
        <v>-0.15643446504023104</v>
      </c>
      <c r="AG36" s="3">
        <v>30</v>
      </c>
      <c r="AH36" s="3">
        <f t="shared" si="31"/>
        <v>41.772970603970094</v>
      </c>
      <c r="AI36" s="3">
        <f t="shared" si="32"/>
        <v>87.326615364839682</v>
      </c>
      <c r="AJ36" s="3">
        <f t="shared" si="33"/>
        <v>108.86615192319476</v>
      </c>
      <c r="AK36" s="3">
        <f t="shared" si="34"/>
        <v>79.221445499325625</v>
      </c>
      <c r="AL36" s="3">
        <f t="shared" si="35"/>
        <v>17.798196015327857</v>
      </c>
      <c r="AM36" s="3">
        <f t="shared" si="36"/>
        <v>139.46725773284439</v>
      </c>
      <c r="AN36" s="3">
        <f t="shared" si="37"/>
        <v>0.59243830591118751</v>
      </c>
      <c r="AO36" s="3">
        <f t="shared" si="38"/>
        <v>89.506970583144593</v>
      </c>
      <c r="AP36" s="3">
        <f t="shared" si="39"/>
        <v>74.186876499435513</v>
      </c>
      <c r="AQ36" s="3">
        <f t="shared" si="40"/>
        <v>79.890362780365905</v>
      </c>
      <c r="AR36" s="3">
        <f t="shared" si="41"/>
        <v>100</v>
      </c>
      <c r="AS36" s="3">
        <f t="shared" si="42"/>
        <v>140</v>
      </c>
      <c r="AT36" s="3">
        <f t="shared" si="43"/>
        <v>112.54341559211842</v>
      </c>
      <c r="AU36" s="3">
        <f t="shared" si="44"/>
        <v>119.3426274441928</v>
      </c>
      <c r="AV36" s="3">
        <f t="shared" si="45"/>
        <v>52.201803984672139</v>
      </c>
      <c r="AW36" s="3">
        <f t="shared" si="46"/>
        <v>139.46725773284439</v>
      </c>
      <c r="AX36" s="3">
        <f t="shared" si="47"/>
        <v>16.353524136672306</v>
      </c>
      <c r="AY36" s="3">
        <f t="shared" si="48"/>
        <v>125.57035741757888</v>
      </c>
      <c r="AZ36" s="3">
        <f t="shared" si="49"/>
        <v>44.6909588943928</v>
      </c>
      <c r="BA36" s="3">
        <f t="shared" si="22"/>
        <v>108.92948756157274</v>
      </c>
    </row>
    <row r="37" spans="2:53" x14ac:dyDescent="0.25">
      <c r="B37" s="3">
        <v>270</v>
      </c>
      <c r="C37" s="3">
        <f t="shared" si="23"/>
        <v>4.7123889803846897</v>
      </c>
      <c r="D37" s="3">
        <f t="shared" si="24"/>
        <v>-1</v>
      </c>
      <c r="E37" s="3">
        <f t="shared" si="25"/>
        <v>-1.83772268236293E-16</v>
      </c>
      <c r="AG37" s="3">
        <v>31</v>
      </c>
      <c r="AH37" s="3">
        <f t="shared" si="31"/>
        <v>41.772970603970094</v>
      </c>
      <c r="AI37" s="3">
        <f t="shared" si="32"/>
        <v>87.326615364839682</v>
      </c>
      <c r="AJ37" s="3">
        <f t="shared" si="33"/>
        <v>108.86615192319476</v>
      </c>
      <c r="AK37" s="3">
        <f t="shared" si="34"/>
        <v>79.221445499325625</v>
      </c>
      <c r="AL37" s="3">
        <f t="shared" si="35"/>
        <v>17.798196015327857</v>
      </c>
      <c r="AM37" s="3">
        <f t="shared" si="36"/>
        <v>139.46725773284439</v>
      </c>
      <c r="AN37" s="3">
        <f t="shared" si="37"/>
        <v>0.59243830591118751</v>
      </c>
      <c r="AO37" s="3">
        <f t="shared" si="38"/>
        <v>89.506970583144593</v>
      </c>
      <c r="AP37" s="3">
        <f t="shared" si="39"/>
        <v>74.186876499435513</v>
      </c>
      <c r="AQ37" s="3">
        <f t="shared" si="40"/>
        <v>79.890362780365905</v>
      </c>
      <c r="AR37" s="3">
        <f t="shared" si="41"/>
        <v>100</v>
      </c>
      <c r="AS37" s="3">
        <f t="shared" si="42"/>
        <v>140</v>
      </c>
      <c r="AT37" s="3">
        <f t="shared" si="43"/>
        <v>112.54341559211842</v>
      </c>
      <c r="AU37" s="3">
        <f t="shared" si="44"/>
        <v>119.3426274441928</v>
      </c>
      <c r="AV37" s="3">
        <f t="shared" si="45"/>
        <v>52.201803984672139</v>
      </c>
      <c r="AW37" s="3">
        <f t="shared" si="46"/>
        <v>139.46725773284439</v>
      </c>
      <c r="AX37" s="3">
        <f t="shared" si="47"/>
        <v>16.353524136672306</v>
      </c>
      <c r="AY37" s="3">
        <f t="shared" si="48"/>
        <v>125.57035741757888</v>
      </c>
      <c r="AZ37" s="3">
        <f t="shared" si="49"/>
        <v>44.6909588943928</v>
      </c>
      <c r="BA37" s="3">
        <f t="shared" si="22"/>
        <v>108.92948756157274</v>
      </c>
    </row>
    <row r="38" spans="2:53" x14ac:dyDescent="0.25">
      <c r="B38" s="3">
        <v>279</v>
      </c>
      <c r="C38" s="3">
        <f t="shared" si="23"/>
        <v>4.8694686130641793</v>
      </c>
      <c r="D38" s="3">
        <f t="shared" si="24"/>
        <v>-0.98768834059513777</v>
      </c>
      <c r="E38" s="3">
        <f t="shared" si="25"/>
        <v>0.15643446504023067</v>
      </c>
      <c r="AG38" s="3">
        <v>32</v>
      </c>
      <c r="AH38" s="3">
        <f t="shared" si="31"/>
        <v>41.772970603970094</v>
      </c>
      <c r="AI38" s="3">
        <f t="shared" si="32"/>
        <v>87.326615364839682</v>
      </c>
      <c r="AJ38" s="3">
        <f t="shared" si="33"/>
        <v>108.86615192319476</v>
      </c>
      <c r="AK38" s="3">
        <f t="shared" si="34"/>
        <v>79.221445499325625</v>
      </c>
      <c r="AL38" s="3">
        <f t="shared" si="35"/>
        <v>17.798196015327857</v>
      </c>
      <c r="AM38" s="3">
        <f t="shared" si="36"/>
        <v>139.46725773284439</v>
      </c>
      <c r="AN38" s="3">
        <f t="shared" si="37"/>
        <v>0.59243830591118751</v>
      </c>
      <c r="AO38" s="3">
        <f t="shared" si="38"/>
        <v>89.506970583144593</v>
      </c>
      <c r="AP38" s="3">
        <f t="shared" si="39"/>
        <v>74.186876499435513</v>
      </c>
      <c r="AQ38" s="3">
        <f t="shared" si="40"/>
        <v>79.890362780365905</v>
      </c>
      <c r="AR38" s="3">
        <f t="shared" si="41"/>
        <v>100</v>
      </c>
      <c r="AS38" s="3">
        <f t="shared" si="42"/>
        <v>140</v>
      </c>
      <c r="AT38" s="3">
        <f t="shared" si="43"/>
        <v>112.54341559211842</v>
      </c>
      <c r="AU38" s="3">
        <f t="shared" si="44"/>
        <v>119.3426274441928</v>
      </c>
      <c r="AV38" s="3">
        <f t="shared" si="45"/>
        <v>52.201803984672139</v>
      </c>
      <c r="AW38" s="3">
        <f t="shared" si="46"/>
        <v>139.46725773284439</v>
      </c>
      <c r="AX38" s="3">
        <f t="shared" si="47"/>
        <v>16.353524136672306</v>
      </c>
      <c r="AY38" s="3">
        <f t="shared" si="48"/>
        <v>125.57035741757888</v>
      </c>
      <c r="AZ38" s="3">
        <f t="shared" si="49"/>
        <v>44.6909588943928</v>
      </c>
      <c r="BA38" s="3">
        <f t="shared" si="22"/>
        <v>108.92948756157274</v>
      </c>
    </row>
    <row r="39" spans="2:53" x14ac:dyDescent="0.25">
      <c r="B39" s="3">
        <v>288</v>
      </c>
      <c r="C39" s="3">
        <f t="shared" si="23"/>
        <v>5.026548245743669</v>
      </c>
      <c r="D39" s="3">
        <f t="shared" si="24"/>
        <v>-0.95105651629515364</v>
      </c>
      <c r="E39" s="3">
        <f t="shared" si="25"/>
        <v>0.30901699437494723</v>
      </c>
      <c r="AG39" s="3">
        <v>33</v>
      </c>
      <c r="AH39" s="3">
        <f t="shared" si="31"/>
        <v>41.772970603970094</v>
      </c>
      <c r="AI39" s="3">
        <f t="shared" si="32"/>
        <v>87.326615364839682</v>
      </c>
      <c r="AJ39" s="3">
        <f t="shared" si="33"/>
        <v>108.86615192319476</v>
      </c>
      <c r="AK39" s="3">
        <f t="shared" si="34"/>
        <v>79.221445499325625</v>
      </c>
      <c r="AL39" s="3">
        <f t="shared" si="35"/>
        <v>17.798196015327857</v>
      </c>
      <c r="AM39" s="3">
        <f t="shared" si="36"/>
        <v>139.46725773284439</v>
      </c>
      <c r="AN39" s="3">
        <f t="shared" si="37"/>
        <v>0.59243830591118751</v>
      </c>
      <c r="AO39" s="3">
        <f t="shared" si="38"/>
        <v>89.506970583144593</v>
      </c>
      <c r="AP39" s="3">
        <f t="shared" si="39"/>
        <v>74.186876499435513</v>
      </c>
      <c r="AQ39" s="3">
        <f t="shared" si="40"/>
        <v>79.890362780365905</v>
      </c>
      <c r="AR39" s="3">
        <f t="shared" si="41"/>
        <v>100</v>
      </c>
      <c r="AS39" s="3">
        <f t="shared" si="42"/>
        <v>140</v>
      </c>
      <c r="AT39" s="3">
        <f t="shared" si="43"/>
        <v>112.54341559211842</v>
      </c>
      <c r="AU39" s="3">
        <f t="shared" si="44"/>
        <v>119.3426274441928</v>
      </c>
      <c r="AV39" s="3">
        <f t="shared" si="45"/>
        <v>52.201803984672139</v>
      </c>
      <c r="AW39" s="3">
        <f t="shared" si="46"/>
        <v>139.46725773284439</v>
      </c>
      <c r="AX39" s="3">
        <f t="shared" si="47"/>
        <v>16.353524136672306</v>
      </c>
      <c r="AY39" s="3">
        <f t="shared" si="48"/>
        <v>125.57035741757888</v>
      </c>
      <c r="AZ39" s="3">
        <f t="shared" si="49"/>
        <v>44.6909588943928</v>
      </c>
      <c r="BA39" s="3">
        <f t="shared" si="22"/>
        <v>108.92948756157274</v>
      </c>
    </row>
    <row r="40" spans="2:53" x14ac:dyDescent="0.25">
      <c r="B40" s="3">
        <v>297</v>
      </c>
      <c r="C40" s="3">
        <f t="shared" si="23"/>
        <v>5.1836278784231586</v>
      </c>
      <c r="D40" s="3">
        <f t="shared" si="24"/>
        <v>-0.8910065241883679</v>
      </c>
      <c r="E40" s="3">
        <f t="shared" si="25"/>
        <v>0.45399049973954664</v>
      </c>
      <c r="AG40" s="3">
        <v>34</v>
      </c>
      <c r="AH40" s="3">
        <f t="shared" si="31"/>
        <v>41.772970603970094</v>
      </c>
      <c r="AI40" s="3">
        <f t="shared" si="32"/>
        <v>87.326615364839682</v>
      </c>
      <c r="AJ40" s="3">
        <f t="shared" si="33"/>
        <v>108.86615192319476</v>
      </c>
      <c r="AK40" s="3">
        <f t="shared" si="34"/>
        <v>79.221445499325625</v>
      </c>
      <c r="AL40" s="3">
        <f t="shared" si="35"/>
        <v>17.798196015327857</v>
      </c>
      <c r="AM40" s="3">
        <f t="shared" si="36"/>
        <v>139.46725773284439</v>
      </c>
      <c r="AN40" s="3">
        <f t="shared" si="37"/>
        <v>0.59243830591118751</v>
      </c>
      <c r="AO40" s="3">
        <f t="shared" si="38"/>
        <v>89.506970583144593</v>
      </c>
      <c r="AP40" s="3">
        <f t="shared" si="39"/>
        <v>74.186876499435513</v>
      </c>
      <c r="AQ40" s="3">
        <f t="shared" si="40"/>
        <v>79.890362780365905</v>
      </c>
      <c r="AR40" s="3">
        <f t="shared" si="41"/>
        <v>100</v>
      </c>
      <c r="AS40" s="3">
        <f t="shared" si="42"/>
        <v>140</v>
      </c>
      <c r="AT40" s="3">
        <f t="shared" si="43"/>
        <v>112.54341559211842</v>
      </c>
      <c r="AU40" s="3">
        <f t="shared" si="44"/>
        <v>119.3426274441928</v>
      </c>
      <c r="AV40" s="3">
        <f t="shared" si="45"/>
        <v>52.201803984672139</v>
      </c>
      <c r="AW40" s="3">
        <f t="shared" si="46"/>
        <v>139.46725773284439</v>
      </c>
      <c r="AX40" s="3">
        <f t="shared" si="47"/>
        <v>16.353524136672306</v>
      </c>
      <c r="AY40" s="3">
        <f t="shared" si="48"/>
        <v>125.57035741757888</v>
      </c>
      <c r="AZ40" s="3">
        <f t="shared" si="49"/>
        <v>44.6909588943928</v>
      </c>
      <c r="BA40" s="3">
        <f t="shared" si="22"/>
        <v>108.92948756157274</v>
      </c>
    </row>
    <row r="41" spans="2:53" x14ac:dyDescent="0.25">
      <c r="B41" s="3">
        <v>306</v>
      </c>
      <c r="C41" s="3">
        <f t="shared" si="23"/>
        <v>5.3407075111026483</v>
      </c>
      <c r="D41" s="3">
        <f t="shared" si="24"/>
        <v>-0.80901699437494756</v>
      </c>
      <c r="E41" s="3">
        <f t="shared" si="25"/>
        <v>0.58778525229247292</v>
      </c>
      <c r="AG41" s="3">
        <v>35</v>
      </c>
      <c r="AH41" s="3">
        <f t="shared" si="31"/>
        <v>41.772970603970094</v>
      </c>
      <c r="AI41" s="3">
        <f t="shared" si="32"/>
        <v>87.326615364839682</v>
      </c>
      <c r="AJ41" s="3">
        <f t="shared" si="33"/>
        <v>108.86615192319476</v>
      </c>
      <c r="AK41" s="3">
        <f t="shared" si="34"/>
        <v>79.221445499325625</v>
      </c>
      <c r="AL41" s="3">
        <f t="shared" si="35"/>
        <v>17.798196015327857</v>
      </c>
      <c r="AM41" s="3">
        <f t="shared" si="36"/>
        <v>139.46725773284439</v>
      </c>
      <c r="AN41" s="3">
        <f t="shared" si="37"/>
        <v>0.59243830591118751</v>
      </c>
      <c r="AO41" s="3">
        <f t="shared" si="38"/>
        <v>89.506970583144593</v>
      </c>
      <c r="AP41" s="3">
        <f t="shared" si="39"/>
        <v>74.186876499435513</v>
      </c>
      <c r="AQ41" s="3">
        <f t="shared" si="40"/>
        <v>79.890362780365905</v>
      </c>
      <c r="AR41" s="3">
        <f t="shared" si="41"/>
        <v>100</v>
      </c>
      <c r="AS41" s="3">
        <f t="shared" si="42"/>
        <v>140</v>
      </c>
      <c r="AT41" s="3">
        <f t="shared" si="43"/>
        <v>112.54341559211842</v>
      </c>
      <c r="AU41" s="3">
        <f t="shared" si="44"/>
        <v>119.3426274441928</v>
      </c>
      <c r="AV41" s="3">
        <f t="shared" si="45"/>
        <v>52.201803984672139</v>
      </c>
      <c r="AW41" s="3">
        <f t="shared" si="46"/>
        <v>139.46725773284439</v>
      </c>
      <c r="AX41" s="3">
        <f t="shared" si="47"/>
        <v>16.353524136672306</v>
      </c>
      <c r="AY41" s="3">
        <f t="shared" si="48"/>
        <v>125.57035741757888</v>
      </c>
      <c r="AZ41" s="3">
        <f t="shared" si="49"/>
        <v>44.6909588943928</v>
      </c>
      <c r="BA41" s="3">
        <f t="shared" si="22"/>
        <v>108.92948756157274</v>
      </c>
    </row>
    <row r="42" spans="2:53" x14ac:dyDescent="0.25">
      <c r="B42" s="3">
        <v>315</v>
      </c>
      <c r="C42" s="3">
        <f t="shared" si="23"/>
        <v>5.497787143782138</v>
      </c>
      <c r="D42" s="3">
        <f t="shared" si="24"/>
        <v>-0.70710678118654768</v>
      </c>
      <c r="E42" s="3">
        <f t="shared" si="25"/>
        <v>0.70710678118654735</v>
      </c>
      <c r="AG42" s="3">
        <v>36</v>
      </c>
      <c r="AH42" s="3">
        <f t="shared" si="31"/>
        <v>41.772970603970094</v>
      </c>
      <c r="AI42" s="3">
        <f t="shared" si="32"/>
        <v>87.326615364839682</v>
      </c>
      <c r="AJ42" s="3">
        <f t="shared" si="33"/>
        <v>108.86615192319476</v>
      </c>
      <c r="AK42" s="3">
        <f t="shared" si="34"/>
        <v>79.221445499325625</v>
      </c>
      <c r="AL42" s="3">
        <f t="shared" si="35"/>
        <v>17.798196015327857</v>
      </c>
      <c r="AM42" s="3">
        <f t="shared" si="36"/>
        <v>139.46725773284439</v>
      </c>
      <c r="AN42" s="3">
        <f t="shared" si="37"/>
        <v>0.59243830591118751</v>
      </c>
      <c r="AO42" s="3">
        <f t="shared" si="38"/>
        <v>89.506970583144593</v>
      </c>
      <c r="AP42" s="3">
        <f t="shared" si="39"/>
        <v>74.186876499435513</v>
      </c>
      <c r="AQ42" s="3">
        <f t="shared" si="40"/>
        <v>79.890362780365905</v>
      </c>
      <c r="AR42" s="3">
        <f t="shared" si="41"/>
        <v>100</v>
      </c>
      <c r="AS42" s="3">
        <f t="shared" si="42"/>
        <v>140</v>
      </c>
      <c r="AT42" s="3">
        <f t="shared" si="43"/>
        <v>112.54341559211842</v>
      </c>
      <c r="AU42" s="3">
        <f t="shared" si="44"/>
        <v>119.3426274441928</v>
      </c>
      <c r="AV42" s="3">
        <f t="shared" si="45"/>
        <v>52.201803984672139</v>
      </c>
      <c r="AW42" s="3">
        <f t="shared" si="46"/>
        <v>139.46725773284439</v>
      </c>
      <c r="AX42" s="3">
        <f t="shared" si="47"/>
        <v>16.353524136672306</v>
      </c>
      <c r="AY42" s="3">
        <f t="shared" si="48"/>
        <v>125.57035741757888</v>
      </c>
      <c r="AZ42" s="3">
        <f t="shared" si="49"/>
        <v>44.6909588943928</v>
      </c>
      <c r="BA42" s="3">
        <f t="shared" si="22"/>
        <v>108.92948756157274</v>
      </c>
    </row>
    <row r="43" spans="2:53" x14ac:dyDescent="0.25">
      <c r="B43" s="3">
        <v>324</v>
      </c>
      <c r="C43" s="3">
        <f t="shared" si="23"/>
        <v>5.6548667764616276</v>
      </c>
      <c r="D43" s="3">
        <f t="shared" si="24"/>
        <v>-0.58778525229247336</v>
      </c>
      <c r="E43" s="3">
        <f t="shared" si="25"/>
        <v>0.80901699437494734</v>
      </c>
      <c r="AG43" s="3">
        <v>37</v>
      </c>
      <c r="AH43" s="3">
        <f t="shared" si="31"/>
        <v>41.772970603970094</v>
      </c>
      <c r="AI43" s="3">
        <f t="shared" si="32"/>
        <v>87.326615364839682</v>
      </c>
      <c r="AJ43" s="3">
        <f t="shared" si="33"/>
        <v>108.86615192319476</v>
      </c>
      <c r="AK43" s="3">
        <f t="shared" si="34"/>
        <v>79.221445499325625</v>
      </c>
      <c r="AL43" s="3">
        <f t="shared" si="35"/>
        <v>17.798196015327857</v>
      </c>
      <c r="AM43" s="3">
        <f t="shared" si="36"/>
        <v>139.46725773284439</v>
      </c>
      <c r="AN43" s="3">
        <f t="shared" si="37"/>
        <v>0.59243830591118751</v>
      </c>
      <c r="AO43" s="3">
        <f t="shared" si="38"/>
        <v>89.506970583144593</v>
      </c>
      <c r="AP43" s="3">
        <f t="shared" si="39"/>
        <v>74.186876499435513</v>
      </c>
      <c r="AQ43" s="3">
        <f t="shared" si="40"/>
        <v>79.890362780365905</v>
      </c>
      <c r="AR43" s="3">
        <f t="shared" si="41"/>
        <v>100</v>
      </c>
      <c r="AS43" s="3">
        <f t="shared" si="42"/>
        <v>140</v>
      </c>
      <c r="AT43" s="3">
        <f t="shared" si="43"/>
        <v>112.54341559211842</v>
      </c>
      <c r="AU43" s="3">
        <f t="shared" si="44"/>
        <v>119.3426274441928</v>
      </c>
      <c r="AV43" s="3">
        <f t="shared" si="45"/>
        <v>52.201803984672139</v>
      </c>
      <c r="AW43" s="3">
        <f t="shared" si="46"/>
        <v>139.46725773284439</v>
      </c>
      <c r="AX43" s="3">
        <f t="shared" si="47"/>
        <v>16.353524136672306</v>
      </c>
      <c r="AY43" s="3">
        <f t="shared" si="48"/>
        <v>125.57035741757888</v>
      </c>
      <c r="AZ43" s="3">
        <f t="shared" si="49"/>
        <v>44.6909588943928</v>
      </c>
      <c r="BA43" s="3">
        <f t="shared" si="22"/>
        <v>108.92948756157274</v>
      </c>
    </row>
    <row r="44" spans="2:53" x14ac:dyDescent="0.25">
      <c r="B44" s="3">
        <v>333</v>
      </c>
      <c r="C44" s="3">
        <f t="shared" si="23"/>
        <v>5.8119464091411173</v>
      </c>
      <c r="D44" s="3">
        <f t="shared" si="24"/>
        <v>-0.45399049973954697</v>
      </c>
      <c r="E44" s="3">
        <f t="shared" si="25"/>
        <v>0.89100652418836779</v>
      </c>
      <c r="AG44" s="3">
        <v>38</v>
      </c>
      <c r="AH44" s="3">
        <f t="shared" si="31"/>
        <v>41.772970603970094</v>
      </c>
      <c r="AI44" s="3">
        <f t="shared" si="32"/>
        <v>87.326615364839682</v>
      </c>
      <c r="AJ44" s="3">
        <f t="shared" si="33"/>
        <v>108.86615192319476</v>
      </c>
      <c r="AK44" s="3">
        <f t="shared" si="34"/>
        <v>79.221445499325625</v>
      </c>
      <c r="AL44" s="3">
        <f t="shared" si="35"/>
        <v>17.798196015327857</v>
      </c>
      <c r="AM44" s="3">
        <f t="shared" si="36"/>
        <v>139.46725773284439</v>
      </c>
      <c r="AN44" s="3">
        <f t="shared" si="37"/>
        <v>0.59243830591118751</v>
      </c>
      <c r="AO44" s="3">
        <f t="shared" si="38"/>
        <v>89.506970583144593</v>
      </c>
      <c r="AP44" s="3">
        <f t="shared" si="39"/>
        <v>74.186876499435513</v>
      </c>
      <c r="AQ44" s="3">
        <f t="shared" si="40"/>
        <v>79.890362780365905</v>
      </c>
      <c r="AR44" s="3">
        <f t="shared" si="41"/>
        <v>100</v>
      </c>
      <c r="AS44" s="3">
        <f t="shared" si="42"/>
        <v>140</v>
      </c>
      <c r="AT44" s="3">
        <f t="shared" si="43"/>
        <v>112.54341559211842</v>
      </c>
      <c r="AU44" s="3">
        <f t="shared" si="44"/>
        <v>119.3426274441928</v>
      </c>
      <c r="AV44" s="3">
        <f t="shared" si="45"/>
        <v>52.201803984672139</v>
      </c>
      <c r="AW44" s="3">
        <f t="shared" si="46"/>
        <v>139.46725773284439</v>
      </c>
      <c r="AX44" s="3">
        <f t="shared" si="47"/>
        <v>16.353524136672306</v>
      </c>
      <c r="AY44" s="3">
        <f t="shared" si="48"/>
        <v>125.57035741757888</v>
      </c>
      <c r="AZ44" s="3">
        <f t="shared" si="49"/>
        <v>44.6909588943928</v>
      </c>
      <c r="BA44" s="3">
        <f t="shared" si="22"/>
        <v>108.92948756157274</v>
      </c>
    </row>
    <row r="45" spans="2:53" x14ac:dyDescent="0.25">
      <c r="B45" s="3">
        <v>342</v>
      </c>
      <c r="C45" s="3">
        <f t="shared" si="23"/>
        <v>5.9690260418206069</v>
      </c>
      <c r="D45" s="3">
        <f t="shared" si="24"/>
        <v>-0.30901699437494762</v>
      </c>
      <c r="E45" s="3">
        <f t="shared" si="25"/>
        <v>0.95105651629515353</v>
      </c>
      <c r="AG45" s="3">
        <v>39</v>
      </c>
      <c r="AH45" s="3">
        <f t="shared" si="31"/>
        <v>41.772970603970094</v>
      </c>
      <c r="AI45" s="3">
        <f t="shared" si="32"/>
        <v>87.326615364839682</v>
      </c>
      <c r="AJ45" s="3">
        <f t="shared" si="33"/>
        <v>108.86615192319476</v>
      </c>
      <c r="AK45" s="3">
        <f t="shared" si="34"/>
        <v>79.221445499325625</v>
      </c>
      <c r="AL45" s="3">
        <f t="shared" si="35"/>
        <v>17.798196015327857</v>
      </c>
      <c r="AM45" s="3">
        <f t="shared" si="36"/>
        <v>139.46725773284439</v>
      </c>
      <c r="AN45" s="3">
        <f t="shared" si="37"/>
        <v>0.59243830591118751</v>
      </c>
      <c r="AO45" s="3">
        <f t="shared" si="38"/>
        <v>89.506970583144593</v>
      </c>
      <c r="AP45" s="3">
        <f t="shared" si="39"/>
        <v>74.186876499435513</v>
      </c>
      <c r="AQ45" s="3">
        <f t="shared" si="40"/>
        <v>79.890362780365905</v>
      </c>
      <c r="AR45" s="3">
        <f t="shared" si="41"/>
        <v>100</v>
      </c>
      <c r="AS45" s="3">
        <f t="shared" si="42"/>
        <v>140</v>
      </c>
      <c r="AT45" s="3">
        <f t="shared" si="43"/>
        <v>112.54341559211842</v>
      </c>
      <c r="AU45" s="3">
        <f t="shared" si="44"/>
        <v>119.3426274441928</v>
      </c>
      <c r="AV45" s="3">
        <f t="shared" si="45"/>
        <v>52.201803984672139</v>
      </c>
      <c r="AW45" s="3">
        <f t="shared" si="46"/>
        <v>139.46725773284439</v>
      </c>
      <c r="AX45" s="3">
        <f t="shared" si="47"/>
        <v>16.353524136672306</v>
      </c>
      <c r="AY45" s="3">
        <f t="shared" si="48"/>
        <v>125.57035741757888</v>
      </c>
      <c r="AZ45" s="3">
        <f t="shared" si="49"/>
        <v>44.6909588943928</v>
      </c>
      <c r="BA45" s="3">
        <f t="shared" si="22"/>
        <v>108.92948756157274</v>
      </c>
    </row>
    <row r="46" spans="2:53" x14ac:dyDescent="0.25">
      <c r="B46" s="3">
        <v>351</v>
      </c>
      <c r="C46" s="3">
        <f t="shared" si="23"/>
        <v>6.1261056745000966</v>
      </c>
      <c r="D46" s="3">
        <f t="shared" si="24"/>
        <v>-0.15643446504023112</v>
      </c>
      <c r="E46" s="3">
        <f t="shared" si="25"/>
        <v>0.98768834059513766</v>
      </c>
      <c r="AG46" s="3">
        <v>40</v>
      </c>
      <c r="AH46" s="3">
        <f t="shared" si="31"/>
        <v>41.772970603970094</v>
      </c>
      <c r="AI46" s="3">
        <f t="shared" si="32"/>
        <v>87.326615364839682</v>
      </c>
      <c r="AJ46" s="3">
        <f t="shared" si="33"/>
        <v>108.86615192319476</v>
      </c>
      <c r="AK46" s="3">
        <f t="shared" si="34"/>
        <v>79.221445499325625</v>
      </c>
      <c r="AL46" s="3">
        <f t="shared" si="35"/>
        <v>17.798196015327857</v>
      </c>
      <c r="AM46" s="3">
        <f t="shared" si="36"/>
        <v>139.46725773284439</v>
      </c>
      <c r="AN46" s="3">
        <f t="shared" si="37"/>
        <v>0.59243830591118751</v>
      </c>
      <c r="AO46" s="3">
        <f t="shared" si="38"/>
        <v>89.506970583144593</v>
      </c>
      <c r="AP46" s="3">
        <f t="shared" si="39"/>
        <v>74.186876499435513</v>
      </c>
      <c r="AQ46" s="3">
        <f t="shared" si="40"/>
        <v>79.890362780365905</v>
      </c>
      <c r="AR46" s="3">
        <f t="shared" si="41"/>
        <v>100</v>
      </c>
      <c r="AS46" s="3">
        <f t="shared" si="42"/>
        <v>140</v>
      </c>
      <c r="AT46" s="3">
        <f t="shared" si="43"/>
        <v>112.54341559211842</v>
      </c>
      <c r="AU46" s="3">
        <f t="shared" si="44"/>
        <v>119.3426274441928</v>
      </c>
      <c r="AV46" s="3">
        <f t="shared" si="45"/>
        <v>52.201803984672139</v>
      </c>
      <c r="AW46" s="3">
        <f t="shared" si="46"/>
        <v>139.46725773284439</v>
      </c>
      <c r="AX46" s="3">
        <f t="shared" si="47"/>
        <v>16.353524136672306</v>
      </c>
      <c r="AY46" s="3">
        <f t="shared" si="48"/>
        <v>125.57035741757888</v>
      </c>
      <c r="AZ46" s="3">
        <f t="shared" si="49"/>
        <v>44.6909588943928</v>
      </c>
      <c r="BA46" s="3">
        <f t="shared" si="22"/>
        <v>108.92948756157274</v>
      </c>
    </row>
    <row r="47" spans="2:53" x14ac:dyDescent="0.25">
      <c r="AG47" s="3">
        <v>41</v>
      </c>
      <c r="AH47" s="3">
        <f t="shared" si="31"/>
        <v>41.772970603970094</v>
      </c>
      <c r="AI47" s="3">
        <f t="shared" si="32"/>
        <v>87.326615364839682</v>
      </c>
      <c r="AJ47" s="3">
        <f t="shared" si="33"/>
        <v>108.86615192319476</v>
      </c>
      <c r="AK47" s="3">
        <f t="shared" si="34"/>
        <v>79.221445499325625</v>
      </c>
      <c r="AL47" s="3">
        <f t="shared" si="35"/>
        <v>17.798196015327857</v>
      </c>
      <c r="AM47" s="3">
        <f t="shared" si="36"/>
        <v>139.46725773284439</v>
      </c>
      <c r="AN47" s="3">
        <f t="shared" si="37"/>
        <v>0.59243830591118751</v>
      </c>
      <c r="AO47" s="3">
        <f t="shared" si="38"/>
        <v>89.506970583144593</v>
      </c>
      <c r="AP47" s="3">
        <f t="shared" si="39"/>
        <v>74.186876499435513</v>
      </c>
      <c r="AQ47" s="3">
        <f t="shared" si="40"/>
        <v>79.890362780365905</v>
      </c>
      <c r="AR47" s="3">
        <f t="shared" si="41"/>
        <v>100</v>
      </c>
      <c r="AS47" s="3">
        <f t="shared" si="42"/>
        <v>140</v>
      </c>
      <c r="AT47" s="3">
        <f t="shared" si="43"/>
        <v>112.54341559211842</v>
      </c>
      <c r="AU47" s="3">
        <f t="shared" si="44"/>
        <v>119.3426274441928</v>
      </c>
      <c r="AV47" s="3">
        <f t="shared" si="45"/>
        <v>52.201803984672139</v>
      </c>
      <c r="AW47" s="3">
        <f t="shared" si="46"/>
        <v>139.46725773284439</v>
      </c>
      <c r="AX47" s="3">
        <f t="shared" si="47"/>
        <v>16.353524136672306</v>
      </c>
      <c r="AY47" s="3">
        <f t="shared" si="48"/>
        <v>125.57035741757888</v>
      </c>
      <c r="AZ47" s="3">
        <f t="shared" si="49"/>
        <v>44.6909588943928</v>
      </c>
      <c r="BA47" s="3">
        <f t="shared" si="22"/>
        <v>108.92948756157274</v>
      </c>
    </row>
    <row r="48" spans="2:53" x14ac:dyDescent="0.25">
      <c r="AG48" s="3">
        <v>42</v>
      </c>
      <c r="AH48" s="3">
        <f t="shared" si="31"/>
        <v>41.772970603970094</v>
      </c>
      <c r="AI48" s="3">
        <f t="shared" si="32"/>
        <v>87.326615364839682</v>
      </c>
      <c r="AJ48" s="3">
        <f t="shared" si="33"/>
        <v>108.86615192319476</v>
      </c>
      <c r="AK48" s="3">
        <f t="shared" si="34"/>
        <v>79.221445499325625</v>
      </c>
      <c r="AL48" s="3">
        <f t="shared" si="35"/>
        <v>17.798196015327857</v>
      </c>
      <c r="AM48" s="3">
        <f t="shared" si="36"/>
        <v>139.46725773284439</v>
      </c>
      <c r="AN48" s="3">
        <f t="shared" si="37"/>
        <v>0.59243830591118751</v>
      </c>
      <c r="AO48" s="3">
        <f t="shared" si="38"/>
        <v>89.506970583144593</v>
      </c>
      <c r="AP48" s="3">
        <f t="shared" si="39"/>
        <v>74.186876499435513</v>
      </c>
      <c r="AQ48" s="3">
        <f t="shared" si="40"/>
        <v>79.890362780365905</v>
      </c>
      <c r="AR48" s="3">
        <f t="shared" si="41"/>
        <v>100</v>
      </c>
      <c r="AS48" s="3">
        <f t="shared" si="42"/>
        <v>140</v>
      </c>
      <c r="AT48" s="3">
        <f t="shared" si="43"/>
        <v>112.54341559211842</v>
      </c>
      <c r="AU48" s="3">
        <f t="shared" si="44"/>
        <v>119.3426274441928</v>
      </c>
      <c r="AV48" s="3">
        <f t="shared" si="45"/>
        <v>52.201803984672139</v>
      </c>
      <c r="AW48" s="3">
        <f t="shared" si="46"/>
        <v>139.46725773284439</v>
      </c>
      <c r="AX48" s="3">
        <f t="shared" si="47"/>
        <v>16.353524136672306</v>
      </c>
      <c r="AY48" s="3">
        <f t="shared" si="48"/>
        <v>125.57035741757888</v>
      </c>
      <c r="AZ48" s="3">
        <f t="shared" si="49"/>
        <v>44.6909588943928</v>
      </c>
      <c r="BA48" s="3">
        <f t="shared" si="22"/>
        <v>108.92948756157274</v>
      </c>
    </row>
    <row r="49" spans="33:53" x14ac:dyDescent="0.25">
      <c r="AG49" s="3">
        <v>43</v>
      </c>
      <c r="AH49" s="3">
        <f t="shared" si="31"/>
        <v>41.772970603970094</v>
      </c>
      <c r="AI49" s="3">
        <f t="shared" si="32"/>
        <v>87.326615364839682</v>
      </c>
      <c r="AJ49" s="3">
        <f t="shared" si="33"/>
        <v>108.86615192319476</v>
      </c>
      <c r="AK49" s="3">
        <f t="shared" si="34"/>
        <v>79.221445499325625</v>
      </c>
      <c r="AL49" s="3">
        <f t="shared" si="35"/>
        <v>17.798196015327857</v>
      </c>
      <c r="AM49" s="3">
        <f t="shared" si="36"/>
        <v>139.46725773284439</v>
      </c>
      <c r="AN49" s="3">
        <f t="shared" si="37"/>
        <v>0.59243830591118751</v>
      </c>
      <c r="AO49" s="3">
        <f t="shared" si="38"/>
        <v>89.506970583144593</v>
      </c>
      <c r="AP49" s="3">
        <f t="shared" si="39"/>
        <v>74.186876499435513</v>
      </c>
      <c r="AQ49" s="3">
        <f t="shared" si="40"/>
        <v>79.890362780365905</v>
      </c>
      <c r="AR49" s="3">
        <f t="shared" si="41"/>
        <v>100</v>
      </c>
      <c r="AS49" s="3">
        <f t="shared" si="42"/>
        <v>140</v>
      </c>
      <c r="AT49" s="3">
        <f t="shared" si="43"/>
        <v>112.54341559211842</v>
      </c>
      <c r="AU49" s="3">
        <f t="shared" si="44"/>
        <v>119.3426274441928</v>
      </c>
      <c r="AV49" s="3">
        <f t="shared" si="45"/>
        <v>52.201803984672139</v>
      </c>
      <c r="AW49" s="3">
        <f t="shared" si="46"/>
        <v>139.46725773284439</v>
      </c>
      <c r="AX49" s="3">
        <f t="shared" si="47"/>
        <v>16.353524136672306</v>
      </c>
      <c r="AY49" s="3">
        <f t="shared" si="48"/>
        <v>125.57035741757888</v>
      </c>
      <c r="AZ49" s="3">
        <f t="shared" si="49"/>
        <v>44.6909588943928</v>
      </c>
      <c r="BA49" s="3">
        <f t="shared" si="22"/>
        <v>108.92948756157274</v>
      </c>
    </row>
    <row r="50" spans="33:53" x14ac:dyDescent="0.25">
      <c r="AG50" s="3">
        <v>44</v>
      </c>
      <c r="AH50" s="3">
        <f t="shared" si="31"/>
        <v>41.772970603970094</v>
      </c>
      <c r="AI50" s="3">
        <f t="shared" si="32"/>
        <v>87.326615364839682</v>
      </c>
      <c r="AJ50" s="3">
        <f t="shared" si="33"/>
        <v>108.86615192319476</v>
      </c>
      <c r="AK50" s="3">
        <f t="shared" si="34"/>
        <v>79.221445499325625</v>
      </c>
      <c r="AL50" s="3">
        <f t="shared" si="35"/>
        <v>17.798196015327857</v>
      </c>
      <c r="AM50" s="3">
        <f t="shared" si="36"/>
        <v>139.46725773284439</v>
      </c>
      <c r="AN50" s="3">
        <f t="shared" si="37"/>
        <v>0.59243830591118751</v>
      </c>
      <c r="AO50" s="3">
        <f t="shared" si="38"/>
        <v>89.506970583144593</v>
      </c>
      <c r="AP50" s="3">
        <f t="shared" si="39"/>
        <v>74.186876499435513</v>
      </c>
      <c r="AQ50" s="3">
        <f t="shared" si="40"/>
        <v>79.890362780365905</v>
      </c>
      <c r="AR50" s="3">
        <f t="shared" si="41"/>
        <v>100</v>
      </c>
      <c r="AS50" s="3">
        <f t="shared" si="42"/>
        <v>140</v>
      </c>
      <c r="AT50" s="3">
        <f t="shared" si="43"/>
        <v>112.54341559211842</v>
      </c>
      <c r="AU50" s="3">
        <f t="shared" si="44"/>
        <v>119.3426274441928</v>
      </c>
      <c r="AV50" s="3">
        <f t="shared" si="45"/>
        <v>52.201803984672139</v>
      </c>
      <c r="AW50" s="3">
        <f t="shared" si="46"/>
        <v>139.46725773284439</v>
      </c>
      <c r="AX50" s="3">
        <f t="shared" si="47"/>
        <v>16.353524136672306</v>
      </c>
      <c r="AY50" s="3">
        <f t="shared" si="48"/>
        <v>125.57035741757888</v>
      </c>
      <c r="AZ50" s="3">
        <f t="shared" si="49"/>
        <v>44.6909588943928</v>
      </c>
      <c r="BA50" s="3">
        <f t="shared" si="22"/>
        <v>108.92948756157274</v>
      </c>
    </row>
    <row r="51" spans="33:53" x14ac:dyDescent="0.25">
      <c r="AG51" s="3">
        <v>45</v>
      </c>
      <c r="AH51" s="3">
        <f t="shared" si="31"/>
        <v>41.772970603970094</v>
      </c>
      <c r="AI51" s="3">
        <f t="shared" si="32"/>
        <v>87.326615364839682</v>
      </c>
      <c r="AJ51" s="3">
        <f t="shared" si="33"/>
        <v>108.86615192319476</v>
      </c>
      <c r="AK51" s="3">
        <f t="shared" si="34"/>
        <v>79.221445499325625</v>
      </c>
      <c r="AL51" s="3">
        <f t="shared" si="35"/>
        <v>17.798196015327857</v>
      </c>
      <c r="AM51" s="3">
        <f t="shared" si="36"/>
        <v>139.46725773284439</v>
      </c>
      <c r="AN51" s="3">
        <f t="shared" si="37"/>
        <v>0.59243830591118751</v>
      </c>
      <c r="AO51" s="3">
        <f t="shared" si="38"/>
        <v>89.506970583144593</v>
      </c>
      <c r="AP51" s="3">
        <f t="shared" si="39"/>
        <v>74.186876499435513</v>
      </c>
      <c r="AQ51" s="3">
        <f t="shared" si="40"/>
        <v>79.890362780365905</v>
      </c>
      <c r="AR51" s="3">
        <f t="shared" si="41"/>
        <v>100</v>
      </c>
      <c r="AS51" s="3">
        <f t="shared" si="42"/>
        <v>140</v>
      </c>
      <c r="AT51" s="3">
        <f t="shared" si="43"/>
        <v>112.54341559211842</v>
      </c>
      <c r="AU51" s="3">
        <f t="shared" si="44"/>
        <v>119.3426274441928</v>
      </c>
      <c r="AV51" s="3">
        <f t="shared" si="45"/>
        <v>52.201803984672139</v>
      </c>
      <c r="AW51" s="3">
        <f t="shared" si="46"/>
        <v>139.46725773284439</v>
      </c>
      <c r="AX51" s="3">
        <f t="shared" si="47"/>
        <v>16.353524136672306</v>
      </c>
      <c r="AY51" s="3">
        <f t="shared" si="48"/>
        <v>125.57035741757888</v>
      </c>
      <c r="AZ51" s="3">
        <f t="shared" si="49"/>
        <v>44.6909588943928</v>
      </c>
      <c r="BA51" s="3">
        <f t="shared" si="22"/>
        <v>108.92948756157274</v>
      </c>
    </row>
    <row r="52" spans="33:53" x14ac:dyDescent="0.25">
      <c r="AG52" s="3">
        <v>46</v>
      </c>
      <c r="AH52" s="3">
        <f t="shared" si="31"/>
        <v>41.772970603970094</v>
      </c>
      <c r="AI52" s="3">
        <f t="shared" si="32"/>
        <v>87.326615364839682</v>
      </c>
      <c r="AJ52" s="3">
        <f t="shared" si="33"/>
        <v>108.86615192319476</v>
      </c>
      <c r="AK52" s="3">
        <f t="shared" si="34"/>
        <v>79.221445499325625</v>
      </c>
      <c r="AL52" s="3">
        <f t="shared" si="35"/>
        <v>17.798196015327857</v>
      </c>
      <c r="AM52" s="3">
        <f t="shared" si="36"/>
        <v>139.46725773284439</v>
      </c>
      <c r="AN52" s="3">
        <f t="shared" si="37"/>
        <v>0.59243830591118751</v>
      </c>
      <c r="AO52" s="3">
        <f t="shared" si="38"/>
        <v>89.506970583144593</v>
      </c>
      <c r="AP52" s="3">
        <f t="shared" si="39"/>
        <v>74.186876499435513</v>
      </c>
      <c r="AQ52" s="3">
        <f t="shared" si="40"/>
        <v>79.890362780365905</v>
      </c>
      <c r="AR52" s="3">
        <f t="shared" si="41"/>
        <v>100</v>
      </c>
      <c r="AS52" s="3">
        <f t="shared" si="42"/>
        <v>140</v>
      </c>
      <c r="AT52" s="3">
        <f t="shared" si="43"/>
        <v>112.54341559211842</v>
      </c>
      <c r="AU52" s="3">
        <f t="shared" si="44"/>
        <v>119.3426274441928</v>
      </c>
      <c r="AV52" s="3">
        <f t="shared" si="45"/>
        <v>52.201803984672139</v>
      </c>
      <c r="AW52" s="3">
        <f t="shared" si="46"/>
        <v>139.46725773284439</v>
      </c>
      <c r="AX52" s="3">
        <f t="shared" si="47"/>
        <v>16.353524136672306</v>
      </c>
      <c r="AY52" s="3">
        <f t="shared" si="48"/>
        <v>125.57035741757888</v>
      </c>
      <c r="AZ52" s="3">
        <f t="shared" si="49"/>
        <v>44.6909588943928</v>
      </c>
      <c r="BA52" s="3">
        <f t="shared" si="22"/>
        <v>108.92948756157274</v>
      </c>
    </row>
    <row r="53" spans="33:53" x14ac:dyDescent="0.25">
      <c r="AG53" s="3">
        <v>47</v>
      </c>
      <c r="AH53" s="3">
        <f t="shared" si="31"/>
        <v>41.772970603970094</v>
      </c>
      <c r="AI53" s="3">
        <f t="shared" si="32"/>
        <v>87.326615364839682</v>
      </c>
      <c r="AJ53" s="3">
        <f t="shared" si="33"/>
        <v>108.86615192319476</v>
      </c>
      <c r="AK53" s="3">
        <f t="shared" si="34"/>
        <v>79.221445499325625</v>
      </c>
      <c r="AL53" s="3">
        <f t="shared" si="35"/>
        <v>17.798196015327857</v>
      </c>
      <c r="AM53" s="3">
        <f t="shared" si="36"/>
        <v>139.46725773284439</v>
      </c>
      <c r="AN53" s="3">
        <f t="shared" si="37"/>
        <v>0.59243830591118751</v>
      </c>
      <c r="AO53" s="3">
        <f t="shared" si="38"/>
        <v>89.506970583144593</v>
      </c>
      <c r="AP53" s="3">
        <f t="shared" si="39"/>
        <v>74.186876499435513</v>
      </c>
      <c r="AQ53" s="3">
        <f t="shared" si="40"/>
        <v>79.890362780365905</v>
      </c>
      <c r="AR53" s="3">
        <f t="shared" si="41"/>
        <v>100</v>
      </c>
      <c r="AS53" s="3">
        <f t="shared" si="42"/>
        <v>140</v>
      </c>
      <c r="AT53" s="3">
        <f t="shared" si="43"/>
        <v>112.54341559211842</v>
      </c>
      <c r="AU53" s="3">
        <f t="shared" si="44"/>
        <v>119.3426274441928</v>
      </c>
      <c r="AV53" s="3">
        <f t="shared" si="45"/>
        <v>52.201803984672139</v>
      </c>
      <c r="AW53" s="3">
        <f t="shared" si="46"/>
        <v>139.46725773284439</v>
      </c>
      <c r="AX53" s="3">
        <f t="shared" si="47"/>
        <v>16.353524136672306</v>
      </c>
      <c r="AY53" s="3">
        <f t="shared" si="48"/>
        <v>125.57035741757888</v>
      </c>
      <c r="AZ53" s="3">
        <f t="shared" si="49"/>
        <v>44.6909588943928</v>
      </c>
      <c r="BA53" s="3">
        <f t="shared" si="22"/>
        <v>108.92948756157274</v>
      </c>
    </row>
    <row r="54" spans="33:53" x14ac:dyDescent="0.25">
      <c r="AG54" s="3">
        <v>48</v>
      </c>
      <c r="AH54" s="3">
        <f t="shared" si="31"/>
        <v>41.772970603970094</v>
      </c>
      <c r="AI54" s="3">
        <f t="shared" si="32"/>
        <v>87.326615364839682</v>
      </c>
      <c r="AJ54" s="3">
        <f t="shared" si="33"/>
        <v>108.86615192319476</v>
      </c>
      <c r="AK54" s="3">
        <f t="shared" si="34"/>
        <v>79.221445499325625</v>
      </c>
      <c r="AL54" s="3">
        <f t="shared" si="35"/>
        <v>17.798196015327857</v>
      </c>
      <c r="AM54" s="3">
        <f t="shared" si="36"/>
        <v>139.46725773284439</v>
      </c>
      <c r="AN54" s="3">
        <f t="shared" si="37"/>
        <v>0.59243830591118751</v>
      </c>
      <c r="AO54" s="3">
        <f t="shared" si="38"/>
        <v>89.506970583144593</v>
      </c>
      <c r="AP54" s="3">
        <f t="shared" si="39"/>
        <v>74.186876499435513</v>
      </c>
      <c r="AQ54" s="3">
        <f t="shared" si="40"/>
        <v>79.890362780365905</v>
      </c>
      <c r="AR54" s="3">
        <f t="shared" si="41"/>
        <v>100</v>
      </c>
      <c r="AS54" s="3">
        <f t="shared" si="42"/>
        <v>140</v>
      </c>
      <c r="AT54" s="3">
        <f t="shared" si="43"/>
        <v>112.54341559211842</v>
      </c>
      <c r="AU54" s="3">
        <f t="shared" si="44"/>
        <v>119.3426274441928</v>
      </c>
      <c r="AV54" s="3">
        <f t="shared" si="45"/>
        <v>52.201803984672139</v>
      </c>
      <c r="AW54" s="3">
        <f t="shared" si="46"/>
        <v>139.46725773284439</v>
      </c>
      <c r="AX54" s="3">
        <f t="shared" si="47"/>
        <v>16.353524136672306</v>
      </c>
      <c r="AY54" s="3">
        <f t="shared" si="48"/>
        <v>125.57035741757888</v>
      </c>
      <c r="AZ54" s="3">
        <f t="shared" si="49"/>
        <v>44.6909588943928</v>
      </c>
      <c r="BA54" s="3">
        <f t="shared" si="22"/>
        <v>108.92948756157274</v>
      </c>
    </row>
    <row r="55" spans="33:53" x14ac:dyDescent="0.25">
      <c r="AG55" s="3">
        <v>49</v>
      </c>
      <c r="AH55" s="3">
        <f t="shared" si="31"/>
        <v>41.772970603970094</v>
      </c>
      <c r="AI55" s="3">
        <f t="shared" si="32"/>
        <v>87.326615364839682</v>
      </c>
      <c r="AJ55" s="3">
        <f t="shared" si="33"/>
        <v>108.86615192319476</v>
      </c>
      <c r="AK55" s="3">
        <f t="shared" si="34"/>
        <v>79.221445499325625</v>
      </c>
      <c r="AL55" s="3">
        <f t="shared" si="35"/>
        <v>17.798196015327857</v>
      </c>
      <c r="AM55" s="3">
        <f t="shared" si="36"/>
        <v>139.46725773284439</v>
      </c>
      <c r="AN55" s="3">
        <f t="shared" si="37"/>
        <v>0.59243830591118751</v>
      </c>
      <c r="AO55" s="3">
        <f t="shared" si="38"/>
        <v>89.506970583144593</v>
      </c>
      <c r="AP55" s="3">
        <f t="shared" si="39"/>
        <v>74.186876499435513</v>
      </c>
      <c r="AQ55" s="3">
        <f t="shared" si="40"/>
        <v>79.890362780365905</v>
      </c>
      <c r="AR55" s="3">
        <f t="shared" si="41"/>
        <v>100</v>
      </c>
      <c r="AS55" s="3">
        <f t="shared" si="42"/>
        <v>140</v>
      </c>
      <c r="AT55" s="3">
        <f t="shared" si="43"/>
        <v>112.54341559211842</v>
      </c>
      <c r="AU55" s="3">
        <f t="shared" si="44"/>
        <v>119.3426274441928</v>
      </c>
      <c r="AV55" s="3">
        <f t="shared" si="45"/>
        <v>52.201803984672139</v>
      </c>
      <c r="AW55" s="3">
        <f t="shared" si="46"/>
        <v>139.46725773284439</v>
      </c>
      <c r="AX55" s="3">
        <f t="shared" si="47"/>
        <v>16.353524136672306</v>
      </c>
      <c r="AY55" s="3">
        <f t="shared" si="48"/>
        <v>125.57035741757888</v>
      </c>
      <c r="AZ55" s="3">
        <f t="shared" si="49"/>
        <v>44.6909588943928</v>
      </c>
      <c r="BA55" s="3">
        <f t="shared" si="22"/>
        <v>108.92948756157274</v>
      </c>
    </row>
    <row r="56" spans="33:53" x14ac:dyDescent="0.25">
      <c r="AG56" s="3">
        <v>50</v>
      </c>
      <c r="AH56" s="3">
        <f t="shared" si="31"/>
        <v>41.772970603970094</v>
      </c>
      <c r="AI56" s="3">
        <f t="shared" si="32"/>
        <v>87.326615364839682</v>
      </c>
      <c r="AJ56" s="3">
        <f t="shared" si="33"/>
        <v>108.86615192319476</v>
      </c>
      <c r="AK56" s="3">
        <f t="shared" si="34"/>
        <v>79.221445499325625</v>
      </c>
      <c r="AL56" s="3">
        <f t="shared" si="35"/>
        <v>17.798196015327857</v>
      </c>
      <c r="AM56" s="3">
        <f t="shared" si="36"/>
        <v>139.46725773284439</v>
      </c>
      <c r="AN56" s="3">
        <f t="shared" si="37"/>
        <v>0.59243830591118751</v>
      </c>
      <c r="AO56" s="3">
        <f t="shared" si="38"/>
        <v>89.506970583144593</v>
      </c>
      <c r="AP56" s="3">
        <f t="shared" si="39"/>
        <v>74.186876499435513</v>
      </c>
      <c r="AQ56" s="3">
        <f t="shared" si="40"/>
        <v>79.890362780365905</v>
      </c>
      <c r="AR56" s="3">
        <f t="shared" si="41"/>
        <v>100</v>
      </c>
      <c r="AS56" s="3">
        <f t="shared" si="42"/>
        <v>140</v>
      </c>
      <c r="AT56" s="3">
        <f t="shared" si="43"/>
        <v>112.54341559211842</v>
      </c>
      <c r="AU56" s="3">
        <f t="shared" si="44"/>
        <v>119.3426274441928</v>
      </c>
      <c r="AV56" s="3">
        <f t="shared" si="45"/>
        <v>52.201803984672139</v>
      </c>
      <c r="AW56" s="3">
        <f t="shared" si="46"/>
        <v>139.46725773284439</v>
      </c>
      <c r="AX56" s="3">
        <f t="shared" si="47"/>
        <v>16.353524136672306</v>
      </c>
      <c r="AY56" s="3">
        <f t="shared" si="48"/>
        <v>125.57035741757888</v>
      </c>
      <c r="AZ56" s="3">
        <f t="shared" si="49"/>
        <v>44.6909588943928</v>
      </c>
      <c r="BA56" s="3">
        <f t="shared" si="22"/>
        <v>108.92948756157274</v>
      </c>
    </row>
    <row r="57" spans="33:53" x14ac:dyDescent="0.25">
      <c r="AG57" s="3">
        <v>51</v>
      </c>
      <c r="AH57" s="3">
        <f t="shared" si="31"/>
        <v>41.772970603970094</v>
      </c>
      <c r="AI57" s="3">
        <f t="shared" si="32"/>
        <v>87.326615364839682</v>
      </c>
      <c r="AJ57" s="3">
        <f t="shared" si="33"/>
        <v>108.86615192319476</v>
      </c>
      <c r="AK57" s="3">
        <f t="shared" si="34"/>
        <v>79.221445499325625</v>
      </c>
      <c r="AL57" s="3">
        <f t="shared" si="35"/>
        <v>17.798196015327857</v>
      </c>
      <c r="AM57" s="3">
        <f t="shared" si="36"/>
        <v>139.46725773284439</v>
      </c>
      <c r="AN57" s="3">
        <f t="shared" si="37"/>
        <v>0.59243830591118751</v>
      </c>
      <c r="AO57" s="3">
        <f t="shared" si="38"/>
        <v>89.506970583144593</v>
      </c>
      <c r="AP57" s="3">
        <f t="shared" si="39"/>
        <v>74.186876499435513</v>
      </c>
      <c r="AQ57" s="3">
        <f t="shared" si="40"/>
        <v>79.890362780365905</v>
      </c>
      <c r="AR57" s="3">
        <f t="shared" si="41"/>
        <v>100</v>
      </c>
      <c r="AS57" s="3">
        <f t="shared" si="42"/>
        <v>140</v>
      </c>
      <c r="AT57" s="3">
        <f t="shared" si="43"/>
        <v>112.54341559211842</v>
      </c>
      <c r="AU57" s="3">
        <f t="shared" si="44"/>
        <v>119.3426274441928</v>
      </c>
      <c r="AV57" s="3">
        <f t="shared" si="45"/>
        <v>52.201803984672139</v>
      </c>
      <c r="AW57" s="3">
        <f t="shared" si="46"/>
        <v>139.46725773284439</v>
      </c>
      <c r="AX57" s="3">
        <f t="shared" si="47"/>
        <v>16.353524136672306</v>
      </c>
      <c r="AY57" s="3">
        <f t="shared" si="48"/>
        <v>125.57035741757888</v>
      </c>
      <c r="AZ57" s="3">
        <f t="shared" si="49"/>
        <v>44.6909588943928</v>
      </c>
      <c r="BA57" s="3">
        <f t="shared" si="22"/>
        <v>108.92948756157274</v>
      </c>
    </row>
    <row r="58" spans="33:53" x14ac:dyDescent="0.25">
      <c r="AG58" s="3">
        <v>52</v>
      </c>
      <c r="AH58" s="3">
        <f t="shared" si="31"/>
        <v>41.772970603970094</v>
      </c>
      <c r="AI58" s="3">
        <f t="shared" si="32"/>
        <v>87.326615364839682</v>
      </c>
      <c r="AJ58" s="3">
        <f t="shared" si="33"/>
        <v>108.86615192319476</v>
      </c>
      <c r="AK58" s="3">
        <f t="shared" si="34"/>
        <v>79.221445499325625</v>
      </c>
      <c r="AL58" s="3">
        <f t="shared" si="35"/>
        <v>17.798196015327857</v>
      </c>
      <c r="AM58" s="3">
        <f t="shared" si="36"/>
        <v>139.46725773284439</v>
      </c>
      <c r="AN58" s="3">
        <f t="shared" si="37"/>
        <v>0.59243830591118751</v>
      </c>
      <c r="AO58" s="3">
        <f t="shared" si="38"/>
        <v>89.506970583144593</v>
      </c>
      <c r="AP58" s="3">
        <f t="shared" si="39"/>
        <v>74.186876499435513</v>
      </c>
      <c r="AQ58" s="3">
        <f t="shared" si="40"/>
        <v>79.890362780365905</v>
      </c>
      <c r="AR58" s="3">
        <f t="shared" si="41"/>
        <v>100</v>
      </c>
      <c r="AS58" s="3">
        <f t="shared" si="42"/>
        <v>140</v>
      </c>
      <c r="AT58" s="3">
        <f t="shared" si="43"/>
        <v>112.54341559211842</v>
      </c>
      <c r="AU58" s="3">
        <f t="shared" si="44"/>
        <v>119.3426274441928</v>
      </c>
      <c r="AV58" s="3">
        <f t="shared" si="45"/>
        <v>52.201803984672139</v>
      </c>
      <c r="AW58" s="3">
        <f t="shared" si="46"/>
        <v>139.46725773284439</v>
      </c>
      <c r="AX58" s="3">
        <f t="shared" si="47"/>
        <v>16.353524136672306</v>
      </c>
      <c r="AY58" s="3">
        <f t="shared" si="48"/>
        <v>125.57035741757888</v>
      </c>
      <c r="AZ58" s="3">
        <f t="shared" si="49"/>
        <v>44.6909588943928</v>
      </c>
      <c r="BA58" s="3">
        <f t="shared" si="22"/>
        <v>108.92948756157274</v>
      </c>
    </row>
    <row r="59" spans="33:53" x14ac:dyDescent="0.25">
      <c r="AG59" s="3">
        <v>53</v>
      </c>
      <c r="AH59" s="3">
        <f t="shared" si="31"/>
        <v>41.772970603970094</v>
      </c>
      <c r="AI59" s="3">
        <f t="shared" si="32"/>
        <v>87.326615364839682</v>
      </c>
      <c r="AJ59" s="3">
        <f t="shared" si="33"/>
        <v>108.86615192319476</v>
      </c>
      <c r="AK59" s="3">
        <f t="shared" si="34"/>
        <v>79.221445499325625</v>
      </c>
      <c r="AL59" s="3">
        <f t="shared" si="35"/>
        <v>17.798196015327857</v>
      </c>
      <c r="AM59" s="3">
        <f t="shared" si="36"/>
        <v>139.46725773284439</v>
      </c>
      <c r="AN59" s="3">
        <f t="shared" si="37"/>
        <v>0.59243830591118751</v>
      </c>
      <c r="AO59" s="3">
        <f t="shared" si="38"/>
        <v>89.506970583144593</v>
      </c>
      <c r="AP59" s="3">
        <f t="shared" si="39"/>
        <v>74.186876499435513</v>
      </c>
      <c r="AQ59" s="3">
        <f t="shared" si="40"/>
        <v>79.890362780365905</v>
      </c>
      <c r="AR59" s="3">
        <f t="shared" si="41"/>
        <v>100</v>
      </c>
      <c r="AS59" s="3">
        <f t="shared" si="42"/>
        <v>140</v>
      </c>
      <c r="AT59" s="3">
        <f t="shared" si="43"/>
        <v>112.54341559211842</v>
      </c>
      <c r="AU59" s="3">
        <f t="shared" si="44"/>
        <v>119.3426274441928</v>
      </c>
      <c r="AV59" s="3">
        <f t="shared" si="45"/>
        <v>52.201803984672139</v>
      </c>
      <c r="AW59" s="3">
        <f t="shared" si="46"/>
        <v>139.46725773284439</v>
      </c>
      <c r="AX59" s="3">
        <f t="shared" si="47"/>
        <v>16.353524136672306</v>
      </c>
      <c r="AY59" s="3">
        <f t="shared" si="48"/>
        <v>125.57035741757888</v>
      </c>
      <c r="AZ59" s="3">
        <f t="shared" si="49"/>
        <v>44.6909588943928</v>
      </c>
      <c r="BA59" s="3">
        <f t="shared" si="22"/>
        <v>108.92948756157274</v>
      </c>
    </row>
    <row r="60" spans="33:53" x14ac:dyDescent="0.25">
      <c r="AG60" s="3">
        <v>54</v>
      </c>
      <c r="AH60" s="3">
        <f t="shared" si="31"/>
        <v>41.772970603970094</v>
      </c>
      <c r="AI60" s="3">
        <f t="shared" si="32"/>
        <v>87.326615364839682</v>
      </c>
      <c r="AJ60" s="3">
        <f t="shared" si="33"/>
        <v>108.86615192319476</v>
      </c>
      <c r="AK60" s="3">
        <f t="shared" si="34"/>
        <v>79.221445499325625</v>
      </c>
      <c r="AL60" s="3">
        <f t="shared" si="35"/>
        <v>17.798196015327857</v>
      </c>
      <c r="AM60" s="3">
        <f t="shared" si="36"/>
        <v>139.46725773284439</v>
      </c>
      <c r="AN60" s="3">
        <f t="shared" si="37"/>
        <v>0.59243830591118751</v>
      </c>
      <c r="AO60" s="3">
        <f t="shared" si="38"/>
        <v>89.506970583144593</v>
      </c>
      <c r="AP60" s="3">
        <f t="shared" si="39"/>
        <v>74.186876499435513</v>
      </c>
      <c r="AQ60" s="3">
        <f t="shared" si="40"/>
        <v>79.890362780365905</v>
      </c>
      <c r="AR60" s="3">
        <f t="shared" si="41"/>
        <v>100</v>
      </c>
      <c r="AS60" s="3">
        <f t="shared" si="42"/>
        <v>140</v>
      </c>
      <c r="AT60" s="3">
        <f t="shared" si="43"/>
        <v>112.54341559211842</v>
      </c>
      <c r="AU60" s="3">
        <f t="shared" si="44"/>
        <v>119.3426274441928</v>
      </c>
      <c r="AV60" s="3">
        <f t="shared" si="45"/>
        <v>52.201803984672139</v>
      </c>
      <c r="AW60" s="3">
        <f t="shared" si="46"/>
        <v>139.46725773284439</v>
      </c>
      <c r="AX60" s="3">
        <f t="shared" si="47"/>
        <v>16.353524136672306</v>
      </c>
      <c r="AY60" s="3">
        <f t="shared" si="48"/>
        <v>125.57035741757888</v>
      </c>
      <c r="AZ60" s="3">
        <f t="shared" si="49"/>
        <v>44.6909588943928</v>
      </c>
      <c r="BA60" s="3">
        <f t="shared" si="22"/>
        <v>108.92948756157274</v>
      </c>
    </row>
    <row r="61" spans="33:53" x14ac:dyDescent="0.25">
      <c r="AG61" s="3">
        <v>55</v>
      </c>
      <c r="AH61" s="3">
        <f t="shared" si="31"/>
        <v>41.772970603970094</v>
      </c>
      <c r="AI61" s="3">
        <f t="shared" si="32"/>
        <v>87.326615364839682</v>
      </c>
      <c r="AJ61" s="3">
        <f t="shared" si="33"/>
        <v>108.86615192319476</v>
      </c>
      <c r="AK61" s="3">
        <f t="shared" si="34"/>
        <v>79.221445499325625</v>
      </c>
      <c r="AL61" s="3">
        <f t="shared" si="35"/>
        <v>17.798196015327857</v>
      </c>
      <c r="AM61" s="3">
        <f t="shared" si="36"/>
        <v>139.46725773284439</v>
      </c>
      <c r="AN61" s="3">
        <f t="shared" si="37"/>
        <v>0.59243830591118751</v>
      </c>
      <c r="AO61" s="3">
        <f t="shared" si="38"/>
        <v>89.506970583144593</v>
      </c>
      <c r="AP61" s="3">
        <f t="shared" si="39"/>
        <v>74.186876499435513</v>
      </c>
      <c r="AQ61" s="3">
        <f t="shared" si="40"/>
        <v>79.890362780365905</v>
      </c>
      <c r="AR61" s="3">
        <f t="shared" si="41"/>
        <v>100</v>
      </c>
      <c r="AS61" s="3">
        <f t="shared" si="42"/>
        <v>140</v>
      </c>
      <c r="AT61" s="3">
        <f t="shared" si="43"/>
        <v>112.54341559211842</v>
      </c>
      <c r="AU61" s="3">
        <f t="shared" si="44"/>
        <v>119.3426274441928</v>
      </c>
      <c r="AV61" s="3">
        <f t="shared" si="45"/>
        <v>52.201803984672139</v>
      </c>
      <c r="AW61" s="3">
        <f t="shared" si="46"/>
        <v>139.46725773284439</v>
      </c>
      <c r="AX61" s="3">
        <f t="shared" si="47"/>
        <v>16.353524136672306</v>
      </c>
      <c r="AY61" s="3">
        <f t="shared" si="48"/>
        <v>125.57035741757888</v>
      </c>
      <c r="AZ61" s="3">
        <f t="shared" si="49"/>
        <v>44.6909588943928</v>
      </c>
      <c r="BA61" s="3">
        <f t="shared" si="22"/>
        <v>108.92948756157274</v>
      </c>
    </row>
    <row r="62" spans="33:53" x14ac:dyDescent="0.25">
      <c r="AG62" s="3">
        <v>56</v>
      </c>
      <c r="AH62" s="3">
        <f t="shared" si="31"/>
        <v>41.772970603970094</v>
      </c>
      <c r="AI62" s="3">
        <f t="shared" si="32"/>
        <v>87.326615364839682</v>
      </c>
      <c r="AJ62" s="3">
        <f t="shared" si="33"/>
        <v>108.86615192319476</v>
      </c>
      <c r="AK62" s="3">
        <f t="shared" si="34"/>
        <v>79.221445499325625</v>
      </c>
      <c r="AL62" s="3">
        <f t="shared" si="35"/>
        <v>17.798196015327857</v>
      </c>
      <c r="AM62" s="3">
        <f t="shared" si="36"/>
        <v>139.46725773284439</v>
      </c>
      <c r="AN62" s="3">
        <f t="shared" si="37"/>
        <v>0.59243830591118751</v>
      </c>
      <c r="AO62" s="3">
        <f t="shared" si="38"/>
        <v>89.506970583144593</v>
      </c>
      <c r="AP62" s="3">
        <f t="shared" si="39"/>
        <v>74.186876499435513</v>
      </c>
      <c r="AQ62" s="3">
        <f t="shared" si="40"/>
        <v>79.890362780365905</v>
      </c>
      <c r="AR62" s="3">
        <f t="shared" si="41"/>
        <v>100</v>
      </c>
      <c r="AS62" s="3">
        <f t="shared" si="42"/>
        <v>140</v>
      </c>
      <c r="AT62" s="3">
        <f t="shared" si="43"/>
        <v>112.54341559211842</v>
      </c>
      <c r="AU62" s="3">
        <f t="shared" si="44"/>
        <v>119.3426274441928</v>
      </c>
      <c r="AV62" s="3">
        <f t="shared" si="45"/>
        <v>52.201803984672139</v>
      </c>
      <c r="AW62" s="3">
        <f t="shared" si="46"/>
        <v>139.46725773284439</v>
      </c>
      <c r="AX62" s="3">
        <f t="shared" si="47"/>
        <v>16.353524136672306</v>
      </c>
      <c r="AY62" s="3">
        <f t="shared" si="48"/>
        <v>125.57035741757888</v>
      </c>
      <c r="AZ62" s="3">
        <f t="shared" si="49"/>
        <v>44.6909588943928</v>
      </c>
      <c r="BA62" s="3">
        <f t="shared" si="22"/>
        <v>108.92948756157274</v>
      </c>
    </row>
    <row r="63" spans="33:53" x14ac:dyDescent="0.25">
      <c r="AG63" s="3">
        <v>57</v>
      </c>
      <c r="AH63" s="3">
        <f t="shared" si="31"/>
        <v>41.772970603970094</v>
      </c>
      <c r="AI63" s="3">
        <f t="shared" si="32"/>
        <v>87.326615364839682</v>
      </c>
      <c r="AJ63" s="3">
        <f t="shared" si="33"/>
        <v>108.86615192319476</v>
      </c>
      <c r="AK63" s="3">
        <f t="shared" si="34"/>
        <v>79.221445499325625</v>
      </c>
      <c r="AL63" s="3">
        <f t="shared" si="35"/>
        <v>17.798196015327857</v>
      </c>
      <c r="AM63" s="3">
        <f t="shared" si="36"/>
        <v>139.46725773284439</v>
      </c>
      <c r="AN63" s="3">
        <f t="shared" si="37"/>
        <v>0.59243830591118751</v>
      </c>
      <c r="AO63" s="3">
        <f t="shared" si="38"/>
        <v>89.506970583144593</v>
      </c>
      <c r="AP63" s="3">
        <f t="shared" si="39"/>
        <v>74.186876499435513</v>
      </c>
      <c r="AQ63" s="3">
        <f t="shared" si="40"/>
        <v>79.890362780365905</v>
      </c>
      <c r="AR63" s="3">
        <f t="shared" si="41"/>
        <v>100</v>
      </c>
      <c r="AS63" s="3">
        <f t="shared" si="42"/>
        <v>140</v>
      </c>
      <c r="AT63" s="3">
        <f t="shared" si="43"/>
        <v>112.54341559211842</v>
      </c>
      <c r="AU63" s="3">
        <f t="shared" si="44"/>
        <v>119.3426274441928</v>
      </c>
      <c r="AV63" s="3">
        <f t="shared" si="45"/>
        <v>52.201803984672139</v>
      </c>
      <c r="AW63" s="3">
        <f t="shared" si="46"/>
        <v>139.46725773284439</v>
      </c>
      <c r="AX63" s="3">
        <f t="shared" si="47"/>
        <v>16.353524136672306</v>
      </c>
      <c r="AY63" s="3">
        <f t="shared" si="48"/>
        <v>125.57035741757888</v>
      </c>
      <c r="AZ63" s="3">
        <f t="shared" si="49"/>
        <v>44.6909588943928</v>
      </c>
      <c r="BA63" s="3">
        <f t="shared" si="22"/>
        <v>108.92948756157274</v>
      </c>
    </row>
    <row r="64" spans="33:53" x14ac:dyDescent="0.25">
      <c r="AG64" s="3">
        <v>58</v>
      </c>
      <c r="AH64" s="3">
        <f t="shared" si="31"/>
        <v>41.772970603970094</v>
      </c>
      <c r="AI64" s="3">
        <f t="shared" si="32"/>
        <v>87.326615364839682</v>
      </c>
      <c r="AJ64" s="3">
        <f t="shared" si="33"/>
        <v>108.86615192319476</v>
      </c>
      <c r="AK64" s="3">
        <f t="shared" si="34"/>
        <v>79.221445499325625</v>
      </c>
      <c r="AL64" s="3">
        <f t="shared" si="35"/>
        <v>17.798196015327857</v>
      </c>
      <c r="AM64" s="3">
        <f t="shared" si="36"/>
        <v>139.46725773284439</v>
      </c>
      <c r="AN64" s="3">
        <f t="shared" si="37"/>
        <v>0.59243830591118751</v>
      </c>
      <c r="AO64" s="3">
        <f t="shared" si="38"/>
        <v>89.506970583144593</v>
      </c>
      <c r="AP64" s="3">
        <f t="shared" si="39"/>
        <v>74.186876499435513</v>
      </c>
      <c r="AQ64" s="3">
        <f t="shared" si="40"/>
        <v>79.890362780365905</v>
      </c>
      <c r="AR64" s="3">
        <f t="shared" si="41"/>
        <v>100</v>
      </c>
      <c r="AS64" s="3">
        <f t="shared" si="42"/>
        <v>140</v>
      </c>
      <c r="AT64" s="3">
        <f t="shared" si="43"/>
        <v>112.54341559211842</v>
      </c>
      <c r="AU64" s="3">
        <f t="shared" si="44"/>
        <v>119.3426274441928</v>
      </c>
      <c r="AV64" s="3">
        <f t="shared" si="45"/>
        <v>52.201803984672139</v>
      </c>
      <c r="AW64" s="3">
        <f t="shared" si="46"/>
        <v>139.46725773284439</v>
      </c>
      <c r="AX64" s="3">
        <f t="shared" si="47"/>
        <v>16.353524136672306</v>
      </c>
      <c r="AY64" s="3">
        <f t="shared" si="48"/>
        <v>125.57035741757888</v>
      </c>
      <c r="AZ64" s="3">
        <f t="shared" si="49"/>
        <v>44.6909588943928</v>
      </c>
      <c r="BA64" s="3">
        <f t="shared" si="22"/>
        <v>108.92948756157274</v>
      </c>
    </row>
    <row r="65" spans="33:53" x14ac:dyDescent="0.25">
      <c r="AG65" s="3">
        <v>59</v>
      </c>
      <c r="AH65" s="3">
        <f t="shared" si="31"/>
        <v>41.772970603970094</v>
      </c>
      <c r="AI65" s="3">
        <f t="shared" si="32"/>
        <v>87.326615364839682</v>
      </c>
      <c r="AJ65" s="3">
        <f t="shared" si="33"/>
        <v>108.86615192319476</v>
      </c>
      <c r="AK65" s="3">
        <f t="shared" si="34"/>
        <v>79.221445499325625</v>
      </c>
      <c r="AL65" s="3">
        <f t="shared" si="35"/>
        <v>17.798196015327857</v>
      </c>
      <c r="AM65" s="3">
        <f t="shared" si="36"/>
        <v>139.46725773284439</v>
      </c>
      <c r="AN65" s="3">
        <f t="shared" si="37"/>
        <v>0.59243830591118751</v>
      </c>
      <c r="AO65" s="3">
        <f t="shared" si="38"/>
        <v>89.506970583144593</v>
      </c>
      <c r="AP65" s="3">
        <f t="shared" si="39"/>
        <v>74.186876499435513</v>
      </c>
      <c r="AQ65" s="3">
        <f t="shared" si="40"/>
        <v>79.890362780365905</v>
      </c>
      <c r="AR65" s="3">
        <f t="shared" si="41"/>
        <v>100</v>
      </c>
      <c r="AS65" s="3">
        <f t="shared" si="42"/>
        <v>140</v>
      </c>
      <c r="AT65" s="3">
        <f t="shared" si="43"/>
        <v>112.54341559211842</v>
      </c>
      <c r="AU65" s="3">
        <f t="shared" si="44"/>
        <v>119.3426274441928</v>
      </c>
      <c r="AV65" s="3">
        <f t="shared" si="45"/>
        <v>52.201803984672139</v>
      </c>
      <c r="AW65" s="3">
        <f t="shared" si="46"/>
        <v>139.46725773284439</v>
      </c>
      <c r="AX65" s="3">
        <f t="shared" si="47"/>
        <v>16.353524136672306</v>
      </c>
      <c r="AY65" s="3">
        <f t="shared" si="48"/>
        <v>125.57035741757888</v>
      </c>
      <c r="AZ65" s="3">
        <f t="shared" si="49"/>
        <v>44.6909588943928</v>
      </c>
      <c r="BA65" s="3">
        <f t="shared" si="22"/>
        <v>108.92948756157274</v>
      </c>
    </row>
    <row r="66" spans="33:53" x14ac:dyDescent="0.25">
      <c r="AG66" s="3">
        <v>60</v>
      </c>
      <c r="AH66" s="3">
        <f t="shared" si="31"/>
        <v>41.772970603970094</v>
      </c>
      <c r="AI66" s="3">
        <f t="shared" si="32"/>
        <v>87.326615364839682</v>
      </c>
      <c r="AJ66" s="3">
        <f t="shared" si="33"/>
        <v>108.86615192319476</v>
      </c>
      <c r="AK66" s="3">
        <f t="shared" si="34"/>
        <v>79.221445499325625</v>
      </c>
      <c r="AL66" s="3">
        <f t="shared" si="35"/>
        <v>17.798196015327857</v>
      </c>
      <c r="AM66" s="3">
        <f t="shared" si="36"/>
        <v>139.46725773284439</v>
      </c>
      <c r="AN66" s="3">
        <f t="shared" si="37"/>
        <v>0.59243830591118751</v>
      </c>
      <c r="AO66" s="3">
        <f t="shared" si="38"/>
        <v>89.506970583144593</v>
      </c>
      <c r="AP66" s="3">
        <f t="shared" si="39"/>
        <v>74.186876499435513</v>
      </c>
      <c r="AQ66" s="3">
        <f t="shared" si="40"/>
        <v>79.890362780365905</v>
      </c>
      <c r="AR66" s="3">
        <f t="shared" si="41"/>
        <v>100</v>
      </c>
      <c r="AS66" s="3">
        <f t="shared" si="42"/>
        <v>140</v>
      </c>
      <c r="AT66" s="3">
        <f t="shared" si="43"/>
        <v>112.54341559211842</v>
      </c>
      <c r="AU66" s="3">
        <f t="shared" si="44"/>
        <v>119.3426274441928</v>
      </c>
      <c r="AV66" s="3">
        <f t="shared" si="45"/>
        <v>52.201803984672139</v>
      </c>
      <c r="AW66" s="3">
        <f t="shared" si="46"/>
        <v>139.46725773284439</v>
      </c>
      <c r="AX66" s="3">
        <f t="shared" si="47"/>
        <v>16.353524136672306</v>
      </c>
      <c r="AY66" s="3">
        <f t="shared" si="48"/>
        <v>125.57035741757888</v>
      </c>
      <c r="AZ66" s="3">
        <f t="shared" si="49"/>
        <v>44.6909588943928</v>
      </c>
      <c r="BA66" s="3">
        <f t="shared" si="22"/>
        <v>108.92948756157274</v>
      </c>
    </row>
    <row r="67" spans="33:53" x14ac:dyDescent="0.25">
      <c r="AG67" s="3">
        <v>61</v>
      </c>
      <c r="AH67" s="3">
        <f t="shared" si="31"/>
        <v>41.772970603970094</v>
      </c>
      <c r="AI67" s="3">
        <f t="shared" si="32"/>
        <v>87.326615364839682</v>
      </c>
      <c r="AJ67" s="3">
        <f t="shared" si="33"/>
        <v>108.86615192319476</v>
      </c>
      <c r="AK67" s="3">
        <f t="shared" si="34"/>
        <v>79.221445499325625</v>
      </c>
      <c r="AL67" s="3">
        <f t="shared" si="35"/>
        <v>17.798196015327857</v>
      </c>
      <c r="AM67" s="3">
        <f t="shared" si="36"/>
        <v>139.46725773284439</v>
      </c>
      <c r="AN67" s="3">
        <f t="shared" si="37"/>
        <v>0.59243830591118751</v>
      </c>
      <c r="AO67" s="3">
        <f t="shared" si="38"/>
        <v>89.506970583144593</v>
      </c>
      <c r="AP67" s="3">
        <f t="shared" si="39"/>
        <v>74.186876499435513</v>
      </c>
      <c r="AQ67" s="3">
        <f t="shared" si="40"/>
        <v>79.890362780365905</v>
      </c>
      <c r="AR67" s="3">
        <f t="shared" si="41"/>
        <v>100</v>
      </c>
      <c r="AS67" s="3">
        <f t="shared" si="42"/>
        <v>140</v>
      </c>
      <c r="AT67" s="3">
        <f t="shared" si="43"/>
        <v>112.54341559211842</v>
      </c>
      <c r="AU67" s="3">
        <f t="shared" si="44"/>
        <v>119.3426274441928</v>
      </c>
      <c r="AV67" s="3">
        <f t="shared" si="45"/>
        <v>52.201803984672139</v>
      </c>
      <c r="AW67" s="3">
        <f t="shared" si="46"/>
        <v>139.46725773284439</v>
      </c>
      <c r="AX67" s="3">
        <f t="shared" si="47"/>
        <v>16.353524136672306</v>
      </c>
      <c r="AY67" s="3">
        <f t="shared" si="48"/>
        <v>125.57035741757888</v>
      </c>
      <c r="AZ67" s="3">
        <f t="shared" si="49"/>
        <v>44.6909588943928</v>
      </c>
      <c r="BA67" s="3">
        <f t="shared" si="22"/>
        <v>108.92948756157274</v>
      </c>
    </row>
    <row r="68" spans="33:53" x14ac:dyDescent="0.25">
      <c r="AG68" s="3">
        <v>62</v>
      </c>
      <c r="AH68" s="3">
        <f t="shared" si="31"/>
        <v>41.772970603970094</v>
      </c>
      <c r="AI68" s="3">
        <f t="shared" si="32"/>
        <v>87.326615364839682</v>
      </c>
      <c r="AJ68" s="3">
        <f t="shared" si="33"/>
        <v>108.86615192319476</v>
      </c>
      <c r="AK68" s="3">
        <f t="shared" si="34"/>
        <v>79.221445499325625</v>
      </c>
      <c r="AL68" s="3">
        <f t="shared" si="35"/>
        <v>17.798196015327857</v>
      </c>
      <c r="AM68" s="3">
        <f t="shared" si="36"/>
        <v>139.46725773284439</v>
      </c>
      <c r="AN68" s="3">
        <f t="shared" si="37"/>
        <v>0.59243830591118751</v>
      </c>
      <c r="AO68" s="3">
        <f t="shared" si="38"/>
        <v>89.506970583144593</v>
      </c>
      <c r="AP68" s="3">
        <f t="shared" si="39"/>
        <v>74.186876499435513</v>
      </c>
      <c r="AQ68" s="3">
        <f t="shared" si="40"/>
        <v>79.890362780365905</v>
      </c>
      <c r="AR68" s="3">
        <f t="shared" si="41"/>
        <v>100</v>
      </c>
      <c r="AS68" s="3">
        <f t="shared" si="42"/>
        <v>140</v>
      </c>
      <c r="AT68" s="3">
        <f t="shared" si="43"/>
        <v>112.54341559211842</v>
      </c>
      <c r="AU68" s="3">
        <f t="shared" si="44"/>
        <v>119.3426274441928</v>
      </c>
      <c r="AV68" s="3">
        <f t="shared" si="45"/>
        <v>52.201803984672139</v>
      </c>
      <c r="AW68" s="3">
        <f t="shared" si="46"/>
        <v>139.46725773284439</v>
      </c>
      <c r="AX68" s="3">
        <f t="shared" si="47"/>
        <v>16.353524136672306</v>
      </c>
      <c r="AY68" s="3">
        <f t="shared" si="48"/>
        <v>125.57035741757888</v>
      </c>
      <c r="AZ68" s="3">
        <f t="shared" si="49"/>
        <v>44.6909588943928</v>
      </c>
      <c r="BA68" s="3">
        <f t="shared" si="22"/>
        <v>108.92948756157274</v>
      </c>
    </row>
    <row r="69" spans="33:53" x14ac:dyDescent="0.25">
      <c r="AG69" s="3">
        <v>63</v>
      </c>
      <c r="AH69" s="3">
        <f t="shared" si="31"/>
        <v>41.772970603970094</v>
      </c>
      <c r="AI69" s="3">
        <f t="shared" si="32"/>
        <v>87.326615364839682</v>
      </c>
      <c r="AJ69" s="3">
        <f t="shared" si="33"/>
        <v>108.86615192319476</v>
      </c>
      <c r="AK69" s="3">
        <f t="shared" si="34"/>
        <v>79.221445499325625</v>
      </c>
      <c r="AL69" s="3">
        <f t="shared" si="35"/>
        <v>17.798196015327857</v>
      </c>
      <c r="AM69" s="3">
        <f t="shared" si="36"/>
        <v>139.46725773284439</v>
      </c>
      <c r="AN69" s="3">
        <f t="shared" si="37"/>
        <v>0.59243830591118751</v>
      </c>
      <c r="AO69" s="3">
        <f t="shared" si="38"/>
        <v>89.506970583144593</v>
      </c>
      <c r="AP69" s="3">
        <f t="shared" si="39"/>
        <v>74.186876499435513</v>
      </c>
      <c r="AQ69" s="3">
        <f t="shared" si="40"/>
        <v>79.890362780365905</v>
      </c>
      <c r="AR69" s="3">
        <f t="shared" si="41"/>
        <v>100</v>
      </c>
      <c r="AS69" s="3">
        <f t="shared" si="42"/>
        <v>140</v>
      </c>
      <c r="AT69" s="3">
        <f t="shared" si="43"/>
        <v>112.54341559211842</v>
      </c>
      <c r="AU69" s="3">
        <f t="shared" si="44"/>
        <v>119.3426274441928</v>
      </c>
      <c r="AV69" s="3">
        <f t="shared" si="45"/>
        <v>52.201803984672139</v>
      </c>
      <c r="AW69" s="3">
        <f t="shared" si="46"/>
        <v>139.46725773284439</v>
      </c>
      <c r="AX69" s="3">
        <f t="shared" si="47"/>
        <v>16.353524136672306</v>
      </c>
      <c r="AY69" s="3">
        <f t="shared" si="48"/>
        <v>125.57035741757888</v>
      </c>
      <c r="AZ69" s="3">
        <f t="shared" si="49"/>
        <v>44.6909588943928</v>
      </c>
      <c r="BA69" s="3">
        <f t="shared" si="22"/>
        <v>108.92948756157274</v>
      </c>
    </row>
    <row r="70" spans="33:53" x14ac:dyDescent="0.25">
      <c r="AG70" s="3">
        <v>64</v>
      </c>
      <c r="AH70" s="3">
        <f t="shared" si="31"/>
        <v>41.772970603970094</v>
      </c>
      <c r="AI70" s="3">
        <f t="shared" si="32"/>
        <v>87.326615364839682</v>
      </c>
      <c r="AJ70" s="3">
        <f t="shared" si="33"/>
        <v>108.86615192319476</v>
      </c>
      <c r="AK70" s="3">
        <f t="shared" si="34"/>
        <v>79.221445499325625</v>
      </c>
      <c r="AL70" s="3">
        <f t="shared" si="35"/>
        <v>17.798196015327857</v>
      </c>
      <c r="AM70" s="3">
        <f t="shared" si="36"/>
        <v>139.46725773284439</v>
      </c>
      <c r="AN70" s="3">
        <f t="shared" si="37"/>
        <v>0.59243830591118751</v>
      </c>
      <c r="AO70" s="3">
        <f t="shared" si="38"/>
        <v>89.506970583144593</v>
      </c>
      <c r="AP70" s="3">
        <f t="shared" si="39"/>
        <v>74.186876499435513</v>
      </c>
      <c r="AQ70" s="3">
        <f t="shared" si="40"/>
        <v>79.890362780365905</v>
      </c>
      <c r="AR70" s="3">
        <f t="shared" si="41"/>
        <v>100</v>
      </c>
      <c r="AS70" s="3">
        <f t="shared" si="42"/>
        <v>140</v>
      </c>
      <c r="AT70" s="3">
        <f t="shared" si="43"/>
        <v>112.54341559211842</v>
      </c>
      <c r="AU70" s="3">
        <f t="shared" si="44"/>
        <v>119.3426274441928</v>
      </c>
      <c r="AV70" s="3">
        <f t="shared" si="45"/>
        <v>52.201803984672139</v>
      </c>
      <c r="AW70" s="3">
        <f t="shared" si="46"/>
        <v>139.46725773284439</v>
      </c>
      <c r="AX70" s="3">
        <f t="shared" si="47"/>
        <v>16.353524136672306</v>
      </c>
      <c r="AY70" s="3">
        <f t="shared" si="48"/>
        <v>125.57035741757888</v>
      </c>
      <c r="AZ70" s="3">
        <f t="shared" si="49"/>
        <v>44.6909588943928</v>
      </c>
      <c r="BA70" s="3">
        <f t="shared" si="22"/>
        <v>108.92948756157274</v>
      </c>
    </row>
    <row r="71" spans="33:53" x14ac:dyDescent="0.25">
      <c r="AG71" s="3">
        <v>65</v>
      </c>
      <c r="AH71" s="3">
        <f t="shared" si="31"/>
        <v>41.772970603970094</v>
      </c>
      <c r="AI71" s="3">
        <f t="shared" si="32"/>
        <v>87.326615364839682</v>
      </c>
      <c r="AJ71" s="3">
        <f t="shared" si="33"/>
        <v>108.86615192319476</v>
      </c>
      <c r="AK71" s="3">
        <f t="shared" si="34"/>
        <v>79.221445499325625</v>
      </c>
      <c r="AL71" s="3">
        <f t="shared" si="35"/>
        <v>17.798196015327857</v>
      </c>
      <c r="AM71" s="3">
        <f t="shared" si="36"/>
        <v>139.46725773284439</v>
      </c>
      <c r="AN71" s="3">
        <f t="shared" si="37"/>
        <v>0.59243830591118751</v>
      </c>
      <c r="AO71" s="3">
        <f t="shared" si="38"/>
        <v>89.506970583144593</v>
      </c>
      <c r="AP71" s="3">
        <f t="shared" si="39"/>
        <v>74.186876499435513</v>
      </c>
      <c r="AQ71" s="3">
        <f t="shared" si="40"/>
        <v>79.890362780365905</v>
      </c>
      <c r="AR71" s="3">
        <f t="shared" si="41"/>
        <v>100</v>
      </c>
      <c r="AS71" s="3">
        <f t="shared" si="42"/>
        <v>140</v>
      </c>
      <c r="AT71" s="3">
        <f t="shared" si="43"/>
        <v>112.54341559211842</v>
      </c>
      <c r="AU71" s="3">
        <f t="shared" si="44"/>
        <v>119.3426274441928</v>
      </c>
      <c r="AV71" s="3">
        <f t="shared" si="45"/>
        <v>52.201803984672139</v>
      </c>
      <c r="AW71" s="3">
        <f t="shared" si="46"/>
        <v>139.46725773284439</v>
      </c>
      <c r="AX71" s="3">
        <f t="shared" si="47"/>
        <v>16.353524136672306</v>
      </c>
      <c r="AY71" s="3">
        <f t="shared" si="48"/>
        <v>125.57035741757888</v>
      </c>
      <c r="AZ71" s="3">
        <f t="shared" si="49"/>
        <v>44.6909588943928</v>
      </c>
      <c r="BA71" s="3">
        <f t="shared" ref="BA71:BA86" si="54">IF(MOD($AG71,2)=1,0,INDEX($E$7:$E$46,$AG71/2)*INDEX($AE$7:$AE$16,BA$2))+INDEX($X$7:$X$16,BA$2)</f>
        <v>108.92948756157274</v>
      </c>
    </row>
    <row r="72" spans="33:53" x14ac:dyDescent="0.25">
      <c r="AG72" s="3">
        <v>66</v>
      </c>
      <c r="AH72" s="3">
        <f t="shared" ref="AH72:AH86" si="55">IF(MOD($AG72,2)=1,0,INDEX($D$7:$D$46,$AG72/2)*INDEX($AE$7:$AE$16,AH$2))+INDEX($W$7:$W$16,AH$2)</f>
        <v>41.772970603970094</v>
      </c>
      <c r="AI72" s="3">
        <f t="shared" ref="AI72:AI86" si="56">IF(MOD($AG72,2)=1,0,INDEX($E$7:$E$46,$AG72/2)*INDEX($AE$7:$AE$16,AI$2))+INDEX($X$7:$X$16,AI$2)</f>
        <v>87.326615364839682</v>
      </c>
      <c r="AJ72" s="3">
        <f t="shared" ref="AJ72:AJ86" si="57">IF(MOD($AG72,2)=1,0,INDEX($D$7:$D$46,$AG72/2)*INDEX($AE$7:$AE$16,AJ$2))+INDEX($W$7:$W$16,AJ$2)</f>
        <v>108.86615192319476</v>
      </c>
      <c r="AK72" s="3">
        <f t="shared" ref="AK72:AK86" si="58">IF(MOD($AG72,2)=1,0,INDEX($E$7:$E$46,$AG72/2)*INDEX($AE$7:$AE$16,AK$2))+INDEX($X$7:$X$16,AK$2)</f>
        <v>79.221445499325625</v>
      </c>
      <c r="AL72" s="3">
        <f t="shared" si="35"/>
        <v>17.798196015327857</v>
      </c>
      <c r="AM72" s="3">
        <f t="shared" si="36"/>
        <v>139.46725773284439</v>
      </c>
      <c r="AN72" s="3">
        <f t="shared" si="37"/>
        <v>0.59243830591118751</v>
      </c>
      <c r="AO72" s="3">
        <f t="shared" si="38"/>
        <v>89.506970583144593</v>
      </c>
      <c r="AP72" s="3">
        <f t="shared" si="39"/>
        <v>74.186876499435513</v>
      </c>
      <c r="AQ72" s="3">
        <f t="shared" si="40"/>
        <v>79.890362780365905</v>
      </c>
      <c r="AR72" s="3">
        <f t="shared" si="41"/>
        <v>100</v>
      </c>
      <c r="AS72" s="3">
        <f t="shared" si="42"/>
        <v>140</v>
      </c>
      <c r="AT72" s="3">
        <f t="shared" si="43"/>
        <v>112.54341559211842</v>
      </c>
      <c r="AU72" s="3">
        <f t="shared" si="44"/>
        <v>119.3426274441928</v>
      </c>
      <c r="AV72" s="3">
        <f t="shared" si="45"/>
        <v>52.201803984672139</v>
      </c>
      <c r="AW72" s="3">
        <f t="shared" si="46"/>
        <v>139.46725773284439</v>
      </c>
      <c r="AX72" s="3">
        <f t="shared" si="47"/>
        <v>16.353524136672306</v>
      </c>
      <c r="AY72" s="3">
        <f t="shared" si="48"/>
        <v>125.57035741757888</v>
      </c>
      <c r="AZ72" s="3">
        <f t="shared" si="49"/>
        <v>44.6909588943928</v>
      </c>
      <c r="BA72" s="3">
        <f t="shared" si="54"/>
        <v>108.92948756157274</v>
      </c>
    </row>
    <row r="73" spans="33:53" x14ac:dyDescent="0.25">
      <c r="AG73" s="3">
        <v>67</v>
      </c>
      <c r="AH73" s="3">
        <f t="shared" si="55"/>
        <v>41.772970603970094</v>
      </c>
      <c r="AI73" s="3">
        <f t="shared" si="56"/>
        <v>87.326615364839682</v>
      </c>
      <c r="AJ73" s="3">
        <f t="shared" si="57"/>
        <v>108.86615192319476</v>
      </c>
      <c r="AK73" s="3">
        <f t="shared" si="58"/>
        <v>79.221445499325625</v>
      </c>
      <c r="AL73" s="3">
        <f t="shared" si="35"/>
        <v>17.798196015327857</v>
      </c>
      <c r="AM73" s="3">
        <f t="shared" si="36"/>
        <v>139.46725773284439</v>
      </c>
      <c r="AN73" s="3">
        <f t="shared" si="37"/>
        <v>0.59243830591118751</v>
      </c>
      <c r="AO73" s="3">
        <f t="shared" si="38"/>
        <v>89.506970583144593</v>
      </c>
      <c r="AP73" s="3">
        <f t="shared" si="39"/>
        <v>74.186876499435513</v>
      </c>
      <c r="AQ73" s="3">
        <f t="shared" si="40"/>
        <v>79.890362780365905</v>
      </c>
      <c r="AR73" s="3">
        <f t="shared" si="41"/>
        <v>100</v>
      </c>
      <c r="AS73" s="3">
        <f t="shared" si="42"/>
        <v>140</v>
      </c>
      <c r="AT73" s="3">
        <f t="shared" si="43"/>
        <v>112.54341559211842</v>
      </c>
      <c r="AU73" s="3">
        <f t="shared" si="44"/>
        <v>119.3426274441928</v>
      </c>
      <c r="AV73" s="3">
        <f t="shared" si="45"/>
        <v>52.201803984672139</v>
      </c>
      <c r="AW73" s="3">
        <f t="shared" si="46"/>
        <v>139.46725773284439</v>
      </c>
      <c r="AX73" s="3">
        <f t="shared" si="47"/>
        <v>16.353524136672306</v>
      </c>
      <c r="AY73" s="3">
        <f t="shared" si="48"/>
        <v>125.57035741757888</v>
      </c>
      <c r="AZ73" s="3">
        <f t="shared" si="49"/>
        <v>44.6909588943928</v>
      </c>
      <c r="BA73" s="3">
        <f t="shared" si="54"/>
        <v>108.92948756157274</v>
      </c>
    </row>
    <row r="74" spans="33:53" x14ac:dyDescent="0.25">
      <c r="AG74" s="3">
        <v>68</v>
      </c>
      <c r="AH74" s="3">
        <f t="shared" si="55"/>
        <v>41.772970603970094</v>
      </c>
      <c r="AI74" s="3">
        <f t="shared" si="56"/>
        <v>87.326615364839682</v>
      </c>
      <c r="AJ74" s="3">
        <f t="shared" si="57"/>
        <v>108.86615192319476</v>
      </c>
      <c r="AK74" s="3">
        <f t="shared" si="58"/>
        <v>79.221445499325625</v>
      </c>
      <c r="AL74" s="3">
        <f t="shared" si="35"/>
        <v>17.798196015327857</v>
      </c>
      <c r="AM74" s="3">
        <f t="shared" si="36"/>
        <v>139.46725773284439</v>
      </c>
      <c r="AN74" s="3">
        <f t="shared" si="37"/>
        <v>0.59243830591118751</v>
      </c>
      <c r="AO74" s="3">
        <f t="shared" si="38"/>
        <v>89.506970583144593</v>
      </c>
      <c r="AP74" s="3">
        <f t="shared" si="39"/>
        <v>74.186876499435513</v>
      </c>
      <c r="AQ74" s="3">
        <f t="shared" si="40"/>
        <v>79.890362780365905</v>
      </c>
      <c r="AR74" s="3">
        <f t="shared" si="41"/>
        <v>100</v>
      </c>
      <c r="AS74" s="3">
        <f t="shared" si="42"/>
        <v>140</v>
      </c>
      <c r="AT74" s="3">
        <f t="shared" si="43"/>
        <v>112.54341559211842</v>
      </c>
      <c r="AU74" s="3">
        <f t="shared" si="44"/>
        <v>119.3426274441928</v>
      </c>
      <c r="AV74" s="3">
        <f t="shared" si="45"/>
        <v>52.201803984672139</v>
      </c>
      <c r="AW74" s="3">
        <f t="shared" si="46"/>
        <v>139.46725773284439</v>
      </c>
      <c r="AX74" s="3">
        <f t="shared" si="47"/>
        <v>16.353524136672306</v>
      </c>
      <c r="AY74" s="3">
        <f t="shared" si="48"/>
        <v>125.57035741757888</v>
      </c>
      <c r="AZ74" s="3">
        <f t="shared" si="49"/>
        <v>44.6909588943928</v>
      </c>
      <c r="BA74" s="3">
        <f t="shared" si="54"/>
        <v>108.92948756157274</v>
      </c>
    </row>
    <row r="75" spans="33:53" x14ac:dyDescent="0.25">
      <c r="AG75" s="3">
        <v>69</v>
      </c>
      <c r="AH75" s="3">
        <f t="shared" si="55"/>
        <v>41.772970603970094</v>
      </c>
      <c r="AI75" s="3">
        <f t="shared" si="56"/>
        <v>87.326615364839682</v>
      </c>
      <c r="AJ75" s="3">
        <f t="shared" si="57"/>
        <v>108.86615192319476</v>
      </c>
      <c r="AK75" s="3">
        <f t="shared" si="58"/>
        <v>79.221445499325625</v>
      </c>
      <c r="AL75" s="3">
        <f t="shared" si="35"/>
        <v>17.798196015327857</v>
      </c>
      <c r="AM75" s="3">
        <f t="shared" si="36"/>
        <v>139.46725773284439</v>
      </c>
      <c r="AN75" s="3">
        <f t="shared" si="37"/>
        <v>0.59243830591118751</v>
      </c>
      <c r="AO75" s="3">
        <f t="shared" si="38"/>
        <v>89.506970583144593</v>
      </c>
      <c r="AP75" s="3">
        <f t="shared" si="39"/>
        <v>74.186876499435513</v>
      </c>
      <c r="AQ75" s="3">
        <f t="shared" si="40"/>
        <v>79.890362780365905</v>
      </c>
      <c r="AR75" s="3">
        <f t="shared" si="41"/>
        <v>100</v>
      </c>
      <c r="AS75" s="3">
        <f t="shared" si="42"/>
        <v>140</v>
      </c>
      <c r="AT75" s="3">
        <f t="shared" si="43"/>
        <v>112.54341559211842</v>
      </c>
      <c r="AU75" s="3">
        <f t="shared" si="44"/>
        <v>119.3426274441928</v>
      </c>
      <c r="AV75" s="3">
        <f t="shared" si="45"/>
        <v>52.201803984672139</v>
      </c>
      <c r="AW75" s="3">
        <f t="shared" si="46"/>
        <v>139.46725773284439</v>
      </c>
      <c r="AX75" s="3">
        <f t="shared" si="47"/>
        <v>16.353524136672306</v>
      </c>
      <c r="AY75" s="3">
        <f t="shared" si="48"/>
        <v>125.57035741757888</v>
      </c>
      <c r="AZ75" s="3">
        <f t="shared" si="49"/>
        <v>44.6909588943928</v>
      </c>
      <c r="BA75" s="3">
        <f t="shared" si="54"/>
        <v>108.92948756157274</v>
      </c>
    </row>
    <row r="76" spans="33:53" x14ac:dyDescent="0.25">
      <c r="AG76" s="3">
        <v>70</v>
      </c>
      <c r="AH76" s="3">
        <f t="shared" si="55"/>
        <v>41.772970603970094</v>
      </c>
      <c r="AI76" s="3">
        <f t="shared" si="56"/>
        <v>87.326615364839682</v>
      </c>
      <c r="AJ76" s="3">
        <f t="shared" si="57"/>
        <v>108.86615192319476</v>
      </c>
      <c r="AK76" s="3">
        <f t="shared" si="58"/>
        <v>79.221445499325625</v>
      </c>
      <c r="AL76" s="3">
        <f t="shared" si="35"/>
        <v>17.798196015327857</v>
      </c>
      <c r="AM76" s="3">
        <f t="shared" si="36"/>
        <v>139.46725773284439</v>
      </c>
      <c r="AN76" s="3">
        <f t="shared" si="37"/>
        <v>0.59243830591118751</v>
      </c>
      <c r="AO76" s="3">
        <f t="shared" si="38"/>
        <v>89.506970583144593</v>
      </c>
      <c r="AP76" s="3">
        <f t="shared" si="39"/>
        <v>74.186876499435513</v>
      </c>
      <c r="AQ76" s="3">
        <f t="shared" si="40"/>
        <v>79.890362780365905</v>
      </c>
      <c r="AR76" s="3">
        <f t="shared" si="41"/>
        <v>100</v>
      </c>
      <c r="AS76" s="3">
        <f t="shared" si="42"/>
        <v>140</v>
      </c>
      <c r="AT76" s="3">
        <f t="shared" si="43"/>
        <v>112.54341559211842</v>
      </c>
      <c r="AU76" s="3">
        <f t="shared" si="44"/>
        <v>119.3426274441928</v>
      </c>
      <c r="AV76" s="3">
        <f t="shared" si="45"/>
        <v>52.201803984672139</v>
      </c>
      <c r="AW76" s="3">
        <f t="shared" si="46"/>
        <v>139.46725773284439</v>
      </c>
      <c r="AX76" s="3">
        <f t="shared" si="47"/>
        <v>16.353524136672306</v>
      </c>
      <c r="AY76" s="3">
        <f t="shared" si="48"/>
        <v>125.57035741757888</v>
      </c>
      <c r="AZ76" s="3">
        <f t="shared" si="49"/>
        <v>44.6909588943928</v>
      </c>
      <c r="BA76" s="3">
        <f t="shared" si="54"/>
        <v>108.92948756157274</v>
      </c>
    </row>
    <row r="77" spans="33:53" x14ac:dyDescent="0.25">
      <c r="AG77" s="3">
        <v>71</v>
      </c>
      <c r="AH77" s="3">
        <f t="shared" si="55"/>
        <v>41.772970603970094</v>
      </c>
      <c r="AI77" s="3">
        <f t="shared" si="56"/>
        <v>87.326615364839682</v>
      </c>
      <c r="AJ77" s="3">
        <f t="shared" si="57"/>
        <v>108.86615192319476</v>
      </c>
      <c r="AK77" s="3">
        <f t="shared" si="58"/>
        <v>79.221445499325625</v>
      </c>
      <c r="AL77" s="3">
        <f t="shared" si="35"/>
        <v>17.798196015327857</v>
      </c>
      <c r="AM77" s="3">
        <f t="shared" si="36"/>
        <v>139.46725773284439</v>
      </c>
      <c r="AN77" s="3">
        <f t="shared" si="37"/>
        <v>0.59243830591118751</v>
      </c>
      <c r="AO77" s="3">
        <f t="shared" si="38"/>
        <v>89.506970583144593</v>
      </c>
      <c r="AP77" s="3">
        <f t="shared" si="39"/>
        <v>74.186876499435513</v>
      </c>
      <c r="AQ77" s="3">
        <f t="shared" si="40"/>
        <v>79.890362780365905</v>
      </c>
      <c r="AR77" s="3">
        <f t="shared" si="41"/>
        <v>100</v>
      </c>
      <c r="AS77" s="3">
        <f t="shared" si="42"/>
        <v>140</v>
      </c>
      <c r="AT77" s="3">
        <f t="shared" si="43"/>
        <v>112.54341559211842</v>
      </c>
      <c r="AU77" s="3">
        <f t="shared" si="44"/>
        <v>119.3426274441928</v>
      </c>
      <c r="AV77" s="3">
        <f t="shared" si="45"/>
        <v>52.201803984672139</v>
      </c>
      <c r="AW77" s="3">
        <f t="shared" si="46"/>
        <v>139.46725773284439</v>
      </c>
      <c r="AX77" s="3">
        <f t="shared" si="47"/>
        <v>16.353524136672306</v>
      </c>
      <c r="AY77" s="3">
        <f t="shared" si="48"/>
        <v>125.57035741757888</v>
      </c>
      <c r="AZ77" s="3">
        <f t="shared" si="49"/>
        <v>44.6909588943928</v>
      </c>
      <c r="BA77" s="3">
        <f t="shared" si="54"/>
        <v>108.92948756157274</v>
      </c>
    </row>
    <row r="78" spans="33:53" x14ac:dyDescent="0.25">
      <c r="AG78" s="3">
        <v>72</v>
      </c>
      <c r="AH78" s="3">
        <f t="shared" si="55"/>
        <v>41.772970603970094</v>
      </c>
      <c r="AI78" s="3">
        <f t="shared" si="56"/>
        <v>87.326615364839682</v>
      </c>
      <c r="AJ78" s="3">
        <f t="shared" si="57"/>
        <v>108.86615192319476</v>
      </c>
      <c r="AK78" s="3">
        <f t="shared" si="58"/>
        <v>79.221445499325625</v>
      </c>
      <c r="AL78" s="3">
        <f t="shared" si="35"/>
        <v>17.798196015327857</v>
      </c>
      <c r="AM78" s="3">
        <f t="shared" si="36"/>
        <v>139.46725773284439</v>
      </c>
      <c r="AN78" s="3">
        <f t="shared" si="37"/>
        <v>0.59243830591118751</v>
      </c>
      <c r="AO78" s="3">
        <f t="shared" si="38"/>
        <v>89.506970583144593</v>
      </c>
      <c r="AP78" s="3">
        <f t="shared" si="39"/>
        <v>74.186876499435513</v>
      </c>
      <c r="AQ78" s="3">
        <f t="shared" si="40"/>
        <v>79.890362780365905</v>
      </c>
      <c r="AR78" s="3">
        <f t="shared" si="41"/>
        <v>100</v>
      </c>
      <c r="AS78" s="3">
        <f t="shared" si="42"/>
        <v>140</v>
      </c>
      <c r="AT78" s="3">
        <f t="shared" si="43"/>
        <v>112.54341559211842</v>
      </c>
      <c r="AU78" s="3">
        <f t="shared" si="44"/>
        <v>119.3426274441928</v>
      </c>
      <c r="AV78" s="3">
        <f t="shared" si="45"/>
        <v>52.201803984672139</v>
      </c>
      <c r="AW78" s="3">
        <f t="shared" si="46"/>
        <v>139.46725773284439</v>
      </c>
      <c r="AX78" s="3">
        <f t="shared" si="47"/>
        <v>16.353524136672306</v>
      </c>
      <c r="AY78" s="3">
        <f t="shared" si="48"/>
        <v>125.57035741757888</v>
      </c>
      <c r="AZ78" s="3">
        <f t="shared" si="49"/>
        <v>44.6909588943928</v>
      </c>
      <c r="BA78" s="3">
        <f t="shared" si="54"/>
        <v>108.92948756157274</v>
      </c>
    </row>
    <row r="79" spans="33:53" x14ac:dyDescent="0.25">
      <c r="AG79" s="3">
        <v>73</v>
      </c>
      <c r="AH79" s="3">
        <f t="shared" si="55"/>
        <v>41.772970603970094</v>
      </c>
      <c r="AI79" s="3">
        <f t="shared" si="56"/>
        <v>87.326615364839682</v>
      </c>
      <c r="AJ79" s="3">
        <f t="shared" si="57"/>
        <v>108.86615192319476</v>
      </c>
      <c r="AK79" s="3">
        <f t="shared" si="58"/>
        <v>79.221445499325625</v>
      </c>
      <c r="AL79" s="3">
        <f t="shared" si="35"/>
        <v>17.798196015327857</v>
      </c>
      <c r="AM79" s="3">
        <f t="shared" si="36"/>
        <v>139.46725773284439</v>
      </c>
      <c r="AN79" s="3">
        <f t="shared" si="37"/>
        <v>0.59243830591118751</v>
      </c>
      <c r="AO79" s="3">
        <f t="shared" si="38"/>
        <v>89.506970583144593</v>
      </c>
      <c r="AP79" s="3">
        <f t="shared" si="39"/>
        <v>74.186876499435513</v>
      </c>
      <c r="AQ79" s="3">
        <f t="shared" si="40"/>
        <v>79.890362780365905</v>
      </c>
      <c r="AR79" s="3">
        <f t="shared" si="41"/>
        <v>100</v>
      </c>
      <c r="AS79" s="3">
        <f t="shared" si="42"/>
        <v>140</v>
      </c>
      <c r="AT79" s="3">
        <f t="shared" si="43"/>
        <v>112.54341559211842</v>
      </c>
      <c r="AU79" s="3">
        <f t="shared" si="44"/>
        <v>119.3426274441928</v>
      </c>
      <c r="AV79" s="3">
        <f t="shared" si="45"/>
        <v>52.201803984672139</v>
      </c>
      <c r="AW79" s="3">
        <f t="shared" si="46"/>
        <v>139.46725773284439</v>
      </c>
      <c r="AX79" s="3">
        <f t="shared" si="47"/>
        <v>16.353524136672306</v>
      </c>
      <c r="AY79" s="3">
        <f t="shared" si="48"/>
        <v>125.57035741757888</v>
      </c>
      <c r="AZ79" s="3">
        <f t="shared" si="49"/>
        <v>44.6909588943928</v>
      </c>
      <c r="BA79" s="3">
        <f t="shared" si="54"/>
        <v>108.92948756157274</v>
      </c>
    </row>
    <row r="80" spans="33:53" x14ac:dyDescent="0.25">
      <c r="AG80" s="3">
        <v>74</v>
      </c>
      <c r="AH80" s="3">
        <f t="shared" si="55"/>
        <v>41.772970603970094</v>
      </c>
      <c r="AI80" s="3">
        <f t="shared" si="56"/>
        <v>87.326615364839682</v>
      </c>
      <c r="AJ80" s="3">
        <f t="shared" si="57"/>
        <v>108.86615192319476</v>
      </c>
      <c r="AK80" s="3">
        <f t="shared" si="58"/>
        <v>79.221445499325625</v>
      </c>
      <c r="AL80" s="3">
        <f t="shared" si="35"/>
        <v>17.798196015327857</v>
      </c>
      <c r="AM80" s="3">
        <f t="shared" si="36"/>
        <v>139.46725773284439</v>
      </c>
      <c r="AN80" s="3">
        <f t="shared" si="37"/>
        <v>0.59243830591118751</v>
      </c>
      <c r="AO80" s="3">
        <f t="shared" si="38"/>
        <v>89.506970583144593</v>
      </c>
      <c r="AP80" s="3">
        <f t="shared" si="39"/>
        <v>74.186876499435513</v>
      </c>
      <c r="AQ80" s="3">
        <f t="shared" si="40"/>
        <v>79.890362780365905</v>
      </c>
      <c r="AR80" s="3">
        <f t="shared" si="41"/>
        <v>100</v>
      </c>
      <c r="AS80" s="3">
        <f t="shared" si="42"/>
        <v>140</v>
      </c>
      <c r="AT80" s="3">
        <f t="shared" si="43"/>
        <v>112.54341559211842</v>
      </c>
      <c r="AU80" s="3">
        <f t="shared" si="44"/>
        <v>119.3426274441928</v>
      </c>
      <c r="AV80" s="3">
        <f t="shared" si="45"/>
        <v>52.201803984672139</v>
      </c>
      <c r="AW80" s="3">
        <f t="shared" si="46"/>
        <v>139.46725773284439</v>
      </c>
      <c r="AX80" s="3">
        <f t="shared" si="47"/>
        <v>16.353524136672306</v>
      </c>
      <c r="AY80" s="3">
        <f t="shared" si="48"/>
        <v>125.57035741757888</v>
      </c>
      <c r="AZ80" s="3">
        <f t="shared" si="49"/>
        <v>44.6909588943928</v>
      </c>
      <c r="BA80" s="3">
        <f t="shared" si="54"/>
        <v>108.92948756157274</v>
      </c>
    </row>
    <row r="81" spans="33:53" x14ac:dyDescent="0.25">
      <c r="AG81" s="3">
        <v>75</v>
      </c>
      <c r="AH81" s="3">
        <f t="shared" si="55"/>
        <v>41.772970603970094</v>
      </c>
      <c r="AI81" s="3">
        <f t="shared" si="56"/>
        <v>87.326615364839682</v>
      </c>
      <c r="AJ81" s="3">
        <f t="shared" si="57"/>
        <v>108.86615192319476</v>
      </c>
      <c r="AK81" s="3">
        <f t="shared" si="58"/>
        <v>79.221445499325625</v>
      </c>
      <c r="AL81" s="3">
        <f t="shared" si="35"/>
        <v>17.798196015327857</v>
      </c>
      <c r="AM81" s="3">
        <f t="shared" si="36"/>
        <v>139.46725773284439</v>
      </c>
      <c r="AN81" s="3">
        <f t="shared" si="37"/>
        <v>0.59243830591118751</v>
      </c>
      <c r="AO81" s="3">
        <f t="shared" si="38"/>
        <v>89.506970583144593</v>
      </c>
      <c r="AP81" s="3">
        <f t="shared" si="39"/>
        <v>74.186876499435513</v>
      </c>
      <c r="AQ81" s="3">
        <f t="shared" si="40"/>
        <v>79.890362780365905</v>
      </c>
      <c r="AR81" s="3">
        <f t="shared" si="41"/>
        <v>100</v>
      </c>
      <c r="AS81" s="3">
        <f t="shared" si="42"/>
        <v>140</v>
      </c>
      <c r="AT81" s="3">
        <f t="shared" si="43"/>
        <v>112.54341559211842</v>
      </c>
      <c r="AU81" s="3">
        <f t="shared" si="44"/>
        <v>119.3426274441928</v>
      </c>
      <c r="AV81" s="3">
        <f t="shared" si="45"/>
        <v>52.201803984672139</v>
      </c>
      <c r="AW81" s="3">
        <f t="shared" si="46"/>
        <v>139.46725773284439</v>
      </c>
      <c r="AX81" s="3">
        <f t="shared" si="47"/>
        <v>16.353524136672306</v>
      </c>
      <c r="AY81" s="3">
        <f t="shared" si="48"/>
        <v>125.57035741757888</v>
      </c>
      <c r="AZ81" s="3">
        <f t="shared" si="49"/>
        <v>44.6909588943928</v>
      </c>
      <c r="BA81" s="3">
        <f t="shared" si="54"/>
        <v>108.92948756157274</v>
      </c>
    </row>
    <row r="82" spans="33:53" x14ac:dyDescent="0.25">
      <c r="AG82" s="3">
        <v>76</v>
      </c>
      <c r="AH82" s="3">
        <f t="shared" si="55"/>
        <v>41.772970603970094</v>
      </c>
      <c r="AI82" s="3">
        <f t="shared" si="56"/>
        <v>87.326615364839682</v>
      </c>
      <c r="AJ82" s="3">
        <f t="shared" si="57"/>
        <v>108.86615192319476</v>
      </c>
      <c r="AK82" s="3">
        <f t="shared" si="58"/>
        <v>79.221445499325625</v>
      </c>
      <c r="AL82" s="3">
        <f t="shared" si="35"/>
        <v>17.798196015327857</v>
      </c>
      <c r="AM82" s="3">
        <f t="shared" si="36"/>
        <v>139.46725773284439</v>
      </c>
      <c r="AN82" s="3">
        <f t="shared" si="37"/>
        <v>0.59243830591118751</v>
      </c>
      <c r="AO82" s="3">
        <f t="shared" si="38"/>
        <v>89.506970583144593</v>
      </c>
      <c r="AP82" s="3">
        <f t="shared" si="39"/>
        <v>74.186876499435513</v>
      </c>
      <c r="AQ82" s="3">
        <f t="shared" si="40"/>
        <v>79.890362780365905</v>
      </c>
      <c r="AR82" s="3">
        <f t="shared" si="41"/>
        <v>100</v>
      </c>
      <c r="AS82" s="3">
        <f t="shared" si="42"/>
        <v>140</v>
      </c>
      <c r="AT82" s="3">
        <f t="shared" si="43"/>
        <v>112.54341559211842</v>
      </c>
      <c r="AU82" s="3">
        <f t="shared" si="44"/>
        <v>119.3426274441928</v>
      </c>
      <c r="AV82" s="3">
        <f t="shared" si="45"/>
        <v>52.201803984672139</v>
      </c>
      <c r="AW82" s="3">
        <f t="shared" si="46"/>
        <v>139.46725773284439</v>
      </c>
      <c r="AX82" s="3">
        <f t="shared" si="47"/>
        <v>16.353524136672306</v>
      </c>
      <c r="AY82" s="3">
        <f t="shared" si="48"/>
        <v>125.57035741757888</v>
      </c>
      <c r="AZ82" s="3">
        <f t="shared" si="49"/>
        <v>44.6909588943928</v>
      </c>
      <c r="BA82" s="3">
        <f t="shared" si="54"/>
        <v>108.92948756157274</v>
      </c>
    </row>
    <row r="83" spans="33:53" x14ac:dyDescent="0.25">
      <c r="AG83" s="3">
        <v>77</v>
      </c>
      <c r="AH83" s="3">
        <f t="shared" si="55"/>
        <v>41.772970603970094</v>
      </c>
      <c r="AI83" s="3">
        <f t="shared" si="56"/>
        <v>87.326615364839682</v>
      </c>
      <c r="AJ83" s="3">
        <f t="shared" si="57"/>
        <v>108.86615192319476</v>
      </c>
      <c r="AK83" s="3">
        <f t="shared" si="58"/>
        <v>79.221445499325625</v>
      </c>
      <c r="AL83" s="3">
        <f t="shared" si="35"/>
        <v>17.798196015327857</v>
      </c>
      <c r="AM83" s="3">
        <f t="shared" si="36"/>
        <v>139.46725773284439</v>
      </c>
      <c r="AN83" s="3">
        <f t="shared" si="37"/>
        <v>0.59243830591118751</v>
      </c>
      <c r="AO83" s="3">
        <f t="shared" si="38"/>
        <v>89.506970583144593</v>
      </c>
      <c r="AP83" s="3">
        <f t="shared" si="39"/>
        <v>74.186876499435513</v>
      </c>
      <c r="AQ83" s="3">
        <f t="shared" si="40"/>
        <v>79.890362780365905</v>
      </c>
      <c r="AR83" s="3">
        <f t="shared" si="41"/>
        <v>100</v>
      </c>
      <c r="AS83" s="3">
        <f t="shared" si="42"/>
        <v>140</v>
      </c>
      <c r="AT83" s="3">
        <f t="shared" si="43"/>
        <v>112.54341559211842</v>
      </c>
      <c r="AU83" s="3">
        <f t="shared" si="44"/>
        <v>119.3426274441928</v>
      </c>
      <c r="AV83" s="3">
        <f t="shared" si="45"/>
        <v>52.201803984672139</v>
      </c>
      <c r="AW83" s="3">
        <f t="shared" si="46"/>
        <v>139.46725773284439</v>
      </c>
      <c r="AX83" s="3">
        <f t="shared" si="47"/>
        <v>16.353524136672306</v>
      </c>
      <c r="AY83" s="3">
        <f t="shared" si="48"/>
        <v>125.57035741757888</v>
      </c>
      <c r="AZ83" s="3">
        <f t="shared" si="49"/>
        <v>44.6909588943928</v>
      </c>
      <c r="BA83" s="3">
        <f t="shared" si="54"/>
        <v>108.92948756157274</v>
      </c>
    </row>
    <row r="84" spans="33:53" x14ac:dyDescent="0.25">
      <c r="AG84" s="3">
        <v>78</v>
      </c>
      <c r="AH84" s="3">
        <f t="shared" si="55"/>
        <v>41.772970603970094</v>
      </c>
      <c r="AI84" s="3">
        <f t="shared" si="56"/>
        <v>87.326615364839682</v>
      </c>
      <c r="AJ84" s="3">
        <f t="shared" si="57"/>
        <v>108.86615192319476</v>
      </c>
      <c r="AK84" s="3">
        <f t="shared" si="58"/>
        <v>79.221445499325625</v>
      </c>
      <c r="AL84" s="3">
        <f t="shared" si="35"/>
        <v>17.798196015327857</v>
      </c>
      <c r="AM84" s="3">
        <f t="shared" si="36"/>
        <v>139.46725773284439</v>
      </c>
      <c r="AN84" s="3">
        <f t="shared" si="37"/>
        <v>0.59243830591118751</v>
      </c>
      <c r="AO84" s="3">
        <f t="shared" si="38"/>
        <v>89.506970583144593</v>
      </c>
      <c r="AP84" s="3">
        <f t="shared" si="39"/>
        <v>74.186876499435513</v>
      </c>
      <c r="AQ84" s="3">
        <f t="shared" si="40"/>
        <v>79.890362780365905</v>
      </c>
      <c r="AR84" s="3">
        <f t="shared" si="41"/>
        <v>100</v>
      </c>
      <c r="AS84" s="3">
        <f t="shared" si="42"/>
        <v>140</v>
      </c>
      <c r="AT84" s="3">
        <f t="shared" si="43"/>
        <v>112.54341559211842</v>
      </c>
      <c r="AU84" s="3">
        <f t="shared" si="44"/>
        <v>119.3426274441928</v>
      </c>
      <c r="AV84" s="3">
        <f t="shared" si="45"/>
        <v>52.201803984672139</v>
      </c>
      <c r="AW84" s="3">
        <f t="shared" si="46"/>
        <v>139.46725773284439</v>
      </c>
      <c r="AX84" s="3">
        <f t="shared" si="47"/>
        <v>16.353524136672306</v>
      </c>
      <c r="AY84" s="3">
        <f t="shared" si="48"/>
        <v>125.57035741757888</v>
      </c>
      <c r="AZ84" s="3">
        <f t="shared" si="49"/>
        <v>44.6909588943928</v>
      </c>
      <c r="BA84" s="3">
        <f t="shared" si="54"/>
        <v>108.92948756157274</v>
      </c>
    </row>
    <row r="85" spans="33:53" x14ac:dyDescent="0.25">
      <c r="AG85" s="3">
        <v>79</v>
      </c>
      <c r="AH85" s="3">
        <f t="shared" si="55"/>
        <v>41.772970603970094</v>
      </c>
      <c r="AI85" s="3">
        <f t="shared" si="56"/>
        <v>87.326615364839682</v>
      </c>
      <c r="AJ85" s="3">
        <f t="shared" si="57"/>
        <v>108.86615192319476</v>
      </c>
      <c r="AK85" s="3">
        <f t="shared" si="58"/>
        <v>79.221445499325625</v>
      </c>
      <c r="AL85" s="3">
        <f t="shared" si="35"/>
        <v>17.798196015327857</v>
      </c>
      <c r="AM85" s="3">
        <f t="shared" si="36"/>
        <v>139.46725773284439</v>
      </c>
      <c r="AN85" s="3">
        <f t="shared" si="37"/>
        <v>0.59243830591118751</v>
      </c>
      <c r="AO85" s="3">
        <f t="shared" si="38"/>
        <v>89.506970583144593</v>
      </c>
      <c r="AP85" s="3">
        <f t="shared" si="39"/>
        <v>74.186876499435513</v>
      </c>
      <c r="AQ85" s="3">
        <f t="shared" si="40"/>
        <v>79.890362780365905</v>
      </c>
      <c r="AR85" s="3">
        <f t="shared" si="41"/>
        <v>100</v>
      </c>
      <c r="AS85" s="3">
        <f t="shared" si="42"/>
        <v>140</v>
      </c>
      <c r="AT85" s="3">
        <f t="shared" si="43"/>
        <v>112.54341559211842</v>
      </c>
      <c r="AU85" s="3">
        <f t="shared" si="44"/>
        <v>119.3426274441928</v>
      </c>
      <c r="AV85" s="3">
        <f t="shared" si="45"/>
        <v>52.201803984672139</v>
      </c>
      <c r="AW85" s="3">
        <f t="shared" si="46"/>
        <v>139.46725773284439</v>
      </c>
      <c r="AX85" s="3">
        <f t="shared" si="47"/>
        <v>16.353524136672306</v>
      </c>
      <c r="AY85" s="3">
        <f t="shared" si="48"/>
        <v>125.57035741757888</v>
      </c>
      <c r="AZ85" s="3">
        <f t="shared" si="49"/>
        <v>44.6909588943928</v>
      </c>
      <c r="BA85" s="3">
        <f t="shared" si="54"/>
        <v>108.92948756157274</v>
      </c>
    </row>
    <row r="86" spans="33:53" x14ac:dyDescent="0.25">
      <c r="AG86" s="3">
        <v>80</v>
      </c>
      <c r="AH86" s="3">
        <f t="shared" si="55"/>
        <v>41.772970603970094</v>
      </c>
      <c r="AI86" s="3">
        <f t="shared" si="56"/>
        <v>87.326615364839682</v>
      </c>
      <c r="AJ86" s="3">
        <f t="shared" si="57"/>
        <v>108.86615192319476</v>
      </c>
      <c r="AK86" s="3">
        <f t="shared" si="58"/>
        <v>79.221445499325625</v>
      </c>
      <c r="AL86" s="3">
        <f t="shared" si="35"/>
        <v>17.798196015327857</v>
      </c>
      <c r="AM86" s="3">
        <f t="shared" si="36"/>
        <v>139.46725773284439</v>
      </c>
      <c r="AN86" s="3">
        <f t="shared" si="37"/>
        <v>0.59243830591118751</v>
      </c>
      <c r="AO86" s="3">
        <f t="shared" si="38"/>
        <v>89.506970583144593</v>
      </c>
      <c r="AP86" s="3">
        <f t="shared" si="39"/>
        <v>74.186876499435513</v>
      </c>
      <c r="AQ86" s="3">
        <f t="shared" si="40"/>
        <v>79.890362780365905</v>
      </c>
      <c r="AR86" s="3">
        <f t="shared" si="41"/>
        <v>100</v>
      </c>
      <c r="AS86" s="3">
        <f t="shared" si="42"/>
        <v>140</v>
      </c>
      <c r="AT86" s="3">
        <f t="shared" si="43"/>
        <v>112.54341559211842</v>
      </c>
      <c r="AU86" s="3">
        <f t="shared" si="44"/>
        <v>119.3426274441928</v>
      </c>
      <c r="AV86" s="3">
        <f t="shared" si="45"/>
        <v>52.201803984672139</v>
      </c>
      <c r="AW86" s="3">
        <f t="shared" si="46"/>
        <v>139.46725773284439</v>
      </c>
      <c r="AX86" s="3">
        <f t="shared" si="47"/>
        <v>16.353524136672306</v>
      </c>
      <c r="AY86" s="3">
        <f t="shared" si="48"/>
        <v>125.57035741757888</v>
      </c>
      <c r="AZ86" s="3">
        <f t="shared" si="49"/>
        <v>44.6909588943928</v>
      </c>
      <c r="BA86" s="3">
        <f t="shared" si="54"/>
        <v>108.92948756157274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fire works</vt:lpstr>
      <vt:lpstr>calc</vt:lpstr>
      <vt:lpstr>change</vt:lpstr>
      <vt:lpstr>cracker.angles</vt:lpstr>
      <vt:lpstr>cracker.changes</vt:lpstr>
      <vt:lpstr>cracker.heights</vt:lpstr>
      <vt:lpstr>cracker.mxSizes</vt:lpstr>
      <vt:lpstr>cracker.sizes</vt:lpstr>
      <vt:lpstr>cracker.x</vt:lpstr>
      <vt:lpstr>rndCracker.angle</vt:lpstr>
      <vt:lpstr>rndCracker.Height</vt:lpstr>
      <vt:lpstr>rndCracker.mxSizes</vt:lpstr>
      <vt:lpstr>rndCracker.x</vt:lpstr>
    </vt:vector>
  </TitlesOfParts>
  <Company>Chandoo.org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Purnachandra Rao Duggirala</cp:lastModifiedBy>
  <dcterms:created xsi:type="dcterms:W3CDTF">2014-07-04T13:46:22Z</dcterms:created>
  <dcterms:modified xsi:type="dcterms:W3CDTF">2014-07-04T18:35:50Z</dcterms:modified>
</cp:coreProperties>
</file>