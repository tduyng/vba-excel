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E:\00 - BIM\07 - EXCEL\09 - VBA101 FB\00 - Thanh Doan\2019-06-18\"/>
    </mc:Choice>
  </mc:AlternateContent>
  <bookViews>
    <workbookView xWindow="0" yWindow="0" windowWidth="13665" windowHeight="11280" activeTab="1"/>
  </bookViews>
  <sheets>
    <sheet name="GHISO" sheetId="11" r:id="rId1"/>
    <sheet name="FormNhap" sheetId="12" r:id="rId2"/>
    <sheet name="Balance_Fusing" sheetId="10" r:id="rId3"/>
    <sheet name="Use_Up_Stock" sheetId="3" r:id="rId4"/>
    <sheet name="Sample_room" sheetId="4" r:id="rId5"/>
    <sheet name="Release_code" sheetId="7" r:id="rId6"/>
  </sheets>
  <functionGroups builtInGroupCount="18"/>
  <externalReferences>
    <externalReference r:id="rId7"/>
    <externalReference r:id="rId8"/>
    <externalReference r:id="rId9"/>
    <externalReference r:id="rId10"/>
  </externalReferences>
  <definedNames>
    <definedName name="Data_Fabric">'[1]DATA INPUT'!$B$3:$AC$90000</definedName>
    <definedName name="Date_sample_room">Sample_room!$A$3:$A$10000</definedName>
    <definedName name="Date_stock">Use_Up_Stock!$Z$3:$Z$10000</definedName>
    <definedName name="Fuse_code_sample">Sample_room!$B$3:$B$10000</definedName>
    <definedName name="Trim_sheet">[2]Sheet1!$B$2:$P$70000</definedName>
    <definedName name="Use_Stock">Use_Up_Stock!$V$3:$V$10000</definedName>
    <definedName name="Xuất_Sample">Sample_room!$C$3:$C$10000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 i="12" l="1"/>
  <c r="A13" i="12" l="1"/>
  <c r="A14" i="12" s="1"/>
  <c r="A15" i="12" s="1"/>
  <c r="A16" i="12" s="1"/>
  <c r="A17" i="12" s="1"/>
  <c r="A18" i="12" s="1"/>
  <c r="A19" i="12" s="1"/>
  <c r="A20" i="12" s="1"/>
  <c r="A21" i="12" s="1"/>
  <c r="D8" i="12" l="1"/>
  <c r="C13" i="12" l="1"/>
  <c r="C14" i="12"/>
  <c r="C12" i="12"/>
  <c r="D12" i="12"/>
  <c r="E12" i="12" s="1"/>
  <c r="D13" i="12"/>
  <c r="E13" i="12" s="1"/>
  <c r="D14" i="12"/>
  <c r="E14" i="12" s="1"/>
  <c r="B9" i="10" l="1"/>
  <c r="B3" i="10"/>
  <c r="A4" i="10"/>
  <c r="B4" i="10"/>
  <c r="A5" i="10"/>
  <c r="B5" i="10"/>
  <c r="A6" i="10"/>
  <c r="B7" i="10"/>
  <c r="A8" i="10"/>
  <c r="B6" i="10"/>
  <c r="A7" i="10"/>
  <c r="B8" i="10"/>
  <c r="A9" i="10"/>
  <c r="A3" i="10"/>
  <c r="U8" i="11" l="1"/>
  <c r="V8" i="11"/>
  <c r="N8" i="10"/>
  <c r="O8" i="10"/>
  <c r="H9" i="10"/>
  <c r="H6" i="10"/>
  <c r="W8" i="11" l="1"/>
  <c r="P8" i="10"/>
  <c r="O5" i="10"/>
  <c r="H7" i="10" l="1"/>
  <c r="O6" i="10" s="1"/>
  <c r="H4" i="10"/>
  <c r="H8" i="10"/>
  <c r="O7" i="10" s="1"/>
  <c r="V6" i="11" l="1"/>
  <c r="H5" i="10"/>
  <c r="O4" i="10" s="1"/>
  <c r="H3" i="10"/>
  <c r="O3" i="10" s="1"/>
  <c r="V5" i="11"/>
  <c r="V7" i="11"/>
  <c r="V4" i="11" l="1"/>
  <c r="V3" i="11"/>
  <c r="AC3" i="3" l="1"/>
  <c r="AB3" i="3"/>
  <c r="X3" i="3"/>
  <c r="W3" i="3"/>
  <c r="N3" i="3"/>
  <c r="M3" i="3"/>
  <c r="L3" i="3"/>
  <c r="K3" i="3"/>
  <c r="J3" i="3"/>
  <c r="I3" i="3"/>
  <c r="H3" i="3"/>
  <c r="G3" i="3"/>
  <c r="F3" i="3"/>
  <c r="E3" i="3"/>
  <c r="D3" i="3"/>
  <c r="C3" i="3"/>
  <c r="AA3" i="3" s="1"/>
  <c r="B3" i="3"/>
  <c r="S3" i="3" l="1"/>
  <c r="V3" i="3" s="1"/>
  <c r="U6" i="11" l="1"/>
  <c r="W6" i="11" s="1"/>
  <c r="E9" i="10"/>
  <c r="I9" i="10" s="1"/>
  <c r="E3" i="10"/>
  <c r="F3" i="10" s="1"/>
  <c r="E8" i="10"/>
  <c r="E4" i="10"/>
  <c r="E5" i="10"/>
  <c r="E7" i="10"/>
  <c r="E6" i="10"/>
  <c r="U7" i="11" l="1"/>
  <c r="W7" i="11" s="1"/>
  <c r="F9" i="10"/>
  <c r="U4" i="11"/>
  <c r="W4" i="11" s="1"/>
  <c r="U5" i="11"/>
  <c r="W5" i="11" s="1"/>
  <c r="U3" i="11"/>
  <c r="W3" i="11" s="1"/>
  <c r="I3" i="10"/>
  <c r="F5" i="10"/>
  <c r="N4" i="10" s="1"/>
  <c r="P4" i="10" s="1"/>
  <c r="I5" i="10"/>
  <c r="F4" i="10"/>
  <c r="N3" i="10" s="1"/>
  <c r="P3" i="10" s="1"/>
  <c r="I4" i="10"/>
  <c r="F6" i="10"/>
  <c r="N5" i="10" s="1"/>
  <c r="P5" i="10" s="1"/>
  <c r="I6" i="10"/>
  <c r="F7" i="10"/>
  <c r="N6" i="10" s="1"/>
  <c r="P6" i="10" s="1"/>
  <c r="I7" i="10"/>
  <c r="F8" i="10"/>
  <c r="N7" i="10" s="1"/>
  <c r="P7" i="10" s="1"/>
  <c r="I8" i="10"/>
</calcChain>
</file>

<file path=xl/comments1.xml><?xml version="1.0" encoding="utf-8"?>
<comments xmlns="http://schemas.openxmlformats.org/spreadsheetml/2006/main">
  <authors>
    <author>ASUS</author>
    <author>Thanh Doan</author>
  </authors>
  <commentList>
    <comment ref="C2" authorId="0" shapeId="0">
      <text>
        <r>
          <rPr>
            <b/>
            <sz val="9"/>
            <color indexed="81"/>
            <rFont val="Tahoma"/>
            <family val="2"/>
          </rPr>
          <t>Copy từ Sheet Master_Round Mã Số Đơn Hàng</t>
        </r>
        <r>
          <rPr>
            <sz val="9"/>
            <color indexed="81"/>
            <rFont val="Tahoma"/>
            <family val="2"/>
          </rPr>
          <t xml:space="preserve">
Balance Code</t>
        </r>
      </text>
    </comment>
    <comment ref="E2" authorId="1" shapeId="0">
      <text>
        <r>
          <rPr>
            <b/>
            <sz val="9"/>
            <color indexed="81"/>
            <rFont val="Tahoma"/>
            <family val="2"/>
          </rPr>
          <t>Nhập số lượng đặt hàng theo roll chẵn vào cột này</t>
        </r>
        <r>
          <rPr>
            <sz val="9"/>
            <color indexed="81"/>
            <rFont val="Tahoma"/>
            <family val="2"/>
          </rPr>
          <t xml:space="preserve">
</t>
        </r>
      </text>
    </comment>
  </commentList>
</comments>
</file>

<file path=xl/sharedStrings.xml><?xml version="1.0" encoding="utf-8"?>
<sst xmlns="http://schemas.openxmlformats.org/spreadsheetml/2006/main" count="167" uniqueCount="110">
  <si>
    <t>Date</t>
  </si>
  <si>
    <t>Fuse Code</t>
  </si>
  <si>
    <t>Full orders name</t>
  </si>
  <si>
    <t>Order Quantity</t>
  </si>
  <si>
    <t xml:space="preserve">Bulk Quantity </t>
  </si>
  <si>
    <t>Balance</t>
  </si>
  <si>
    <t>Fusing Code</t>
  </si>
  <si>
    <t>Tồn Đầu Kỳ</t>
  </si>
  <si>
    <t>Tồn Cuối Kỳ</t>
  </si>
  <si>
    <t>DD6701W</t>
  </si>
  <si>
    <t>6122F</t>
  </si>
  <si>
    <t>PO Number</t>
  </si>
  <si>
    <t>Style</t>
  </si>
  <si>
    <t>Concept</t>
  </si>
  <si>
    <t>Size XS</t>
  </si>
  <si>
    <t>Size S</t>
  </si>
  <si>
    <t>Size M</t>
  </si>
  <si>
    <t>Size L</t>
  </si>
  <si>
    <t>Size XL</t>
  </si>
  <si>
    <t>1X</t>
  </si>
  <si>
    <t>2X</t>
  </si>
  <si>
    <t>3X</t>
  </si>
  <si>
    <t>S/M</t>
  </si>
  <si>
    <t>L/XL</t>
  </si>
  <si>
    <t>OS</t>
  </si>
  <si>
    <t>Adding Size</t>
  </si>
  <si>
    <t>Adding QTY Size</t>
  </si>
  <si>
    <t>Total Quantity</t>
  </si>
  <si>
    <t>Round Trim</t>
  </si>
  <si>
    <t>Consumption</t>
  </si>
  <si>
    <t>Order_Qty</t>
  </si>
  <si>
    <t>Price</t>
  </si>
  <si>
    <t>Print/Solid</t>
  </si>
  <si>
    <t>Colour</t>
  </si>
  <si>
    <t>Order Date</t>
  </si>
  <si>
    <t>Order Code</t>
  </si>
  <si>
    <t>White-01</t>
  </si>
  <si>
    <t>Stock_record</t>
  </si>
  <si>
    <t>Fuse_code_stock</t>
  </si>
  <si>
    <t>Xuất_Sample</t>
  </si>
  <si>
    <t>Trong Kho còn sau xuất Sample Room</t>
  </si>
  <si>
    <t>Tổng Nhập</t>
  </si>
  <si>
    <t xml:space="preserve">Tổng Xuất </t>
  </si>
  <si>
    <t>Release Description</t>
  </si>
  <si>
    <t>Release Code</t>
  </si>
  <si>
    <t>Cutting consumption</t>
  </si>
  <si>
    <t>CUT</t>
  </si>
  <si>
    <t>Dinh Muc</t>
  </si>
  <si>
    <t>Defect fabric</t>
  </si>
  <si>
    <t>DEF</t>
  </si>
  <si>
    <t>Loi Vai</t>
  </si>
  <si>
    <t>Shortage Fabric</t>
  </si>
  <si>
    <t>SHO</t>
  </si>
  <si>
    <t>Thieu Vai</t>
  </si>
  <si>
    <t>Sample Fabric</t>
  </si>
  <si>
    <t>SML</t>
  </si>
  <si>
    <t>May Mau</t>
  </si>
  <si>
    <t>Collect Fabric</t>
  </si>
  <si>
    <t>CFA</t>
  </si>
  <si>
    <t>Thu Hoi</t>
  </si>
  <si>
    <t>Increase Consumption</t>
  </si>
  <si>
    <t>INC</t>
  </si>
  <si>
    <t>Bo Sung DMuc</t>
  </si>
  <si>
    <t>Out of Allowance</t>
  </si>
  <si>
    <t>OOA</t>
  </si>
  <si>
    <t>Ngoai DMuc</t>
  </si>
  <si>
    <t>Main Fabric</t>
  </si>
  <si>
    <t>MAIN</t>
  </si>
  <si>
    <t>Lining Fabric</t>
  </si>
  <si>
    <t>LINN</t>
  </si>
  <si>
    <t>Combo Fabric</t>
  </si>
  <si>
    <t>COMB</t>
  </si>
  <si>
    <t>Contrast Fabric</t>
  </si>
  <si>
    <t>CONT</t>
  </si>
  <si>
    <t>DD6701C</t>
  </si>
  <si>
    <t>DD6701B</t>
  </si>
  <si>
    <t>NBR-64-24519</t>
  </si>
  <si>
    <t>NBR-32-24519</t>
  </si>
  <si>
    <t>NBR-65-24519</t>
  </si>
  <si>
    <t>TVC-34-24519</t>
  </si>
  <si>
    <t>TVC-68-24519</t>
  </si>
  <si>
    <t>TVC-36-24519</t>
  </si>
  <si>
    <t>6518FB</t>
  </si>
  <si>
    <t>6518FOW</t>
  </si>
  <si>
    <t>6518FG</t>
  </si>
  <si>
    <t/>
  </si>
  <si>
    <t>Column2</t>
  </si>
  <si>
    <t>Round up Qty Order (y)</t>
  </si>
  <si>
    <t>Column1</t>
  </si>
  <si>
    <t>NBR-64-20519</t>
  </si>
  <si>
    <t>DMC-NBR-1-20519</t>
  </si>
  <si>
    <t>NBR-65-10619</t>
  </si>
  <si>
    <t>NBR-64-10619</t>
  </si>
  <si>
    <t>NBR-32-10619</t>
  </si>
  <si>
    <t>Order Import (Over Sea)</t>
  </si>
  <si>
    <t>PHIẾU NHẬP KHO</t>
  </si>
  <si>
    <t>NHẬP KHO</t>
  </si>
  <si>
    <t>STT</t>
  </si>
  <si>
    <t>Balance code</t>
  </si>
  <si>
    <t>Thực Nhập (yard)</t>
  </si>
  <si>
    <t>Số Lượng Đơn Hàng (y)</t>
  </si>
  <si>
    <t>Mã Số Đơn Hàng</t>
  </si>
  <si>
    <t>Ngày Đặt Hàng</t>
  </si>
  <si>
    <t>NGÀY NHẬP KHO:</t>
  </si>
  <si>
    <t>SỐ ĐƠN HÀNG:</t>
  </si>
  <si>
    <t>DIỄN GIẢI/ NỘI DUNG:</t>
  </si>
  <si>
    <t>SỐ HÓA ĐƠN:</t>
  </si>
  <si>
    <t>SỐ PHIẾU:</t>
  </si>
  <si>
    <t>Ghi Chú</t>
  </si>
  <si>
    <t>DMC-NBR-1-24519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</si>
</sst>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00_-;\-* #,##0.00_-;_-* &quot;-&quot;??_-;_-@_-"/>
    <numFmt numFmtId="165" formatCode="dd/mm/yy"/>
    <numFmt numFmtId="166" formatCode="&quot;From: &quot;dd&quot;/&quot;mm&quot;/&quot;yy"/>
    <numFmt numFmtId="167" formatCode="&quot;To: &quot;dd&quot;/&quot;mm&quot;/&quot;yy"/>
    <numFmt numFmtId="168" formatCode="_-* #,##0_-;\-* #,##0_-;_-* &quot;-&quot;??_-;_-@_-"/>
  </numFmts>
  <fonts count="15" x14ac:knownFonts="1">
    <font>
      <sz val="11"/>
      <color theme="1"/>
      <name val="Calibri"/>
      <family val="2"/>
      <scheme val="minor"/>
    </font>
    <font>
      <sz val="11"/>
      <color theme="1"/>
      <name val="Calibri"/>
      <family val="2"/>
      <scheme val="minor"/>
    </font>
    <font>
      <sz val="10"/>
      <name val="Arial"/>
      <family val="2"/>
    </font>
    <font>
      <b/>
      <sz val="9"/>
      <color indexed="81"/>
      <name val="Tahoma"/>
      <family val="2"/>
    </font>
    <font>
      <sz val="9"/>
      <color indexed="81"/>
      <name val="Tahoma"/>
      <family val="2"/>
    </font>
    <font>
      <sz val="11"/>
      <name val="Calibri"/>
      <family val="2"/>
      <scheme val="minor"/>
    </font>
    <font>
      <sz val="10"/>
      <color rgb="FFFF0000"/>
      <name val="Arial"/>
      <family val="2"/>
    </font>
    <font>
      <b/>
      <sz val="10"/>
      <color theme="0"/>
      <name val="Arial"/>
      <family val="2"/>
    </font>
    <font>
      <b/>
      <sz val="10"/>
      <name val="Arial"/>
      <family val="2"/>
    </font>
    <font>
      <sz val="12"/>
      <color theme="1"/>
      <name val="Calibri"/>
      <family val="2"/>
      <scheme val="minor"/>
    </font>
    <font>
      <b/>
      <sz val="12"/>
      <name val="Arial"/>
      <family val="2"/>
    </font>
    <font>
      <sz val="12"/>
      <name val="Calibri"/>
      <family val="2"/>
      <scheme val="minor"/>
    </font>
    <font>
      <b/>
      <sz val="12"/>
      <color theme="1"/>
      <name val="Calibri"/>
      <family val="2"/>
      <scheme val="minor"/>
    </font>
    <font>
      <b/>
      <sz val="28"/>
      <color theme="1"/>
      <name val="Calibri"/>
      <family val="2"/>
      <scheme val="minor"/>
    </font>
    <font>
      <b/>
      <sz val="12"/>
      <color rgb="FFFF0000"/>
      <name val="Calibri"/>
      <family val="2"/>
      <scheme val="minor"/>
    </font>
  </fonts>
  <fills count="5">
    <fill>
      <patternFill patternType="none"/>
    </fill>
    <fill>
      <patternFill patternType="gray125"/>
    </fill>
    <fill>
      <patternFill patternType="solid">
        <fgColor theme="6" tint="0.79998168889431442"/>
        <bgColor theme="6" tint="0.79998168889431442"/>
      </patternFill>
    </fill>
    <fill>
      <patternFill patternType="solid">
        <fgColor rgb="FF002060"/>
        <bgColor indexed="64"/>
      </patternFill>
    </fill>
    <fill>
      <patternFill patternType="solid">
        <fgColor theme="8" tint="0.79998168889431442"/>
        <bgColor theme="8"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theme="6"/>
      </left>
      <right/>
      <top style="thin">
        <color theme="6"/>
      </top>
      <bottom/>
      <diagonal/>
    </border>
    <border>
      <left/>
      <right/>
      <top style="thin">
        <color theme="6"/>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6"/>
      </left>
      <right/>
      <top/>
      <bottom/>
      <diagonal/>
    </border>
    <border>
      <left style="thin">
        <color rgb="FFA5A5A5"/>
      </left>
      <right/>
      <top style="medium">
        <color rgb="FFA5A5A5"/>
      </top>
      <bottom/>
      <diagonal/>
    </border>
    <border>
      <left style="thin">
        <color theme="6"/>
      </left>
      <right style="thin">
        <color rgb="FFA5A5A5"/>
      </right>
      <top style="thin">
        <color theme="6"/>
      </top>
      <bottom style="thin">
        <color rgb="FFA5A5A5"/>
      </bottom>
      <diagonal/>
    </border>
    <border>
      <left style="thin">
        <color theme="6"/>
      </left>
      <right/>
      <top style="medium">
        <color rgb="FFA5A5A5"/>
      </top>
      <bottom/>
      <diagonal/>
    </border>
    <border>
      <left style="thin">
        <color theme="6"/>
      </left>
      <right style="thin">
        <color rgb="FFA5A5A5"/>
      </right>
      <top style="medium">
        <color rgb="FFA5A5A5"/>
      </top>
      <bottom/>
      <diagonal/>
    </border>
    <border>
      <left style="thin">
        <color rgb="FFA5A5A5"/>
      </left>
      <right/>
      <top style="thin">
        <color theme="6"/>
      </top>
      <bottom/>
      <diagonal/>
    </border>
    <border>
      <left style="thin">
        <color theme="6"/>
      </left>
      <right style="thin">
        <color rgb="FFA5A5A5"/>
      </right>
      <top style="thin">
        <color theme="6"/>
      </top>
      <bottom/>
      <diagonal/>
    </border>
    <border>
      <left style="thin">
        <color rgb="FFA5A5A5"/>
      </left>
      <right/>
      <top style="thin">
        <color theme="6"/>
      </top>
      <bottom style="thin">
        <color rgb="FFA5A5A5"/>
      </bottom>
      <diagonal/>
    </border>
    <border>
      <left style="thin">
        <color theme="6"/>
      </left>
      <right/>
      <top style="thin">
        <color theme="6"/>
      </top>
      <bottom style="thin">
        <color rgb="FFA5A5A5"/>
      </bottom>
      <diagonal/>
    </border>
  </borders>
  <cellStyleXfs count="2">
    <xf numFmtId="0" fontId="0" fillId="0" borderId="0"/>
    <xf numFmtId="164" fontId="1" fillId="0" borderId="0" applyFont="0" applyFill="0" applyBorder="0" applyAlignment="0" applyProtection="0"/>
  </cellStyleXfs>
  <cellXfs count="88">
    <xf numFmtId="0" fontId="0" fillId="0" borderId="0" xfId="0"/>
    <xf numFmtId="0" fontId="2" fillId="0" borderId="0" xfId="0" applyFont="1" applyFill="1" applyBorder="1" applyAlignment="1">
      <alignment horizontal="center" vertical="center" wrapText="1"/>
    </xf>
    <xf numFmtId="165" fontId="2" fillId="0" borderId="0" xfId="0" applyNumberFormat="1" applyFont="1" applyFill="1" applyBorder="1" applyAlignment="1">
      <alignment horizontal="center" vertical="center" wrapText="1"/>
    </xf>
    <xf numFmtId="0" fontId="5" fillId="0" borderId="0" xfId="0" applyFont="1" applyFill="1" applyBorder="1"/>
    <xf numFmtId="168" fontId="5" fillId="0" borderId="0" xfId="1" applyNumberFormat="1" applyFont="1" applyFill="1" applyBorder="1"/>
    <xf numFmtId="1" fontId="5" fillId="0" borderId="0" xfId="0" applyNumberFormat="1" applyFont="1" applyFill="1" applyBorder="1"/>
    <xf numFmtId="0" fontId="2" fillId="0" borderId="0" xfId="0" applyFont="1" applyFill="1" applyBorder="1"/>
    <xf numFmtId="165" fontId="5" fillId="0" borderId="0" xfId="0" applyNumberFormat="1" applyFont="1" applyFill="1" applyBorder="1"/>
    <xf numFmtId="16" fontId="5" fillId="0" borderId="0" xfId="0" applyNumberFormat="1" applyFont="1" applyFill="1" applyBorder="1"/>
    <xf numFmtId="0" fontId="5" fillId="0" borderId="0" xfId="0" applyNumberFormat="1" applyFont="1" applyFill="1" applyBorder="1"/>
    <xf numFmtId="3" fontId="5" fillId="0" borderId="0" xfId="0" applyNumberFormat="1" applyFont="1" applyFill="1" applyBorder="1"/>
    <xf numFmtId="0" fontId="2" fillId="0" borderId="0" xfId="0" applyNumberFormat="1" applyFont="1" applyFill="1" applyBorder="1" applyAlignment="1">
      <alignment horizontal="center" vertical="center" wrapText="1"/>
    </xf>
    <xf numFmtId="3" fontId="2" fillId="0" borderId="0" xfId="0" applyNumberFormat="1" applyFont="1" applyFill="1" applyBorder="1" applyAlignment="1">
      <alignment horizontal="center" vertical="center" wrapText="1"/>
    </xf>
    <xf numFmtId="165" fontId="5" fillId="0" borderId="0" xfId="1" applyNumberFormat="1" applyFont="1" applyFill="1" applyBorder="1"/>
    <xf numFmtId="0" fontId="5" fillId="0" borderId="0" xfId="1" applyNumberFormat="1" applyFont="1" applyFill="1" applyBorder="1"/>
    <xf numFmtId="0" fontId="0" fillId="0" borderId="1" xfId="0" applyBorder="1"/>
    <xf numFmtId="0" fontId="0" fillId="0" borderId="0" xfId="0" applyFill="1" applyBorder="1"/>
    <xf numFmtId="3" fontId="0" fillId="0" borderId="0" xfId="0" applyNumberFormat="1" applyFill="1" applyBorder="1"/>
    <xf numFmtId="0" fontId="0" fillId="0" borderId="0" xfId="1" applyNumberFormat="1" applyFont="1" applyFill="1" applyBorder="1"/>
    <xf numFmtId="165" fontId="0" fillId="0" borderId="0" xfId="1" applyNumberFormat="1" applyFont="1" applyFill="1" applyBorder="1"/>
    <xf numFmtId="3" fontId="5" fillId="0" borderId="2" xfId="0" applyNumberFormat="1" applyFont="1" applyBorder="1"/>
    <xf numFmtId="0" fontId="5" fillId="0" borderId="2" xfId="0" applyFont="1" applyBorder="1"/>
    <xf numFmtId="168" fontId="5" fillId="0" borderId="2" xfId="1" applyNumberFormat="1" applyFont="1" applyBorder="1"/>
    <xf numFmtId="0" fontId="5" fillId="0" borderId="2" xfId="1" applyNumberFormat="1" applyFont="1" applyBorder="1"/>
    <xf numFmtId="165" fontId="5" fillId="0" borderId="3" xfId="1" applyNumberFormat="1" applyFont="1" applyBorder="1"/>
    <xf numFmtId="3" fontId="5" fillId="2" borderId="2" xfId="0" applyNumberFormat="1" applyFont="1" applyFill="1" applyBorder="1"/>
    <xf numFmtId="0" fontId="5" fillId="2" borderId="2" xfId="0" applyFont="1" applyFill="1" applyBorder="1"/>
    <xf numFmtId="168" fontId="5" fillId="2" borderId="2" xfId="1" applyNumberFormat="1" applyFont="1" applyFill="1" applyBorder="1"/>
    <xf numFmtId="0" fontId="5" fillId="2" borderId="2" xfId="1" applyNumberFormat="1" applyFont="1" applyFill="1" applyBorder="1"/>
    <xf numFmtId="165" fontId="5" fillId="2" borderId="3" xfId="1" applyNumberFormat="1" applyFont="1" applyFill="1" applyBorder="1"/>
    <xf numFmtId="1" fontId="0" fillId="0" borderId="4" xfId="0" applyNumberFormat="1" applyFill="1" applyBorder="1"/>
    <xf numFmtId="1" fontId="0" fillId="0" borderId="1" xfId="0" applyNumberFormat="1" applyFill="1" applyBorder="1"/>
    <xf numFmtId="0" fontId="0" fillId="0" borderId="1" xfId="0" applyFill="1" applyBorder="1"/>
    <xf numFmtId="1" fontId="0" fillId="0" borderId="5" xfId="0" applyNumberFormat="1" applyFill="1" applyBorder="1"/>
    <xf numFmtId="1" fontId="2" fillId="0" borderId="6" xfId="0" applyNumberFormat="1" applyFont="1" applyFill="1" applyBorder="1" applyAlignment="1">
      <alignment horizontal="center" vertical="center" wrapText="1"/>
    </xf>
    <xf numFmtId="1" fontId="2" fillId="0" borderId="7" xfId="0" applyNumberFormat="1" applyFont="1" applyFill="1" applyBorder="1" applyAlignment="1">
      <alignment horizontal="center" vertical="center" wrapText="1"/>
    </xf>
    <xf numFmtId="0" fontId="2" fillId="0" borderId="7" xfId="0" applyFont="1" applyFill="1" applyBorder="1" applyAlignment="1">
      <alignment horizontal="center" vertical="center" wrapText="1"/>
    </xf>
    <xf numFmtId="1" fontId="2" fillId="0" borderId="8" xfId="0" applyNumberFormat="1" applyFont="1" applyFill="1" applyBorder="1" applyAlignment="1">
      <alignment horizontal="center" vertical="center" wrapText="1"/>
    </xf>
    <xf numFmtId="3" fontId="6" fillId="0" borderId="0" xfId="0" applyNumberFormat="1" applyFont="1" applyFill="1" applyBorder="1" applyAlignment="1">
      <alignment horizontal="center" vertical="center" wrapText="1"/>
    </xf>
    <xf numFmtId="3" fontId="2" fillId="2" borderId="9" xfId="0" applyNumberFormat="1"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9" xfId="0" applyNumberFormat="1" applyFont="1" applyFill="1" applyBorder="1" applyAlignment="1">
      <alignment horizontal="center" vertical="center" wrapText="1"/>
    </xf>
    <xf numFmtId="165" fontId="2" fillId="2" borderId="0" xfId="0" applyNumberFormat="1" applyFont="1" applyFill="1" applyBorder="1" applyAlignment="1">
      <alignment horizontal="center" vertical="center" wrapText="1"/>
    </xf>
    <xf numFmtId="1" fontId="0" fillId="0" borderId="1" xfId="0" applyNumberFormat="1" applyBorder="1"/>
    <xf numFmtId="167" fontId="7" fillId="3" borderId="1" xfId="0" applyNumberFormat="1" applyFont="1" applyFill="1" applyBorder="1" applyAlignment="1">
      <alignment horizontal="center" vertical="center" wrapText="1"/>
    </xf>
    <xf numFmtId="166" fontId="7" fillId="3" borderId="1" xfId="0" applyNumberFormat="1" applyFont="1" applyFill="1" applyBorder="1" applyAlignment="1">
      <alignment horizontal="center" vertical="center" wrapText="1"/>
    </xf>
    <xf numFmtId="0" fontId="0" fillId="0" borderId="0" xfId="0" applyNumberFormat="1" applyFill="1" applyBorder="1"/>
    <xf numFmtId="165" fontId="0" fillId="0" borderId="0" xfId="0" applyNumberFormat="1" applyFill="1" applyBorder="1"/>
    <xf numFmtId="165" fontId="8" fillId="2" borderId="10" xfId="0" applyNumberFormat="1" applyFont="1" applyFill="1" applyBorder="1" applyAlignment="1">
      <alignment horizontal="center" vertical="center" wrapText="1"/>
    </xf>
    <xf numFmtId="0" fontId="8" fillId="2" borderId="12" xfId="0" applyNumberFormat="1" applyFont="1" applyFill="1" applyBorder="1" applyAlignment="1">
      <alignment horizontal="center" vertical="center" wrapText="1"/>
    </xf>
    <xf numFmtId="0" fontId="8" fillId="2" borderId="12" xfId="0" applyFont="1" applyFill="1" applyBorder="1" applyAlignment="1">
      <alignment horizontal="center" vertical="center" wrapText="1"/>
    </xf>
    <xf numFmtId="3" fontId="8" fillId="2" borderId="13" xfId="0" applyNumberFormat="1" applyFont="1" applyFill="1" applyBorder="1" applyAlignment="1">
      <alignment horizontal="center" vertical="center" wrapText="1"/>
    </xf>
    <xf numFmtId="165" fontId="5" fillId="4" borderId="14" xfId="1" applyNumberFormat="1" applyFont="1" applyFill="1" applyBorder="1"/>
    <xf numFmtId="0" fontId="5" fillId="4" borderId="2" xfId="1" applyNumberFormat="1" applyFont="1" applyFill="1" applyBorder="1"/>
    <xf numFmtId="0" fontId="5" fillId="4" borderId="2" xfId="0" applyFont="1" applyFill="1" applyBorder="1"/>
    <xf numFmtId="168" fontId="5" fillId="4" borderId="2" xfId="1" applyNumberFormat="1" applyFont="1" applyFill="1" applyBorder="1"/>
    <xf numFmtId="3" fontId="5" fillId="4" borderId="15" xfId="0" applyNumberFormat="1" applyFont="1" applyFill="1" applyBorder="1"/>
    <xf numFmtId="165" fontId="5" fillId="2" borderId="14" xfId="1" applyNumberFormat="1" applyFont="1" applyFill="1" applyBorder="1"/>
    <xf numFmtId="3" fontId="5" fillId="2" borderId="15" xfId="0" applyNumberFormat="1" applyFont="1" applyFill="1" applyBorder="1"/>
    <xf numFmtId="165" fontId="5" fillId="4" borderId="16" xfId="1" applyNumberFormat="1" applyFont="1" applyFill="1" applyBorder="1"/>
    <xf numFmtId="0" fontId="5" fillId="4" borderId="17" xfId="1" applyNumberFormat="1" applyFont="1" applyFill="1" applyBorder="1"/>
    <xf numFmtId="0" fontId="5" fillId="4" borderId="17" xfId="0" applyFont="1" applyFill="1" applyBorder="1"/>
    <xf numFmtId="168" fontId="5" fillId="4" borderId="17" xfId="1" applyNumberFormat="1" applyFont="1" applyFill="1" applyBorder="1"/>
    <xf numFmtId="3" fontId="5" fillId="4" borderId="11" xfId="0" applyNumberFormat="1" applyFont="1" applyFill="1" applyBorder="1"/>
    <xf numFmtId="0" fontId="9" fillId="0" borderId="0" xfId="0" applyFont="1"/>
    <xf numFmtId="0" fontId="9" fillId="0" borderId="0" xfId="0" applyFont="1" applyFill="1" applyBorder="1"/>
    <xf numFmtId="165" fontId="9" fillId="0" borderId="0" xfId="0" applyNumberFormat="1" applyFont="1" applyFill="1" applyBorder="1"/>
    <xf numFmtId="0" fontId="9" fillId="0" borderId="0" xfId="0" applyNumberFormat="1" applyFont="1" applyFill="1" applyBorder="1"/>
    <xf numFmtId="0" fontId="9" fillId="0" borderId="1" xfId="0" applyFont="1" applyFill="1" applyBorder="1"/>
    <xf numFmtId="0" fontId="9" fillId="0" borderId="1" xfId="0" applyFont="1" applyBorder="1"/>
    <xf numFmtId="165"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10" fillId="0" borderId="1" xfId="0" applyNumberFormat="1" applyFont="1" applyFill="1" applyBorder="1" applyAlignment="1">
      <alignment horizontal="center" vertical="center" wrapText="1"/>
    </xf>
    <xf numFmtId="0" fontId="11" fillId="0" borderId="1" xfId="0" applyFont="1" applyFill="1" applyBorder="1"/>
    <xf numFmtId="0" fontId="11" fillId="0" borderId="1" xfId="1" applyNumberFormat="1" applyFont="1" applyFill="1" applyBorder="1"/>
    <xf numFmtId="168" fontId="11" fillId="0" borderId="1" xfId="1" applyNumberFormat="1" applyFont="1" applyFill="1" applyBorder="1"/>
    <xf numFmtId="165" fontId="9" fillId="0" borderId="1" xfId="1" applyNumberFormat="1" applyFont="1" applyFill="1" applyBorder="1"/>
    <xf numFmtId="0" fontId="9" fillId="0" borderId="1" xfId="1" applyNumberFormat="1" applyFont="1" applyFill="1" applyBorder="1"/>
    <xf numFmtId="165" fontId="0" fillId="0" borderId="1" xfId="1" applyNumberFormat="1" applyFont="1" applyFill="1" applyBorder="1"/>
    <xf numFmtId="0" fontId="0" fillId="0" borderId="1" xfId="1" applyNumberFormat="1" applyFont="1" applyFill="1" applyBorder="1"/>
    <xf numFmtId="0" fontId="12" fillId="0" borderId="0" xfId="0" applyFont="1" applyAlignment="1">
      <alignment horizontal="right" indent="1"/>
    </xf>
    <xf numFmtId="0" fontId="12" fillId="0" borderId="0" xfId="0" applyFont="1"/>
    <xf numFmtId="16" fontId="12" fillId="0" borderId="0" xfId="0" applyNumberFormat="1" applyFont="1"/>
    <xf numFmtId="165" fontId="12" fillId="0" borderId="0" xfId="0" applyNumberFormat="1" applyFont="1"/>
    <xf numFmtId="0" fontId="14" fillId="0" borderId="0" xfId="0" applyFont="1"/>
    <xf numFmtId="0" fontId="0" fillId="0" borderId="0" xfId="0" applyBorder="1"/>
    <xf numFmtId="0" fontId="9" fillId="0" borderId="0" xfId="0" applyFont="1" applyBorder="1"/>
    <xf numFmtId="0" fontId="13" fillId="0" borderId="0" xfId="0" applyFont="1" applyAlignment="1">
      <alignment horizontal="center"/>
    </xf>
  </cellXfs>
  <cellStyles count="2">
    <cellStyle name="Milliers" xfId="1" builtinId="3"/>
    <cellStyle name="Normal" xfId="0" builtinId="0"/>
  </cellStyles>
  <dxfs count="29">
    <dxf>
      <numFmt numFmtId="1" formatCode="0"/>
      <fill>
        <patternFill patternType="none">
          <fgColor indexed="64"/>
          <bgColor indexed="65"/>
        </patternFill>
      </fill>
      <border diagonalUp="0" diagonalDown="0">
        <left style="thin">
          <color indexed="64"/>
        </left>
        <right/>
        <top style="thin">
          <color indexed="64"/>
        </top>
        <bottom style="thin">
          <color indexed="64"/>
        </bottom>
        <vertical/>
        <horizontal/>
      </border>
    </dxf>
    <dxf>
      <numFmt numFmtId="1" formatCode="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numFmt numFmtId="3" formatCode="#,##0"/>
      <border diagonalUp="0" diagonalDown="0">
        <left style="thin">
          <color theme="6"/>
        </left>
        <right/>
        <top style="thin">
          <color theme="6"/>
        </top>
        <bottom/>
        <vertical/>
        <horizontal/>
      </border>
    </dxf>
    <dxf>
      <font>
        <b val="0"/>
        <i val="0"/>
        <strike val="0"/>
        <condense val="0"/>
        <extend val="0"/>
        <outline val="0"/>
        <shadow val="0"/>
        <u val="none"/>
        <vertAlign val="baseline"/>
        <sz val="11"/>
        <color auto="1"/>
        <name val="Calibri"/>
        <scheme val="minor"/>
      </font>
      <numFmt numFmtId="3" formatCode="#,##0"/>
      <border diagonalUp="0" diagonalDown="0">
        <left style="thin">
          <color theme="6"/>
        </left>
        <right/>
        <top style="thin">
          <color theme="6"/>
        </top>
        <bottom/>
        <vertical/>
        <horizontal/>
      </border>
    </dxf>
    <dxf>
      <font>
        <b val="0"/>
        <i val="0"/>
        <strike val="0"/>
        <condense val="0"/>
        <extend val="0"/>
        <outline val="0"/>
        <shadow val="0"/>
        <u val="none"/>
        <vertAlign val="baseline"/>
        <sz val="11"/>
        <color auto="1"/>
        <name val="Calibri"/>
        <scheme val="minor"/>
      </font>
      <border diagonalUp="0" diagonalDown="0">
        <left style="thin">
          <color theme="6"/>
        </left>
        <right/>
        <top style="thin">
          <color theme="6"/>
        </top>
        <bottom/>
        <vertical/>
        <horizontal/>
      </border>
    </dxf>
    <dxf>
      <font>
        <b val="0"/>
        <i val="0"/>
        <strike val="0"/>
        <condense val="0"/>
        <extend val="0"/>
        <outline val="0"/>
        <shadow val="0"/>
        <u val="none"/>
        <vertAlign val="baseline"/>
        <sz val="11"/>
        <color auto="1"/>
        <name val="Calibri"/>
        <scheme val="minor"/>
      </font>
      <numFmt numFmtId="168" formatCode="_-* #,##0_-;\-* #,##0_-;_-* &quot;-&quot;??_-;_-@_-"/>
      <border diagonalUp="0" diagonalDown="0">
        <left style="thin">
          <color theme="6"/>
        </left>
        <right/>
        <top style="thin">
          <color theme="6"/>
        </top>
        <bottom/>
        <vertical/>
        <horizontal/>
      </border>
    </dxf>
    <dxf>
      <font>
        <b val="0"/>
        <i val="0"/>
        <strike val="0"/>
        <condense val="0"/>
        <extend val="0"/>
        <outline val="0"/>
        <shadow val="0"/>
        <u val="none"/>
        <vertAlign val="baseline"/>
        <sz val="11"/>
        <color auto="1"/>
        <name val="Calibri"/>
        <scheme val="minor"/>
      </font>
      <numFmt numFmtId="168" formatCode="_-* #,##0_-;\-* #,##0_-;_-* &quot;-&quot;??_-;_-@_-"/>
      <border diagonalUp="0" diagonalDown="0">
        <left style="thin">
          <color theme="6"/>
        </left>
        <right/>
        <top style="thin">
          <color theme="6"/>
        </top>
        <bottom/>
        <vertical/>
        <horizontal/>
      </border>
    </dxf>
    <dxf>
      <font>
        <b val="0"/>
        <i val="0"/>
        <strike val="0"/>
        <condense val="0"/>
        <extend val="0"/>
        <outline val="0"/>
        <shadow val="0"/>
        <u val="none"/>
        <vertAlign val="baseline"/>
        <sz val="11"/>
        <color auto="1"/>
        <name val="Calibri"/>
        <scheme val="minor"/>
      </font>
      <border diagonalUp="0" diagonalDown="0">
        <left style="thin">
          <color theme="6"/>
        </left>
        <right/>
        <top style="thin">
          <color theme="6"/>
        </top>
        <bottom/>
        <vertical/>
        <horizontal/>
      </border>
    </dxf>
    <dxf>
      <font>
        <b val="0"/>
        <i val="0"/>
        <strike val="0"/>
        <condense val="0"/>
        <extend val="0"/>
        <outline val="0"/>
        <shadow val="0"/>
        <u val="none"/>
        <vertAlign val="baseline"/>
        <sz val="11"/>
        <color auto="1"/>
        <name val="Calibri"/>
        <scheme val="minor"/>
      </font>
      <border diagonalUp="0" diagonalDown="0">
        <left style="thin">
          <color theme="6"/>
        </left>
        <right/>
        <top style="thin">
          <color theme="6"/>
        </top>
        <bottom/>
        <vertical/>
        <horizontal/>
      </border>
    </dxf>
    <dxf>
      <font>
        <b val="0"/>
        <i val="0"/>
        <strike val="0"/>
        <condense val="0"/>
        <extend val="0"/>
        <outline val="0"/>
        <shadow val="0"/>
        <u val="none"/>
        <vertAlign val="baseline"/>
        <sz val="11"/>
        <color auto="1"/>
        <name val="Calibri"/>
        <scheme val="minor"/>
      </font>
      <numFmt numFmtId="0" formatCode="General"/>
      <border diagonalUp="0" diagonalDown="0">
        <left style="thin">
          <color theme="6"/>
        </left>
        <right/>
        <top style="thin">
          <color theme="6"/>
        </top>
        <bottom/>
        <vertical/>
        <horizontal/>
      </border>
    </dxf>
    <dxf>
      <font>
        <b val="0"/>
        <i val="0"/>
        <strike val="0"/>
        <condense val="0"/>
        <extend val="0"/>
        <outline val="0"/>
        <shadow val="0"/>
        <u val="none"/>
        <vertAlign val="baseline"/>
        <sz val="11"/>
        <color auto="1"/>
        <name val="Calibri"/>
        <scheme val="minor"/>
      </font>
      <numFmt numFmtId="165" formatCode="dd/mm/yy"/>
      <border diagonalUp="0" diagonalDown="0">
        <left/>
        <right/>
        <top style="thin">
          <color theme="6"/>
        </top>
        <bottom/>
        <vertical/>
        <horizontal/>
      </border>
    </dxf>
    <dxf>
      <border outline="0">
        <left style="thin">
          <color theme="6"/>
        </left>
        <right style="thin">
          <color theme="6"/>
        </right>
        <top style="medium">
          <color theme="6"/>
        </top>
        <bottom style="thin">
          <color theme="6"/>
        </bottom>
      </border>
    </dxf>
    <dxf>
      <font>
        <b val="0"/>
        <i val="0"/>
        <strike val="0"/>
        <condense val="0"/>
        <extend val="0"/>
        <outline val="0"/>
        <shadow val="0"/>
        <u val="none"/>
        <vertAlign val="baseline"/>
        <sz val="10"/>
        <color auto="1"/>
        <name val="Arial"/>
        <scheme val="none"/>
      </font>
      <fill>
        <patternFill patternType="solid">
          <fgColor theme="6" tint="0.79998168889431442"/>
          <bgColor theme="6" tint="0.79998168889431442"/>
        </patternFill>
      </fill>
      <alignment horizontal="center" vertical="center" textRotation="0" wrapText="1" indent="0" justifyLastLine="0" shrinkToFit="0" readingOrder="0"/>
      <border diagonalUp="0" diagonalDown="0" outline="0">
        <left style="thin">
          <color theme="6"/>
        </left>
        <right style="thin">
          <color theme="6"/>
        </right>
        <top/>
        <bottom/>
      </border>
    </dxf>
    <dxf>
      <numFmt numFmtId="1" formatCode="0"/>
      <fill>
        <patternFill patternType="none">
          <fgColor indexed="64"/>
          <bgColor indexed="65"/>
        </patternFill>
      </fill>
      <border diagonalUp="0" diagonalDown="0">
        <left style="thin">
          <color indexed="64"/>
        </left>
        <right/>
        <top style="thin">
          <color indexed="64"/>
        </top>
        <bottom style="thin">
          <color indexed="64"/>
        </bottom>
        <vertical/>
        <horizontal/>
      </border>
    </dxf>
    <dxf>
      <numFmt numFmtId="1" formatCode="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W:\Order%20Fabric%20Controll%20File\FABRIC%20AMW%20CODE\Fabric.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Q:\Excel%20Folder%20Merchandiser\Trim%20shee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W:\Order%20Fabric%20Controll%20File\Order%20Trimsheet%20DMC\Master%20Input%20Quantity.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Order%20Fabric%20Controll%20File\Destination%20-%20Fabric%20order%20formula.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INPUT"/>
      <sheetName val="COMPARE PRICE"/>
      <sheetName val="MASTER FILE"/>
      <sheetName val="DMC-M"/>
      <sheetName val="CUSTOMERS"/>
      <sheetName val="DELIVERY NOTE"/>
      <sheetName val="DMC CODE"/>
      <sheetName val="FDS"/>
      <sheetName val="Sheet2"/>
      <sheetName val="SEARS"/>
      <sheetName val="Sheet1"/>
      <sheetName val="Sheet3"/>
      <sheetName val="Master"/>
      <sheetName val="Status"/>
      <sheetName val="F-Main"/>
      <sheetName val="F-Main-Lin"/>
      <sheetName val="F-Main-COM"/>
      <sheetName val="F-Lin-Lin"/>
      <sheetName val="F-COM-COM"/>
      <sheetName val="Contrast-Con"/>
      <sheetName val="F-Main-Main"/>
      <sheetName val="COM_COM"/>
      <sheetName val="Fabric"/>
    </sheetNames>
    <sheetDataSet>
      <sheetData sheetId="0">
        <row r="3">
          <cell r="B3" t="str">
            <v>AMW
NO.</v>
          </cell>
          <cell r="C3" t="str">
            <v>MILL 
REFERNCE NO.</v>
          </cell>
          <cell r="D3" t="str">
            <v>FABRIC KIND</v>
          </cell>
          <cell r="E3" t="str">
            <v>CONSTRUCTION</v>
          </cell>
          <cell r="F3" t="str">
            <v>COMPOSITION</v>
          </cell>
          <cell r="G3" t="str">
            <v>COMPOSITION</v>
          </cell>
          <cell r="H3" t="str">
            <v>WIDTH</v>
          </cell>
          <cell r="I3" t="str">
            <v>WEIGHT
(GSM)</v>
          </cell>
          <cell r="J3" t="str">
            <v>SOLID</v>
          </cell>
          <cell r="K3" t="str">
            <v>PRINT</v>
          </cell>
          <cell r="L3" t="str">
            <v>SOLID</v>
          </cell>
          <cell r="M3" t="str">
            <v>PRINT</v>
          </cell>
          <cell r="N3" t="str">
            <v>SOLID</v>
          </cell>
          <cell r="O3" t="str">
            <v>PRINT</v>
          </cell>
          <cell r="P3"/>
          <cell r="Q3"/>
          <cell r="R3" t="str">
            <v>SOLID</v>
          </cell>
          <cell r="S3" t="str">
            <v>PRINT</v>
          </cell>
          <cell r="T3" t="str">
            <v>ROTARY PRINT</v>
          </cell>
          <cell r="U3" t="str">
            <v>FLAT PRINT</v>
          </cell>
          <cell r="V3" t="str">
            <v>15m 
SAMPLING
AVAILABLE</v>
          </cell>
          <cell r="W3" t="str">
            <v>COMMENTS / REMAKE / NOTE</v>
          </cell>
          <cell r="X3" t="str">
            <v>SUPPLIER</v>
          </cell>
          <cell r="Y3" t="str">
            <v>WASHING STANDARD</v>
          </cell>
          <cell r="Z3" t="str">
            <v>NOTE</v>
          </cell>
          <cell r="AA3" t="str">
            <v>LEAD TIME</v>
          </cell>
          <cell r="AB3" t="str">
            <v>DATE</v>
          </cell>
          <cell r="AC3" t="str">
            <v>AMW</v>
          </cell>
        </row>
        <row r="4">
          <cell r="B4">
            <v>3765</v>
          </cell>
          <cell r="C4" t="str">
            <v>M-JZ004</v>
          </cell>
          <cell r="D4" t="str">
            <v>SATEEN JAC.</v>
          </cell>
          <cell r="E4"/>
          <cell r="F4" t="str">
            <v>V/R 62/38</v>
          </cell>
          <cell r="G4" t="str">
            <v>62% VISCOSE 38% RAYON</v>
          </cell>
          <cell r="H4" t="str">
            <v>54/55</v>
          </cell>
          <cell r="I4">
            <v>138</v>
          </cell>
          <cell r="J4">
            <v>2.9000000000000004</v>
          </cell>
          <cell r="K4">
            <v>3.1500000000000004</v>
          </cell>
          <cell r="L4">
            <v>2.9200000000000004</v>
          </cell>
          <cell r="M4">
            <v>3.1700000000000004</v>
          </cell>
          <cell r="N4">
            <v>2.95</v>
          </cell>
          <cell r="O4">
            <v>3.2</v>
          </cell>
          <cell r="P4"/>
          <cell r="Q4"/>
          <cell r="R4">
            <v>3.1000000000000005</v>
          </cell>
          <cell r="S4">
            <v>3.6000000000000005</v>
          </cell>
          <cell r="T4"/>
          <cell r="U4"/>
          <cell r="V4"/>
          <cell r="W4"/>
          <cell r="X4" t="str">
            <v>LINDA</v>
          </cell>
          <cell r="Y4"/>
          <cell r="Z4" t="str">
            <v>LINDA 3/6/19 BY WECHAT</v>
          </cell>
          <cell r="AA4"/>
          <cell r="AB4">
            <v>43619</v>
          </cell>
          <cell r="AC4">
            <v>3765</v>
          </cell>
        </row>
        <row r="5">
          <cell r="B5">
            <v>4700</v>
          </cell>
          <cell r="C5" t="str">
            <v>ZT-A-009</v>
          </cell>
          <cell r="D5" t="str">
            <v>BUBBLE CREPE same 4511</v>
          </cell>
          <cell r="E5" t="str">
            <v>75d+75d+40d*75d+75d+40d</v>
          </cell>
          <cell r="F5" t="str">
            <v>T/S 97/3</v>
          </cell>
          <cell r="G5" t="str">
            <v>97% POLYESTER 3%SPANDEX</v>
          </cell>
          <cell r="H5" t="str">
            <v>57/58</v>
          </cell>
          <cell r="I5">
            <v>125</v>
          </cell>
          <cell r="J5">
            <v>1.06</v>
          </cell>
          <cell r="K5">
            <v>1.36</v>
          </cell>
          <cell r="L5">
            <v>1.07</v>
          </cell>
          <cell r="M5">
            <v>1.47</v>
          </cell>
          <cell r="N5">
            <v>1.18</v>
          </cell>
          <cell r="O5">
            <v>1.57</v>
          </cell>
          <cell r="P5">
            <v>0.02</v>
          </cell>
          <cell r="Q5">
            <v>0.02</v>
          </cell>
          <cell r="R5">
            <v>1.3</v>
          </cell>
          <cell r="S5">
            <v>1.72</v>
          </cell>
          <cell r="T5">
            <v>1.3</v>
          </cell>
          <cell r="U5">
            <v>1.72</v>
          </cell>
          <cell r="V5"/>
          <cell r="W5" t="str">
            <v>**</v>
          </cell>
          <cell r="X5" t="str">
            <v>ALEX</v>
          </cell>
          <cell r="Y5"/>
          <cell r="Z5" t="str">
            <v>ALEX 30/5/19 BY WECHAT</v>
          </cell>
          <cell r="AA5"/>
          <cell r="AB5">
            <v>43615</v>
          </cell>
          <cell r="AC5">
            <v>4700</v>
          </cell>
        </row>
        <row r="6">
          <cell r="B6">
            <v>3125</v>
          </cell>
          <cell r="C6" t="str">
            <v>R058</v>
          </cell>
          <cell r="D6" t="str">
            <v>VISCOSE 45*45</v>
          </cell>
          <cell r="E6" t="str">
            <v>45*45</v>
          </cell>
          <cell r="F6" t="str">
            <v>R 100%</v>
          </cell>
          <cell r="G6" t="str">
            <v>100% RAYON</v>
          </cell>
          <cell r="H6" t="str">
            <v>53/54</v>
          </cell>
          <cell r="I6">
            <v>110</v>
          </cell>
          <cell r="J6">
            <v>1.35</v>
          </cell>
          <cell r="K6">
            <v>1.48</v>
          </cell>
          <cell r="L6">
            <v>1.37</v>
          </cell>
          <cell r="M6">
            <v>1.53</v>
          </cell>
          <cell r="N6">
            <v>1.42</v>
          </cell>
          <cell r="O6">
            <v>1.59</v>
          </cell>
          <cell r="P6">
            <v>1.49</v>
          </cell>
          <cell r="Q6">
            <v>2.0699999999999998</v>
          </cell>
          <cell r="R6"/>
          <cell r="S6"/>
          <cell r="T6"/>
          <cell r="U6"/>
          <cell r="V6"/>
          <cell r="W6"/>
          <cell r="X6" t="str">
            <v>TERESA</v>
          </cell>
          <cell r="Y6"/>
          <cell r="Z6" t="str">
            <v>TERESA 30/5/19 BY WECHAT</v>
          </cell>
          <cell r="AA6"/>
          <cell r="AB6">
            <v>43615</v>
          </cell>
          <cell r="AC6">
            <v>3125</v>
          </cell>
        </row>
        <row r="7">
          <cell r="B7">
            <v>4699</v>
          </cell>
          <cell r="C7" t="str">
            <v>ZL3352</v>
          </cell>
          <cell r="D7" t="str">
            <v>POLY</v>
          </cell>
          <cell r="E7" t="str">
            <v>180D*180D/150*100</v>
          </cell>
          <cell r="F7" t="str">
            <v>T100%</v>
          </cell>
          <cell r="G7" t="str">
            <v>100% POLYESTER</v>
          </cell>
          <cell r="H7" t="str">
            <v>57/8</v>
          </cell>
          <cell r="I7">
            <v>215</v>
          </cell>
          <cell r="J7">
            <v>2.65</v>
          </cell>
          <cell r="K7">
            <v>2.85</v>
          </cell>
          <cell r="L7">
            <v>2.7</v>
          </cell>
          <cell r="M7">
            <v>2.85</v>
          </cell>
          <cell r="N7">
            <v>2.75</v>
          </cell>
          <cell r="O7">
            <v>2.9</v>
          </cell>
          <cell r="P7"/>
          <cell r="Q7"/>
          <cell r="R7">
            <v>2.95</v>
          </cell>
          <cell r="S7">
            <v>3.15</v>
          </cell>
          <cell r="T7"/>
          <cell r="U7"/>
          <cell r="V7"/>
          <cell r="W7"/>
          <cell r="X7" t="str">
            <v>UYEN</v>
          </cell>
          <cell r="Y7"/>
          <cell r="Z7" t="str">
            <v>UYEN 29/5/19 BY WECHAT</v>
          </cell>
          <cell r="AA7"/>
          <cell r="AB7">
            <v>43614</v>
          </cell>
          <cell r="AC7">
            <v>4699</v>
          </cell>
        </row>
        <row r="8">
          <cell r="B8">
            <v>2326</v>
          </cell>
          <cell r="C8" t="str">
            <v>BG3423</v>
          </cell>
          <cell r="D8" t="str">
            <v>rayon</v>
          </cell>
          <cell r="E8" t="str">
            <v xml:space="preserve">60s*60s </v>
          </cell>
          <cell r="F8" t="str">
            <v>R100%</v>
          </cell>
          <cell r="G8" t="str">
            <v>100% RAYON</v>
          </cell>
          <cell r="H8" t="str">
            <v>53/54</v>
          </cell>
          <cell r="I8">
            <v>84</v>
          </cell>
          <cell r="J8">
            <v>1.75</v>
          </cell>
          <cell r="K8">
            <v>2.15</v>
          </cell>
          <cell r="L8">
            <v>1.77</v>
          </cell>
          <cell r="M8">
            <v>2.2000000000000002</v>
          </cell>
          <cell r="N8">
            <v>1.78</v>
          </cell>
          <cell r="O8">
            <v>2.25</v>
          </cell>
          <cell r="P8"/>
          <cell r="Q8"/>
          <cell r="R8">
            <v>2.1</v>
          </cell>
          <cell r="S8">
            <v>2.7</v>
          </cell>
          <cell r="T8"/>
          <cell r="U8"/>
          <cell r="V8"/>
          <cell r="W8"/>
          <cell r="X8" t="str">
            <v>EDWIN</v>
          </cell>
          <cell r="Y8" t="str">
            <v>DMCARE-TRI-01</v>
          </cell>
          <cell r="Z8" t="str">
            <v>EDWIN 28/5/19 BY WECHAT</v>
          </cell>
          <cell r="AA8"/>
          <cell r="AB8">
            <v>43613</v>
          </cell>
          <cell r="AC8">
            <v>2326</v>
          </cell>
        </row>
        <row r="9">
          <cell r="B9">
            <v>4532</v>
          </cell>
          <cell r="C9" t="str">
            <v>H1142D AF</v>
          </cell>
          <cell r="D9" t="str">
            <v>SATEEN SILKY</v>
          </cell>
          <cell r="E9" t="str">
            <v>15D+15D*50D</v>
          </cell>
          <cell r="F9" t="str">
            <v>T100%</v>
          </cell>
          <cell r="G9" t="str">
            <v>100%POLYESTER</v>
          </cell>
          <cell r="H9" t="str">
            <v>57/58</v>
          </cell>
          <cell r="I9">
            <v>91</v>
          </cell>
          <cell r="J9">
            <v>1.62</v>
          </cell>
          <cell r="K9">
            <v>1.96</v>
          </cell>
          <cell r="L9">
            <v>1.65</v>
          </cell>
          <cell r="M9">
            <v>1.99</v>
          </cell>
          <cell r="N9">
            <v>1.67</v>
          </cell>
          <cell r="O9">
            <v>2.0099999999999998</v>
          </cell>
          <cell r="P9"/>
          <cell r="Q9"/>
          <cell r="R9">
            <v>1.72</v>
          </cell>
          <cell r="S9">
            <v>2.06</v>
          </cell>
          <cell r="T9"/>
          <cell r="U9"/>
          <cell r="V9">
            <v>15</v>
          </cell>
          <cell r="W9" t="str">
            <v>PRINT DON'T HAVE AIR FLOW EFFECT</v>
          </cell>
          <cell r="X9" t="str">
            <v>HAOMAIER (S)</v>
          </cell>
          <cell r="Y9" t="str">
            <v>MACHINE WASH WARM</v>
          </cell>
          <cell r="Z9" t="str">
            <v>FIONA 28/5/19 by wechat</v>
          </cell>
          <cell r="AA9"/>
          <cell r="AB9">
            <v>43613</v>
          </cell>
          <cell r="AC9">
            <v>4532</v>
          </cell>
        </row>
        <row r="10">
          <cell r="B10">
            <v>4594</v>
          </cell>
          <cell r="C10" t="str">
            <v xml:space="preserve">SJ8031 </v>
          </cell>
          <cell r="D10" t="str">
            <v>LIGHT SATEEN</v>
          </cell>
          <cell r="E10" t="str">
            <v xml:space="preserve">50D*50D+20D </v>
          </cell>
          <cell r="F10" t="str">
            <v>T/S 96/4</v>
          </cell>
          <cell r="G10" t="str">
            <v>96% POLYESTER 4% SPANDEX</v>
          </cell>
          <cell r="H10" t="str">
            <v>56/57</v>
          </cell>
          <cell r="I10">
            <v>95</v>
          </cell>
          <cell r="J10" t="str">
            <v xml:space="preserve">$1.75
</v>
          </cell>
          <cell r="K10">
            <v>1.88</v>
          </cell>
          <cell r="L10" t="str">
            <v xml:space="preserve">$1.75
</v>
          </cell>
          <cell r="M10">
            <v>1.88</v>
          </cell>
          <cell r="N10" t="str">
            <v xml:space="preserve">$1.75
</v>
          </cell>
          <cell r="O10">
            <v>1.88</v>
          </cell>
          <cell r="P10"/>
          <cell r="Q10"/>
          <cell r="R10" t="str">
            <v xml:space="preserve">$1.95
</v>
          </cell>
          <cell r="S10">
            <v>3.08</v>
          </cell>
          <cell r="T10"/>
          <cell r="U10"/>
          <cell r="V10"/>
          <cell r="W10"/>
          <cell r="X10" t="str">
            <v>GLORIA</v>
          </cell>
          <cell r="Y10"/>
          <cell r="Z10" t="str">
            <v>GLORIA 28/5/19 BY  WECHAT</v>
          </cell>
          <cell r="AA10"/>
          <cell r="AB10">
            <v>43613</v>
          </cell>
          <cell r="AC10">
            <v>4594</v>
          </cell>
        </row>
        <row r="11">
          <cell r="B11">
            <v>4486</v>
          </cell>
          <cell r="C11" t="str">
            <v>OLP-SP00437</v>
          </cell>
          <cell r="D11" t="str">
            <v>SATEEN</v>
          </cell>
          <cell r="E11" t="str">
            <v>50+50*2</v>
          </cell>
          <cell r="F11" t="str">
            <v>T100%</v>
          </cell>
          <cell r="G11" t="str">
            <v>100%POLYESTER</v>
          </cell>
          <cell r="H11" t="str">
            <v>57/58</v>
          </cell>
          <cell r="I11">
            <v>180</v>
          </cell>
          <cell r="J11">
            <v>1.93</v>
          </cell>
          <cell r="K11">
            <v>2.46</v>
          </cell>
          <cell r="L11">
            <v>1.97</v>
          </cell>
          <cell r="M11">
            <v>2.5099999999999998</v>
          </cell>
          <cell r="N11">
            <v>2.0299999999999998</v>
          </cell>
          <cell r="O11">
            <v>2.59</v>
          </cell>
          <cell r="P11">
            <v>2.1800000000000002</v>
          </cell>
          <cell r="Q11">
            <v>2.96</v>
          </cell>
          <cell r="R11">
            <v>2.1800000000000002</v>
          </cell>
          <cell r="S11">
            <v>2.96</v>
          </cell>
          <cell r="T11"/>
          <cell r="U11"/>
          <cell r="V11">
            <v>15</v>
          </cell>
          <cell r="W11"/>
          <cell r="X11" t="str">
            <v>OWEN</v>
          </cell>
          <cell r="Y11" t="str">
            <v>DMCARE-TRI-03</v>
          </cell>
          <cell r="Z11" t="str">
            <v>JOAN 28/5/19 by wechat</v>
          </cell>
          <cell r="AA11"/>
          <cell r="AB11">
            <v>43613</v>
          </cell>
          <cell r="AC11">
            <v>4356</v>
          </cell>
        </row>
        <row r="12">
          <cell r="B12">
            <v>4695</v>
          </cell>
          <cell r="C12" t="str">
            <v>ZT-A-001</v>
          </cell>
          <cell r="D12" t="str">
            <v>CREPE - SAME 1895</v>
          </cell>
          <cell r="E12" t="str">
            <v>75D*75D</v>
          </cell>
          <cell r="F12" t="str">
            <v>T100%</v>
          </cell>
          <cell r="G12" t="str">
            <v>100% POLYESTER</v>
          </cell>
          <cell r="H12" t="str">
            <v>57/58</v>
          </cell>
          <cell r="I12" t="str">
            <v>120-125</v>
          </cell>
          <cell r="J12">
            <v>0.99</v>
          </cell>
          <cell r="K12">
            <v>1.19</v>
          </cell>
          <cell r="L12">
            <v>1.04</v>
          </cell>
          <cell r="M12">
            <v>1.24</v>
          </cell>
          <cell r="N12">
            <v>1.0900000000000001</v>
          </cell>
          <cell r="O12">
            <v>1.29</v>
          </cell>
          <cell r="P12">
            <v>0.03</v>
          </cell>
          <cell r="Q12">
            <v>0.03</v>
          </cell>
          <cell r="R12">
            <v>1.24</v>
          </cell>
          <cell r="S12" t="str">
            <v>can not</v>
          </cell>
          <cell r="T12"/>
          <cell r="U12"/>
          <cell r="V12"/>
          <cell r="W12" t="str">
            <v>**</v>
          </cell>
          <cell r="X12" t="str">
            <v>ALEX</v>
          </cell>
          <cell r="Y12"/>
          <cell r="Z12" t="str">
            <v>ALEX 28/5/19 BY WECHAT</v>
          </cell>
          <cell r="AA12"/>
          <cell r="AB12">
            <v>43613</v>
          </cell>
          <cell r="AC12">
            <v>4695</v>
          </cell>
        </row>
        <row r="13">
          <cell r="B13">
            <v>4698</v>
          </cell>
          <cell r="C13" t="str">
            <v>R055</v>
          </cell>
          <cell r="D13" t="str">
            <v>SLUB JAC VISCOSE</v>
          </cell>
          <cell r="E13" t="str">
            <v>60S*60S SLUB</v>
          </cell>
          <cell r="F13" t="str">
            <v>100%R</v>
          </cell>
          <cell r="G13" t="str">
            <v>100% Rayon</v>
          </cell>
          <cell r="H13" t="str">
            <v>54/55"</v>
          </cell>
          <cell r="I13">
            <v>98</v>
          </cell>
          <cell r="J13">
            <v>1.49</v>
          </cell>
          <cell r="K13">
            <v>1.72</v>
          </cell>
          <cell r="L13">
            <v>1.51</v>
          </cell>
          <cell r="M13">
            <v>1.76</v>
          </cell>
          <cell r="N13">
            <v>1.55</v>
          </cell>
          <cell r="O13">
            <v>1.81</v>
          </cell>
          <cell r="P13"/>
          <cell r="Q13"/>
          <cell r="R13">
            <v>1.65</v>
          </cell>
          <cell r="S13">
            <v>2.35</v>
          </cell>
          <cell r="T13"/>
          <cell r="U13" t="str">
            <v>YES</v>
          </cell>
          <cell r="V13" t="str">
            <v>YES</v>
          </cell>
          <cell r="W13"/>
          <cell r="X13" t="str">
            <v>TERESA</v>
          </cell>
          <cell r="Y13" t="str">
            <v>DMCARE-TRI-02</v>
          </cell>
          <cell r="Z13" t="str">
            <v>TERESA  27/05 BY WECHAT</v>
          </cell>
          <cell r="AA13"/>
          <cell r="AB13">
            <v>43612</v>
          </cell>
          <cell r="AC13">
            <v>4698</v>
          </cell>
        </row>
        <row r="14">
          <cell r="B14">
            <v>4539</v>
          </cell>
          <cell r="C14" t="str">
            <v>BG4167</v>
          </cell>
          <cell r="D14" t="str">
            <v>YTI</v>
          </cell>
          <cell r="E14"/>
          <cell r="F14" t="str">
            <v>T/S 95/5</v>
          </cell>
          <cell r="G14" t="str">
            <v>95%POLYESTER  5%SPANDEX</v>
          </cell>
          <cell r="H14" t="str">
            <v>58/60</v>
          </cell>
          <cell r="I14">
            <v>170</v>
          </cell>
          <cell r="J14">
            <v>1.28</v>
          </cell>
          <cell r="K14">
            <v>1.55</v>
          </cell>
          <cell r="L14">
            <v>1.35</v>
          </cell>
          <cell r="M14">
            <v>1.63</v>
          </cell>
          <cell r="N14">
            <v>1.37</v>
          </cell>
          <cell r="O14">
            <v>1.68</v>
          </cell>
          <cell r="P14"/>
          <cell r="Q14"/>
          <cell r="R14">
            <v>1.6</v>
          </cell>
          <cell r="S14">
            <v>2.1</v>
          </cell>
          <cell r="T14"/>
          <cell r="U14"/>
          <cell r="V14"/>
          <cell r="W14"/>
          <cell r="X14" t="str">
            <v>EDWIN</v>
          </cell>
          <cell r="Y14" t="str">
            <v>DMCARE-TRI-02</v>
          </cell>
          <cell r="Z14" t="str">
            <v>EDWIN 24/5/19 BY WECHAT</v>
          </cell>
          <cell r="AA14"/>
          <cell r="AB14">
            <v>43609</v>
          </cell>
          <cell r="AC14">
            <v>4539</v>
          </cell>
        </row>
        <row r="15">
          <cell r="B15">
            <v>1756</v>
          </cell>
          <cell r="C15" t="str">
            <v>OLP-16040605</v>
          </cell>
          <cell r="D15" t="str">
            <v>LACE</v>
          </cell>
          <cell r="E15"/>
          <cell r="F15" t="str">
            <v>92% NYLON 8% SPANDEX</v>
          </cell>
          <cell r="G15" t="str">
            <v>92%NYLON 8%SPANDEX</v>
          </cell>
          <cell r="H15" t="str">
            <v>150cm</v>
          </cell>
          <cell r="I15">
            <v>148</v>
          </cell>
          <cell r="J15">
            <v>1.95</v>
          </cell>
          <cell r="K15"/>
          <cell r="L15">
            <v>2.1</v>
          </cell>
          <cell r="M15"/>
          <cell r="N15">
            <v>2.1800000000000002</v>
          </cell>
          <cell r="O15"/>
          <cell r="P15"/>
          <cell r="Q15"/>
          <cell r="R15">
            <v>2.35</v>
          </cell>
          <cell r="S15"/>
          <cell r="T15"/>
          <cell r="U15"/>
          <cell r="V15"/>
          <cell r="W15"/>
          <cell r="X15" t="str">
            <v>OWEN</v>
          </cell>
          <cell r="Y15"/>
          <cell r="Z15" t="str">
            <v>JOAN 24/5/19 BY WECHAT</v>
          </cell>
          <cell r="AA15"/>
          <cell r="AB15">
            <v>43609</v>
          </cell>
          <cell r="AC15">
            <v>1756</v>
          </cell>
        </row>
        <row r="16">
          <cell r="B16">
            <v>4696</v>
          </cell>
          <cell r="C16" t="str">
            <v>HP-K-15</v>
          </cell>
          <cell r="D16" t="str">
            <v>JERSEY</v>
          </cell>
          <cell r="E16"/>
          <cell r="F16"/>
          <cell r="G16" t="str">
            <v>95% POLYESTER 5% SPANDEX</v>
          </cell>
          <cell r="H16" t="str">
            <v>60/62"</v>
          </cell>
          <cell r="I16">
            <v>182</v>
          </cell>
          <cell r="J16">
            <v>1.5</v>
          </cell>
          <cell r="K16">
            <v>2.0299999999999998</v>
          </cell>
          <cell r="L16">
            <v>1.6</v>
          </cell>
          <cell r="M16">
            <v>2.15</v>
          </cell>
          <cell r="N16">
            <v>1.75</v>
          </cell>
          <cell r="O16">
            <v>2.27</v>
          </cell>
          <cell r="P16">
            <v>1.85</v>
          </cell>
          <cell r="Q16"/>
          <cell r="R16"/>
          <cell r="S16"/>
          <cell r="T16"/>
          <cell r="U16"/>
          <cell r="V16"/>
          <cell r="W16"/>
          <cell r="X16" t="str">
            <v>UYEN</v>
          </cell>
          <cell r="Y16"/>
          <cell r="Z16" t="str">
            <v>UYEN 24/5/19</v>
          </cell>
          <cell r="AA16"/>
          <cell r="AB16">
            <v>43609</v>
          </cell>
          <cell r="AC16">
            <v>4696</v>
          </cell>
        </row>
        <row r="17">
          <cell r="B17">
            <v>4545</v>
          </cell>
          <cell r="C17" t="str">
            <v>ZT-A-006</v>
          </cell>
          <cell r="D17" t="str">
            <v>SOFT POLY</v>
          </cell>
          <cell r="E17" t="str">
            <v>50D+50D*150D</v>
          </cell>
          <cell r="F17" t="str">
            <v>T100%</v>
          </cell>
          <cell r="G17" t="str">
            <v>100% POLYESTER</v>
          </cell>
          <cell r="H17" t="str">
            <v>57/58</v>
          </cell>
          <cell r="I17" t="str">
            <v>140</v>
          </cell>
          <cell r="J17">
            <v>1.23</v>
          </cell>
          <cell r="K17">
            <v>1.44</v>
          </cell>
          <cell r="L17">
            <v>1.26</v>
          </cell>
          <cell r="M17">
            <v>1.46</v>
          </cell>
          <cell r="N17">
            <v>1.34</v>
          </cell>
          <cell r="O17">
            <v>1.58</v>
          </cell>
          <cell r="P17"/>
          <cell r="Q17"/>
          <cell r="R17">
            <v>1.45</v>
          </cell>
          <cell r="S17">
            <v>2.0499999999999998</v>
          </cell>
          <cell r="T17">
            <v>1.45</v>
          </cell>
          <cell r="U17">
            <v>2.0499999999999998</v>
          </cell>
          <cell r="V17"/>
          <cell r="W17"/>
          <cell r="X17" t="str">
            <v>ALEX</v>
          </cell>
          <cell r="Y17"/>
          <cell r="Z17" t="str">
            <v>ALEX 24/5/19 BY WECHAT</v>
          </cell>
          <cell r="AA17"/>
          <cell r="AB17">
            <v>43609</v>
          </cell>
          <cell r="AC17">
            <v>4545</v>
          </cell>
        </row>
        <row r="18">
          <cell r="B18">
            <v>4697</v>
          </cell>
          <cell r="C18" t="str">
            <v>YB858</v>
          </cell>
          <cell r="D18" t="str">
            <v>HEAVE CREPE</v>
          </cell>
          <cell r="E18" t="str">
            <v>50D+68D*50D+68D</v>
          </cell>
          <cell r="F18" t="str">
            <v>T100%</v>
          </cell>
          <cell r="G18" t="str">
            <v>100% POLYESTER</v>
          </cell>
          <cell r="H18" t="str">
            <v>57/58</v>
          </cell>
          <cell r="I18" t="str">
            <v>180</v>
          </cell>
          <cell r="J18">
            <v>1.43</v>
          </cell>
          <cell r="K18">
            <v>1.63</v>
          </cell>
          <cell r="L18">
            <v>1.48</v>
          </cell>
          <cell r="M18">
            <v>1.73</v>
          </cell>
          <cell r="N18">
            <v>1.6</v>
          </cell>
          <cell r="O18">
            <v>1.9</v>
          </cell>
          <cell r="P18"/>
          <cell r="Q18"/>
          <cell r="R18">
            <v>1.8</v>
          </cell>
          <cell r="S18">
            <v>2.5</v>
          </cell>
          <cell r="T18">
            <v>1.8</v>
          </cell>
          <cell r="U18">
            <v>2.5</v>
          </cell>
          <cell r="V18"/>
          <cell r="W18"/>
          <cell r="X18" t="str">
            <v>ALEX</v>
          </cell>
          <cell r="Y18"/>
          <cell r="Z18" t="str">
            <v>ALEX 24/5/19 BY WECHAT</v>
          </cell>
          <cell r="AA18"/>
          <cell r="AB18">
            <v>43609</v>
          </cell>
          <cell r="AC18">
            <v>4697</v>
          </cell>
        </row>
        <row r="19">
          <cell r="B19" t="str">
            <v>4511S</v>
          </cell>
          <cell r="C19" t="str">
            <v>BG4105 (S)</v>
          </cell>
          <cell r="D19" t="str">
            <v>BUBBLE CREPE ( same 4511 but for Sears only )</v>
          </cell>
          <cell r="E19"/>
          <cell r="F19" t="str">
            <v>T/S 97/3</v>
          </cell>
          <cell r="G19" t="str">
            <v xml:space="preserve">97% POLYESTER  3% SPANDEX </v>
          </cell>
          <cell r="H19" t="str">
            <v>57/58</v>
          </cell>
          <cell r="I19">
            <v>121</v>
          </cell>
          <cell r="J19" t="str">
            <v>1.22</v>
          </cell>
          <cell r="K19" t="str">
            <v>$1.46</v>
          </cell>
          <cell r="L19" t="str">
            <v>$1.22</v>
          </cell>
          <cell r="M19" t="str">
            <v>$1.50</v>
          </cell>
          <cell r="N19" t="str">
            <v>$1.22</v>
          </cell>
          <cell r="O19" t="str">
            <v>$1.54</v>
          </cell>
          <cell r="P19"/>
          <cell r="Q19"/>
          <cell r="R19" t="str">
            <v>$1.37</v>
          </cell>
          <cell r="S19" t="str">
            <v>$1.90</v>
          </cell>
          <cell r="T19"/>
          <cell r="U19"/>
          <cell r="V19">
            <v>15</v>
          </cell>
          <cell r="W19"/>
          <cell r="X19" t="str">
            <v>EDWIN</v>
          </cell>
          <cell r="Y19" t="str">
            <v>DMCARE-TRI-02</v>
          </cell>
          <cell r="Z19" t="str">
            <v>EDWIN 22/5/19 by wechat</v>
          </cell>
          <cell r="AA19"/>
          <cell r="AB19">
            <v>43607</v>
          </cell>
          <cell r="AC19" t="str">
            <v>4511S</v>
          </cell>
        </row>
        <row r="20">
          <cell r="B20">
            <v>4189</v>
          </cell>
          <cell r="C20" t="str">
            <v>M-2015054</v>
          </cell>
          <cell r="D20" t="str">
            <v>wool crepe</v>
          </cell>
          <cell r="E20" t="str">
            <v>68d+50d*68D+50D</v>
          </cell>
          <cell r="F20" t="str">
            <v>T100%</v>
          </cell>
          <cell r="G20" t="str">
            <v>100% POLYESTER</v>
          </cell>
          <cell r="H20">
            <v>150</v>
          </cell>
          <cell r="I20">
            <v>150</v>
          </cell>
          <cell r="J20">
            <v>1.17</v>
          </cell>
          <cell r="K20">
            <v>1.37</v>
          </cell>
          <cell r="L20">
            <v>1.2</v>
          </cell>
          <cell r="M20">
            <v>1.45</v>
          </cell>
          <cell r="N20">
            <v>1.25</v>
          </cell>
          <cell r="O20">
            <v>1.5</v>
          </cell>
          <cell r="P20"/>
          <cell r="Q20"/>
          <cell r="R20">
            <v>1.8</v>
          </cell>
          <cell r="S20">
            <v>2</v>
          </cell>
          <cell r="T20"/>
          <cell r="U20"/>
          <cell r="V20"/>
          <cell r="W20"/>
          <cell r="X20" t="str">
            <v>LINDA</v>
          </cell>
          <cell r="Y20"/>
          <cell r="Z20" t="str">
            <v>LINDA 21/5/19</v>
          </cell>
          <cell r="AA20"/>
          <cell r="AB20">
            <v>43606</v>
          </cell>
          <cell r="AC20">
            <v>4189</v>
          </cell>
        </row>
        <row r="21">
          <cell r="B21">
            <v>4466</v>
          </cell>
          <cell r="C21" t="str">
            <v>CT1209023</v>
          </cell>
          <cell r="D21" t="str">
            <v>CREPE ( SAME AS 1895 )</v>
          </cell>
          <cell r="E21"/>
          <cell r="F21" t="str">
            <v>T100%</v>
          </cell>
          <cell r="G21" t="str">
            <v>100% POLYESTER</v>
          </cell>
          <cell r="H21" t="str">
            <v>57/58</v>
          </cell>
          <cell r="I21">
            <v>120</v>
          </cell>
          <cell r="J21">
            <v>1.1499999999999999</v>
          </cell>
          <cell r="K21">
            <v>1.38</v>
          </cell>
          <cell r="L21">
            <v>1.1499999999999999</v>
          </cell>
          <cell r="M21">
            <v>1.38</v>
          </cell>
          <cell r="N21">
            <v>1.1499999999999999</v>
          </cell>
          <cell r="O21">
            <v>1.38</v>
          </cell>
          <cell r="P21"/>
          <cell r="Q21"/>
          <cell r="R21">
            <v>1.32</v>
          </cell>
          <cell r="S21">
            <v>1.75</v>
          </cell>
          <cell r="T21"/>
          <cell r="U21"/>
          <cell r="V21" t="str">
            <v>15</v>
          </cell>
          <cell r="W21"/>
          <cell r="X21" t="str">
            <v>BONNIE</v>
          </cell>
          <cell r="Y21"/>
          <cell r="Z21" t="str">
            <v>BONNIE 20/5/2019 by wechat</v>
          </cell>
          <cell r="AA21"/>
          <cell r="AB21">
            <v>43605</v>
          </cell>
          <cell r="AC21">
            <v>4466</v>
          </cell>
        </row>
        <row r="22">
          <cell r="B22">
            <v>4693</v>
          </cell>
          <cell r="C22" t="str">
            <v>XH-3119</v>
          </cell>
          <cell r="D22" t="str">
            <v>Y/D T/C</v>
          </cell>
          <cell r="E22"/>
          <cell r="F22" t="str">
            <v>T/C 65/35</v>
          </cell>
          <cell r="G22" t="str">
            <v>65%POLYESTER35%COTTON</v>
          </cell>
          <cell r="H22" t="str">
            <v>58/60</v>
          </cell>
          <cell r="I22">
            <v>137</v>
          </cell>
          <cell r="J22">
            <v>1.55</v>
          </cell>
          <cell r="K22"/>
          <cell r="L22">
            <v>1.55</v>
          </cell>
          <cell r="M22"/>
          <cell r="N22">
            <v>1.55</v>
          </cell>
          <cell r="O22"/>
          <cell r="P22"/>
          <cell r="Q22"/>
          <cell r="R22"/>
          <cell r="S22"/>
          <cell r="T22"/>
          <cell r="U22"/>
          <cell r="V22"/>
          <cell r="W22"/>
          <cell r="X22" t="str">
            <v>ALICE</v>
          </cell>
          <cell r="Y22"/>
          <cell r="Z22" t="str">
            <v>SALLY 6/5/19 BY WECHAT</v>
          </cell>
          <cell r="AA22"/>
          <cell r="AB22">
            <v>43591</v>
          </cell>
          <cell r="AC22">
            <v>4693</v>
          </cell>
        </row>
        <row r="23">
          <cell r="B23">
            <v>2914</v>
          </cell>
          <cell r="C23" t="str">
            <v>GL1699(RING - SPUN)</v>
          </cell>
          <cell r="D23" t="str">
            <v xml:space="preserve">JERSEY </v>
          </cell>
          <cell r="E23"/>
          <cell r="F23" t="str">
            <v>V/S 95/5</v>
          </cell>
          <cell r="G23" t="str">
            <v xml:space="preserve">95% VISCOSE  5%SPANDEX </v>
          </cell>
          <cell r="H23" t="str">
            <v>165CM</v>
          </cell>
          <cell r="I23">
            <v>180</v>
          </cell>
          <cell r="J23">
            <v>1.47</v>
          </cell>
          <cell r="K23"/>
          <cell r="L23">
            <v>1.49</v>
          </cell>
          <cell r="M23"/>
          <cell r="N23">
            <v>1.5</v>
          </cell>
          <cell r="O23"/>
          <cell r="P23"/>
          <cell r="Q23"/>
          <cell r="R23">
            <v>2.1</v>
          </cell>
          <cell r="S23"/>
          <cell r="T23"/>
          <cell r="U23"/>
          <cell r="V23"/>
          <cell r="W23" t="str">
            <v>MOQ： 1500mts.    If the quantity is less than 1500 mts, please offer detailed quantity t o get the offer.With an extra fee of small quantity deying--$75</v>
          </cell>
          <cell r="X23" t="str">
            <v>NICKY</v>
          </cell>
          <cell r="Y23" t="str">
            <v>DMCARE-TRI-01</v>
          </cell>
          <cell r="Z23" t="str">
            <v>Nicky 6/5/19</v>
          </cell>
          <cell r="AA23"/>
          <cell r="AB23">
            <v>43591</v>
          </cell>
          <cell r="AC23">
            <v>4682</v>
          </cell>
        </row>
        <row r="24">
          <cell r="B24">
            <v>2256</v>
          </cell>
          <cell r="C24" t="str">
            <v>HLT1139</v>
          </cell>
          <cell r="D24" t="str">
            <v>TAILORING - POLY TWILL</v>
          </cell>
          <cell r="E24"/>
          <cell r="F24" t="str">
            <v>T/R/S 63/32/5</v>
          </cell>
          <cell r="G24" t="str">
            <v>63% POLYESTER 32% RAYON 5% SPAN</v>
          </cell>
          <cell r="H24" t="str">
            <v>57/58</v>
          </cell>
          <cell r="I24">
            <v>220</v>
          </cell>
          <cell r="J24">
            <v>2.2999999999999998</v>
          </cell>
          <cell r="K24"/>
          <cell r="L24">
            <v>2.2999999999999998</v>
          </cell>
          <cell r="M24"/>
          <cell r="N24">
            <v>2.4</v>
          </cell>
          <cell r="O24"/>
          <cell r="P24"/>
          <cell r="Q24"/>
          <cell r="R24">
            <v>2.6</v>
          </cell>
          <cell r="S24"/>
          <cell r="T24"/>
          <cell r="U24"/>
          <cell r="V24"/>
          <cell r="W24"/>
          <cell r="X24" t="str">
            <v>CANDY</v>
          </cell>
          <cell r="Y24"/>
          <cell r="Z24" t="str">
            <v>LEI WANG 6/5/19</v>
          </cell>
          <cell r="AA24"/>
          <cell r="AB24">
            <v>43591</v>
          </cell>
          <cell r="AC24">
            <v>2256</v>
          </cell>
        </row>
        <row r="25">
          <cell r="B25">
            <v>4692</v>
          </cell>
          <cell r="C25" t="str">
            <v>CT130409</v>
          </cell>
          <cell r="D25" t="str">
            <v>JACQUARD POLY</v>
          </cell>
          <cell r="E25"/>
          <cell r="F25" t="str">
            <v>T100%</v>
          </cell>
          <cell r="G25" t="str">
            <v>100% POLYESTER</v>
          </cell>
          <cell r="H25" t="str">
            <v>57/58</v>
          </cell>
          <cell r="I25">
            <v>78</v>
          </cell>
          <cell r="J25">
            <v>1.25</v>
          </cell>
          <cell r="K25">
            <v>1.55</v>
          </cell>
          <cell r="L25">
            <v>1.25</v>
          </cell>
          <cell r="M25">
            <v>1.55</v>
          </cell>
          <cell r="N25">
            <v>1.25</v>
          </cell>
          <cell r="O25">
            <v>1.55</v>
          </cell>
          <cell r="P25"/>
          <cell r="Q25"/>
          <cell r="R25">
            <v>1.4</v>
          </cell>
          <cell r="S25">
            <v>1.9</v>
          </cell>
          <cell r="T25"/>
          <cell r="U25"/>
          <cell r="V25"/>
          <cell r="W25"/>
          <cell r="X25" t="str">
            <v>BONNIE</v>
          </cell>
          <cell r="Y25"/>
          <cell r="Z25" t="str">
            <v>BONNIE 3/5/19</v>
          </cell>
          <cell r="AA25"/>
          <cell r="AB25">
            <v>43588</v>
          </cell>
          <cell r="AC25">
            <v>4692</v>
          </cell>
        </row>
        <row r="26">
          <cell r="B26">
            <v>4691</v>
          </cell>
          <cell r="C26" t="str">
            <v>CT130801</v>
          </cell>
          <cell r="D26" t="str">
            <v>SATEEN DULL - JAC</v>
          </cell>
          <cell r="E26"/>
          <cell r="F26" t="str">
            <v>T100%</v>
          </cell>
          <cell r="G26" t="str">
            <v>100% POLYESTER</v>
          </cell>
          <cell r="H26" t="str">
            <v>57/58</v>
          </cell>
          <cell r="I26">
            <v>90</v>
          </cell>
          <cell r="J26">
            <v>1.68</v>
          </cell>
          <cell r="K26">
            <v>1.98</v>
          </cell>
          <cell r="L26">
            <v>1.68</v>
          </cell>
          <cell r="M26">
            <v>1.98</v>
          </cell>
          <cell r="N26">
            <v>1.68</v>
          </cell>
          <cell r="O26">
            <v>1.98</v>
          </cell>
          <cell r="P26"/>
          <cell r="Q26"/>
          <cell r="R26">
            <v>1.83</v>
          </cell>
          <cell r="S26">
            <v>2.33</v>
          </cell>
          <cell r="T26"/>
          <cell r="U26"/>
          <cell r="V26"/>
          <cell r="W26"/>
          <cell r="X26" t="str">
            <v>BONNIE</v>
          </cell>
          <cell r="Y26"/>
          <cell r="Z26" t="str">
            <v>BONNIE 3/5/19</v>
          </cell>
          <cell r="AA26"/>
          <cell r="AB26">
            <v>43588</v>
          </cell>
          <cell r="AC26">
            <v>4691</v>
          </cell>
        </row>
        <row r="27">
          <cell r="B27">
            <v>3179</v>
          </cell>
          <cell r="C27" t="str">
            <v>OLP-1733108RBE</v>
          </cell>
          <cell r="D27"/>
          <cell r="E27"/>
          <cell r="F27" t="str">
            <v>T/S 94/6</v>
          </cell>
          <cell r="G27" t="str">
            <v>98% POLYESTER 2% SPANDEX</v>
          </cell>
          <cell r="H27" t="str">
            <v>57/58</v>
          </cell>
          <cell r="I27">
            <v>230</v>
          </cell>
          <cell r="J27">
            <v>2.13</v>
          </cell>
          <cell r="K27">
            <v>2.42</v>
          </cell>
          <cell r="L27">
            <v>2.1800000000000002</v>
          </cell>
          <cell r="M27">
            <v>2.5</v>
          </cell>
          <cell r="N27">
            <v>2.2799999999999998</v>
          </cell>
          <cell r="O27">
            <v>2.64</v>
          </cell>
          <cell r="P27" t="e">
            <v>#REF!</v>
          </cell>
          <cell r="Q27" t="e">
            <v>#REF!</v>
          </cell>
          <cell r="R27">
            <v>2.44</v>
          </cell>
          <cell r="S27">
            <v>3.21</v>
          </cell>
          <cell r="T27"/>
          <cell r="U27"/>
          <cell r="V27">
            <v>15</v>
          </cell>
          <cell r="W27"/>
          <cell r="X27" t="str">
            <v>OWEN</v>
          </cell>
          <cell r="Y27" t="str">
            <v>DMCARE-TRI-03</v>
          </cell>
          <cell r="Z27" t="str">
            <v>JOAN 3/5/19 by wechat</v>
          </cell>
          <cell r="AA27"/>
          <cell r="AB27">
            <v>43588</v>
          </cell>
          <cell r="AC27">
            <v>4408</v>
          </cell>
        </row>
        <row r="28">
          <cell r="B28">
            <v>1992</v>
          </cell>
          <cell r="C28" t="str">
            <v>GL1361</v>
          </cell>
          <cell r="D28" t="str">
            <v>PONTE</v>
          </cell>
          <cell r="E28"/>
          <cell r="F28" t="str">
            <v>T/R/S 75/20/5</v>
          </cell>
          <cell r="G28" t="str">
            <v>75% POLYESTER 20% RAYON 5% SPANDEX</v>
          </cell>
          <cell r="H28" t="str">
            <v>59/60</v>
          </cell>
          <cell r="I28">
            <v>320</v>
          </cell>
          <cell r="J28">
            <v>2.38</v>
          </cell>
          <cell r="K28">
            <v>3.03</v>
          </cell>
          <cell r="L28">
            <v>2.41</v>
          </cell>
          <cell r="M28">
            <v>3.12</v>
          </cell>
          <cell r="N28">
            <v>2.4300000000000002</v>
          </cell>
          <cell r="O28">
            <v>3.24</v>
          </cell>
          <cell r="P28"/>
          <cell r="Q28"/>
          <cell r="R28">
            <v>2.5</v>
          </cell>
          <cell r="S28">
            <v>3.5</v>
          </cell>
          <cell r="T28"/>
          <cell r="U28"/>
          <cell r="V28">
            <v>15</v>
          </cell>
          <cell r="W28"/>
          <cell r="X28" t="str">
            <v>NICKY</v>
          </cell>
          <cell r="Y28"/>
          <cell r="Z28" t="str">
            <v>NICKY 3/5/19 BY WECHAT</v>
          </cell>
          <cell r="AA28"/>
          <cell r="AB28">
            <v>43588</v>
          </cell>
          <cell r="AC28">
            <v>1992</v>
          </cell>
        </row>
        <row r="29">
          <cell r="B29">
            <v>4690</v>
          </cell>
          <cell r="C29" t="str">
            <v>BG4212</v>
          </cell>
          <cell r="D29" t="str">
            <v>Y/D POLY WITH BUBBLE</v>
          </cell>
          <cell r="E29" t="str">
            <v>(100D+150D)*(45S+100D)</v>
          </cell>
          <cell r="F29" t="str">
            <v>T100%</v>
          </cell>
          <cell r="G29" t="str">
            <v>100%POLYESTER</v>
          </cell>
          <cell r="H29" t="str">
            <v>57/58</v>
          </cell>
          <cell r="I29">
            <v>92</v>
          </cell>
          <cell r="J29">
            <v>1.08</v>
          </cell>
          <cell r="K29"/>
          <cell r="L29">
            <v>1.1000000000000001</v>
          </cell>
          <cell r="M29"/>
          <cell r="N29">
            <v>1.1000000000000001</v>
          </cell>
          <cell r="O29"/>
          <cell r="P29"/>
          <cell r="Q29"/>
          <cell r="R29">
            <v>1.3</v>
          </cell>
          <cell r="S29"/>
          <cell r="T29"/>
          <cell r="U29"/>
          <cell r="V29"/>
          <cell r="W29"/>
          <cell r="X29" t="str">
            <v>EDWIN</v>
          </cell>
          <cell r="Y29"/>
          <cell r="Z29" t="str">
            <v>EWDIN 27/4/19 BY WECHAT</v>
          </cell>
          <cell r="AA29"/>
          <cell r="AB29">
            <v>43582</v>
          </cell>
          <cell r="AC29">
            <v>4690</v>
          </cell>
        </row>
        <row r="30">
          <cell r="B30">
            <v>2229</v>
          </cell>
          <cell r="C30" t="str">
            <v>GLLYM062203</v>
          </cell>
          <cell r="D30" t="str">
            <v>linen</v>
          </cell>
          <cell r="E30"/>
          <cell r="F30" t="str">
            <v>L100%</v>
          </cell>
          <cell r="G30" t="str">
            <v>100% LINEN ( UN WASHED )</v>
          </cell>
          <cell r="H30" t="str">
            <v>53/54</v>
          </cell>
          <cell r="I30">
            <v>136</v>
          </cell>
          <cell r="J30">
            <v>4.42</v>
          </cell>
          <cell r="K30">
            <v>4.71</v>
          </cell>
          <cell r="L30">
            <v>4.43</v>
          </cell>
          <cell r="M30">
            <v>4.7300000000000004</v>
          </cell>
          <cell r="N30">
            <v>4.45</v>
          </cell>
          <cell r="O30">
            <v>4.75</v>
          </cell>
          <cell r="P30"/>
          <cell r="Q30"/>
          <cell r="R30">
            <v>4.5</v>
          </cell>
          <cell r="S30">
            <v>4.8499999999999996</v>
          </cell>
          <cell r="T30"/>
          <cell r="U30"/>
          <cell r="V30"/>
          <cell r="W30"/>
          <cell r="X30" t="str">
            <v>HOWARD</v>
          </cell>
          <cell r="Y30"/>
          <cell r="Z30" t="str">
            <v>HOWARD 27/4/19</v>
          </cell>
          <cell r="AA30"/>
          <cell r="AB30">
            <v>43582</v>
          </cell>
          <cell r="AC30">
            <v>2229</v>
          </cell>
        </row>
        <row r="31">
          <cell r="B31">
            <v>4689</v>
          </cell>
          <cell r="C31" t="str">
            <v>OLP-SC00149</v>
          </cell>
          <cell r="D31" t="str">
            <v>COTTON JACQUARD</v>
          </cell>
          <cell r="E31"/>
          <cell r="F31" t="str">
            <v>C100%</v>
          </cell>
          <cell r="G31" t="str">
            <v>100% COTTON</v>
          </cell>
          <cell r="H31" t="str">
            <v>54/55"</v>
          </cell>
          <cell r="I31">
            <v>80</v>
          </cell>
          <cell r="J31">
            <v>2.0699999999999998</v>
          </cell>
          <cell r="K31"/>
          <cell r="L31">
            <v>2.09</v>
          </cell>
          <cell r="M31"/>
          <cell r="N31">
            <v>2.11</v>
          </cell>
          <cell r="O31"/>
          <cell r="P31"/>
          <cell r="Q31"/>
          <cell r="R31">
            <v>2.31</v>
          </cell>
          <cell r="S31"/>
          <cell r="T31"/>
          <cell r="U31"/>
          <cell r="V31"/>
          <cell r="W31"/>
          <cell r="X31" t="str">
            <v>OWEN</v>
          </cell>
          <cell r="Y31"/>
          <cell r="Z31" t="str">
            <v>JOAN 26/4/19 BY WECHAT</v>
          </cell>
          <cell r="AA31"/>
          <cell r="AB31">
            <v>43581</v>
          </cell>
          <cell r="AC31">
            <v>4689</v>
          </cell>
        </row>
        <row r="32">
          <cell r="B32">
            <v>4615</v>
          </cell>
          <cell r="C32" t="str">
            <v>ST-88605</v>
          </cell>
          <cell r="D32" t="str">
            <v>POLY TWILL WITH AIR FLOW ( SAME 4612 )</v>
          </cell>
          <cell r="E32" t="str">
            <v>(50+68)*(50+68)</v>
          </cell>
          <cell r="F32" t="str">
            <v>T100%</v>
          </cell>
          <cell r="G32" t="str">
            <v>100%POLYESTER</v>
          </cell>
          <cell r="H32" t="str">
            <v>57/58</v>
          </cell>
          <cell r="I32">
            <v>175</v>
          </cell>
          <cell r="J32">
            <v>1.2</v>
          </cell>
          <cell r="K32"/>
          <cell r="L32">
            <v>1.21</v>
          </cell>
          <cell r="M32"/>
          <cell r="N32">
            <v>1.22</v>
          </cell>
          <cell r="O32"/>
          <cell r="P32"/>
          <cell r="Q32"/>
          <cell r="R32">
            <v>1.37</v>
          </cell>
          <cell r="S32"/>
          <cell r="T32"/>
          <cell r="U32"/>
          <cell r="V32"/>
          <cell r="W32"/>
          <cell r="X32" t="str">
            <v>SIGER</v>
          </cell>
          <cell r="Y32" t="str">
            <v>DMCARE-TRI-03</v>
          </cell>
          <cell r="Z32" t="str">
            <v xml:space="preserve">CARA 25/4/19 </v>
          </cell>
          <cell r="AA32"/>
          <cell r="AB32">
            <v>43580</v>
          </cell>
          <cell r="AC32">
            <v>4615</v>
          </cell>
        </row>
        <row r="33">
          <cell r="B33">
            <v>4614</v>
          </cell>
          <cell r="C33" t="str">
            <v>CT1209008-3PFD</v>
          </cell>
          <cell r="D33" t="str">
            <v>CHIFFON CREPE</v>
          </cell>
          <cell r="E33" t="str">
            <v>75D*75D 2800T</v>
          </cell>
          <cell r="F33" t="str">
            <v>T100%</v>
          </cell>
          <cell r="G33" t="str">
            <v>100% POLYESTER</v>
          </cell>
          <cell r="H33" t="str">
            <v>57/58</v>
          </cell>
          <cell r="I33">
            <v>85</v>
          </cell>
          <cell r="J33">
            <v>1</v>
          </cell>
          <cell r="K33">
            <v>1.3</v>
          </cell>
          <cell r="L33">
            <v>1</v>
          </cell>
          <cell r="M33">
            <v>1.3</v>
          </cell>
          <cell r="N33">
            <v>1</v>
          </cell>
          <cell r="O33">
            <v>1.3</v>
          </cell>
          <cell r="P33"/>
          <cell r="Q33"/>
          <cell r="R33">
            <v>1.1499999999999999</v>
          </cell>
          <cell r="S33">
            <v>1.65</v>
          </cell>
          <cell r="T33"/>
          <cell r="U33"/>
          <cell r="V33"/>
          <cell r="W33"/>
          <cell r="X33" t="str">
            <v>BONNIE</v>
          </cell>
          <cell r="Y33"/>
          <cell r="Z33" t="str">
            <v>BONNIE 25/4/19</v>
          </cell>
          <cell r="AA33"/>
          <cell r="AB33">
            <v>43580</v>
          </cell>
          <cell r="AC33">
            <v>4614</v>
          </cell>
        </row>
        <row r="34">
          <cell r="B34">
            <v>4610</v>
          </cell>
          <cell r="C34" t="str">
            <v>LQE066A</v>
          </cell>
          <cell r="D34" t="str">
            <v>CHIFFON-LINING</v>
          </cell>
          <cell r="E34" t="str">
            <v>100FDY*100FDY 1500T</v>
          </cell>
          <cell r="F34" t="str">
            <v>T100%</v>
          </cell>
          <cell r="G34" t="str">
            <v>100% POLYESTER</v>
          </cell>
          <cell r="H34" t="str">
            <v>57/8"</v>
          </cell>
          <cell r="I34">
            <v>79</v>
          </cell>
          <cell r="J34">
            <v>0.76</v>
          </cell>
          <cell r="K34"/>
          <cell r="L34">
            <v>0.79</v>
          </cell>
          <cell r="M34"/>
          <cell r="N34">
            <v>0.85</v>
          </cell>
          <cell r="O34"/>
          <cell r="P34"/>
          <cell r="Q34"/>
          <cell r="R34">
            <v>0.85</v>
          </cell>
          <cell r="S34"/>
          <cell r="T34"/>
          <cell r="U34"/>
          <cell r="V34"/>
          <cell r="W34"/>
          <cell r="X34" t="str">
            <v>UYEN</v>
          </cell>
          <cell r="Y34"/>
          <cell r="Z34" t="str">
            <v>UYEN 25/4/19</v>
          </cell>
          <cell r="AA34" t="str">
            <v xml:space="preserve">25 days </v>
          </cell>
          <cell r="AB34">
            <v>43580</v>
          </cell>
          <cell r="AC34">
            <v>4610</v>
          </cell>
        </row>
        <row r="35">
          <cell r="B35">
            <v>4577</v>
          </cell>
          <cell r="C35" t="str">
            <v>MH918</v>
          </cell>
          <cell r="D35" t="str">
            <v>LIGHT SATEEN</v>
          </cell>
          <cell r="E35" t="str">
            <v>15D+15D*50DFDY</v>
          </cell>
          <cell r="F35" t="str">
            <v>T100%</v>
          </cell>
          <cell r="G35" t="str">
            <v>100% POLYETSER</v>
          </cell>
          <cell r="H35" t="str">
            <v>57/58</v>
          </cell>
          <cell r="I35">
            <v>94</v>
          </cell>
          <cell r="J35">
            <v>1.4</v>
          </cell>
          <cell r="K35">
            <v>1.55</v>
          </cell>
          <cell r="L35">
            <v>1.41</v>
          </cell>
          <cell r="M35">
            <v>1.57</v>
          </cell>
          <cell r="N35">
            <v>1.43</v>
          </cell>
          <cell r="O35">
            <v>1.59</v>
          </cell>
          <cell r="P35"/>
          <cell r="Q35"/>
          <cell r="R35">
            <v>1.5</v>
          </cell>
          <cell r="S35">
            <v>1.85</v>
          </cell>
          <cell r="T35"/>
          <cell r="U35"/>
          <cell r="V35">
            <v>15</v>
          </cell>
          <cell r="W35"/>
          <cell r="X35" t="str">
            <v>UYEN</v>
          </cell>
          <cell r="Y35"/>
          <cell r="Z35" t="str">
            <v>UYÊN 25/4/19</v>
          </cell>
          <cell r="AA35" t="str">
            <v>25DAYS</v>
          </cell>
          <cell r="AB35">
            <v>43580</v>
          </cell>
          <cell r="AC35">
            <v>4577</v>
          </cell>
        </row>
        <row r="36">
          <cell r="B36">
            <v>3030</v>
          </cell>
          <cell r="C36" t="str">
            <v>OLP-1731121XS</v>
          </cell>
          <cell r="D36" t="str">
            <v>CRINKLE CHIFFON</v>
          </cell>
          <cell r="E36"/>
          <cell r="F36" t="str">
            <v>T100%</v>
          </cell>
          <cell r="G36" t="str">
            <v>100% POLYESTER</v>
          </cell>
          <cell r="H36" t="str">
            <v>57/58</v>
          </cell>
          <cell r="I36">
            <v>70</v>
          </cell>
          <cell r="J36">
            <v>1.18</v>
          </cell>
          <cell r="K36">
            <v>1.31</v>
          </cell>
          <cell r="L36">
            <v>1.24</v>
          </cell>
          <cell r="M36">
            <v>1.37</v>
          </cell>
          <cell r="N36">
            <v>1.29</v>
          </cell>
          <cell r="O36">
            <v>1.56</v>
          </cell>
          <cell r="P36" t="e">
            <v>#REF!</v>
          </cell>
          <cell r="Q36" t="e">
            <v>#REF!</v>
          </cell>
          <cell r="R36">
            <v>1.45</v>
          </cell>
          <cell r="S36">
            <v>2.31</v>
          </cell>
          <cell r="T36"/>
          <cell r="U36"/>
          <cell r="V36"/>
          <cell r="W36"/>
          <cell r="X36" t="str">
            <v>OWEN</v>
          </cell>
          <cell r="Y36" t="str">
            <v>DMCARE-TRI-2</v>
          </cell>
          <cell r="Z36" t="str">
            <v>JOAN 25/4/19</v>
          </cell>
          <cell r="AA36" t="str">
            <v>30days</v>
          </cell>
          <cell r="AB36">
            <v>43580</v>
          </cell>
          <cell r="AC36">
            <v>3030</v>
          </cell>
        </row>
        <row r="37">
          <cell r="B37">
            <v>1509</v>
          </cell>
          <cell r="C37" t="str">
            <v>OLP-151127XS0008</v>
          </cell>
          <cell r="D37" t="str">
            <v>CHIFFON</v>
          </cell>
          <cell r="E37"/>
          <cell r="F37" t="str">
            <v>T100%</v>
          </cell>
          <cell r="G37" t="str">
            <v>100% POLYESTER</v>
          </cell>
          <cell r="H37" t="str">
            <v>57/58</v>
          </cell>
          <cell r="I37">
            <v>75</v>
          </cell>
          <cell r="J37">
            <v>1.08</v>
          </cell>
          <cell r="K37">
            <v>1.42</v>
          </cell>
          <cell r="L37">
            <v>1.17</v>
          </cell>
          <cell r="M37">
            <v>1.5</v>
          </cell>
          <cell r="N37">
            <v>1.19</v>
          </cell>
          <cell r="O37">
            <v>1.52</v>
          </cell>
          <cell r="P37" t="e">
            <v>#REF!</v>
          </cell>
          <cell r="Q37" t="e">
            <v>#REF!</v>
          </cell>
          <cell r="R37">
            <v>1.36</v>
          </cell>
          <cell r="S37">
            <v>2.0699999999999998</v>
          </cell>
          <cell r="T37"/>
          <cell r="U37"/>
          <cell r="V37">
            <v>15</v>
          </cell>
          <cell r="W37"/>
          <cell r="X37" t="str">
            <v>OWEN</v>
          </cell>
          <cell r="Y37"/>
          <cell r="Z37" t="str">
            <v>JOAN 25/4/19</v>
          </cell>
          <cell r="AA37"/>
          <cell r="AB37">
            <v>43580</v>
          </cell>
          <cell r="AC37">
            <v>4535</v>
          </cell>
        </row>
        <row r="38">
          <cell r="B38">
            <v>1481</v>
          </cell>
          <cell r="C38" t="str">
            <v>BG2581</v>
          </cell>
          <cell r="D38"/>
          <cell r="E38" t="str">
            <v>50D+50D*150D</v>
          </cell>
          <cell r="F38" t="str">
            <v>T100%</v>
          </cell>
          <cell r="G38" t="str">
            <v>100% POLYESTER</v>
          </cell>
          <cell r="H38" t="str">
            <v>57/58</v>
          </cell>
          <cell r="I38">
            <v>130</v>
          </cell>
          <cell r="J38">
            <v>1.52</v>
          </cell>
          <cell r="K38">
            <v>1.82</v>
          </cell>
          <cell r="L38">
            <v>1.54</v>
          </cell>
          <cell r="M38">
            <v>1.87</v>
          </cell>
          <cell r="N38">
            <v>1.55</v>
          </cell>
          <cell r="O38">
            <v>1.92</v>
          </cell>
          <cell r="P38"/>
          <cell r="Q38"/>
          <cell r="R38">
            <v>1.75</v>
          </cell>
          <cell r="S38">
            <v>2.2999999999999998</v>
          </cell>
          <cell r="T38"/>
          <cell r="U38"/>
          <cell r="V38">
            <v>15</v>
          </cell>
          <cell r="W38"/>
          <cell r="X38" t="str">
            <v>EDWIN</v>
          </cell>
          <cell r="Y38" t="str">
            <v>DMCARE-TRI-02</v>
          </cell>
          <cell r="Z38" t="str">
            <v>EDWIN 25/4/19</v>
          </cell>
          <cell r="AA38"/>
          <cell r="AB38">
            <v>43580</v>
          </cell>
          <cell r="AC38">
            <v>1481</v>
          </cell>
        </row>
        <row r="39">
          <cell r="B39">
            <v>1132</v>
          </cell>
          <cell r="C39" t="str">
            <v>OLP-15101703ZY</v>
          </cell>
          <cell r="D39" t="str">
            <v>TERRY CREPE</v>
          </cell>
          <cell r="E39"/>
          <cell r="F39" t="str">
            <v>V100%</v>
          </cell>
          <cell r="G39" t="str">
            <v>100% VISCOSE</v>
          </cell>
          <cell r="H39">
            <v>50</v>
          </cell>
          <cell r="I39">
            <v>155</v>
          </cell>
          <cell r="J39">
            <v>2.1800000000000002</v>
          </cell>
          <cell r="K39">
            <v>2.5499999999999998</v>
          </cell>
          <cell r="L39">
            <v>2.25</v>
          </cell>
          <cell r="M39">
            <v>2.6</v>
          </cell>
          <cell r="N39">
            <v>2.2999999999999998</v>
          </cell>
          <cell r="O39">
            <v>2.71</v>
          </cell>
          <cell r="P39"/>
          <cell r="Q39"/>
          <cell r="R39">
            <v>2.46</v>
          </cell>
          <cell r="S39">
            <v>3.14</v>
          </cell>
          <cell r="T39" t="str">
            <v>Y</v>
          </cell>
          <cell r="U39"/>
          <cell r="V39">
            <v>15</v>
          </cell>
          <cell r="W39"/>
          <cell r="X39" t="str">
            <v>OWEN</v>
          </cell>
          <cell r="Y39"/>
          <cell r="Z39" t="str">
            <v>JOAN 25/4/19</v>
          </cell>
          <cell r="AA39"/>
          <cell r="AB39">
            <v>43580</v>
          </cell>
          <cell r="AC39">
            <v>5018</v>
          </cell>
        </row>
        <row r="40">
          <cell r="B40">
            <v>1015</v>
          </cell>
          <cell r="C40">
            <v>6060</v>
          </cell>
          <cell r="D40" t="str">
            <v>CHALLIS RAYON</v>
          </cell>
          <cell r="E40" t="str">
            <v>60X60</v>
          </cell>
          <cell r="F40" t="str">
            <v>R100%</v>
          </cell>
          <cell r="G40" t="str">
            <v>100%RAYON</v>
          </cell>
          <cell r="H40" t="str">
            <v>53/54"</v>
          </cell>
          <cell r="I40">
            <v>80</v>
          </cell>
          <cell r="J40">
            <v>1.25</v>
          </cell>
          <cell r="K40">
            <v>1.39</v>
          </cell>
          <cell r="L40">
            <v>1.35</v>
          </cell>
          <cell r="M40">
            <v>1.54</v>
          </cell>
          <cell r="N40">
            <v>1.4</v>
          </cell>
          <cell r="O40">
            <v>1.58</v>
          </cell>
          <cell r="P40">
            <v>1.48</v>
          </cell>
          <cell r="Q40">
            <v>2.0699999999999998</v>
          </cell>
          <cell r="R40">
            <v>1.48</v>
          </cell>
          <cell r="S40">
            <v>2.0699999999999998</v>
          </cell>
          <cell r="T40"/>
          <cell r="U40"/>
          <cell r="V40"/>
          <cell r="W40"/>
          <cell r="X40" t="str">
            <v>TERESA</v>
          </cell>
          <cell r="Y40" t="str">
            <v xml:space="preserve">DMCARE-TRI-02 </v>
          </cell>
          <cell r="Z40" t="str">
            <v>TERESA 24/4/19</v>
          </cell>
          <cell r="AA40"/>
          <cell r="AB40">
            <v>43580</v>
          </cell>
          <cell r="AC40">
            <v>1015</v>
          </cell>
        </row>
        <row r="41">
          <cell r="B41">
            <v>4688</v>
          </cell>
          <cell r="C41" t="str">
            <v>XH-3961</v>
          </cell>
          <cell r="D41" t="str">
            <v>FAKE LINEN -Y/D</v>
          </cell>
          <cell r="E41" t="str">
            <v>18*18</v>
          </cell>
          <cell r="F41" t="str">
            <v>T/C 65/35</v>
          </cell>
          <cell r="G41" t="str">
            <v>65%POLYESTER35%COTTON</v>
          </cell>
          <cell r="H41" t="str">
            <v>57/58"</v>
          </cell>
          <cell r="I41" t="str">
            <v>145-150</v>
          </cell>
          <cell r="J41">
            <v>1.38</v>
          </cell>
          <cell r="K41"/>
          <cell r="L41">
            <v>1.44</v>
          </cell>
          <cell r="M41"/>
          <cell r="N41">
            <v>1.48</v>
          </cell>
          <cell r="O41"/>
          <cell r="P41"/>
          <cell r="Q41"/>
          <cell r="R41"/>
          <cell r="S41"/>
          <cell r="T41"/>
          <cell r="U41"/>
          <cell r="V41"/>
          <cell r="W41" t="str">
            <v>MOQ : 3000M</v>
          </cell>
          <cell r="X41" t="str">
            <v>ALICE</v>
          </cell>
          <cell r="Y41"/>
          <cell r="Z41" t="str">
            <v>SALLY 24/4/19 BY WECHAT</v>
          </cell>
          <cell r="AA41"/>
          <cell r="AB41">
            <v>43579</v>
          </cell>
          <cell r="AC41">
            <v>4688</v>
          </cell>
        </row>
        <row r="42">
          <cell r="B42">
            <v>4676</v>
          </cell>
          <cell r="C42" t="str">
            <v>XH-3716</v>
          </cell>
          <cell r="D42" t="str">
            <v>LINEN</v>
          </cell>
          <cell r="E42" t="str">
            <v>30*68</v>
          </cell>
          <cell r="F42" t="str">
            <v>V/L 89/11</v>
          </cell>
          <cell r="G42" t="str">
            <v>89%VISCOSE 11%LINEN</v>
          </cell>
          <cell r="H42" t="str">
            <v>54/55</v>
          </cell>
          <cell r="I42">
            <v>130</v>
          </cell>
          <cell r="J42">
            <v>1.9</v>
          </cell>
          <cell r="K42">
            <v>0</v>
          </cell>
          <cell r="L42">
            <v>1.9</v>
          </cell>
          <cell r="M42"/>
          <cell r="N42">
            <v>1.97</v>
          </cell>
          <cell r="O42"/>
          <cell r="P42">
            <v>2</v>
          </cell>
          <cell r="Q42"/>
          <cell r="R42">
            <v>2</v>
          </cell>
          <cell r="S42"/>
          <cell r="T42"/>
          <cell r="U42"/>
          <cell r="V42"/>
          <cell r="W42"/>
          <cell r="X42" t="str">
            <v>ALICE</v>
          </cell>
          <cell r="Y42"/>
          <cell r="Z42" t="str">
            <v>SALLY 24/4/19</v>
          </cell>
          <cell r="AA42"/>
          <cell r="AB42">
            <v>43579</v>
          </cell>
          <cell r="AC42">
            <v>4676</v>
          </cell>
        </row>
        <row r="43">
          <cell r="B43">
            <v>4647</v>
          </cell>
          <cell r="C43" t="str">
            <v>XJ-2191</v>
          </cell>
          <cell r="D43" t="str">
            <v>HEAVY CREPE</v>
          </cell>
          <cell r="E43" t="str">
            <v>150d+40d</v>
          </cell>
          <cell r="F43" t="str">
            <v>T/S 97/3</v>
          </cell>
          <cell r="G43" t="str">
            <v>97%Polyester 3% Spandex</v>
          </cell>
          <cell r="H43" t="str">
            <v>57/58</v>
          </cell>
          <cell r="I43">
            <v>230</v>
          </cell>
          <cell r="J43">
            <v>1.95</v>
          </cell>
          <cell r="K43">
            <v>2.2000000000000002</v>
          </cell>
          <cell r="L43">
            <v>1.95</v>
          </cell>
          <cell r="M43">
            <v>2.2000000000000002</v>
          </cell>
          <cell r="N43">
            <v>2.1</v>
          </cell>
          <cell r="O43">
            <v>2.35</v>
          </cell>
          <cell r="P43">
            <v>2.25</v>
          </cell>
          <cell r="Q43">
            <v>2.5</v>
          </cell>
          <cell r="R43">
            <v>2.25</v>
          </cell>
          <cell r="S43">
            <v>2.5</v>
          </cell>
          <cell r="T43"/>
          <cell r="U43"/>
          <cell r="V43"/>
          <cell r="W43"/>
          <cell r="X43" t="str">
            <v>ALICE</v>
          </cell>
          <cell r="Y43"/>
          <cell r="Z43" t="str">
            <v>SALLY 24/4/19</v>
          </cell>
          <cell r="AA43"/>
          <cell r="AB43">
            <v>43579</v>
          </cell>
          <cell r="AC43">
            <v>4647</v>
          </cell>
        </row>
        <row r="44">
          <cell r="B44">
            <v>4632</v>
          </cell>
          <cell r="C44" t="str">
            <v>XJ-4033</v>
          </cell>
          <cell r="D44" t="str">
            <v>same 4189 w/ air flow</v>
          </cell>
          <cell r="E44" t="str">
            <v>(50D+68D)*(50D+68D)</v>
          </cell>
          <cell r="F44" t="str">
            <v>T100%</v>
          </cell>
          <cell r="G44" t="str">
            <v>100%POLYESTER</v>
          </cell>
          <cell r="H44" t="str">
            <v>59/60"</v>
          </cell>
          <cell r="I44">
            <v>150</v>
          </cell>
          <cell r="J44">
            <v>1.18</v>
          </cell>
          <cell r="K44">
            <v>0</v>
          </cell>
          <cell r="L44">
            <v>1.28</v>
          </cell>
          <cell r="M44"/>
          <cell r="N44">
            <v>1.28</v>
          </cell>
          <cell r="O44"/>
          <cell r="P44">
            <v>1.36</v>
          </cell>
          <cell r="Q44"/>
          <cell r="R44">
            <v>1.36</v>
          </cell>
          <cell r="S44"/>
          <cell r="T44"/>
          <cell r="U44"/>
          <cell r="V44"/>
          <cell r="W44"/>
          <cell r="X44" t="str">
            <v>ALICE</v>
          </cell>
          <cell r="Y44"/>
          <cell r="Z44" t="str">
            <v>SALLY 24/4/19</v>
          </cell>
          <cell r="AA44"/>
          <cell r="AB44">
            <v>43579</v>
          </cell>
          <cell r="AC44">
            <v>4632</v>
          </cell>
        </row>
        <row r="45">
          <cell r="B45">
            <v>4626</v>
          </cell>
          <cell r="C45" t="str">
            <v>R-7101</v>
          </cell>
          <cell r="D45" t="str">
            <v>POLY</v>
          </cell>
          <cell r="E45" t="str">
            <v>50+50</v>
          </cell>
          <cell r="F45" t="str">
            <v>T100%</v>
          </cell>
          <cell r="G45" t="str">
            <v>100% POLYESTER</v>
          </cell>
          <cell r="H45" t="str">
            <v>57/58</v>
          </cell>
          <cell r="I45">
            <v>110</v>
          </cell>
          <cell r="J45">
            <v>1.07</v>
          </cell>
          <cell r="K45">
            <v>1.42</v>
          </cell>
          <cell r="L45">
            <v>1.07</v>
          </cell>
          <cell r="M45">
            <v>1.42</v>
          </cell>
          <cell r="N45">
            <v>1.07</v>
          </cell>
          <cell r="O45">
            <v>1.49</v>
          </cell>
          <cell r="P45">
            <v>1.1499999999999999</v>
          </cell>
          <cell r="Q45">
            <v>1.72</v>
          </cell>
          <cell r="R45">
            <v>1.1499999999999999</v>
          </cell>
          <cell r="S45">
            <v>1.72</v>
          </cell>
          <cell r="T45"/>
          <cell r="U45"/>
          <cell r="V45"/>
          <cell r="W45"/>
          <cell r="X45" t="str">
            <v>ALICE</v>
          </cell>
          <cell r="Y45"/>
          <cell r="Z45" t="str">
            <v>SALLY 24/4/19</v>
          </cell>
          <cell r="AA45"/>
          <cell r="AB45">
            <v>43579</v>
          </cell>
          <cell r="AC45">
            <v>4626</v>
          </cell>
        </row>
        <row r="46">
          <cell r="B46">
            <v>4619</v>
          </cell>
          <cell r="C46" t="str">
            <v>XJ-4546</v>
          </cell>
          <cell r="D46" t="str">
            <v>Richly crepe ( same AMW4423 )</v>
          </cell>
          <cell r="E46" t="str">
            <v>50D*150D</v>
          </cell>
          <cell r="F46" t="str">
            <v>T100%</v>
          </cell>
          <cell r="G46" t="str">
            <v xml:space="preserve">100%POLYESTER </v>
          </cell>
          <cell r="H46" t="str">
            <v>58/59"</v>
          </cell>
          <cell r="I46">
            <v>138</v>
          </cell>
          <cell r="J46">
            <v>1.22</v>
          </cell>
          <cell r="K46">
            <v>1.47</v>
          </cell>
          <cell r="L46">
            <v>1.22</v>
          </cell>
          <cell r="M46">
            <v>1.47</v>
          </cell>
          <cell r="N46">
            <v>1.22</v>
          </cell>
          <cell r="O46">
            <v>1.47</v>
          </cell>
          <cell r="P46">
            <v>1.3</v>
          </cell>
          <cell r="Q46">
            <v>0</v>
          </cell>
          <cell r="R46">
            <v>1.3</v>
          </cell>
          <cell r="S46">
            <v>2.4700000000000002</v>
          </cell>
          <cell r="T46"/>
          <cell r="U46"/>
          <cell r="V46"/>
          <cell r="W46"/>
          <cell r="X46" t="str">
            <v>ALICE</v>
          </cell>
          <cell r="Y46"/>
          <cell r="Z46" t="str">
            <v>SALLY 24/4/19</v>
          </cell>
          <cell r="AA46"/>
          <cell r="AB46">
            <v>43579</v>
          </cell>
          <cell r="AC46">
            <v>4619</v>
          </cell>
        </row>
        <row r="47">
          <cell r="B47">
            <v>4250</v>
          </cell>
          <cell r="C47" t="str">
            <v>ST-712692</v>
          </cell>
          <cell r="D47" t="str">
            <v>STRETCH CREPE</v>
          </cell>
          <cell r="E47" t="str">
            <v>(100D+40D)*(100D+40D)</v>
          </cell>
          <cell r="F47" t="str">
            <v>T/S 97/3</v>
          </cell>
          <cell r="G47" t="str">
            <v>97% POLYESTER 3% SPANDEX</v>
          </cell>
          <cell r="H47" t="str">
            <v>57/58</v>
          </cell>
          <cell r="I47">
            <v>135</v>
          </cell>
          <cell r="J47">
            <v>1.05</v>
          </cell>
          <cell r="K47">
            <v>1.35</v>
          </cell>
          <cell r="L47">
            <v>1.08</v>
          </cell>
          <cell r="M47">
            <v>1.36</v>
          </cell>
          <cell r="N47">
            <v>1.0900000000000001</v>
          </cell>
          <cell r="O47">
            <v>1.36</v>
          </cell>
          <cell r="P47">
            <v>1.24</v>
          </cell>
          <cell r="Q47">
            <v>1.4</v>
          </cell>
          <cell r="R47">
            <v>1.19</v>
          </cell>
          <cell r="S47">
            <v>1.4</v>
          </cell>
          <cell r="T47"/>
          <cell r="U47"/>
          <cell r="V47" t="str">
            <v>15</v>
          </cell>
          <cell r="W47"/>
          <cell r="X47" t="str">
            <v>SIGER</v>
          </cell>
          <cell r="Y47" t="str">
            <v>DMCARE-TRI-03</v>
          </cell>
          <cell r="Z47" t="str">
            <v>CARA 24/4/19</v>
          </cell>
          <cell r="AA47"/>
          <cell r="AB47">
            <v>43579</v>
          </cell>
          <cell r="AC47">
            <v>4434</v>
          </cell>
        </row>
        <row r="48">
          <cell r="B48">
            <v>4064</v>
          </cell>
          <cell r="C48" t="str">
            <v>HLP17210</v>
          </cell>
          <cell r="D48" t="str">
            <v>SILK POLY</v>
          </cell>
          <cell r="E48"/>
          <cell r="F48" t="str">
            <v>T100%</v>
          </cell>
          <cell r="G48" t="str">
            <v>100%POLYESTER</v>
          </cell>
          <cell r="H48" t="str">
            <v>146CM</v>
          </cell>
          <cell r="I48">
            <v>115</v>
          </cell>
          <cell r="J48">
            <v>1.75</v>
          </cell>
          <cell r="K48">
            <v>1.89</v>
          </cell>
          <cell r="L48">
            <v>1.75</v>
          </cell>
          <cell r="M48">
            <v>1.89</v>
          </cell>
          <cell r="N48">
            <v>1.85</v>
          </cell>
          <cell r="O48">
            <v>1.99</v>
          </cell>
          <cell r="P48">
            <v>2.15</v>
          </cell>
          <cell r="Q48">
            <v>2.29</v>
          </cell>
          <cell r="R48">
            <v>2.15</v>
          </cell>
          <cell r="S48">
            <v>2.29</v>
          </cell>
          <cell r="T48"/>
          <cell r="U48"/>
          <cell r="V48">
            <v>15</v>
          </cell>
          <cell r="W48" t="str">
            <v>DIGITAL PRINT QUALITY : $3.20 FOR 1000M ~700M</v>
          </cell>
          <cell r="X48" t="str">
            <v>CANDY</v>
          </cell>
          <cell r="Y48" t="str">
            <v>DMCARE-TRI-03</v>
          </cell>
          <cell r="Z48" t="str">
            <v>LEI WANG 24/4/19</v>
          </cell>
          <cell r="AA48"/>
          <cell r="AB48">
            <v>43579</v>
          </cell>
          <cell r="AC48">
            <v>4724</v>
          </cell>
        </row>
        <row r="49">
          <cell r="B49">
            <v>3592</v>
          </cell>
          <cell r="C49" t="str">
            <v>T024</v>
          </cell>
          <cell r="D49" t="str">
            <v>BUBBLE CREPE</v>
          </cell>
          <cell r="E49" t="str">
            <v>75D+40D*75D+40D</v>
          </cell>
          <cell r="F49" t="str">
            <v>T/S 97/3</v>
          </cell>
          <cell r="G49" t="str">
            <v>97% POLYESTER  3% SPANDEX</v>
          </cell>
          <cell r="H49" t="str">
            <v>57/58</v>
          </cell>
          <cell r="I49">
            <v>130</v>
          </cell>
          <cell r="J49">
            <v>1.32</v>
          </cell>
          <cell r="K49">
            <v>1.45</v>
          </cell>
          <cell r="L49">
            <v>1.34</v>
          </cell>
          <cell r="M49">
            <v>1.53</v>
          </cell>
          <cell r="N49">
            <v>1.39</v>
          </cell>
          <cell r="O49">
            <v>1.57</v>
          </cell>
          <cell r="P49">
            <v>1.47</v>
          </cell>
          <cell r="Q49">
            <v>2.06</v>
          </cell>
          <cell r="R49">
            <v>1.47</v>
          </cell>
          <cell r="S49">
            <v>2.06</v>
          </cell>
          <cell r="T49"/>
          <cell r="U49"/>
          <cell r="V49">
            <v>15</v>
          </cell>
          <cell r="W49"/>
          <cell r="X49" t="str">
            <v>TERESA</v>
          </cell>
          <cell r="Y49" t="str">
            <v>DMCARE-TRI-02</v>
          </cell>
          <cell r="Z49" t="str">
            <v>TERESA 24/4/19</v>
          </cell>
          <cell r="AA49"/>
          <cell r="AB49">
            <v>43579</v>
          </cell>
          <cell r="AC49">
            <v>4978</v>
          </cell>
        </row>
        <row r="50">
          <cell r="B50">
            <v>1010</v>
          </cell>
          <cell r="C50" t="str">
            <v>R012</v>
          </cell>
          <cell r="D50" t="str">
            <v>CHALLIS RAYON</v>
          </cell>
          <cell r="E50" t="str">
            <v xml:space="preserve"> 30*30/68*68</v>
          </cell>
          <cell r="F50" t="str">
            <v>R100%</v>
          </cell>
          <cell r="G50" t="str">
            <v>100%RAYON</v>
          </cell>
          <cell r="H50" t="str">
            <v>54/55</v>
          </cell>
          <cell r="I50">
            <v>120</v>
          </cell>
          <cell r="J50">
            <v>1.22</v>
          </cell>
          <cell r="K50">
            <v>1.37</v>
          </cell>
          <cell r="L50">
            <v>1.24</v>
          </cell>
          <cell r="M50">
            <v>1.41</v>
          </cell>
          <cell r="N50">
            <v>1.29</v>
          </cell>
          <cell r="O50">
            <v>1.46</v>
          </cell>
          <cell r="P50">
            <v>1.39</v>
          </cell>
          <cell r="Q50">
            <v>2.02</v>
          </cell>
          <cell r="R50">
            <v>1.39</v>
          </cell>
          <cell r="S50">
            <v>2.02</v>
          </cell>
          <cell r="T50">
            <v>1.71</v>
          </cell>
          <cell r="U50">
            <v>1.99</v>
          </cell>
          <cell r="V50">
            <v>15</v>
          </cell>
          <cell r="W50"/>
          <cell r="X50" t="str">
            <v>TERESA</v>
          </cell>
          <cell r="Y50"/>
          <cell r="Z50" t="str">
            <v>TERESA 24/4/19</v>
          </cell>
          <cell r="AA50"/>
          <cell r="AB50">
            <v>43579</v>
          </cell>
          <cell r="AC50">
            <v>4933</v>
          </cell>
        </row>
        <row r="51">
          <cell r="B51">
            <v>261</v>
          </cell>
          <cell r="C51" t="str">
            <v>ST-4206</v>
          </cell>
          <cell r="D51" t="str">
            <v>CDC</v>
          </cell>
          <cell r="E51" t="str">
            <v xml:space="preserve">20*26+75d </v>
          </cell>
          <cell r="F51" t="str">
            <v>T100%</v>
          </cell>
          <cell r="G51" t="str">
            <v>100% POLYESTER</v>
          </cell>
          <cell r="H51" t="str">
            <v>57/58</v>
          </cell>
          <cell r="I51">
            <v>80</v>
          </cell>
          <cell r="J51">
            <v>1.25</v>
          </cell>
          <cell r="K51">
            <v>1.39</v>
          </cell>
          <cell r="L51">
            <v>1.31</v>
          </cell>
          <cell r="M51">
            <v>1.4</v>
          </cell>
          <cell r="N51">
            <v>1.32</v>
          </cell>
          <cell r="O51">
            <v>1.4</v>
          </cell>
          <cell r="P51">
            <v>1.42</v>
          </cell>
          <cell r="Q51">
            <v>1.55</v>
          </cell>
          <cell r="R51">
            <v>1.42</v>
          </cell>
          <cell r="S51">
            <v>1.55</v>
          </cell>
          <cell r="T51"/>
          <cell r="U51"/>
          <cell r="V51"/>
          <cell r="W51"/>
          <cell r="X51" t="str">
            <v>SIGER</v>
          </cell>
          <cell r="Y51"/>
          <cell r="Z51" t="str">
            <v>CARA 24/4/19</v>
          </cell>
          <cell r="AA51"/>
          <cell r="AB51">
            <v>43579</v>
          </cell>
          <cell r="AC51">
            <v>261</v>
          </cell>
        </row>
        <row r="52">
          <cell r="B52">
            <v>4687</v>
          </cell>
          <cell r="C52" t="str">
            <v>ST-W8135</v>
          </cell>
          <cell r="D52" t="str">
            <v>TENCEL</v>
          </cell>
          <cell r="E52"/>
          <cell r="F52" t="str">
            <v>TENCEL 100%</v>
          </cell>
          <cell r="G52" t="str">
            <v>100%TENCEL</v>
          </cell>
          <cell r="H52" t="str">
            <v>140CM</v>
          </cell>
          <cell r="I52">
            <v>160</v>
          </cell>
          <cell r="J52">
            <v>3.6</v>
          </cell>
          <cell r="K52"/>
          <cell r="L52">
            <v>3.61</v>
          </cell>
          <cell r="M52"/>
          <cell r="N52">
            <v>3.62</v>
          </cell>
          <cell r="O52"/>
          <cell r="P52"/>
          <cell r="Q52"/>
          <cell r="R52">
            <v>3.7</v>
          </cell>
          <cell r="S52"/>
          <cell r="T52"/>
          <cell r="U52"/>
          <cell r="V52"/>
          <cell r="W52"/>
          <cell r="X52" t="str">
            <v>SIGER</v>
          </cell>
          <cell r="Y52" t="str">
            <v>DMCARE-TRI-01</v>
          </cell>
          <cell r="Z52" t="str">
            <v>CARA 19/4/19 VIA WECHAT</v>
          </cell>
          <cell r="AA52"/>
          <cell r="AB52">
            <v>43574</v>
          </cell>
          <cell r="AC52">
            <v>4687</v>
          </cell>
        </row>
        <row r="53">
          <cell r="B53">
            <v>2026</v>
          </cell>
          <cell r="C53" t="str">
            <v>GLLTS131131</v>
          </cell>
          <cell r="D53" t="str">
            <v>TENCEL</v>
          </cell>
          <cell r="E53"/>
          <cell r="F53" t="str">
            <v>TENCEL 100%</v>
          </cell>
          <cell r="G53" t="str">
            <v>100% TENCEL</v>
          </cell>
          <cell r="H53" t="str">
            <v>57/58</v>
          </cell>
          <cell r="I53">
            <v>130</v>
          </cell>
          <cell r="J53">
            <v>3.25</v>
          </cell>
          <cell r="K53"/>
          <cell r="L53">
            <v>3.26</v>
          </cell>
          <cell r="M53"/>
          <cell r="N53">
            <v>3.28</v>
          </cell>
          <cell r="O53"/>
          <cell r="P53"/>
          <cell r="Q53"/>
          <cell r="R53">
            <v>3.35</v>
          </cell>
          <cell r="S53"/>
          <cell r="T53"/>
          <cell r="U53"/>
          <cell r="V53"/>
          <cell r="W53"/>
          <cell r="X53" t="str">
            <v>HOWARD</v>
          </cell>
          <cell r="Y53" t="str">
            <v>DMCARE-TRI-01</v>
          </cell>
          <cell r="Z53" t="str">
            <v>HOWARD 19/4/19 BY WECHAT</v>
          </cell>
          <cell r="AA53"/>
          <cell r="AB53">
            <v>43574</v>
          </cell>
          <cell r="AC53">
            <v>2026</v>
          </cell>
        </row>
        <row r="54">
          <cell r="B54">
            <v>3765</v>
          </cell>
          <cell r="C54" t="str">
            <v>M-JZ004</v>
          </cell>
          <cell r="D54" t="str">
            <v>VISCOSE - JACQUARD</v>
          </cell>
          <cell r="E54"/>
          <cell r="F54" t="str">
            <v>V/R 62/38</v>
          </cell>
          <cell r="G54" t="str">
            <v>62% VISCOSE 38% RAYON</v>
          </cell>
          <cell r="H54">
            <v>57</v>
          </cell>
          <cell r="I54">
            <v>138</v>
          </cell>
          <cell r="J54">
            <v>2.9000000000000004</v>
          </cell>
          <cell r="K54"/>
          <cell r="L54">
            <v>2.9200000000000004</v>
          </cell>
          <cell r="M54"/>
          <cell r="N54">
            <v>2.95</v>
          </cell>
          <cell r="O54"/>
          <cell r="P54"/>
          <cell r="Q54"/>
          <cell r="R54"/>
          <cell r="S54"/>
          <cell r="T54"/>
          <cell r="U54"/>
          <cell r="V54">
            <v>15</v>
          </cell>
          <cell r="W54"/>
          <cell r="X54" t="str">
            <v>M-TEX</v>
          </cell>
          <cell r="Y54"/>
          <cell r="Z54" t="str">
            <v>LINDA 18/4/19 BY WECHAT</v>
          </cell>
          <cell r="AA54"/>
          <cell r="AB54">
            <v>43004</v>
          </cell>
          <cell r="AC54">
            <v>3765</v>
          </cell>
        </row>
        <row r="55">
          <cell r="B55">
            <v>2028</v>
          </cell>
          <cell r="C55" t="str">
            <v>HLT520</v>
          </cell>
          <cell r="D55" t="str">
            <v>TENCEL</v>
          </cell>
          <cell r="E55" t="str">
            <v>30S*30S</v>
          </cell>
          <cell r="F55" t="str">
            <v>TENCEL 100%</v>
          </cell>
          <cell r="G55" t="str">
            <v>100%TENCEL</v>
          </cell>
          <cell r="H55" t="str">
            <v>57/58</v>
          </cell>
          <cell r="I55">
            <v>140</v>
          </cell>
          <cell r="J55">
            <v>3.1026194385800299</v>
          </cell>
          <cell r="K55">
            <v>3.7687074829932001</v>
          </cell>
          <cell r="L55">
            <v>3.1026194385800299</v>
          </cell>
          <cell r="M55">
            <v>3.7687074829932001</v>
          </cell>
          <cell r="N55">
            <v>3.20261943858003</v>
          </cell>
          <cell r="O55">
            <v>4.0687074829932</v>
          </cell>
          <cell r="P55"/>
          <cell r="Q55"/>
          <cell r="R55">
            <v>4.2026194385800304</v>
          </cell>
          <cell r="S55">
            <v>5.5687074829932</v>
          </cell>
          <cell r="T55"/>
          <cell r="U55"/>
          <cell r="V55"/>
          <cell r="W55"/>
          <cell r="X55" t="str">
            <v>CANDY</v>
          </cell>
          <cell r="Y55" t="str">
            <v>DMCARE-TRI-03</v>
          </cell>
          <cell r="Z55" t="str">
            <v>LEI 18/4/19</v>
          </cell>
          <cell r="AA55"/>
          <cell r="AB55">
            <v>43573</v>
          </cell>
          <cell r="AC55">
            <v>2028</v>
          </cell>
        </row>
        <row r="56">
          <cell r="B56">
            <v>4686</v>
          </cell>
          <cell r="C56" t="str">
            <v>OLP-PR00094</v>
          </cell>
          <cell r="D56" t="str">
            <v>RAYON SATEEN</v>
          </cell>
          <cell r="E56"/>
          <cell r="F56" t="str">
            <v>R100%</v>
          </cell>
          <cell r="G56" t="str">
            <v>100% RAYON</v>
          </cell>
          <cell r="H56" t="str">
            <v>57/58</v>
          </cell>
          <cell r="I56">
            <v>140</v>
          </cell>
          <cell r="J56">
            <v>1.65</v>
          </cell>
          <cell r="K56">
            <v>2.25</v>
          </cell>
          <cell r="L56">
            <v>1.67</v>
          </cell>
          <cell r="M56">
            <v>2.27</v>
          </cell>
          <cell r="N56">
            <v>1.69</v>
          </cell>
          <cell r="O56">
            <v>2.29</v>
          </cell>
          <cell r="P56"/>
          <cell r="Q56"/>
          <cell r="R56">
            <v>1.89</v>
          </cell>
          <cell r="S56"/>
          <cell r="T56"/>
          <cell r="U56"/>
          <cell r="V56"/>
          <cell r="W56"/>
          <cell r="X56" t="str">
            <v>OWEN</v>
          </cell>
          <cell r="Y56" t="str">
            <v>DMCARE-TRI-03</v>
          </cell>
          <cell r="Z56" t="str">
            <v>JOAN 17/4/49 BY WECHAT</v>
          </cell>
          <cell r="AA56"/>
          <cell r="AB56">
            <v>43572</v>
          </cell>
          <cell r="AC56">
            <v>4686</v>
          </cell>
        </row>
        <row r="57">
          <cell r="B57">
            <v>4685</v>
          </cell>
          <cell r="C57" t="str">
            <v>OLP-PR00255</v>
          </cell>
          <cell r="D57" t="str">
            <v>RAYON SATEEN</v>
          </cell>
          <cell r="E57"/>
          <cell r="F57" t="str">
            <v>V/R 52/48</v>
          </cell>
          <cell r="G57" t="str">
            <v>52% VISCOSE 48% RAYON</v>
          </cell>
          <cell r="H57" t="str">
            <v>51/52</v>
          </cell>
          <cell r="I57">
            <v>98</v>
          </cell>
          <cell r="J57">
            <v>2.96</v>
          </cell>
          <cell r="K57">
            <v>3.62</v>
          </cell>
          <cell r="L57">
            <v>2.98</v>
          </cell>
          <cell r="M57">
            <v>3.64</v>
          </cell>
          <cell r="N57">
            <v>3</v>
          </cell>
          <cell r="O57">
            <v>3.66</v>
          </cell>
          <cell r="P57"/>
          <cell r="Q57"/>
          <cell r="R57">
            <v>3.2</v>
          </cell>
          <cell r="S57"/>
          <cell r="T57"/>
          <cell r="U57"/>
          <cell r="V57"/>
          <cell r="W57"/>
          <cell r="X57" t="str">
            <v>OWEN</v>
          </cell>
          <cell r="Y57" t="str">
            <v>DMCARE-TRI-03</v>
          </cell>
          <cell r="Z57" t="str">
            <v>JOAN 17/4/49 BY WECHAT</v>
          </cell>
          <cell r="AA57"/>
          <cell r="AB57">
            <v>43572</v>
          </cell>
          <cell r="AC57">
            <v>4685</v>
          </cell>
        </row>
        <row r="58">
          <cell r="B58">
            <v>4684</v>
          </cell>
          <cell r="C58" t="str">
            <v>OLP-PP00270</v>
          </cell>
          <cell r="D58" t="str">
            <v>CHIFFON WITH SATEEN STRIPE</v>
          </cell>
          <cell r="E58"/>
          <cell r="F58" t="str">
            <v>T100%</v>
          </cell>
          <cell r="G58" t="str">
            <v>100% POLYESTER</v>
          </cell>
          <cell r="H58" t="str">
            <v>57/58</v>
          </cell>
          <cell r="I58">
            <v>70</v>
          </cell>
          <cell r="J58">
            <v>1.45</v>
          </cell>
          <cell r="K58">
            <v>1.71</v>
          </cell>
          <cell r="L58">
            <v>1.47</v>
          </cell>
          <cell r="M58">
            <v>1.73</v>
          </cell>
          <cell r="N58">
            <v>1.49</v>
          </cell>
          <cell r="O58">
            <v>1.75</v>
          </cell>
          <cell r="P58"/>
          <cell r="Q58"/>
          <cell r="R58">
            <v>1.69</v>
          </cell>
          <cell r="S58"/>
          <cell r="T58">
            <v>0.02</v>
          </cell>
          <cell r="U58">
            <v>0.02</v>
          </cell>
          <cell r="V58"/>
          <cell r="W58"/>
          <cell r="X58" t="str">
            <v>OWEN</v>
          </cell>
          <cell r="Y58" t="str">
            <v>DMCARE-TRI-02</v>
          </cell>
          <cell r="Z58" t="str">
            <v>JOAN 17/4/49 BY WECHAT</v>
          </cell>
          <cell r="AA58"/>
          <cell r="AB58">
            <v>43572</v>
          </cell>
          <cell r="AC58">
            <v>4684</v>
          </cell>
        </row>
        <row r="59">
          <cell r="B59">
            <v>2228</v>
          </cell>
          <cell r="C59" t="str">
            <v>OLP-1652704YH-B</v>
          </cell>
          <cell r="D59" t="str">
            <v>LINEN</v>
          </cell>
          <cell r="E59" t="str">
            <v>20*20</v>
          </cell>
          <cell r="F59" t="str">
            <v>LINEN/V 55/45</v>
          </cell>
          <cell r="G59" t="str">
            <v>55% LINEN 45% VISCOSE (  WASHED )</v>
          </cell>
          <cell r="H59" t="str">
            <v>52/53</v>
          </cell>
          <cell r="I59">
            <v>130</v>
          </cell>
          <cell r="J59">
            <v>2.76</v>
          </cell>
          <cell r="K59">
            <v>3.07</v>
          </cell>
          <cell r="L59">
            <v>2.81</v>
          </cell>
          <cell r="M59">
            <v>3.12</v>
          </cell>
          <cell r="N59">
            <v>2.87</v>
          </cell>
          <cell r="O59">
            <v>3.28</v>
          </cell>
          <cell r="P59" t="e">
            <v>#REF!</v>
          </cell>
          <cell r="Q59" t="e">
            <v>#REF!</v>
          </cell>
          <cell r="R59">
            <v>3.03</v>
          </cell>
          <cell r="S59">
            <v>4.03</v>
          </cell>
          <cell r="T59"/>
          <cell r="U59"/>
          <cell r="V59">
            <v>15</v>
          </cell>
          <cell r="W59"/>
          <cell r="X59" t="str">
            <v>OWEN</v>
          </cell>
          <cell r="Y59" t="str">
            <v>DMCARE-TRI-03</v>
          </cell>
          <cell r="Z59" t="str">
            <v>JOAN 17/4/19 by wechat</v>
          </cell>
          <cell r="AA59"/>
          <cell r="AB59">
            <v>43572</v>
          </cell>
          <cell r="AC59">
            <v>4586</v>
          </cell>
        </row>
        <row r="60">
          <cell r="B60">
            <v>2227</v>
          </cell>
          <cell r="C60" t="str">
            <v>OLP-161002</v>
          </cell>
          <cell r="D60" t="str">
            <v>LINEN BEFORE WASH</v>
          </cell>
          <cell r="E60" t="str">
            <v>10*10</v>
          </cell>
          <cell r="F60" t="str">
            <v>LINEN/V 55/45</v>
          </cell>
          <cell r="G60" t="str">
            <v>55% LINEN 45% VISCOSE ( UN WASHED )</v>
          </cell>
          <cell r="H60" t="str">
            <v>53/54''</v>
          </cell>
          <cell r="I60">
            <v>185</v>
          </cell>
          <cell r="J60">
            <v>2.23</v>
          </cell>
          <cell r="K60">
            <v>2.57</v>
          </cell>
          <cell r="L60">
            <v>2.2799999999999998</v>
          </cell>
          <cell r="M60">
            <v>2.62</v>
          </cell>
          <cell r="N60">
            <v>2.34</v>
          </cell>
          <cell r="O60">
            <v>2.78</v>
          </cell>
          <cell r="P60" t="e">
            <v>#REF!</v>
          </cell>
          <cell r="Q60" t="e">
            <v>#REF!</v>
          </cell>
          <cell r="R60">
            <v>2.4900000000000002</v>
          </cell>
          <cell r="S60">
            <v>3.53</v>
          </cell>
          <cell r="T60"/>
          <cell r="U60"/>
          <cell r="V60">
            <v>15</v>
          </cell>
          <cell r="W60"/>
          <cell r="X60" t="str">
            <v>OWEN</v>
          </cell>
          <cell r="Y60" t="str">
            <v>DMCARE-TRI-03</v>
          </cell>
          <cell r="Z60" t="str">
            <v>JOAN 17/4/19 by wechat</v>
          </cell>
          <cell r="AA60"/>
          <cell r="AB60">
            <v>43572</v>
          </cell>
          <cell r="AC60">
            <v>4585</v>
          </cell>
        </row>
        <row r="61">
          <cell r="B61">
            <v>1748</v>
          </cell>
          <cell r="C61" t="str">
            <v>GFTS 394 DY</v>
          </cell>
          <cell r="D61"/>
          <cell r="E61"/>
          <cell r="F61" t="str">
            <v>V100%</v>
          </cell>
          <cell r="G61" t="str">
            <v>100% VISCOSE</v>
          </cell>
          <cell r="H61" t="str">
            <v>53/54</v>
          </cell>
          <cell r="I61">
            <v>120</v>
          </cell>
          <cell r="J61">
            <v>2.4500000000000002</v>
          </cell>
          <cell r="K61">
            <v>3</v>
          </cell>
          <cell r="L61">
            <v>2.4700000000000002</v>
          </cell>
          <cell r="M61">
            <v>3.02</v>
          </cell>
          <cell r="N61">
            <v>2.4900000000000002</v>
          </cell>
          <cell r="O61">
            <v>3.04</v>
          </cell>
          <cell r="P61"/>
          <cell r="Q61"/>
          <cell r="R61">
            <v>2.69</v>
          </cell>
          <cell r="S61"/>
          <cell r="T61"/>
          <cell r="U61"/>
          <cell r="V61"/>
          <cell r="W61"/>
          <cell r="X61" t="str">
            <v>OWEN</v>
          </cell>
          <cell r="Y61" t="str">
            <v>DMCARE-TRI-01</v>
          </cell>
          <cell r="Z61" t="str">
            <v>JOAN 17/4/49 BY WECHAT</v>
          </cell>
          <cell r="AA61"/>
          <cell r="AB61">
            <v>43572</v>
          </cell>
          <cell r="AC61">
            <v>1748</v>
          </cell>
        </row>
        <row r="62">
          <cell r="B62">
            <v>4589</v>
          </cell>
          <cell r="C62" t="str">
            <v>ST-W8075</v>
          </cell>
          <cell r="D62" t="str">
            <v>SATEEN</v>
          </cell>
          <cell r="E62" t="str">
            <v>50D*50D+20D 15T*12T</v>
          </cell>
          <cell r="F62" t="str">
            <v>T/S 97/3</v>
          </cell>
          <cell r="G62" t="str">
            <v>97% POLYETSER 3% SPANDEX</v>
          </cell>
          <cell r="H62" t="str">
            <v>57/58</v>
          </cell>
          <cell r="I62">
            <v>95</v>
          </cell>
          <cell r="J62">
            <v>1.3599999999999999</v>
          </cell>
          <cell r="K62">
            <v>1.61</v>
          </cell>
          <cell r="L62">
            <v>1.38</v>
          </cell>
          <cell r="M62">
            <v>1.64</v>
          </cell>
          <cell r="N62">
            <v>1.39</v>
          </cell>
          <cell r="O62">
            <v>1.65</v>
          </cell>
          <cell r="P62">
            <v>1.55</v>
          </cell>
          <cell r="Q62">
            <v>1.85</v>
          </cell>
          <cell r="R62">
            <v>2.4300000000000002</v>
          </cell>
          <cell r="S62">
            <v>2.87</v>
          </cell>
          <cell r="T62"/>
          <cell r="U62"/>
          <cell r="V62"/>
          <cell r="W62"/>
          <cell r="X62" t="str">
            <v>SIGER</v>
          </cell>
          <cell r="Y62"/>
          <cell r="Z62" t="str">
            <v>CARA 16/4/19 BY WECHAT</v>
          </cell>
          <cell r="AA62"/>
          <cell r="AB62">
            <v>43571</v>
          </cell>
          <cell r="AC62">
            <v>4589</v>
          </cell>
        </row>
        <row r="63">
          <cell r="B63">
            <v>4683</v>
          </cell>
          <cell r="C63" t="str">
            <v>CT1302766/P</v>
          </cell>
          <cell r="D63" t="str">
            <v>CDC - SAME 261</v>
          </cell>
          <cell r="E63" t="str">
            <v>20D+26D*75D</v>
          </cell>
          <cell r="F63" t="str">
            <v>T100%</v>
          </cell>
          <cell r="G63" t="str">
            <v>100% POLYESTER</v>
          </cell>
          <cell r="H63" t="str">
            <v>57/58</v>
          </cell>
          <cell r="I63">
            <v>80</v>
          </cell>
          <cell r="J63">
            <v>0.94000000000000006</v>
          </cell>
          <cell r="K63">
            <v>1.24</v>
          </cell>
          <cell r="L63">
            <v>0.94000000000000006</v>
          </cell>
          <cell r="M63">
            <v>1.24</v>
          </cell>
          <cell r="N63">
            <v>0.94000000000000006</v>
          </cell>
          <cell r="O63">
            <v>1.24</v>
          </cell>
          <cell r="P63">
            <v>0.02</v>
          </cell>
          <cell r="Q63">
            <v>0.02</v>
          </cell>
          <cell r="R63">
            <v>1.0900000000000001</v>
          </cell>
          <cell r="S63">
            <v>1.59</v>
          </cell>
          <cell r="T63"/>
          <cell r="U63"/>
          <cell r="V63"/>
          <cell r="W63" t="str">
            <v>**  SAME 261 FOR DMC</v>
          </cell>
          <cell r="X63" t="str">
            <v>BONNIE</v>
          </cell>
          <cell r="Y63" t="str">
            <v>DMCARE-TRI-03</v>
          </cell>
          <cell r="Z63" t="str">
            <v>BONNIE 9/4/19</v>
          </cell>
          <cell r="AA63"/>
          <cell r="AB63">
            <v>43560</v>
          </cell>
          <cell r="AC63">
            <v>4683</v>
          </cell>
        </row>
        <row r="64">
          <cell r="B64">
            <v>4681</v>
          </cell>
          <cell r="C64" t="str">
            <v>M16566</v>
          </cell>
          <cell r="D64" t="str">
            <v>FANCY SLUB POLY</v>
          </cell>
          <cell r="E64"/>
          <cell r="F64" t="str">
            <v>T100%</v>
          </cell>
          <cell r="G64" t="str">
            <v>100% POLYESTER</v>
          </cell>
          <cell r="H64" t="str">
            <v>57/58</v>
          </cell>
          <cell r="I64">
            <v>120</v>
          </cell>
          <cell r="J64">
            <v>1.1499999999999999</v>
          </cell>
          <cell r="K64">
            <v>1.32</v>
          </cell>
          <cell r="L64">
            <v>1.17</v>
          </cell>
          <cell r="M64">
            <v>1.36</v>
          </cell>
          <cell r="N64">
            <v>1.22</v>
          </cell>
          <cell r="O64">
            <v>1.45</v>
          </cell>
          <cell r="P64"/>
          <cell r="Q64"/>
          <cell r="R64">
            <v>1.32</v>
          </cell>
          <cell r="S64"/>
          <cell r="T64"/>
          <cell r="U64"/>
          <cell r="V64"/>
          <cell r="W64"/>
          <cell r="X64" t="str">
            <v>MARY</v>
          </cell>
          <cell r="Y64"/>
          <cell r="Z64" t="str">
            <v>MARY 4/4/19</v>
          </cell>
          <cell r="AA64"/>
          <cell r="AB64">
            <v>43559</v>
          </cell>
          <cell r="AC64">
            <v>4681</v>
          </cell>
        </row>
        <row r="65">
          <cell r="B65">
            <v>4680</v>
          </cell>
          <cell r="C65" t="str">
            <v>M20759</v>
          </cell>
          <cell r="D65" t="str">
            <v>SLUB POLY</v>
          </cell>
          <cell r="E65"/>
          <cell r="F65" t="str">
            <v>T/S 98/2</v>
          </cell>
          <cell r="G65" t="str">
            <v>98% POLYESTER 2% SPANDEX</v>
          </cell>
          <cell r="H65" t="str">
            <v>57/58</v>
          </cell>
          <cell r="I65" t="str">
            <v>140-145</v>
          </cell>
          <cell r="J65">
            <v>1.3</v>
          </cell>
          <cell r="K65">
            <v>1.46</v>
          </cell>
          <cell r="L65">
            <v>1.32</v>
          </cell>
          <cell r="M65">
            <v>1.5</v>
          </cell>
          <cell r="N65">
            <v>1.36</v>
          </cell>
          <cell r="O65">
            <v>1.58</v>
          </cell>
          <cell r="P65"/>
          <cell r="Q65"/>
          <cell r="R65">
            <v>1.45</v>
          </cell>
          <cell r="S65"/>
          <cell r="T65"/>
          <cell r="U65"/>
          <cell r="V65"/>
          <cell r="W65"/>
          <cell r="X65" t="str">
            <v>MARY</v>
          </cell>
          <cell r="Y65"/>
          <cell r="Z65" t="str">
            <v>MARY 4/4/19</v>
          </cell>
          <cell r="AA65"/>
          <cell r="AB65">
            <v>43559</v>
          </cell>
          <cell r="AC65">
            <v>4680</v>
          </cell>
        </row>
        <row r="66">
          <cell r="B66">
            <v>4679</v>
          </cell>
          <cell r="C66" t="str">
            <v>M19841</v>
          </cell>
          <cell r="D66" t="str">
            <v>TWILL STRETCH POLY</v>
          </cell>
          <cell r="E66"/>
          <cell r="F66" t="str">
            <v>T/S 98/2</v>
          </cell>
          <cell r="G66" t="str">
            <v>98% POLYESTER 2% SPANDEX</v>
          </cell>
          <cell r="H66" t="str">
            <v>57/58</v>
          </cell>
          <cell r="I66">
            <v>110</v>
          </cell>
          <cell r="J66">
            <v>0.97</v>
          </cell>
          <cell r="K66">
            <v>1.1499999999999999</v>
          </cell>
          <cell r="L66">
            <v>0.98</v>
          </cell>
          <cell r="M66">
            <v>1.1599999999999999</v>
          </cell>
          <cell r="N66">
            <v>1.02</v>
          </cell>
          <cell r="O66">
            <v>1.22</v>
          </cell>
          <cell r="P66"/>
          <cell r="Q66"/>
          <cell r="R66">
            <v>1.1000000000000001</v>
          </cell>
          <cell r="S66"/>
          <cell r="T66"/>
          <cell r="U66"/>
          <cell r="V66"/>
          <cell r="W66"/>
          <cell r="X66" t="str">
            <v>MARY</v>
          </cell>
          <cell r="Y66"/>
          <cell r="Z66" t="str">
            <v>MARY 4/4/19</v>
          </cell>
          <cell r="AA66"/>
          <cell r="AB66">
            <v>43559</v>
          </cell>
          <cell r="AC66">
            <v>4679</v>
          </cell>
        </row>
        <row r="67">
          <cell r="B67">
            <v>4678</v>
          </cell>
          <cell r="C67" t="str">
            <v>GL1245</v>
          </cell>
          <cell r="D67" t="str">
            <v>SINGLE JERSEY ( SIRO SPUN )</v>
          </cell>
          <cell r="E67"/>
          <cell r="F67" t="str">
            <v>V/S 96/4</v>
          </cell>
          <cell r="G67" t="str">
            <v>96% VISCOSE 4% SPANDEX</v>
          </cell>
          <cell r="H67" t="str">
            <v>64/65</v>
          </cell>
          <cell r="I67">
            <v>230</v>
          </cell>
          <cell r="J67">
            <v>2.5</v>
          </cell>
          <cell r="K67"/>
          <cell r="L67">
            <v>2.5499999999999998</v>
          </cell>
          <cell r="M67"/>
          <cell r="N67">
            <v>2.5499999999999998</v>
          </cell>
          <cell r="O67"/>
          <cell r="P67"/>
          <cell r="Q67"/>
          <cell r="R67"/>
          <cell r="S67"/>
          <cell r="T67"/>
          <cell r="U67"/>
          <cell r="V67"/>
          <cell r="W67" t="str">
            <v>Y/D fabric MOQ 2.700m</v>
          </cell>
          <cell r="X67" t="str">
            <v>NICKY</v>
          </cell>
          <cell r="Y67"/>
          <cell r="Z67" t="str">
            <v>NICKY 4/4/19 BY WECHAT</v>
          </cell>
          <cell r="AA67"/>
          <cell r="AB67">
            <v>43559</v>
          </cell>
          <cell r="AC67">
            <v>4678</v>
          </cell>
        </row>
        <row r="68">
          <cell r="B68">
            <v>4677</v>
          </cell>
          <cell r="C68" t="str">
            <v>GL1244</v>
          </cell>
          <cell r="D68" t="str">
            <v>SINGLE JERSEY ( SIRO SPUN )</v>
          </cell>
          <cell r="E68"/>
          <cell r="F68" t="str">
            <v>V/S 95/5</v>
          </cell>
          <cell r="G68" t="str">
            <v>95% VISCOSE 5% SPANDEX</v>
          </cell>
          <cell r="H68" t="str">
            <v>64/65</v>
          </cell>
          <cell r="I68">
            <v>190</v>
          </cell>
          <cell r="J68">
            <v>2.1</v>
          </cell>
          <cell r="K68"/>
          <cell r="L68">
            <v>2.15</v>
          </cell>
          <cell r="M68"/>
          <cell r="N68">
            <v>2.15</v>
          </cell>
          <cell r="O68"/>
          <cell r="P68"/>
          <cell r="Q68"/>
          <cell r="R68"/>
          <cell r="S68"/>
          <cell r="T68"/>
          <cell r="U68"/>
          <cell r="V68"/>
          <cell r="W68" t="str">
            <v>Y/D fabric MOQ 3.000m</v>
          </cell>
          <cell r="X68" t="str">
            <v>NICKY</v>
          </cell>
          <cell r="Y68"/>
          <cell r="Z68" t="str">
            <v>NICKY 4/4/19 BY WECHAT</v>
          </cell>
          <cell r="AA68"/>
          <cell r="AB68">
            <v>43559</v>
          </cell>
          <cell r="AC68">
            <v>4677</v>
          </cell>
        </row>
        <row r="69">
          <cell r="B69">
            <v>4676</v>
          </cell>
          <cell r="C69" t="str">
            <v>XH-3716</v>
          </cell>
          <cell r="D69" t="str">
            <v>LINEN</v>
          </cell>
          <cell r="E69" t="str">
            <v>30*68</v>
          </cell>
          <cell r="F69" t="str">
            <v>V/L 89/11</v>
          </cell>
          <cell r="G69" t="str">
            <v>89%VISCOSE 11%LINEN</v>
          </cell>
          <cell r="H69" t="str">
            <v>54/55</v>
          </cell>
          <cell r="I69">
            <v>130</v>
          </cell>
          <cell r="J69">
            <v>1.9</v>
          </cell>
          <cell r="K69"/>
          <cell r="L69">
            <v>1.9</v>
          </cell>
          <cell r="M69"/>
          <cell r="N69">
            <v>1.97</v>
          </cell>
          <cell r="O69"/>
          <cell r="P69"/>
          <cell r="Q69"/>
          <cell r="R69">
            <v>2</v>
          </cell>
          <cell r="S69"/>
          <cell r="T69"/>
          <cell r="U69"/>
          <cell r="V69"/>
          <cell r="W69"/>
          <cell r="X69" t="str">
            <v>ALICE</v>
          </cell>
          <cell r="Y69"/>
          <cell r="Z69" t="str">
            <v>SALLY 4/4/19</v>
          </cell>
          <cell r="AA69"/>
          <cell r="AB69">
            <v>43559</v>
          </cell>
          <cell r="AC69">
            <v>4676</v>
          </cell>
        </row>
        <row r="70">
          <cell r="B70">
            <v>4682</v>
          </cell>
          <cell r="C70" t="str">
            <v>F3126</v>
          </cell>
          <cell r="D70" t="str">
            <v>Y/D RAYON STRIPE - LINEN LOOK</v>
          </cell>
          <cell r="E70" t="str">
            <v>R32S*26S/70*60</v>
          </cell>
          <cell r="F70" t="str">
            <v>R100%</v>
          </cell>
          <cell r="G70" t="str">
            <v>100% RAYON, Y/D STRIPE</v>
          </cell>
          <cell r="H70" t="str">
            <v>57/58</v>
          </cell>
          <cell r="I70">
            <v>125</v>
          </cell>
          <cell r="J70">
            <v>1.67</v>
          </cell>
          <cell r="K70"/>
          <cell r="L70">
            <v>1.72</v>
          </cell>
          <cell r="M70"/>
          <cell r="N70">
            <v>1.79</v>
          </cell>
          <cell r="O70"/>
          <cell r="P70"/>
          <cell r="Q70"/>
          <cell r="R70"/>
          <cell r="S70"/>
          <cell r="T70"/>
          <cell r="U70"/>
          <cell r="V70"/>
          <cell r="W70"/>
          <cell r="X70" t="str">
            <v>UYEN</v>
          </cell>
          <cell r="Y70"/>
          <cell r="Z70" t="str">
            <v>UYEN 3/4/19</v>
          </cell>
          <cell r="AA70"/>
          <cell r="AB70">
            <v>43558</v>
          </cell>
          <cell r="AC70">
            <v>4682</v>
          </cell>
        </row>
        <row r="71">
          <cell r="B71">
            <v>4675</v>
          </cell>
          <cell r="C71" t="str">
            <v>LM01</v>
          </cell>
          <cell r="D71" t="str">
            <v>MESH FOR LINING</v>
          </cell>
          <cell r="E71"/>
          <cell r="F71" t="str">
            <v>T100%</v>
          </cell>
          <cell r="G71" t="str">
            <v>100% POLYESTER</v>
          </cell>
          <cell r="H71" t="str">
            <v>58/59</v>
          </cell>
          <cell r="I71" t="str">
            <v>20-30</v>
          </cell>
          <cell r="J71">
            <v>0.3</v>
          </cell>
          <cell r="K71"/>
          <cell r="L71">
            <v>0.3</v>
          </cell>
          <cell r="M71"/>
          <cell r="N71">
            <v>0.4</v>
          </cell>
          <cell r="O71"/>
          <cell r="P71"/>
          <cell r="Q71"/>
          <cell r="R71">
            <v>0.68</v>
          </cell>
          <cell r="S71"/>
          <cell r="T71"/>
          <cell r="U71"/>
          <cell r="V71"/>
          <cell r="W71"/>
          <cell r="X71" t="str">
            <v>UYEN</v>
          </cell>
          <cell r="Y71"/>
          <cell r="Z71" t="str">
            <v>UYEN 3/4/19</v>
          </cell>
          <cell r="AA71"/>
          <cell r="AB71">
            <v>43558</v>
          </cell>
          <cell r="AC71">
            <v>4675</v>
          </cell>
        </row>
        <row r="72">
          <cell r="B72">
            <v>4673</v>
          </cell>
          <cell r="C72" t="str">
            <v>M105000EP-2</v>
          </cell>
          <cell r="D72" t="str">
            <v>cotton voile - 4672 with lurex stripe</v>
          </cell>
          <cell r="E72" t="str">
            <v>50S*50S/90*88</v>
          </cell>
          <cell r="F72" t="str">
            <v>C100%</v>
          </cell>
          <cell r="G72" t="str">
            <v>100% COTTON</v>
          </cell>
          <cell r="H72" t="str">
            <v>55/56"</v>
          </cell>
          <cell r="I72" t="str">
            <v>80-85</v>
          </cell>
          <cell r="J72">
            <v>1.73</v>
          </cell>
          <cell r="K72">
            <v>1.87</v>
          </cell>
          <cell r="L72">
            <v>1.74</v>
          </cell>
          <cell r="M72">
            <v>1.9</v>
          </cell>
          <cell r="N72">
            <v>1.98</v>
          </cell>
          <cell r="O72">
            <v>2.09</v>
          </cell>
          <cell r="P72"/>
          <cell r="Q72"/>
          <cell r="R72">
            <v>2.4500000000000002</v>
          </cell>
          <cell r="S72">
            <v>2.68</v>
          </cell>
          <cell r="T72"/>
          <cell r="U72"/>
          <cell r="V72"/>
          <cell r="W72"/>
          <cell r="X72" t="str">
            <v>UYEN</v>
          </cell>
          <cell r="Y72"/>
          <cell r="Z72" t="str">
            <v>UYEN 2/4/19 BY WECHAT</v>
          </cell>
          <cell r="AA72"/>
          <cell r="AB72">
            <v>43557</v>
          </cell>
          <cell r="AC72">
            <v>4673</v>
          </cell>
        </row>
        <row r="73">
          <cell r="B73">
            <v>4672</v>
          </cell>
          <cell r="C73" t="str">
            <v>M105000EP</v>
          </cell>
          <cell r="D73" t="str">
            <v>COTTON VOILE</v>
          </cell>
          <cell r="E73" t="str">
            <v>50S*50S/90*88</v>
          </cell>
          <cell r="F73" t="str">
            <v>C100%</v>
          </cell>
          <cell r="G73" t="str">
            <v>100% COTTON</v>
          </cell>
          <cell r="H73" t="str">
            <v>55/56"</v>
          </cell>
          <cell r="I73" t="str">
            <v>80-85</v>
          </cell>
          <cell r="J73">
            <v>1.58</v>
          </cell>
          <cell r="K73">
            <v>1.72</v>
          </cell>
          <cell r="L73">
            <v>1.59</v>
          </cell>
          <cell r="M73">
            <v>1.75</v>
          </cell>
          <cell r="N73">
            <v>1.62</v>
          </cell>
          <cell r="O73">
            <v>1.78</v>
          </cell>
          <cell r="P73"/>
          <cell r="Q73"/>
          <cell r="R73">
            <v>1.83</v>
          </cell>
          <cell r="S73">
            <v>1.98</v>
          </cell>
          <cell r="T73"/>
          <cell r="U73"/>
          <cell r="V73"/>
          <cell r="W73"/>
          <cell r="X73" t="str">
            <v>UYEN</v>
          </cell>
          <cell r="Y73"/>
          <cell r="Z73" t="str">
            <v>UYEN 2/4/19 BY WECHAT</v>
          </cell>
          <cell r="AA73"/>
          <cell r="AB73">
            <v>43557</v>
          </cell>
          <cell r="AC73">
            <v>4672</v>
          </cell>
        </row>
        <row r="74">
          <cell r="B74">
            <v>4671</v>
          </cell>
          <cell r="C74" t="str">
            <v>CP0914-1</v>
          </cell>
          <cell r="D74" t="str">
            <v>COTTON VOILE</v>
          </cell>
          <cell r="E74" t="str">
            <v>60S*60S/110*110</v>
          </cell>
          <cell r="F74" t="str">
            <v>C100%</v>
          </cell>
          <cell r="G74" t="str">
            <v>100% COTTON</v>
          </cell>
          <cell r="H74" t="str">
            <v>57/58"</v>
          </cell>
          <cell r="I74" t="str">
            <v>80-85</v>
          </cell>
          <cell r="J74">
            <v>1.66</v>
          </cell>
          <cell r="K74">
            <v>1.76</v>
          </cell>
          <cell r="L74">
            <v>1.69</v>
          </cell>
          <cell r="M74">
            <v>1.79</v>
          </cell>
          <cell r="N74">
            <v>1.71</v>
          </cell>
          <cell r="O74">
            <v>1.82</v>
          </cell>
          <cell r="P74"/>
          <cell r="Q74"/>
          <cell r="R74">
            <v>1.79</v>
          </cell>
          <cell r="S74">
            <v>2.0099999999999998</v>
          </cell>
          <cell r="T74"/>
          <cell r="U74"/>
          <cell r="V74"/>
          <cell r="W74"/>
          <cell r="X74" t="str">
            <v>UYEN</v>
          </cell>
          <cell r="Y74"/>
          <cell r="Z74" t="str">
            <v>UYEN 2/4/19 BY WECHAT</v>
          </cell>
          <cell r="AA74"/>
          <cell r="AB74">
            <v>43557</v>
          </cell>
          <cell r="AC74">
            <v>4671</v>
          </cell>
        </row>
        <row r="75">
          <cell r="B75">
            <v>4660</v>
          </cell>
          <cell r="C75" t="str">
            <v>M-K18087-G</v>
          </cell>
          <cell r="D75" t="str">
            <v>PLEAT KNIT same 4659 with small pleat</v>
          </cell>
          <cell r="E75" t="str">
            <v>50D*50D</v>
          </cell>
          <cell r="F75" t="str">
            <v>T100%</v>
          </cell>
          <cell r="G75" t="str">
            <v>100% POLYESTER</v>
          </cell>
          <cell r="H75" t="str">
            <v>55/56</v>
          </cell>
          <cell r="I75">
            <v>160</v>
          </cell>
          <cell r="J75">
            <v>1.4420000000000002</v>
          </cell>
          <cell r="K75">
            <v>1.6480000000000001</v>
          </cell>
          <cell r="L75">
            <v>1.4420000000000002</v>
          </cell>
          <cell r="M75">
            <v>1.6789000000000001</v>
          </cell>
          <cell r="N75">
            <v>1.4626000000000001</v>
          </cell>
          <cell r="O75">
            <v>1.6686000000000001</v>
          </cell>
          <cell r="P75">
            <v>0.05</v>
          </cell>
          <cell r="Q75">
            <v>0.05</v>
          </cell>
          <cell r="R75">
            <v>1.5449999999999999</v>
          </cell>
          <cell r="S75">
            <v>1.7716000000000001</v>
          </cell>
          <cell r="T75"/>
          <cell r="U75"/>
          <cell r="V75"/>
          <cell r="W75"/>
          <cell r="X75" t="str">
            <v>M-TEX</v>
          </cell>
          <cell r="Y75"/>
          <cell r="Z75" t="str">
            <v>LINDA 2/4/19 BY WECHAT</v>
          </cell>
          <cell r="AA75"/>
          <cell r="AB75">
            <v>43557</v>
          </cell>
          <cell r="AC75">
            <v>4659</v>
          </cell>
        </row>
        <row r="76">
          <cell r="B76">
            <v>4659</v>
          </cell>
          <cell r="C76" t="str">
            <v>M-K18087-G</v>
          </cell>
          <cell r="D76" t="str">
            <v>PLEAT KNIT - big pleat</v>
          </cell>
          <cell r="E76" t="str">
            <v>50D*50D</v>
          </cell>
          <cell r="F76" t="str">
            <v>T100%</v>
          </cell>
          <cell r="G76" t="str">
            <v>100% POLYESTER</v>
          </cell>
          <cell r="H76" t="str">
            <v>55/56</v>
          </cell>
          <cell r="I76">
            <v>130</v>
          </cell>
          <cell r="J76">
            <v>1.35</v>
          </cell>
          <cell r="K76">
            <v>1.55</v>
          </cell>
          <cell r="L76">
            <v>1.35</v>
          </cell>
          <cell r="M76">
            <v>1.58</v>
          </cell>
          <cell r="N76">
            <v>1.37</v>
          </cell>
          <cell r="O76">
            <v>1.57</v>
          </cell>
          <cell r="P76"/>
          <cell r="Q76"/>
          <cell r="R76">
            <v>1.4935</v>
          </cell>
          <cell r="S76">
            <v>1.7201</v>
          </cell>
          <cell r="T76"/>
          <cell r="U76"/>
          <cell r="V76"/>
          <cell r="W76"/>
          <cell r="X76" t="str">
            <v>M-TEX</v>
          </cell>
          <cell r="Y76"/>
          <cell r="Z76" t="str">
            <v>LINDA 2/4/19 BY WECHAT</v>
          </cell>
          <cell r="AA76"/>
          <cell r="AB76">
            <v>43557</v>
          </cell>
          <cell r="AC76">
            <v>4659</v>
          </cell>
        </row>
        <row r="77">
          <cell r="B77">
            <v>4646</v>
          </cell>
          <cell r="C77" t="str">
            <v>M-R1583</v>
          </cell>
          <cell r="D77" t="str">
            <v>SLUB RAYON</v>
          </cell>
          <cell r="E77" t="str">
            <v xml:space="preserve">R21*R21 </v>
          </cell>
          <cell r="F77" t="str">
            <v>R100%</v>
          </cell>
          <cell r="G77" t="str">
            <v>100% RAYON</v>
          </cell>
          <cell r="H77" t="str">
            <v>140cm</v>
          </cell>
          <cell r="I77">
            <v>140</v>
          </cell>
          <cell r="J77">
            <v>1.4625999999999999</v>
          </cell>
          <cell r="K77">
            <v>1.6686000000000001</v>
          </cell>
          <cell r="L77">
            <v>1.4625999999999999</v>
          </cell>
          <cell r="M77">
            <v>1.6995</v>
          </cell>
          <cell r="N77">
            <v>1.5141</v>
          </cell>
          <cell r="O77">
            <v>1.8746</v>
          </cell>
          <cell r="P77">
            <v>1.6171000000000002</v>
          </cell>
          <cell r="Q77">
            <v>2.5441000000000003</v>
          </cell>
          <cell r="R77">
            <v>1.6171000000000002</v>
          </cell>
          <cell r="S77">
            <v>2.5441000000000003</v>
          </cell>
          <cell r="T77"/>
          <cell r="U77"/>
          <cell r="V77"/>
          <cell r="W77"/>
          <cell r="X77" t="str">
            <v>M-TEX</v>
          </cell>
          <cell r="Y77"/>
          <cell r="Z77" t="str">
            <v>LINDA 2/4/19 by we chat</v>
          </cell>
          <cell r="AA77"/>
          <cell r="AB77">
            <v>43557</v>
          </cell>
          <cell r="AC77">
            <v>4646</v>
          </cell>
        </row>
        <row r="78">
          <cell r="B78">
            <v>4633</v>
          </cell>
          <cell r="C78" t="str">
            <v>GMA18111340</v>
          </cell>
          <cell r="D78" t="str">
            <v>CHECK YD COTTON</v>
          </cell>
          <cell r="E78" t="str">
            <v>21X21/54X52</v>
          </cell>
          <cell r="F78" t="str">
            <v>C100%</v>
          </cell>
          <cell r="G78" t="str">
            <v>100% COTTON</v>
          </cell>
          <cell r="H78" t="str">
            <v>52/53</v>
          </cell>
          <cell r="I78">
            <v>123</v>
          </cell>
          <cell r="J78"/>
          <cell r="K78">
            <v>1.94</v>
          </cell>
          <cell r="L78"/>
          <cell r="M78">
            <v>1.97</v>
          </cell>
          <cell r="N78"/>
          <cell r="O78">
            <v>1.97</v>
          </cell>
          <cell r="P78"/>
          <cell r="Q78"/>
          <cell r="R78"/>
          <cell r="S78">
            <v>2.17</v>
          </cell>
          <cell r="T78"/>
          <cell r="U78"/>
          <cell r="V78"/>
          <cell r="W78"/>
          <cell r="X78" t="str">
            <v>LINDSAY</v>
          </cell>
          <cell r="Y78"/>
          <cell r="Z78" t="str">
            <v>LINDSAY 2/4/19 BY WECHAT</v>
          </cell>
          <cell r="AA78"/>
          <cell r="AB78">
            <v>43557</v>
          </cell>
          <cell r="AC78">
            <v>4633</v>
          </cell>
        </row>
        <row r="79">
          <cell r="B79">
            <v>4480</v>
          </cell>
          <cell r="C79" t="str">
            <v>OLP-YC00031</v>
          </cell>
          <cell r="D79" t="str">
            <v xml:space="preserve">Y/D </v>
          </cell>
          <cell r="E79"/>
          <cell r="F79" t="str">
            <v>R/T/C 42/38/20</v>
          </cell>
          <cell r="G79" t="str">
            <v xml:space="preserve">42% VISCOSE 38% POLYESTER 20% COTTON </v>
          </cell>
          <cell r="H79" t="str">
            <v>57/58</v>
          </cell>
          <cell r="I79">
            <v>112</v>
          </cell>
          <cell r="J79">
            <v>1.83</v>
          </cell>
          <cell r="K79"/>
          <cell r="L79">
            <v>1.83</v>
          </cell>
          <cell r="M79"/>
          <cell r="N79">
            <v>1.83</v>
          </cell>
          <cell r="O79"/>
          <cell r="P79">
            <v>1.94</v>
          </cell>
          <cell r="Q79"/>
          <cell r="R79">
            <v>1.99</v>
          </cell>
          <cell r="S79"/>
          <cell r="T79"/>
          <cell r="U79"/>
          <cell r="V79">
            <v>15</v>
          </cell>
          <cell r="W79"/>
          <cell r="X79" t="str">
            <v>OWEN</v>
          </cell>
          <cell r="Y79" t="str">
            <v>DMCARE-TRI-02</v>
          </cell>
          <cell r="Z79" t="str">
            <v>JOAN 2/4/2019 by wechat</v>
          </cell>
          <cell r="AA79"/>
          <cell r="AB79">
            <v>43557</v>
          </cell>
          <cell r="AC79">
            <v>4480</v>
          </cell>
        </row>
        <row r="80">
          <cell r="B80">
            <v>4665</v>
          </cell>
          <cell r="C80" t="str">
            <v>XJ-5018/R-7091</v>
          </cell>
          <cell r="D80" t="str">
            <v>same AMW4612 w/o air flow</v>
          </cell>
          <cell r="E80" t="str">
            <v>(68D+50D)*(68D+50D)</v>
          </cell>
          <cell r="F80" t="str">
            <v>T100%</v>
          </cell>
          <cell r="G80" t="str">
            <v>100%POLYESTER</v>
          </cell>
          <cell r="H80" t="str">
            <v>58/59"</v>
          </cell>
          <cell r="I80">
            <v>170</v>
          </cell>
          <cell r="J80">
            <v>1.3</v>
          </cell>
          <cell r="K80">
            <v>1.55</v>
          </cell>
          <cell r="L80">
            <v>1.3</v>
          </cell>
          <cell r="M80">
            <v>1.55</v>
          </cell>
          <cell r="N80">
            <v>1.45</v>
          </cell>
          <cell r="O80">
            <v>1.7</v>
          </cell>
          <cell r="P80"/>
          <cell r="Q80"/>
          <cell r="R80">
            <v>1.6</v>
          </cell>
          <cell r="S80">
            <v>1.85</v>
          </cell>
          <cell r="T80"/>
          <cell r="U80"/>
          <cell r="V80"/>
          <cell r="W80"/>
          <cell r="X80" t="str">
            <v>ALICE</v>
          </cell>
          <cell r="Y80"/>
          <cell r="Z80" t="str">
            <v>SALLY 1/4/19 BY WECHAT</v>
          </cell>
          <cell r="AA80"/>
          <cell r="AB80">
            <v>43556</v>
          </cell>
          <cell r="AC80">
            <v>4665</v>
          </cell>
        </row>
        <row r="81">
          <cell r="B81">
            <v>4653</v>
          </cell>
          <cell r="C81" t="str">
            <v>XJ-4535</v>
          </cell>
          <cell r="D81" t="str">
            <v>same 4189</v>
          </cell>
          <cell r="E81" t="str">
            <v>(50D+68D)*(50D+68D)</v>
          </cell>
          <cell r="F81" t="str">
            <v>T100%</v>
          </cell>
          <cell r="G81" t="str">
            <v>100%POLYESTER</v>
          </cell>
          <cell r="H81" t="str">
            <v>58/59"</v>
          </cell>
          <cell r="I81">
            <v>143</v>
          </cell>
          <cell r="J81">
            <v>1.1299999999999999</v>
          </cell>
          <cell r="K81">
            <v>1.43</v>
          </cell>
          <cell r="L81">
            <v>1.25</v>
          </cell>
          <cell r="M81">
            <v>1.43</v>
          </cell>
          <cell r="N81">
            <v>1.25</v>
          </cell>
          <cell r="O81">
            <v>1.43</v>
          </cell>
          <cell r="P81"/>
          <cell r="Q81"/>
          <cell r="R81">
            <v>1.31</v>
          </cell>
          <cell r="S81"/>
          <cell r="T81"/>
          <cell r="U81"/>
          <cell r="V81"/>
          <cell r="W81"/>
          <cell r="X81" t="str">
            <v>ALICE</v>
          </cell>
          <cell r="Y81"/>
          <cell r="Z81" t="str">
            <v>SALLY 1/4/19 BY WECHAT</v>
          </cell>
          <cell r="AA81"/>
          <cell r="AB81">
            <v>43556</v>
          </cell>
          <cell r="AC81">
            <v>4653</v>
          </cell>
        </row>
        <row r="82">
          <cell r="B82">
            <v>4642</v>
          </cell>
          <cell r="C82" t="str">
            <v>R-7131</v>
          </cell>
          <cell r="D82" t="str">
            <v>RAYON CRINKLE</v>
          </cell>
          <cell r="E82" t="str">
            <v>30*24</v>
          </cell>
          <cell r="F82" t="str">
            <v>R100%</v>
          </cell>
          <cell r="G82" t="str">
            <v>100%RAYON</v>
          </cell>
          <cell r="H82" t="str">
            <v>52/54"</v>
          </cell>
          <cell r="I82">
            <v>120</v>
          </cell>
          <cell r="J82">
            <v>1.25</v>
          </cell>
          <cell r="K82">
            <v>1.45</v>
          </cell>
          <cell r="L82">
            <v>1.25</v>
          </cell>
          <cell r="M82">
            <v>1.45</v>
          </cell>
          <cell r="N82">
            <v>1.4</v>
          </cell>
          <cell r="O82">
            <v>1.6</v>
          </cell>
          <cell r="P82"/>
          <cell r="Q82"/>
          <cell r="R82">
            <v>1.55</v>
          </cell>
          <cell r="S82">
            <v>1.75</v>
          </cell>
          <cell r="T82"/>
          <cell r="U82"/>
          <cell r="V82"/>
          <cell r="W82"/>
          <cell r="X82" t="str">
            <v>ALICE</v>
          </cell>
          <cell r="Y82"/>
          <cell r="Z82" t="str">
            <v>SALLY 1/4/19 BY WECHAT</v>
          </cell>
          <cell r="AA82"/>
          <cell r="AB82">
            <v>43556</v>
          </cell>
          <cell r="AC82">
            <v>4642</v>
          </cell>
        </row>
        <row r="83">
          <cell r="B83">
            <v>4641</v>
          </cell>
          <cell r="C83" t="str">
            <v>XE-1038</v>
          </cell>
          <cell r="D83" t="str">
            <v>VISCOSE 80GSM</v>
          </cell>
          <cell r="E83" t="str">
            <v>60*60/90*88</v>
          </cell>
          <cell r="F83" t="str">
            <v>R100%</v>
          </cell>
          <cell r="G83" t="str">
            <v>100%RAYON</v>
          </cell>
          <cell r="H83" t="str">
            <v>55/56"</v>
          </cell>
          <cell r="I83" t="str">
            <v>85-90</v>
          </cell>
          <cell r="J83">
            <v>1.23</v>
          </cell>
          <cell r="K83">
            <v>1.38</v>
          </cell>
          <cell r="L83">
            <v>1.23</v>
          </cell>
          <cell r="M83">
            <v>1.38</v>
          </cell>
          <cell r="N83">
            <v>1.28</v>
          </cell>
          <cell r="O83">
            <v>1.43</v>
          </cell>
          <cell r="P83"/>
          <cell r="Q83"/>
          <cell r="R83">
            <v>1.33</v>
          </cell>
          <cell r="S83">
            <v>1.48</v>
          </cell>
          <cell r="T83"/>
          <cell r="U83"/>
          <cell r="V83"/>
          <cell r="W83"/>
          <cell r="X83" t="str">
            <v>ALICE</v>
          </cell>
          <cell r="Y83"/>
          <cell r="Z83" t="str">
            <v>SALLY 1/4/19 BY WECHAT</v>
          </cell>
          <cell r="AA83"/>
          <cell r="AB83">
            <v>43556</v>
          </cell>
          <cell r="AC83">
            <v>4641</v>
          </cell>
        </row>
        <row r="84">
          <cell r="B84">
            <v>4635</v>
          </cell>
          <cell r="C84" t="str">
            <v>XE-741/R-4369</v>
          </cell>
          <cell r="D84" t="str">
            <v>CHALLIS VISCOSE</v>
          </cell>
          <cell r="E84" t="str">
            <v>30*30/68*68</v>
          </cell>
          <cell r="F84" t="str">
            <v>R100%</v>
          </cell>
          <cell r="G84" t="str">
            <v>100%RAYON</v>
          </cell>
          <cell r="H84" t="str">
            <v>54/55"</v>
          </cell>
          <cell r="I84">
            <v>120</v>
          </cell>
          <cell r="J84">
            <v>1.2</v>
          </cell>
          <cell r="K84">
            <v>1.35</v>
          </cell>
          <cell r="L84">
            <v>1.2</v>
          </cell>
          <cell r="M84">
            <v>1.35</v>
          </cell>
          <cell r="N84">
            <v>1.35</v>
          </cell>
          <cell r="O84">
            <v>1.5</v>
          </cell>
          <cell r="P84"/>
          <cell r="Q84"/>
          <cell r="R84">
            <v>1.3</v>
          </cell>
          <cell r="S84">
            <v>1.45</v>
          </cell>
          <cell r="T84"/>
          <cell r="U84"/>
          <cell r="V84"/>
          <cell r="W84"/>
          <cell r="X84" t="str">
            <v>ALICE</v>
          </cell>
          <cell r="Y84"/>
          <cell r="Z84" t="str">
            <v>SALLY 1/4/19 BY WECHAT</v>
          </cell>
          <cell r="AA84"/>
          <cell r="AB84">
            <v>43556</v>
          </cell>
          <cell r="AC84">
            <v>4635</v>
          </cell>
        </row>
        <row r="85">
          <cell r="B85">
            <v>4632</v>
          </cell>
          <cell r="C85" t="str">
            <v>XJ-4033</v>
          </cell>
          <cell r="D85" t="str">
            <v>same 4189 w/ air flow</v>
          </cell>
          <cell r="E85" t="str">
            <v>(50D+68D)*(50D+68D)</v>
          </cell>
          <cell r="F85" t="str">
            <v>T100%</v>
          </cell>
          <cell r="G85" t="str">
            <v>100%POLYESTER</v>
          </cell>
          <cell r="H85" t="str">
            <v>58/59"</v>
          </cell>
          <cell r="I85">
            <v>143</v>
          </cell>
          <cell r="J85">
            <v>1.18</v>
          </cell>
          <cell r="K85"/>
          <cell r="L85">
            <v>1.28</v>
          </cell>
          <cell r="M85"/>
          <cell r="N85">
            <v>1.28</v>
          </cell>
          <cell r="O85"/>
          <cell r="P85"/>
          <cell r="Q85"/>
          <cell r="R85">
            <v>1.36</v>
          </cell>
          <cell r="S85"/>
          <cell r="T85"/>
          <cell r="U85"/>
          <cell r="V85"/>
          <cell r="W85"/>
          <cell r="X85" t="str">
            <v>ALICE</v>
          </cell>
          <cell r="Y85"/>
          <cell r="Z85" t="str">
            <v>SALLY 1/4/19 BY WECHAT</v>
          </cell>
          <cell r="AA85"/>
          <cell r="AB85">
            <v>43556</v>
          </cell>
          <cell r="AC85">
            <v>4632</v>
          </cell>
        </row>
        <row r="86">
          <cell r="B86">
            <v>4669</v>
          </cell>
          <cell r="C86" t="str">
            <v>XK-001</v>
          </cell>
          <cell r="D86" t="str">
            <v>LINEN</v>
          </cell>
          <cell r="E86" t="str">
            <v>10*10/44*38</v>
          </cell>
          <cell r="F86" t="str">
            <v>V/C/L 72/16/12</v>
          </cell>
          <cell r="G86" t="str">
            <v>72% VISCOSE 16% COTTON 12%LINEN</v>
          </cell>
          <cell r="H86" t="str">
            <v>53/54</v>
          </cell>
          <cell r="I86" t="str">
            <v>185-190</v>
          </cell>
          <cell r="J86">
            <v>1.65</v>
          </cell>
          <cell r="K86">
            <v>1.95</v>
          </cell>
          <cell r="L86">
            <v>1.65</v>
          </cell>
          <cell r="M86">
            <v>1.95</v>
          </cell>
          <cell r="N86">
            <v>1.65</v>
          </cell>
          <cell r="O86">
            <v>1.95</v>
          </cell>
          <cell r="P86"/>
          <cell r="Q86"/>
          <cell r="R86"/>
          <cell r="S86"/>
          <cell r="T86"/>
          <cell r="U86"/>
          <cell r="V86"/>
          <cell r="W86"/>
          <cell r="X86" t="str">
            <v>ALICE</v>
          </cell>
          <cell r="Y86"/>
          <cell r="Z86" t="str">
            <v>SALLY 22/3/19</v>
          </cell>
          <cell r="AA86"/>
          <cell r="AB86">
            <v>43546</v>
          </cell>
          <cell r="AC86">
            <v>4669</v>
          </cell>
        </row>
        <row r="87">
          <cell r="B87">
            <v>3589</v>
          </cell>
          <cell r="C87" t="str">
            <v>#9659</v>
          </cell>
          <cell r="D87"/>
          <cell r="E87" t="str">
            <v>120D*30S</v>
          </cell>
          <cell r="F87" t="str">
            <v>V/R 55/45</v>
          </cell>
          <cell r="G87" t="str">
            <v>55% VICOSE 45% RAYON</v>
          </cell>
          <cell r="H87" t="str">
            <v>53/54</v>
          </cell>
          <cell r="I87">
            <v>169</v>
          </cell>
          <cell r="J87">
            <v>3.28</v>
          </cell>
          <cell r="K87">
            <v>3.83</v>
          </cell>
          <cell r="L87">
            <v>3.3</v>
          </cell>
          <cell r="M87">
            <v>3.91</v>
          </cell>
          <cell r="N87">
            <v>3.35</v>
          </cell>
          <cell r="O87">
            <v>3.95</v>
          </cell>
          <cell r="P87"/>
          <cell r="Q87"/>
          <cell r="R87">
            <v>3.43</v>
          </cell>
          <cell r="S87">
            <v>4.45</v>
          </cell>
          <cell r="T87"/>
          <cell r="U87"/>
          <cell r="V87">
            <v>15</v>
          </cell>
          <cell r="W87"/>
          <cell r="X87" t="str">
            <v>TERESA</v>
          </cell>
          <cell r="Y87" t="str">
            <v>DMCARE-TRI-02</v>
          </cell>
          <cell r="Z87" t="str">
            <v>TERESA 22/3/19</v>
          </cell>
          <cell r="AA87"/>
          <cell r="AB87">
            <v>43546</v>
          </cell>
          <cell r="AC87">
            <v>4576</v>
          </cell>
        </row>
        <row r="88">
          <cell r="B88">
            <v>4667</v>
          </cell>
          <cell r="C88" t="str">
            <v>LB9256</v>
          </cell>
          <cell r="D88" t="str">
            <v>LINEN</v>
          </cell>
          <cell r="E88" t="str">
            <v>12SB*12SB/48*40</v>
          </cell>
          <cell r="F88" t="str">
            <v>V/L 70/30</v>
          </cell>
          <cell r="G88" t="str">
            <v xml:space="preserve">70% VISCOSE 30% LINEN </v>
          </cell>
          <cell r="H88" t="str">
            <v>53/54</v>
          </cell>
          <cell r="I88">
            <v>180</v>
          </cell>
          <cell r="J88">
            <v>1.96</v>
          </cell>
          <cell r="K88">
            <v>2.21</v>
          </cell>
          <cell r="L88">
            <v>2.0099999999999998</v>
          </cell>
          <cell r="M88">
            <v>2.2599999999999998</v>
          </cell>
          <cell r="N88">
            <v>2.06</v>
          </cell>
          <cell r="O88">
            <v>2.35</v>
          </cell>
          <cell r="P88"/>
          <cell r="Q88"/>
          <cell r="R88">
            <v>2.4</v>
          </cell>
          <cell r="S88">
            <v>2.68</v>
          </cell>
          <cell r="T88"/>
          <cell r="U88"/>
          <cell r="V88"/>
          <cell r="W88"/>
          <cell r="X88" t="str">
            <v>UYEN</v>
          </cell>
          <cell r="Y88" t="str">
            <v>DMCARE-TRI-03</v>
          </cell>
          <cell r="Z88" t="str">
            <v>UYEN 20/3/19</v>
          </cell>
          <cell r="AA88"/>
          <cell r="AB88">
            <v>43544</v>
          </cell>
          <cell r="AC88">
            <v>4667</v>
          </cell>
        </row>
        <row r="89">
          <cell r="B89">
            <v>4059</v>
          </cell>
          <cell r="C89" t="str">
            <v>T218-1S</v>
          </cell>
          <cell r="D89" t="str">
            <v>CHIFFON WITH JAC DOTS</v>
          </cell>
          <cell r="E89" t="str">
            <v>75Dx75D</v>
          </cell>
          <cell r="F89" t="str">
            <v>T100%</v>
          </cell>
          <cell r="G89" t="str">
            <v>100% POLYESTER</v>
          </cell>
          <cell r="H89" t="str">
            <v>57/58</v>
          </cell>
          <cell r="I89">
            <v>80</v>
          </cell>
          <cell r="J89">
            <v>1.36</v>
          </cell>
          <cell r="K89">
            <v>1.51</v>
          </cell>
          <cell r="L89">
            <v>1.38</v>
          </cell>
          <cell r="M89">
            <v>1.59</v>
          </cell>
          <cell r="N89">
            <v>1.43</v>
          </cell>
          <cell r="O89">
            <v>1.63</v>
          </cell>
          <cell r="P89"/>
          <cell r="Q89"/>
          <cell r="R89">
            <v>1.51</v>
          </cell>
          <cell r="S89">
            <v>2.12</v>
          </cell>
          <cell r="T89"/>
          <cell r="U89"/>
          <cell r="V89" t="str">
            <v>NO</v>
          </cell>
          <cell r="W89"/>
          <cell r="X89" t="str">
            <v>TERESA</v>
          </cell>
          <cell r="Y89"/>
          <cell r="Z89" t="str">
            <v>TERESA 19/3/19 BY WECHAT</v>
          </cell>
          <cell r="AA89"/>
          <cell r="AB89">
            <v>43543</v>
          </cell>
          <cell r="AC89">
            <v>5465</v>
          </cell>
        </row>
        <row r="90">
          <cell r="B90">
            <v>4666</v>
          </cell>
          <cell r="C90" t="str">
            <v>RD6133</v>
          </cell>
          <cell r="D90" t="str">
            <v>VISCOSE DOBBY JAC</v>
          </cell>
          <cell r="E90" t="str">
            <v>30S*30S/80*68</v>
          </cell>
          <cell r="F90" t="str">
            <v>V100%</v>
          </cell>
          <cell r="G90" t="str">
            <v>100% VISCOSE</v>
          </cell>
          <cell r="H90" t="str">
            <v>54/55"</v>
          </cell>
          <cell r="I90">
            <v>120</v>
          </cell>
          <cell r="J90">
            <v>1.43</v>
          </cell>
          <cell r="K90">
            <v>1.65</v>
          </cell>
          <cell r="L90">
            <v>1.45</v>
          </cell>
          <cell r="M90">
            <v>1.68</v>
          </cell>
          <cell r="N90">
            <v>1.48</v>
          </cell>
          <cell r="O90">
            <v>1.69</v>
          </cell>
          <cell r="P90"/>
          <cell r="Q90"/>
          <cell r="R90">
            <v>1.6</v>
          </cell>
          <cell r="S90">
            <v>1.98</v>
          </cell>
          <cell r="T90"/>
          <cell r="U90"/>
          <cell r="V90"/>
          <cell r="W90"/>
          <cell r="X90" t="str">
            <v>UYEN</v>
          </cell>
          <cell r="Y90"/>
          <cell r="Z90" t="str">
            <v>UYEN 18/3/19</v>
          </cell>
          <cell r="AA90"/>
          <cell r="AB90">
            <v>43542</v>
          </cell>
          <cell r="AC90">
            <v>4666</v>
          </cell>
        </row>
        <row r="91">
          <cell r="B91">
            <v>4674</v>
          </cell>
          <cell r="C91" t="str">
            <v>CC0021</v>
          </cell>
          <cell r="D91" t="str">
            <v>CORDUROY</v>
          </cell>
          <cell r="E91" t="str">
            <v>40*40/77*177</v>
          </cell>
          <cell r="F91" t="str">
            <v>C100%</v>
          </cell>
          <cell r="G91" t="str">
            <v>100% COTTON</v>
          </cell>
          <cell r="H91" t="str">
            <v>57/58</v>
          </cell>
          <cell r="I91" t="str">
            <v>140-145</v>
          </cell>
          <cell r="J91">
            <v>2.3199999999999998</v>
          </cell>
          <cell r="K91">
            <v>2.52</v>
          </cell>
          <cell r="L91">
            <v>2.37</v>
          </cell>
          <cell r="M91">
            <v>2.52</v>
          </cell>
          <cell r="N91">
            <v>2.42</v>
          </cell>
          <cell r="O91">
            <v>2.82</v>
          </cell>
          <cell r="P91">
            <v>0.02</v>
          </cell>
          <cell r="Q91">
            <v>0.02</v>
          </cell>
          <cell r="R91">
            <v>2.62</v>
          </cell>
          <cell r="S91"/>
          <cell r="T91"/>
          <cell r="U91"/>
          <cell r="V91"/>
          <cell r="W91" t="str">
            <v>** SAME AMW2360</v>
          </cell>
          <cell r="X91" t="str">
            <v>UYEN</v>
          </cell>
          <cell r="Y91"/>
          <cell r="Z91" t="str">
            <v>UYEN 15/3/19</v>
          </cell>
          <cell r="AA91"/>
          <cell r="AB91">
            <v>43539</v>
          </cell>
          <cell r="AC91">
            <v>4674</v>
          </cell>
        </row>
        <row r="92">
          <cell r="B92">
            <v>4665</v>
          </cell>
          <cell r="C92" t="str">
            <v>XJ-5018/R-7091</v>
          </cell>
          <cell r="D92" t="str">
            <v>same AMW4612 w/o air flow</v>
          </cell>
          <cell r="E92" t="str">
            <v>(68D+50D)*(68D+50D)</v>
          </cell>
          <cell r="F92" t="str">
            <v>T100%</v>
          </cell>
          <cell r="G92" t="str">
            <v>100% POLYESTER</v>
          </cell>
          <cell r="H92" t="str">
            <v>58/59</v>
          </cell>
          <cell r="I92">
            <v>170</v>
          </cell>
          <cell r="J92">
            <v>1.3</v>
          </cell>
          <cell r="K92">
            <v>1.55</v>
          </cell>
          <cell r="L92">
            <v>1.3</v>
          </cell>
          <cell r="M92">
            <v>1.55</v>
          </cell>
          <cell r="N92">
            <v>1.45</v>
          </cell>
          <cell r="O92">
            <v>1.7</v>
          </cell>
          <cell r="P92"/>
          <cell r="Q92"/>
          <cell r="R92">
            <v>1.6</v>
          </cell>
          <cell r="S92">
            <v>1.85</v>
          </cell>
          <cell r="T92">
            <v>1.85</v>
          </cell>
          <cell r="U92"/>
          <cell r="V92"/>
          <cell r="W92"/>
          <cell r="X92" t="str">
            <v>ALICE</v>
          </cell>
          <cell r="Y92"/>
          <cell r="Z92" t="str">
            <v>SALLY 15/3/19 BY WECHAT</v>
          </cell>
          <cell r="AA92"/>
          <cell r="AB92">
            <v>43539</v>
          </cell>
          <cell r="AC92">
            <v>4665</v>
          </cell>
        </row>
        <row r="93">
          <cell r="B93">
            <v>4606</v>
          </cell>
          <cell r="C93">
            <v>331</v>
          </cell>
          <cell r="D93" t="str">
            <v>PONTE</v>
          </cell>
          <cell r="E93" t="str">
            <v>75D*30S+40D</v>
          </cell>
          <cell r="F93" t="str">
            <v>T/R/SP 78/19/3</v>
          </cell>
          <cell r="G93" t="str">
            <v>78% POLYESTER 19% RAYON 3% SPANDEX</v>
          </cell>
          <cell r="H93" t="str">
            <v>58/60</v>
          </cell>
          <cell r="I93" t="str">
            <v>290-300</v>
          </cell>
          <cell r="J93">
            <v>2.2000000000000002</v>
          </cell>
          <cell r="K93">
            <v>2.29</v>
          </cell>
          <cell r="L93">
            <v>2.2200000000000002</v>
          </cell>
          <cell r="M93">
            <v>2.31</v>
          </cell>
          <cell r="N93">
            <v>2.2400000000000002</v>
          </cell>
          <cell r="O93">
            <v>2.33</v>
          </cell>
          <cell r="P93"/>
          <cell r="Q93"/>
          <cell r="R93">
            <v>2.2400000000000002</v>
          </cell>
          <cell r="S93">
            <v>2.58</v>
          </cell>
          <cell r="T93"/>
          <cell r="U93"/>
          <cell r="V93"/>
          <cell r="W93"/>
          <cell r="X93" t="str">
            <v>UYEN</v>
          </cell>
          <cell r="Y93"/>
          <cell r="Z93" t="str">
            <v>UYEN 12/3/19 by wechat</v>
          </cell>
          <cell r="AA93" t="str">
            <v>30DAYS</v>
          </cell>
          <cell r="AB93">
            <v>43536</v>
          </cell>
          <cell r="AC93">
            <v>4606</v>
          </cell>
        </row>
        <row r="94">
          <cell r="B94">
            <v>4670</v>
          </cell>
          <cell r="C94" t="str">
            <v>RB6744</v>
          </cell>
          <cell r="D94" t="str">
            <v>SLUB RAYON</v>
          </cell>
          <cell r="E94" t="str">
            <v>21SB*21SB/50*46</v>
          </cell>
          <cell r="F94" t="str">
            <v>R100%</v>
          </cell>
          <cell r="G94" t="str">
            <v>100% RAYON</v>
          </cell>
          <cell r="H94" t="str">
            <v>55/56</v>
          </cell>
          <cell r="I94">
            <v>165</v>
          </cell>
          <cell r="J94">
            <v>1.59</v>
          </cell>
          <cell r="K94">
            <v>1.85</v>
          </cell>
          <cell r="L94">
            <v>1.64</v>
          </cell>
          <cell r="M94">
            <v>1.9</v>
          </cell>
          <cell r="N94">
            <v>1.72</v>
          </cell>
          <cell r="O94">
            <v>1.95</v>
          </cell>
          <cell r="P94"/>
          <cell r="Q94"/>
          <cell r="R94">
            <v>1.9</v>
          </cell>
          <cell r="S94">
            <v>2.25</v>
          </cell>
          <cell r="T94"/>
          <cell r="U94"/>
          <cell r="V94"/>
          <cell r="W94"/>
          <cell r="X94" t="str">
            <v>UYEN</v>
          </cell>
          <cell r="Y94"/>
          <cell r="Z94" t="str">
            <v>UYEN 3/8/19</v>
          </cell>
          <cell r="AA94"/>
          <cell r="AB94">
            <v>43532</v>
          </cell>
          <cell r="AC94">
            <v>4670</v>
          </cell>
        </row>
        <row r="95">
          <cell r="B95">
            <v>4668</v>
          </cell>
          <cell r="C95" t="str">
            <v>RY6742</v>
          </cell>
          <cell r="D95" t="str">
            <v>Y/D SLUB VISCOSE</v>
          </cell>
          <cell r="E95" t="str">
            <v>30SB*30SB/67*42</v>
          </cell>
          <cell r="F95" t="str">
            <v>V100%</v>
          </cell>
          <cell r="G95" t="str">
            <v>100%VISCOSE</v>
          </cell>
          <cell r="H95" t="str">
            <v>57/58"</v>
          </cell>
          <cell r="I95">
            <v>110</v>
          </cell>
          <cell r="J95">
            <v>1.79</v>
          </cell>
          <cell r="K95"/>
          <cell r="L95">
            <v>1.84</v>
          </cell>
          <cell r="M95"/>
          <cell r="N95">
            <v>1.92</v>
          </cell>
          <cell r="O95"/>
          <cell r="P95"/>
          <cell r="Q95"/>
          <cell r="R95"/>
          <cell r="S95"/>
          <cell r="T95"/>
          <cell r="U95"/>
          <cell r="V95"/>
          <cell r="W95"/>
          <cell r="X95" t="str">
            <v>UYEN</v>
          </cell>
          <cell r="Y95" t="str">
            <v>DMCARE-TRI-03</v>
          </cell>
          <cell r="Z95" t="str">
            <v>UYEN 8/3/19</v>
          </cell>
          <cell r="AA95"/>
          <cell r="AB95">
            <v>43532</v>
          </cell>
          <cell r="AC95">
            <v>4668</v>
          </cell>
        </row>
        <row r="96">
          <cell r="B96">
            <v>4664</v>
          </cell>
          <cell r="C96" t="str">
            <v>D3421</v>
          </cell>
          <cell r="D96" t="str">
            <v>TAILORING</v>
          </cell>
          <cell r="E96"/>
          <cell r="F96" t="str">
            <v>T100%</v>
          </cell>
          <cell r="G96" t="str">
            <v>100% POLYESTER</v>
          </cell>
          <cell r="H96" t="str">
            <v>61/62</v>
          </cell>
          <cell r="I96">
            <v>240</v>
          </cell>
          <cell r="J96">
            <v>3.33</v>
          </cell>
          <cell r="K96"/>
          <cell r="L96">
            <v>3.34</v>
          </cell>
          <cell r="M96"/>
          <cell r="N96">
            <v>3.36</v>
          </cell>
          <cell r="O96"/>
          <cell r="P96"/>
          <cell r="Q96"/>
          <cell r="R96">
            <v>3.4</v>
          </cell>
          <cell r="S96"/>
          <cell r="T96"/>
          <cell r="U96"/>
          <cell r="V96"/>
          <cell r="W96"/>
          <cell r="X96" t="str">
            <v>UYEN</v>
          </cell>
          <cell r="Y96"/>
          <cell r="Z96" t="str">
            <v>UYEN 6/3/19 BY WECHAT</v>
          </cell>
          <cell r="AA96"/>
          <cell r="AB96">
            <v>43530</v>
          </cell>
          <cell r="AC96">
            <v>4664</v>
          </cell>
        </row>
        <row r="97">
          <cell r="B97">
            <v>4663</v>
          </cell>
          <cell r="C97" t="str">
            <v>WF0610-76</v>
          </cell>
          <cell r="D97" t="str">
            <v>TAILORING - T/R Y/D CHECK</v>
          </cell>
          <cell r="E97" t="str">
            <v>32S/2*32S/2+40D</v>
          </cell>
          <cell r="F97" t="str">
            <v>T/R/SP86/12/2</v>
          </cell>
          <cell r="G97" t="str">
            <v>86% POLYESTER 12% RAYON 2% SPANDEX</v>
          </cell>
          <cell r="H97" t="str">
            <v>57/58</v>
          </cell>
          <cell r="I97">
            <v>225</v>
          </cell>
          <cell r="J97">
            <v>2.72</v>
          </cell>
          <cell r="K97"/>
          <cell r="L97">
            <v>2.74</v>
          </cell>
          <cell r="M97"/>
          <cell r="N97">
            <v>2.75</v>
          </cell>
          <cell r="O97"/>
          <cell r="P97"/>
          <cell r="Q97"/>
          <cell r="R97">
            <v>2.92</v>
          </cell>
          <cell r="S97"/>
          <cell r="T97"/>
          <cell r="U97"/>
          <cell r="V97"/>
          <cell r="W97"/>
          <cell r="X97" t="str">
            <v>UYEN</v>
          </cell>
          <cell r="Y97"/>
          <cell r="Z97" t="str">
            <v>UYEN 6/3/19 BY WECHAT</v>
          </cell>
          <cell r="AA97"/>
          <cell r="AB97">
            <v>43530</v>
          </cell>
          <cell r="AC97">
            <v>4663</v>
          </cell>
        </row>
        <row r="98">
          <cell r="B98">
            <v>4662</v>
          </cell>
          <cell r="C98" t="str">
            <v>R3024</v>
          </cell>
          <cell r="D98" t="str">
            <v>CRINKLE RAYON - AMW934</v>
          </cell>
          <cell r="E98" t="str">
            <v>30S*24S/90*48</v>
          </cell>
          <cell r="F98" t="str">
            <v>R100%</v>
          </cell>
          <cell r="G98" t="str">
            <v>100% RAYON</v>
          </cell>
          <cell r="H98" t="str">
            <v>48/50"</v>
          </cell>
          <cell r="I98" t="str">
            <v>135GSM</v>
          </cell>
          <cell r="J98">
            <v>1.28</v>
          </cell>
          <cell r="K98">
            <v>1.48</v>
          </cell>
          <cell r="L98">
            <v>1.32</v>
          </cell>
          <cell r="M98">
            <v>1.52</v>
          </cell>
          <cell r="N98">
            <v>1.36</v>
          </cell>
          <cell r="O98">
            <v>1.56</v>
          </cell>
          <cell r="P98"/>
          <cell r="Q98"/>
          <cell r="R98">
            <v>1.4</v>
          </cell>
          <cell r="S98">
            <v>1.85</v>
          </cell>
          <cell r="T98"/>
          <cell r="U98"/>
          <cell r="V98"/>
          <cell r="W98"/>
          <cell r="X98" t="str">
            <v>UYEN</v>
          </cell>
          <cell r="Y98"/>
          <cell r="Z98" t="str">
            <v>UYEN 2/3/19</v>
          </cell>
          <cell r="AA98"/>
          <cell r="AB98">
            <v>43526</v>
          </cell>
          <cell r="AC98">
            <v>4662</v>
          </cell>
        </row>
        <row r="99">
          <cell r="B99" t="str">
            <v>4661B</v>
          </cell>
          <cell r="C99" t="str">
            <v>RJ3068B</v>
          </cell>
          <cell r="D99" t="str">
            <v>same 1010 with bigger width</v>
          </cell>
          <cell r="E99" t="str">
            <v>30S*30S/68*68</v>
          </cell>
          <cell r="F99" t="str">
            <v>R100%</v>
          </cell>
          <cell r="G99" t="str">
            <v>100% RAYON</v>
          </cell>
          <cell r="H99" t="str">
            <v>57/58"</v>
          </cell>
          <cell r="I99">
            <v>120</v>
          </cell>
          <cell r="J99">
            <v>1.26</v>
          </cell>
          <cell r="K99">
            <v>1.43</v>
          </cell>
          <cell r="L99">
            <v>1.29</v>
          </cell>
          <cell r="M99">
            <v>1.46</v>
          </cell>
          <cell r="N99">
            <v>1.35</v>
          </cell>
          <cell r="O99">
            <v>1.5</v>
          </cell>
          <cell r="P99"/>
          <cell r="Q99"/>
          <cell r="R99">
            <v>1.5</v>
          </cell>
          <cell r="S99">
            <v>1.98</v>
          </cell>
          <cell r="T99"/>
          <cell r="U99"/>
          <cell r="V99"/>
          <cell r="W99"/>
          <cell r="X99" t="str">
            <v>UYEN</v>
          </cell>
          <cell r="Y99"/>
          <cell r="Z99" t="str">
            <v>UYEN1/3/19</v>
          </cell>
          <cell r="AA99"/>
          <cell r="AB99">
            <v>43525</v>
          </cell>
          <cell r="AC99" t="str">
            <v>4661B</v>
          </cell>
        </row>
        <row r="100">
          <cell r="B100">
            <v>4661</v>
          </cell>
          <cell r="C100" t="str">
            <v>RJ3068</v>
          </cell>
          <cell r="D100" t="str">
            <v>challis viscose - same 1010</v>
          </cell>
          <cell r="E100" t="str">
            <v>30S*30S/68*68</v>
          </cell>
          <cell r="F100" t="str">
            <v>R100%</v>
          </cell>
          <cell r="G100" t="str">
            <v>100% RAYON</v>
          </cell>
          <cell r="H100" t="str">
            <v>54/55"</v>
          </cell>
          <cell r="I100">
            <v>120</v>
          </cell>
          <cell r="J100">
            <v>1.08</v>
          </cell>
          <cell r="K100">
            <v>1.27</v>
          </cell>
          <cell r="L100">
            <v>1.19</v>
          </cell>
          <cell r="M100">
            <v>1.35</v>
          </cell>
          <cell r="N100">
            <v>1.24</v>
          </cell>
          <cell r="O100">
            <v>1.39</v>
          </cell>
          <cell r="P100"/>
          <cell r="Q100"/>
          <cell r="R100">
            <v>1.48</v>
          </cell>
          <cell r="S100">
            <v>1.78</v>
          </cell>
          <cell r="T100"/>
          <cell r="U100"/>
          <cell r="V100"/>
          <cell r="W100"/>
          <cell r="X100" t="str">
            <v>UYEN</v>
          </cell>
          <cell r="Y100"/>
          <cell r="Z100" t="str">
            <v>UYEN1/3/19</v>
          </cell>
          <cell r="AA100"/>
          <cell r="AB100">
            <v>43525</v>
          </cell>
          <cell r="AC100">
            <v>4661</v>
          </cell>
        </row>
        <row r="101">
          <cell r="B101" t="str">
            <v>2002-SFT</v>
          </cell>
          <cell r="C101" t="str">
            <v>BG2286-SFT</v>
          </cell>
          <cell r="D101" t="str">
            <v>CREPE WITH SOFT HANDFEEL</v>
          </cell>
          <cell r="E101"/>
          <cell r="F101" t="str">
            <v>T100%</v>
          </cell>
          <cell r="G101" t="str">
            <v xml:space="preserve">100% POLYESTER </v>
          </cell>
          <cell r="H101" t="str">
            <v>57/58</v>
          </cell>
          <cell r="I101">
            <v>117</v>
          </cell>
          <cell r="J101">
            <v>1.52</v>
          </cell>
          <cell r="K101">
            <v>1.85</v>
          </cell>
          <cell r="L101">
            <v>1.55</v>
          </cell>
          <cell r="M101">
            <v>1.9</v>
          </cell>
          <cell r="N101">
            <v>1.57</v>
          </cell>
          <cell r="O101">
            <v>1.95</v>
          </cell>
          <cell r="P101"/>
          <cell r="Q101"/>
          <cell r="R101">
            <v>1.75</v>
          </cell>
          <cell r="S101">
            <v>2.4</v>
          </cell>
          <cell r="T101"/>
          <cell r="U101"/>
          <cell r="V101">
            <v>15</v>
          </cell>
          <cell r="W101"/>
          <cell r="X101" t="str">
            <v>EDWIN</v>
          </cell>
          <cell r="Y101" t="str">
            <v>DMCARE-TRI-02</v>
          </cell>
          <cell r="Z101" t="str">
            <v>EDWIN 22/2/19 by wechat</v>
          </cell>
          <cell r="AA101"/>
          <cell r="AB101">
            <v>43518</v>
          </cell>
          <cell r="AC101" t="str">
            <v>2002-SFT</v>
          </cell>
        </row>
        <row r="102">
          <cell r="B102">
            <v>4658</v>
          </cell>
          <cell r="C102" t="str">
            <v>JBF-16245</v>
          </cell>
          <cell r="D102" t="str">
            <v>WEFT  RIB WITH METALIC</v>
          </cell>
          <cell r="E102" t="str">
            <v>30S x 240D + 40D</v>
          </cell>
          <cell r="F102" t="str">
            <v>T/S 97/3</v>
          </cell>
          <cell r="G102" t="str">
            <v>97% POLYESTER 3% SPANDEX</v>
          </cell>
          <cell r="H102" t="str">
            <v>54/56</v>
          </cell>
          <cell r="I102" t="str">
            <v>230</v>
          </cell>
          <cell r="J102">
            <v>2.8</v>
          </cell>
          <cell r="K102"/>
          <cell r="L102">
            <v>2.9</v>
          </cell>
          <cell r="M102"/>
          <cell r="N102">
            <v>3</v>
          </cell>
          <cell r="O102"/>
          <cell r="P102"/>
          <cell r="Q102"/>
          <cell r="R102">
            <v>3.25</v>
          </cell>
          <cell r="S102"/>
          <cell r="T102"/>
          <cell r="U102"/>
          <cell r="V102"/>
          <cell r="W102"/>
          <cell r="X102" t="str">
            <v>PATRICK ( KOREAN )</v>
          </cell>
          <cell r="Y102"/>
          <cell r="Z102" t="str">
            <v>PATRICK 22/2/19</v>
          </cell>
          <cell r="AA102"/>
          <cell r="AB102">
            <v>43518</v>
          </cell>
          <cell r="AC102">
            <v>4658</v>
          </cell>
        </row>
        <row r="103">
          <cell r="B103">
            <v>4657</v>
          </cell>
          <cell r="C103" t="str">
            <v>JBF-16197</v>
          </cell>
          <cell r="D103" t="str">
            <v>VELVET WITH METALIC</v>
          </cell>
          <cell r="E103" t="str">
            <v>75D + 40D</v>
          </cell>
          <cell r="F103" t="str">
            <v>T/S 92/8</v>
          </cell>
          <cell r="G103" t="str">
            <v>92% POLYESTER 8% SPANDEX</v>
          </cell>
          <cell r="H103" t="str">
            <v>58/60</v>
          </cell>
          <cell r="I103" t="str">
            <v>215</v>
          </cell>
          <cell r="J103">
            <v>3.1</v>
          </cell>
          <cell r="K103"/>
          <cell r="L103">
            <v>3.2</v>
          </cell>
          <cell r="M103"/>
          <cell r="N103">
            <v>3.3</v>
          </cell>
          <cell r="O103"/>
          <cell r="P103"/>
          <cell r="Q103"/>
          <cell r="R103">
            <v>3.55</v>
          </cell>
          <cell r="S103"/>
          <cell r="T103"/>
          <cell r="U103"/>
          <cell r="V103"/>
          <cell r="W103"/>
          <cell r="X103" t="str">
            <v>PATRICK ( KOREAN )</v>
          </cell>
          <cell r="Y103"/>
          <cell r="Z103" t="str">
            <v>PATRICK 22/2/19</v>
          </cell>
          <cell r="AA103"/>
          <cell r="AB103">
            <v>43518</v>
          </cell>
          <cell r="AC103">
            <v>4657</v>
          </cell>
        </row>
        <row r="104">
          <cell r="B104">
            <v>4656</v>
          </cell>
          <cell r="C104" t="str">
            <v>JBF-16125</v>
          </cell>
          <cell r="D104" t="str">
            <v>WEFT  KNIT WITH FOIL</v>
          </cell>
          <cell r="E104" t="str">
            <v>50Dx50D</v>
          </cell>
          <cell r="F104" t="str">
            <v>T100</v>
          </cell>
          <cell r="G104" t="str">
            <v>100% POLYESTER</v>
          </cell>
          <cell r="H104" t="str">
            <v>56/58</v>
          </cell>
          <cell r="I104" t="str">
            <v>89</v>
          </cell>
          <cell r="J104">
            <v>3.25</v>
          </cell>
          <cell r="K104"/>
          <cell r="L104">
            <v>3.35</v>
          </cell>
          <cell r="M104"/>
          <cell r="N104">
            <v>3.45</v>
          </cell>
          <cell r="O104"/>
          <cell r="P104"/>
          <cell r="Q104"/>
          <cell r="R104">
            <v>3.7</v>
          </cell>
          <cell r="S104"/>
          <cell r="T104"/>
          <cell r="U104"/>
          <cell r="V104"/>
          <cell r="W104"/>
          <cell r="X104" t="str">
            <v>PATRICK ( KOREAN )</v>
          </cell>
          <cell r="Y104"/>
          <cell r="Z104" t="str">
            <v>PATRICK 22/2/19</v>
          </cell>
          <cell r="AA104"/>
          <cell r="AB104">
            <v>43518</v>
          </cell>
          <cell r="AC104">
            <v>4656</v>
          </cell>
        </row>
        <row r="105">
          <cell r="B105">
            <v>4655</v>
          </cell>
          <cell r="C105" t="str">
            <v>JB-8033</v>
          </cell>
          <cell r="D105" t="str">
            <v>WEFT  ITY WITH FOIL</v>
          </cell>
          <cell r="E105" t="str">
            <v>85D x 50D + 20D</v>
          </cell>
          <cell r="F105" t="str">
            <v>T/S 96/4</v>
          </cell>
          <cell r="G105" t="str">
            <v>96% POLYESTER 4% SPANDEX</v>
          </cell>
          <cell r="H105" t="str">
            <v>58/60</v>
          </cell>
          <cell r="I105" t="str">
            <v>200</v>
          </cell>
          <cell r="J105">
            <v>2.7</v>
          </cell>
          <cell r="K105"/>
          <cell r="L105">
            <v>2.8</v>
          </cell>
          <cell r="M105"/>
          <cell r="N105">
            <v>2.9</v>
          </cell>
          <cell r="O105"/>
          <cell r="P105"/>
          <cell r="Q105"/>
          <cell r="R105">
            <v>3.15</v>
          </cell>
          <cell r="S105"/>
          <cell r="T105"/>
          <cell r="U105"/>
          <cell r="V105"/>
          <cell r="W105"/>
          <cell r="X105" t="str">
            <v>PATRICK ( KOREAN )</v>
          </cell>
          <cell r="Y105"/>
          <cell r="Z105" t="str">
            <v>PATRICK 22/2/19</v>
          </cell>
          <cell r="AA105"/>
          <cell r="AB105">
            <v>43518</v>
          </cell>
          <cell r="AC105">
            <v>4655</v>
          </cell>
        </row>
        <row r="106">
          <cell r="B106">
            <v>4626</v>
          </cell>
          <cell r="C106" t="str">
            <v>R-7101</v>
          </cell>
          <cell r="D106" t="str">
            <v>POLY</v>
          </cell>
          <cell r="E106" t="str">
            <v>50+50</v>
          </cell>
          <cell r="F106" t="str">
            <v>T100%</v>
          </cell>
          <cell r="G106" t="str">
            <v>100% POLYESTER</v>
          </cell>
          <cell r="H106" t="str">
            <v>57/58</v>
          </cell>
          <cell r="I106">
            <v>110</v>
          </cell>
          <cell r="J106">
            <v>1.07</v>
          </cell>
          <cell r="K106">
            <v>1.42</v>
          </cell>
          <cell r="L106">
            <v>1.07</v>
          </cell>
          <cell r="M106">
            <v>1.42</v>
          </cell>
          <cell r="N106">
            <v>1.07</v>
          </cell>
          <cell r="O106">
            <v>1.49</v>
          </cell>
          <cell r="P106"/>
          <cell r="Q106"/>
          <cell r="R106">
            <v>1.1499999999999999</v>
          </cell>
          <cell r="S106">
            <v>1.72</v>
          </cell>
          <cell r="T106"/>
          <cell r="U106"/>
          <cell r="V106"/>
          <cell r="W106"/>
          <cell r="X106" t="str">
            <v>ALICE</v>
          </cell>
          <cell r="Y106"/>
          <cell r="Z106" t="str">
            <v>SALLY 22/2/19 BY WECHAT</v>
          </cell>
          <cell r="AA106"/>
          <cell r="AB106">
            <v>43518</v>
          </cell>
          <cell r="AC106">
            <v>4626</v>
          </cell>
        </row>
        <row r="107">
          <cell r="B107">
            <v>4625</v>
          </cell>
          <cell r="C107" t="str">
            <v>R117</v>
          </cell>
          <cell r="D107" t="str">
            <v>MAY CREPE</v>
          </cell>
          <cell r="E107" t="str">
            <v>30S*30S/68*56</v>
          </cell>
          <cell r="F107" t="str">
            <v>R100%</v>
          </cell>
          <cell r="G107" t="str">
            <v>100%RAYON</v>
          </cell>
          <cell r="H107" t="str">
            <v>51/52"</v>
          </cell>
          <cell r="I107">
            <v>140</v>
          </cell>
          <cell r="J107">
            <v>1.71</v>
          </cell>
          <cell r="K107">
            <v>1.92</v>
          </cell>
          <cell r="L107">
            <v>1.73</v>
          </cell>
          <cell r="M107">
            <v>2</v>
          </cell>
          <cell r="N107">
            <v>1.78</v>
          </cell>
          <cell r="O107">
            <v>2.04</v>
          </cell>
          <cell r="P107"/>
          <cell r="Q107"/>
          <cell r="R107">
            <v>1.88</v>
          </cell>
          <cell r="S107">
            <v>2.63</v>
          </cell>
          <cell r="T107"/>
          <cell r="U107"/>
          <cell r="V107"/>
          <cell r="W107"/>
          <cell r="X107" t="str">
            <v>TERESA</v>
          </cell>
          <cell r="Y107" t="str">
            <v xml:space="preserve">DMCARE-TRI-02 </v>
          </cell>
          <cell r="Z107" t="str">
            <v>TERESA 22/2/19 BY WECHAT</v>
          </cell>
          <cell r="AA107" t="str">
            <v>30days</v>
          </cell>
          <cell r="AB107">
            <v>43518</v>
          </cell>
          <cell r="AC107">
            <v>4625</v>
          </cell>
        </row>
        <row r="108">
          <cell r="B108">
            <v>4612</v>
          </cell>
          <cell r="C108" t="str">
            <v>H10651/XJ-4280</v>
          </cell>
          <cell r="D108" t="str">
            <v>POLY TWILL WITH AIR FLOW</v>
          </cell>
          <cell r="E108"/>
          <cell r="F108" t="str">
            <v>T100%</v>
          </cell>
          <cell r="G108" t="str">
            <v>100%POLYESTER</v>
          </cell>
          <cell r="H108" t="str">
            <v>148CM</v>
          </cell>
          <cell r="I108">
            <v>175</v>
          </cell>
          <cell r="J108">
            <v>1.3</v>
          </cell>
          <cell r="K108"/>
          <cell r="L108">
            <v>1.3</v>
          </cell>
          <cell r="M108"/>
          <cell r="N108">
            <v>1.3</v>
          </cell>
          <cell r="O108"/>
          <cell r="P108"/>
          <cell r="Q108"/>
          <cell r="R108">
            <v>1.38</v>
          </cell>
          <cell r="S108"/>
          <cell r="T108"/>
          <cell r="U108"/>
          <cell r="V108"/>
          <cell r="W108" t="str">
            <v>MOQ is 1500m/ color , under MOQ need $80 surchage / color</v>
          </cell>
          <cell r="X108" t="str">
            <v>ALICE</v>
          </cell>
          <cell r="Y108"/>
          <cell r="Z108" t="str">
            <v>SALLY 22/2/19 by wechat</v>
          </cell>
          <cell r="AA108"/>
          <cell r="AB108">
            <v>43518</v>
          </cell>
          <cell r="AC108">
            <v>4612</v>
          </cell>
        </row>
        <row r="109">
          <cell r="B109">
            <v>4611</v>
          </cell>
          <cell r="C109" t="str">
            <v>H10657/XJ-4753</v>
          </cell>
          <cell r="D109" t="str">
            <v>POLY SATEEN WITH AIR FLOW</v>
          </cell>
          <cell r="E109" t="str">
            <v xml:space="preserve">75DX180D </v>
          </cell>
          <cell r="F109" t="str">
            <v>T100%</v>
          </cell>
          <cell r="G109" t="str">
            <v>100%POLYESTER</v>
          </cell>
          <cell r="H109" t="str">
            <v>148CM</v>
          </cell>
          <cell r="I109">
            <v>190</v>
          </cell>
          <cell r="J109">
            <v>1.55</v>
          </cell>
          <cell r="K109"/>
          <cell r="L109">
            <v>1.55</v>
          </cell>
          <cell r="M109"/>
          <cell r="N109">
            <v>1.55</v>
          </cell>
          <cell r="O109"/>
          <cell r="P109"/>
          <cell r="Q109"/>
          <cell r="R109">
            <v>1.63</v>
          </cell>
          <cell r="S109"/>
          <cell r="T109"/>
          <cell r="U109"/>
          <cell r="V109"/>
          <cell r="W109" t="str">
            <v>MOQ is 1500m/ color , under MOQ need $80 surchage / color</v>
          </cell>
          <cell r="X109" t="str">
            <v>ALICE</v>
          </cell>
          <cell r="Y109"/>
          <cell r="Z109" t="str">
            <v>SALLY 22/2/19 by wechat</v>
          </cell>
          <cell r="AA109"/>
          <cell r="AB109">
            <v>43518</v>
          </cell>
          <cell r="AC109">
            <v>4611</v>
          </cell>
        </row>
        <row r="110">
          <cell r="B110">
            <v>2002</v>
          </cell>
          <cell r="C110" t="str">
            <v>BG2286</v>
          </cell>
          <cell r="D110" t="str">
            <v>CREPE</v>
          </cell>
          <cell r="E110"/>
          <cell r="F110" t="str">
            <v>T100%</v>
          </cell>
          <cell r="G110" t="str">
            <v xml:space="preserve">100% POLYESTER </v>
          </cell>
          <cell r="H110" t="str">
            <v>57/58</v>
          </cell>
          <cell r="I110">
            <v>117</v>
          </cell>
          <cell r="J110">
            <v>1.52</v>
          </cell>
          <cell r="K110">
            <v>1.85</v>
          </cell>
          <cell r="L110">
            <v>1.55</v>
          </cell>
          <cell r="M110">
            <v>1.9</v>
          </cell>
          <cell r="N110">
            <v>1.57</v>
          </cell>
          <cell r="O110">
            <v>1.95</v>
          </cell>
          <cell r="P110"/>
          <cell r="Q110"/>
          <cell r="R110">
            <v>1.75</v>
          </cell>
          <cell r="S110">
            <v>2.4</v>
          </cell>
          <cell r="T110"/>
          <cell r="U110"/>
          <cell r="V110">
            <v>15</v>
          </cell>
          <cell r="W110"/>
          <cell r="X110" t="str">
            <v>EDWIN</v>
          </cell>
          <cell r="Y110" t="str">
            <v>DMCARE-TRI-02</v>
          </cell>
          <cell r="Z110" t="str">
            <v>EDWIN 22/2/19 by wechat</v>
          </cell>
          <cell r="AA110"/>
          <cell r="AB110">
            <v>43518</v>
          </cell>
          <cell r="AC110">
            <v>2002</v>
          </cell>
        </row>
        <row r="111">
          <cell r="B111">
            <v>1564</v>
          </cell>
          <cell r="C111">
            <v>9584</v>
          </cell>
          <cell r="D111" t="str">
            <v>MOSS CREPE</v>
          </cell>
          <cell r="E111" t="str">
            <v xml:space="preserve"> 40*40/118*90</v>
          </cell>
          <cell r="F111" t="str">
            <v>R100%</v>
          </cell>
          <cell r="G111" t="str">
            <v>100%RAYON</v>
          </cell>
          <cell r="H111" t="str">
            <v>53/54"</v>
          </cell>
          <cell r="I111">
            <v>125</v>
          </cell>
          <cell r="J111">
            <v>1.52</v>
          </cell>
          <cell r="K111">
            <v>1.66</v>
          </cell>
          <cell r="L111">
            <v>1.59</v>
          </cell>
          <cell r="M111">
            <v>1.82</v>
          </cell>
          <cell r="N111">
            <v>1.64</v>
          </cell>
          <cell r="O111">
            <v>1.86</v>
          </cell>
          <cell r="P111"/>
          <cell r="Q111"/>
          <cell r="R111">
            <v>1.72</v>
          </cell>
          <cell r="S111">
            <v>2.35</v>
          </cell>
          <cell r="T111"/>
          <cell r="U111"/>
          <cell r="V111"/>
          <cell r="W111"/>
          <cell r="X111" t="str">
            <v>TERESA</v>
          </cell>
          <cell r="Y111" t="str">
            <v xml:space="preserve">DMCARE-TRI-02 </v>
          </cell>
          <cell r="Z111" t="str">
            <v>TERESA 22/2/19 BY WECHAT</v>
          </cell>
          <cell r="AA111"/>
          <cell r="AB111">
            <v>43518</v>
          </cell>
          <cell r="AC111">
            <v>1564</v>
          </cell>
        </row>
        <row r="112">
          <cell r="B112">
            <v>1010</v>
          </cell>
          <cell r="C112" t="str">
            <v>R012</v>
          </cell>
          <cell r="D112" t="str">
            <v>CHALLIS RAYON</v>
          </cell>
          <cell r="E112" t="str">
            <v xml:space="preserve"> 30*30/68*68</v>
          </cell>
          <cell r="F112" t="str">
            <v>R100%</v>
          </cell>
          <cell r="G112" t="str">
            <v>100%RAYON</v>
          </cell>
          <cell r="H112" t="str">
            <v>53/54</v>
          </cell>
          <cell r="I112">
            <v>120</v>
          </cell>
          <cell r="J112">
            <v>1.22</v>
          </cell>
          <cell r="K112">
            <v>1.31</v>
          </cell>
          <cell r="L112">
            <v>1.31</v>
          </cell>
          <cell r="M112">
            <v>1.49</v>
          </cell>
          <cell r="N112">
            <v>1.36</v>
          </cell>
          <cell r="O112">
            <v>1.53</v>
          </cell>
          <cell r="P112">
            <v>1.24</v>
          </cell>
          <cell r="Q112">
            <v>1.42</v>
          </cell>
          <cell r="R112">
            <v>1.46</v>
          </cell>
          <cell r="S112">
            <v>2.02</v>
          </cell>
          <cell r="T112">
            <v>1.71</v>
          </cell>
          <cell r="U112">
            <v>1.99</v>
          </cell>
          <cell r="V112">
            <v>15</v>
          </cell>
          <cell r="W112"/>
          <cell r="X112" t="str">
            <v>TERESA</v>
          </cell>
          <cell r="Y112" t="str">
            <v xml:space="preserve">DMCARE-TRI-02 </v>
          </cell>
          <cell r="Z112" t="str">
            <v>TERESA 22/2/19 by wechat</v>
          </cell>
          <cell r="AA112"/>
          <cell r="AB112">
            <v>43518</v>
          </cell>
          <cell r="AC112">
            <v>1010</v>
          </cell>
        </row>
        <row r="113">
          <cell r="B113">
            <v>4576</v>
          </cell>
          <cell r="C113" t="str">
            <v>R067</v>
          </cell>
          <cell r="D113" t="str">
            <v>RAYON TWILL</v>
          </cell>
          <cell r="E113" t="str">
            <v>30*24 TWILL , 90*60</v>
          </cell>
          <cell r="F113" t="str">
            <v>V100%</v>
          </cell>
          <cell r="G113" t="str">
            <v>100%VISCOSE</v>
          </cell>
          <cell r="H113" t="str">
            <v>53/54</v>
          </cell>
          <cell r="I113">
            <v>145</v>
          </cell>
          <cell r="J113">
            <v>1.42</v>
          </cell>
          <cell r="K113">
            <v>1.59</v>
          </cell>
          <cell r="L113">
            <v>1.51</v>
          </cell>
          <cell r="M113">
            <v>1.75</v>
          </cell>
          <cell r="N113">
            <v>1.56</v>
          </cell>
          <cell r="O113">
            <v>1.79</v>
          </cell>
          <cell r="P113"/>
          <cell r="Q113"/>
          <cell r="R113">
            <v>1.66</v>
          </cell>
          <cell r="S113">
            <v>2.38</v>
          </cell>
          <cell r="T113"/>
          <cell r="U113"/>
          <cell r="V113"/>
          <cell r="W113"/>
          <cell r="X113" t="str">
            <v>TERESA</v>
          </cell>
          <cell r="Y113" t="str">
            <v>DMCARE-TRI-02</v>
          </cell>
          <cell r="Z113" t="str">
            <v>TERESA 20/2/19 by wechat</v>
          </cell>
          <cell r="AA113" t="str">
            <v>20-25DAYS</v>
          </cell>
          <cell r="AB113">
            <v>43516</v>
          </cell>
          <cell r="AC113">
            <v>4576</v>
          </cell>
        </row>
        <row r="114">
          <cell r="B114">
            <v>4654</v>
          </cell>
          <cell r="C114" t="str">
            <v>R6101</v>
          </cell>
          <cell r="D114" t="str">
            <v>same 1015</v>
          </cell>
          <cell r="E114" t="str">
            <v>60S*60S/102*90</v>
          </cell>
          <cell r="F114" t="str">
            <v>R/100%</v>
          </cell>
          <cell r="G114" t="str">
            <v>100% RAYON</v>
          </cell>
          <cell r="H114" t="str">
            <v>53/54</v>
          </cell>
          <cell r="I114">
            <v>80</v>
          </cell>
          <cell r="J114">
            <v>1.1399999999999999</v>
          </cell>
          <cell r="K114">
            <v>1.28</v>
          </cell>
          <cell r="L114">
            <v>1.19</v>
          </cell>
          <cell r="M114">
            <v>1.33</v>
          </cell>
          <cell r="N114">
            <v>1.24</v>
          </cell>
          <cell r="O114">
            <v>1.38</v>
          </cell>
          <cell r="P114"/>
          <cell r="Q114"/>
          <cell r="R114">
            <v>1.31</v>
          </cell>
          <cell r="S114">
            <v>1.67</v>
          </cell>
          <cell r="T114"/>
          <cell r="U114"/>
          <cell r="V114"/>
          <cell r="W114" t="str">
            <v>**same 1015</v>
          </cell>
          <cell r="X114" t="str">
            <v>UYEN</v>
          </cell>
          <cell r="Y114"/>
          <cell r="Z114" t="str">
            <v>UYEN 19/2/19</v>
          </cell>
          <cell r="AA114"/>
          <cell r="AB114">
            <v>43515</v>
          </cell>
          <cell r="AC114">
            <v>4654</v>
          </cell>
        </row>
        <row r="115">
          <cell r="B115">
            <v>4653</v>
          </cell>
          <cell r="C115" t="str">
            <v>XJ-4535</v>
          </cell>
          <cell r="D115" t="str">
            <v>same 4189</v>
          </cell>
          <cell r="E115" t="str">
            <v>(50D+68D)*(50D+68D)</v>
          </cell>
          <cell r="F115" t="str">
            <v>T100%</v>
          </cell>
          <cell r="G115" t="str">
            <v xml:space="preserve">100%POLYESTER </v>
          </cell>
          <cell r="H115" t="str">
            <v>58/59</v>
          </cell>
          <cell r="I115">
            <v>143</v>
          </cell>
          <cell r="J115">
            <v>1.1299999999999999</v>
          </cell>
          <cell r="K115">
            <v>1.43</v>
          </cell>
          <cell r="L115">
            <v>1.25</v>
          </cell>
          <cell r="M115">
            <v>1.43</v>
          </cell>
          <cell r="N115">
            <v>1.25</v>
          </cell>
          <cell r="O115">
            <v>1.43</v>
          </cell>
          <cell r="P115"/>
          <cell r="Q115"/>
          <cell r="R115">
            <v>1.31</v>
          </cell>
          <cell r="S115"/>
          <cell r="T115"/>
          <cell r="U115"/>
          <cell r="V115"/>
          <cell r="W115"/>
          <cell r="X115" t="str">
            <v>ALICE</v>
          </cell>
          <cell r="Y115"/>
          <cell r="Z115" t="str">
            <v>SALLY 21/1/19 by wechat</v>
          </cell>
          <cell r="AA115"/>
          <cell r="AB115">
            <v>43515</v>
          </cell>
          <cell r="AC115">
            <v>4653</v>
          </cell>
        </row>
        <row r="116">
          <cell r="B116">
            <v>4106</v>
          </cell>
          <cell r="C116" t="str">
            <v>TL-6070</v>
          </cell>
          <cell r="D116" t="str">
            <v>TAFFETA - LINING</v>
          </cell>
          <cell r="E116" t="str">
            <v>P68DxP68D, 104x83</v>
          </cell>
          <cell r="F116" t="str">
            <v>T100%</v>
          </cell>
          <cell r="G116" t="str">
            <v>100% POLYESTER</v>
          </cell>
          <cell r="H116" t="str">
            <v>57/59</v>
          </cell>
          <cell r="I116" t="str">
            <v>56-58</v>
          </cell>
          <cell r="J116"/>
          <cell r="K116"/>
          <cell r="L116">
            <v>0.65</v>
          </cell>
          <cell r="M116"/>
          <cell r="N116">
            <v>0.65</v>
          </cell>
          <cell r="O116"/>
          <cell r="P116"/>
          <cell r="Q116"/>
          <cell r="R116">
            <v>0.65</v>
          </cell>
          <cell r="S116"/>
          <cell r="T116"/>
          <cell r="U116"/>
          <cell r="V116"/>
          <cell r="W116" t="str">
            <v>over 3.000m - $0.62/m door to door</v>
          </cell>
          <cell r="X116" t="str">
            <v>SUNG IL</v>
          </cell>
          <cell r="Y116"/>
          <cell r="Z116" t="str">
            <v>THÙY ' MAIL 7/2/17</v>
          </cell>
          <cell r="AA116"/>
          <cell r="AB116">
            <v>43515</v>
          </cell>
          <cell r="AC116">
            <v>5029</v>
          </cell>
        </row>
        <row r="117">
          <cell r="B117">
            <v>4694</v>
          </cell>
          <cell r="C117" t="str">
            <v>R6206</v>
          </cell>
          <cell r="D117" t="str">
            <v>RAYON TWILL - same 4576</v>
          </cell>
          <cell r="E117" t="str">
            <v>30S*24S/100*68</v>
          </cell>
          <cell r="F117" t="str">
            <v>R/100%</v>
          </cell>
          <cell r="G117" t="str">
            <v>100% RAYON</v>
          </cell>
          <cell r="H117" t="str">
            <v>53/54</v>
          </cell>
          <cell r="I117" t="str">
            <v>145-150</v>
          </cell>
          <cell r="J117">
            <v>1.31</v>
          </cell>
          <cell r="K117">
            <v>1.45</v>
          </cell>
          <cell r="L117">
            <v>1.33</v>
          </cell>
          <cell r="M117">
            <v>1.48</v>
          </cell>
          <cell r="N117">
            <v>1.35</v>
          </cell>
          <cell r="O117">
            <v>1.5</v>
          </cell>
          <cell r="P117"/>
          <cell r="Q117"/>
          <cell r="R117">
            <v>1.46</v>
          </cell>
          <cell r="S117">
            <v>1.85</v>
          </cell>
          <cell r="T117"/>
          <cell r="U117"/>
          <cell r="V117"/>
          <cell r="W117"/>
          <cell r="X117" t="str">
            <v>UYEN</v>
          </cell>
          <cell r="Y117"/>
          <cell r="Z117" t="str">
            <v>UYEN 19/2/19</v>
          </cell>
          <cell r="AA117"/>
          <cell r="AB117">
            <v>43515</v>
          </cell>
          <cell r="AC117">
            <v>4694</v>
          </cell>
        </row>
        <row r="118">
          <cell r="B118">
            <v>4706</v>
          </cell>
          <cell r="C118" t="str">
            <v>R6601A</v>
          </cell>
          <cell r="D118" t="str">
            <v>same 1564</v>
          </cell>
          <cell r="E118" t="str">
            <v>40S*40S/110*86</v>
          </cell>
          <cell r="F118" t="str">
            <v>R/100%</v>
          </cell>
          <cell r="G118" t="str">
            <v>100% RAYON</v>
          </cell>
          <cell r="H118" t="str">
            <v>55/56</v>
          </cell>
          <cell r="I118" t="str">
            <v>120-125</v>
          </cell>
          <cell r="J118">
            <v>1.45</v>
          </cell>
          <cell r="K118">
            <v>1.64</v>
          </cell>
          <cell r="L118">
            <v>1.47</v>
          </cell>
          <cell r="M118">
            <v>1.66</v>
          </cell>
          <cell r="N118">
            <v>1.49</v>
          </cell>
          <cell r="O118">
            <v>1.68</v>
          </cell>
          <cell r="P118"/>
          <cell r="Q118"/>
          <cell r="R118">
            <v>1.6</v>
          </cell>
          <cell r="S118">
            <v>1.96</v>
          </cell>
          <cell r="T118"/>
          <cell r="U118"/>
          <cell r="V118"/>
          <cell r="W118"/>
          <cell r="X118" t="str">
            <v>UYEN</v>
          </cell>
          <cell r="Y118"/>
          <cell r="Z118" t="str">
            <v>UYEN 19/2/19</v>
          </cell>
          <cell r="AA118"/>
          <cell r="AB118">
            <v>43515</v>
          </cell>
          <cell r="AC118">
            <v>4706</v>
          </cell>
        </row>
        <row r="119">
          <cell r="B119">
            <v>4605</v>
          </cell>
          <cell r="C119" t="str">
            <v>GL0110</v>
          </cell>
          <cell r="D119" t="str">
            <v>TAILORING</v>
          </cell>
          <cell r="E119"/>
          <cell r="F119" t="str">
            <v>T/C 76/24</v>
          </cell>
          <cell r="G119" t="str">
            <v>76% POLYESTER 24% COTTON</v>
          </cell>
          <cell r="H119" t="str">
            <v>66/67</v>
          </cell>
          <cell r="I119">
            <v>280</v>
          </cell>
          <cell r="J119">
            <v>2.85</v>
          </cell>
          <cell r="K119"/>
          <cell r="L119">
            <v>2.85</v>
          </cell>
          <cell r="M119"/>
          <cell r="N119">
            <v>2.95</v>
          </cell>
          <cell r="O119"/>
          <cell r="P119"/>
          <cell r="Q119"/>
          <cell r="R119"/>
          <cell r="S119"/>
          <cell r="T119"/>
          <cell r="U119"/>
          <cell r="V119"/>
          <cell r="W119" t="str">
            <v>MOQ 2000M</v>
          </cell>
          <cell r="X119" t="str">
            <v>NICKY</v>
          </cell>
          <cell r="Y119"/>
          <cell r="Z119" t="str">
            <v>NICKY 18/2/19 BY WECHAT</v>
          </cell>
          <cell r="AA119" t="str">
            <v>18-20DAYS</v>
          </cell>
          <cell r="AB119">
            <v>43514</v>
          </cell>
          <cell r="AC119">
            <v>4605</v>
          </cell>
        </row>
        <row r="120">
          <cell r="B120">
            <v>4564</v>
          </cell>
          <cell r="C120" t="str">
            <v>ST-710552-B</v>
          </cell>
          <cell r="D120"/>
          <cell r="E120" t="str">
            <v>（50D+20D)*(50D+20D)</v>
          </cell>
          <cell r="F120" t="str">
            <v>97/3 T/S</v>
          </cell>
          <cell r="G120" t="str">
            <v>97% POLYESTER 3% SPANDEX</v>
          </cell>
          <cell r="H120" t="str">
            <v>57/58</v>
          </cell>
          <cell r="I120" t="str">
            <v>70-75</v>
          </cell>
          <cell r="J120">
            <v>1.06</v>
          </cell>
          <cell r="K120">
            <v>1.32</v>
          </cell>
          <cell r="L120">
            <v>1.08</v>
          </cell>
          <cell r="M120">
            <v>1.34</v>
          </cell>
          <cell r="N120">
            <v>1.0900000000000001</v>
          </cell>
          <cell r="O120">
            <v>1.35</v>
          </cell>
          <cell r="P120"/>
          <cell r="Q120"/>
          <cell r="R120">
            <v>1.19</v>
          </cell>
          <cell r="S120">
            <v>1.48</v>
          </cell>
          <cell r="T120"/>
          <cell r="U120"/>
          <cell r="V120"/>
          <cell r="W120"/>
          <cell r="X120" t="str">
            <v>SIGER</v>
          </cell>
          <cell r="Y120" t="str">
            <v>DMCARE-TRI-03</v>
          </cell>
          <cell r="Z120" t="str">
            <v>CARA 18/2/19 by wechat</v>
          </cell>
          <cell r="AA120"/>
          <cell r="AB120">
            <v>43514</v>
          </cell>
          <cell r="AC120">
            <v>4564</v>
          </cell>
        </row>
        <row r="121">
          <cell r="B121">
            <v>3257</v>
          </cell>
          <cell r="C121" t="str">
            <v>WW-20567</v>
          </cell>
          <cell r="D121"/>
          <cell r="E121" t="str">
            <v>100D/72FFDY*100D/72FFDY 40*32</v>
          </cell>
          <cell r="F121" t="str">
            <v>T100%</v>
          </cell>
          <cell r="G121" t="str">
            <v>100% POLYESTER</v>
          </cell>
          <cell r="H121" t="str">
            <v>57/58</v>
          </cell>
          <cell r="I121">
            <v>70</v>
          </cell>
          <cell r="J121">
            <v>0.93</v>
          </cell>
          <cell r="K121">
            <v>1.23</v>
          </cell>
          <cell r="L121">
            <v>0.93</v>
          </cell>
          <cell r="M121">
            <v>1.23</v>
          </cell>
          <cell r="N121">
            <v>0.97650000000000015</v>
          </cell>
          <cell r="O121">
            <v>1.2915000000000001</v>
          </cell>
          <cell r="P121"/>
          <cell r="Q121"/>
          <cell r="R121">
            <v>1.0230000000000001</v>
          </cell>
          <cell r="S121">
            <v>1.35</v>
          </cell>
          <cell r="T121"/>
          <cell r="U121"/>
          <cell r="V121">
            <v>15</v>
          </cell>
          <cell r="W121"/>
          <cell r="X121" t="str">
            <v>PANI</v>
          </cell>
          <cell r="Y121" t="str">
            <v>DMCARE-TRI-02</v>
          </cell>
          <cell r="Z121" t="str">
            <v>AMY 18/2/19</v>
          </cell>
          <cell r="AA121"/>
          <cell r="AB121">
            <v>43514</v>
          </cell>
          <cell r="AC121">
            <v>3257</v>
          </cell>
        </row>
        <row r="122">
          <cell r="B122">
            <v>4511</v>
          </cell>
          <cell r="C122" t="str">
            <v>BG4105</v>
          </cell>
          <cell r="D122" t="str">
            <v>BUBBLE CREPE</v>
          </cell>
          <cell r="E122"/>
          <cell r="F122" t="str">
            <v>T/S 97/3</v>
          </cell>
          <cell r="G122" t="str">
            <v xml:space="preserve">97% POLYESTER  3% SPANDEX </v>
          </cell>
          <cell r="H122" t="str">
            <v>57/58</v>
          </cell>
          <cell r="I122">
            <v>125</v>
          </cell>
          <cell r="J122">
            <v>1.3</v>
          </cell>
          <cell r="K122">
            <v>1.7</v>
          </cell>
          <cell r="L122">
            <v>1.32</v>
          </cell>
          <cell r="M122">
            <v>1.75</v>
          </cell>
          <cell r="N122">
            <v>1.33</v>
          </cell>
          <cell r="O122">
            <v>1.8</v>
          </cell>
          <cell r="P122"/>
          <cell r="Q122"/>
          <cell r="R122">
            <v>1.5</v>
          </cell>
          <cell r="S122">
            <v>2.2000000000000002</v>
          </cell>
          <cell r="T122"/>
          <cell r="U122"/>
          <cell r="V122">
            <v>15</v>
          </cell>
          <cell r="W122"/>
          <cell r="X122" t="str">
            <v>EDWIN</v>
          </cell>
          <cell r="Y122" t="str">
            <v>DMCARE-TRI-002</v>
          </cell>
          <cell r="Z122" t="str">
            <v>EDWIN 16/2/19 BY WECHAT</v>
          </cell>
          <cell r="AA122"/>
          <cell r="AB122">
            <v>43512</v>
          </cell>
          <cell r="AC122">
            <v>4511</v>
          </cell>
        </row>
        <row r="123">
          <cell r="B123">
            <v>3381</v>
          </cell>
          <cell r="C123" t="str">
            <v>T004</v>
          </cell>
          <cell r="D123" t="str">
            <v>CREPE ( REPLACE 2002</v>
          </cell>
          <cell r="E123" t="str">
            <v>75D*75D</v>
          </cell>
          <cell r="F123" t="str">
            <v>T100%</v>
          </cell>
          <cell r="G123" t="str">
            <v xml:space="preserve">100% POLYESTER </v>
          </cell>
          <cell r="H123" t="str">
            <v>57/58</v>
          </cell>
          <cell r="I123">
            <v>120</v>
          </cell>
          <cell r="J123">
            <v>1.17</v>
          </cell>
          <cell r="K123">
            <v>1.37</v>
          </cell>
          <cell r="L123">
            <v>1.17</v>
          </cell>
          <cell r="M123">
            <v>1.37</v>
          </cell>
          <cell r="N123">
            <v>1.17</v>
          </cell>
          <cell r="O123">
            <v>1.37</v>
          </cell>
          <cell r="P123">
            <v>1.35</v>
          </cell>
          <cell r="Q123">
            <v>1.99</v>
          </cell>
          <cell r="R123">
            <v>1.35</v>
          </cell>
          <cell r="S123">
            <v>1.99</v>
          </cell>
          <cell r="T123" t="str">
            <v>TERESA</v>
          </cell>
          <cell r="U123"/>
          <cell r="V123"/>
          <cell r="W123"/>
          <cell r="X123" t="str">
            <v>TERESA</v>
          </cell>
          <cell r="Y123"/>
          <cell r="Z123" t="str">
            <v>TERESA16/2/19</v>
          </cell>
          <cell r="AA123"/>
          <cell r="AB123">
            <v>43512</v>
          </cell>
          <cell r="AC123">
            <v>3381</v>
          </cell>
        </row>
        <row r="124">
          <cell r="B124">
            <v>4652</v>
          </cell>
          <cell r="C124" t="str">
            <v>LQ121-AA</v>
          </cell>
          <cell r="D124" t="str">
            <v>SILKY POLY</v>
          </cell>
          <cell r="E124" t="str">
            <v>100D/72F*75D/72F</v>
          </cell>
          <cell r="F124" t="str">
            <v>T100%</v>
          </cell>
          <cell r="G124" t="str">
            <v>100% POLYESTER</v>
          </cell>
          <cell r="H124" t="str">
            <v>57/58"</v>
          </cell>
          <cell r="I124" t="str">
            <v>115-120</v>
          </cell>
          <cell r="J124">
            <v>1.4</v>
          </cell>
          <cell r="K124">
            <v>1.5</v>
          </cell>
          <cell r="L124">
            <v>1.41</v>
          </cell>
          <cell r="M124">
            <v>1.52</v>
          </cell>
          <cell r="N124">
            <v>1.42</v>
          </cell>
          <cell r="O124">
            <v>1.54</v>
          </cell>
          <cell r="P124"/>
          <cell r="Q124"/>
          <cell r="R124">
            <v>1.49</v>
          </cell>
          <cell r="S124">
            <v>1.72</v>
          </cell>
          <cell r="T124"/>
          <cell r="U124"/>
          <cell r="V124"/>
          <cell r="W124"/>
          <cell r="X124" t="str">
            <v>UYEN</v>
          </cell>
          <cell r="Y124"/>
          <cell r="Z124" t="str">
            <v>UYEN 31/1/19</v>
          </cell>
          <cell r="AA124"/>
          <cell r="AB124">
            <v>43496</v>
          </cell>
          <cell r="AC124">
            <v>4652</v>
          </cell>
        </row>
        <row r="125">
          <cell r="B125">
            <v>4651</v>
          </cell>
          <cell r="C125" t="str">
            <v>LQ585</v>
          </cell>
          <cell r="D125" t="str">
            <v>SILKY CHIFFON</v>
          </cell>
          <cell r="E125" t="str">
            <v>20DFDY+26DPOY*20DFDY+26DPOY</v>
          </cell>
          <cell r="F125" t="str">
            <v>T100%</v>
          </cell>
          <cell r="G125" t="str">
            <v>100% POLYESTER</v>
          </cell>
          <cell r="H125" t="str">
            <v>57/58"</v>
          </cell>
          <cell r="I125">
            <v>60</v>
          </cell>
          <cell r="J125">
            <v>1.3</v>
          </cell>
          <cell r="K125">
            <v>1.45</v>
          </cell>
          <cell r="L125">
            <v>1.32</v>
          </cell>
          <cell r="M125">
            <v>1.48</v>
          </cell>
          <cell r="N125">
            <v>1.35</v>
          </cell>
          <cell r="O125">
            <v>1.5</v>
          </cell>
          <cell r="P125"/>
          <cell r="Q125"/>
          <cell r="R125">
            <v>1.45</v>
          </cell>
          <cell r="S125">
            <v>1.6</v>
          </cell>
          <cell r="T125"/>
          <cell r="U125"/>
          <cell r="V125"/>
          <cell r="W125"/>
          <cell r="X125" t="str">
            <v>UYEN</v>
          </cell>
          <cell r="Y125"/>
          <cell r="Z125" t="str">
            <v>UYEN 31/1/19</v>
          </cell>
          <cell r="AA125"/>
          <cell r="AB125">
            <v>43496</v>
          </cell>
          <cell r="AC125">
            <v>4651</v>
          </cell>
        </row>
        <row r="126">
          <cell r="B126">
            <v>4101</v>
          </cell>
          <cell r="C126" t="str">
            <v>OLP-1123-091FS</v>
          </cell>
          <cell r="D126" t="str">
            <v>SILKY POLY</v>
          </cell>
          <cell r="E126" t="str">
            <v>15+150*80</v>
          </cell>
          <cell r="F126" t="str">
            <v>T100%</v>
          </cell>
          <cell r="G126" t="str">
            <v>100% POLYESTER</v>
          </cell>
          <cell r="H126" t="str">
            <v>57/58</v>
          </cell>
          <cell r="I126">
            <v>75</v>
          </cell>
          <cell r="J126">
            <v>1.92</v>
          </cell>
          <cell r="K126">
            <v>2.2200000000000002</v>
          </cell>
          <cell r="L126">
            <v>1.94</v>
          </cell>
          <cell r="M126">
            <v>2.25</v>
          </cell>
          <cell r="N126">
            <v>1.96</v>
          </cell>
          <cell r="O126">
            <v>2.27</v>
          </cell>
          <cell r="P126"/>
          <cell r="Q126"/>
          <cell r="R126">
            <v>2</v>
          </cell>
          <cell r="S126">
            <v>2.83</v>
          </cell>
          <cell r="T126"/>
          <cell r="U126"/>
          <cell r="V126"/>
          <cell r="W126"/>
          <cell r="X126" t="str">
            <v>OWEN</v>
          </cell>
          <cell r="Y126"/>
          <cell r="Z126" t="str">
            <v>JOAN 31/1/19 BY WECHAT</v>
          </cell>
          <cell r="AA126"/>
          <cell r="AB126">
            <v>43496</v>
          </cell>
          <cell r="AC126">
            <v>4101</v>
          </cell>
        </row>
        <row r="127">
          <cell r="B127">
            <v>2329</v>
          </cell>
          <cell r="C127" t="str">
            <v>BG3414</v>
          </cell>
          <cell r="D127" t="str">
            <v>JAC VISCOSE</v>
          </cell>
          <cell r="E127" t="str">
            <v xml:space="preserve">60s*60s </v>
          </cell>
          <cell r="F127" t="str">
            <v>R100%</v>
          </cell>
          <cell r="G127" t="str">
            <v>100% RAYON</v>
          </cell>
          <cell r="H127" t="str">
            <v>53/54</v>
          </cell>
          <cell r="I127">
            <v>84</v>
          </cell>
          <cell r="J127">
            <v>1.75</v>
          </cell>
          <cell r="K127">
            <v>2.15</v>
          </cell>
          <cell r="L127">
            <v>1.77</v>
          </cell>
          <cell r="M127">
            <v>2.2000000000000002</v>
          </cell>
          <cell r="N127">
            <v>1.78</v>
          </cell>
          <cell r="O127">
            <v>2.25</v>
          </cell>
          <cell r="P127"/>
          <cell r="Q127"/>
          <cell r="R127">
            <v>2.1</v>
          </cell>
          <cell r="S127">
            <v>2.7</v>
          </cell>
          <cell r="T127"/>
          <cell r="U127"/>
          <cell r="V127"/>
          <cell r="W127"/>
          <cell r="X127" t="str">
            <v>EDWIN</v>
          </cell>
          <cell r="Y127" t="str">
            <v>DMCARE-TRI-02</v>
          </cell>
          <cell r="Z127" t="str">
            <v>EDWIN 30/1/19 BY WECHAT</v>
          </cell>
          <cell r="AA127"/>
          <cell r="AB127">
            <v>43495</v>
          </cell>
          <cell r="AC127">
            <v>2329</v>
          </cell>
        </row>
        <row r="128">
          <cell r="B128">
            <v>4650</v>
          </cell>
          <cell r="C128" t="str">
            <v>ZT-A-013</v>
          </cell>
          <cell r="D128" t="str">
            <v>BENGALINE</v>
          </cell>
          <cell r="E128" t="str">
            <v>70D+40D*10S</v>
          </cell>
          <cell r="F128" t="str">
            <v>R/N/S 76/20/4</v>
          </cell>
          <cell r="G128" t="str">
            <v>76% RAYON 20% NYLON 4% SPANDEX</v>
          </cell>
          <cell r="H128" t="str">
            <v>150CM</v>
          </cell>
          <cell r="I128" t="str">
            <v>210-220</v>
          </cell>
          <cell r="J128">
            <v>1.8</v>
          </cell>
          <cell r="K128"/>
          <cell r="L128">
            <v>1.8</v>
          </cell>
          <cell r="M128"/>
          <cell r="N128">
            <v>1.9</v>
          </cell>
          <cell r="O128"/>
          <cell r="P128"/>
          <cell r="Q128">
            <v>1.9</v>
          </cell>
          <cell r="R128">
            <v>1.95</v>
          </cell>
          <cell r="S128"/>
          <cell r="T128"/>
          <cell r="U128"/>
          <cell r="V128"/>
          <cell r="W128"/>
          <cell r="X128" t="str">
            <v>ALEX</v>
          </cell>
          <cell r="Y128"/>
          <cell r="Z128" t="str">
            <v>ALEX 28/1/19 BY WECHAT</v>
          </cell>
          <cell r="AA128"/>
          <cell r="AB128">
            <v>43493</v>
          </cell>
          <cell r="AC128">
            <v>4650</v>
          </cell>
        </row>
        <row r="129">
          <cell r="B129">
            <v>4619</v>
          </cell>
          <cell r="C129" t="str">
            <v>XJ-4546</v>
          </cell>
          <cell r="D129" t="str">
            <v>Richly crepe ( same AMW4423 )</v>
          </cell>
          <cell r="E129" t="str">
            <v>50D*150D</v>
          </cell>
          <cell r="F129" t="str">
            <v>T100%</v>
          </cell>
          <cell r="G129" t="str">
            <v xml:space="preserve">100%POLYESTER </v>
          </cell>
          <cell r="H129" t="str">
            <v>58/59"</v>
          </cell>
          <cell r="I129">
            <v>138</v>
          </cell>
          <cell r="J129">
            <v>1.22</v>
          </cell>
          <cell r="K129">
            <v>1.47</v>
          </cell>
          <cell r="L129">
            <v>1.22</v>
          </cell>
          <cell r="M129">
            <v>1.47</v>
          </cell>
          <cell r="N129">
            <v>1.22</v>
          </cell>
          <cell r="O129">
            <v>1.47</v>
          </cell>
          <cell r="P129"/>
          <cell r="Q129"/>
          <cell r="R129">
            <v>1.3</v>
          </cell>
          <cell r="S129">
            <v>2.4700000000000002</v>
          </cell>
          <cell r="T129"/>
          <cell r="U129"/>
          <cell r="V129"/>
          <cell r="W129"/>
          <cell r="X129" t="str">
            <v>ALICE</v>
          </cell>
          <cell r="Y129"/>
          <cell r="Z129" t="str">
            <v>SALLY 28/1/19 by wechat</v>
          </cell>
          <cell r="AA129"/>
          <cell r="AB129">
            <v>43493</v>
          </cell>
          <cell r="AC129">
            <v>4619</v>
          </cell>
        </row>
        <row r="130">
          <cell r="B130">
            <v>4587</v>
          </cell>
          <cell r="C130" t="str">
            <v>ZT-A-002</v>
          </cell>
          <cell r="D130" t="str">
            <v>LIGHT SATEEN</v>
          </cell>
          <cell r="E130" t="str">
            <v>50D x 50D</v>
          </cell>
          <cell r="F130" t="str">
            <v>T100%</v>
          </cell>
          <cell r="G130" t="str">
            <v>100%POLYESTER</v>
          </cell>
          <cell r="H130" t="str">
            <v>148CM</v>
          </cell>
          <cell r="I130">
            <v>90</v>
          </cell>
          <cell r="J130">
            <v>1.07</v>
          </cell>
          <cell r="K130">
            <v>1.28</v>
          </cell>
          <cell r="L130">
            <v>1.07</v>
          </cell>
          <cell r="M130">
            <v>1.28</v>
          </cell>
          <cell r="N130">
            <v>1.1100000000000001</v>
          </cell>
          <cell r="O130">
            <v>1.32</v>
          </cell>
          <cell r="P130"/>
          <cell r="Q130"/>
          <cell r="R130">
            <v>1.22</v>
          </cell>
          <cell r="S130" t="str">
            <v>can not</v>
          </cell>
          <cell r="T130"/>
          <cell r="U130"/>
          <cell r="V130"/>
          <cell r="W130"/>
          <cell r="X130" t="str">
            <v>ALEX</v>
          </cell>
          <cell r="Y130"/>
          <cell r="Z130" t="str">
            <v>ALEX 28/1/19 BY WECHAT</v>
          </cell>
          <cell r="AA130" t="str">
            <v>20 DAYS</v>
          </cell>
          <cell r="AB130">
            <v>43493</v>
          </cell>
          <cell r="AC130">
            <v>4587</v>
          </cell>
        </row>
        <row r="131">
          <cell r="B131">
            <v>4571</v>
          </cell>
          <cell r="C131" t="str">
            <v>ST-W7102</v>
          </cell>
          <cell r="D131" t="str">
            <v>SATEEN</v>
          </cell>
          <cell r="E131" t="str">
            <v>（20+26)*(20+26）</v>
          </cell>
          <cell r="F131" t="str">
            <v>T100%</v>
          </cell>
          <cell r="G131" t="str">
            <v>100% POLYETSER</v>
          </cell>
          <cell r="H131" t="str">
            <v>57/58</v>
          </cell>
          <cell r="I131">
            <v>110</v>
          </cell>
          <cell r="J131">
            <v>1.18</v>
          </cell>
          <cell r="K131">
            <v>1.43</v>
          </cell>
          <cell r="L131">
            <v>1.19</v>
          </cell>
          <cell r="M131">
            <v>1.45</v>
          </cell>
          <cell r="N131">
            <v>1.21</v>
          </cell>
          <cell r="O131">
            <v>1.46</v>
          </cell>
          <cell r="P131">
            <v>1.25</v>
          </cell>
          <cell r="Q131">
            <v>1.5299999999999998</v>
          </cell>
          <cell r="R131">
            <v>1.31</v>
          </cell>
          <cell r="S131">
            <v>1.59</v>
          </cell>
          <cell r="T131"/>
          <cell r="U131"/>
          <cell r="V131">
            <v>15</v>
          </cell>
          <cell r="W131"/>
          <cell r="X131" t="str">
            <v>SIGER</v>
          </cell>
          <cell r="Y131" t="str">
            <v>DMCARE-TRI-03</v>
          </cell>
          <cell r="Z131" t="str">
            <v>CARA 28/1/19 by wechat</v>
          </cell>
          <cell r="AA131"/>
          <cell r="AB131">
            <v>43493</v>
          </cell>
          <cell r="AC131">
            <v>4571</v>
          </cell>
        </row>
        <row r="132">
          <cell r="B132">
            <v>4649</v>
          </cell>
          <cell r="C132" t="str">
            <v>XH-3921</v>
          </cell>
          <cell r="D132" t="str">
            <v>COTTON SLUB</v>
          </cell>
          <cell r="E132" t="str">
            <v>21x21</v>
          </cell>
          <cell r="F132"/>
          <cell r="G132" t="str">
            <v>100%RAYON</v>
          </cell>
          <cell r="H132" t="str">
            <v>58"</v>
          </cell>
          <cell r="I132" t="str">
            <v>125G</v>
          </cell>
          <cell r="J132">
            <v>1.35</v>
          </cell>
          <cell r="K132">
            <v>1.55</v>
          </cell>
          <cell r="L132">
            <v>1.35</v>
          </cell>
          <cell r="M132">
            <v>1.55</v>
          </cell>
          <cell r="N132">
            <v>1.5</v>
          </cell>
          <cell r="O132">
            <v>1.7</v>
          </cell>
          <cell r="P132"/>
          <cell r="Q132"/>
          <cell r="R132">
            <v>1.6500000000000001</v>
          </cell>
          <cell r="S132">
            <v>1.85</v>
          </cell>
          <cell r="T132"/>
          <cell r="U132"/>
          <cell r="V132"/>
          <cell r="W132"/>
          <cell r="X132" t="str">
            <v>ALICE</v>
          </cell>
          <cell r="Y132"/>
          <cell r="Z132" t="str">
            <v>SALLY 26/1/19</v>
          </cell>
          <cell r="AA132"/>
          <cell r="AB132">
            <v>43490</v>
          </cell>
          <cell r="AC132">
            <v>4649</v>
          </cell>
        </row>
        <row r="133">
          <cell r="B133">
            <v>4648</v>
          </cell>
          <cell r="C133" t="str">
            <v>XJ-4961</v>
          </cell>
          <cell r="D133" t="str">
            <v>CHAMBRAY LOOK</v>
          </cell>
          <cell r="E133" t="str">
            <v>170D</v>
          </cell>
          <cell r="F133"/>
          <cell r="G133" t="str">
            <v>100%POLYESTER</v>
          </cell>
          <cell r="H133" t="str">
            <v>58"</v>
          </cell>
          <cell r="I133" t="str">
            <v>125-130</v>
          </cell>
          <cell r="J133">
            <v>1.45</v>
          </cell>
          <cell r="K133"/>
          <cell r="L133">
            <v>1.45</v>
          </cell>
          <cell r="M133"/>
          <cell r="N133">
            <v>1.55</v>
          </cell>
          <cell r="O133"/>
          <cell r="P133"/>
          <cell r="Q133"/>
          <cell r="R133">
            <v>1.65</v>
          </cell>
          <cell r="S133"/>
          <cell r="T133"/>
          <cell r="U133"/>
          <cell r="V133"/>
          <cell r="W133"/>
          <cell r="X133" t="str">
            <v>ALICE</v>
          </cell>
          <cell r="Y133"/>
          <cell r="Z133" t="str">
            <v>SALLY 26/1/19</v>
          </cell>
          <cell r="AA133"/>
          <cell r="AB133">
            <v>43490</v>
          </cell>
          <cell r="AC133">
            <v>4648</v>
          </cell>
        </row>
        <row r="134">
          <cell r="B134">
            <v>4647</v>
          </cell>
          <cell r="C134" t="str">
            <v>XJ-2191</v>
          </cell>
          <cell r="D134" t="str">
            <v>HEAVY CREPE</v>
          </cell>
          <cell r="E134"/>
          <cell r="F134"/>
          <cell r="G134" t="str">
            <v>97%Polyester 3% Spandex</v>
          </cell>
          <cell r="H134" t="str">
            <v>57/58</v>
          </cell>
          <cell r="I134">
            <v>230</v>
          </cell>
          <cell r="J134">
            <v>1.95</v>
          </cell>
          <cell r="K134">
            <v>2.2000000000000002</v>
          </cell>
          <cell r="L134">
            <v>1.95</v>
          </cell>
          <cell r="M134">
            <v>2.2000000000000002</v>
          </cell>
          <cell r="N134">
            <v>2.1</v>
          </cell>
          <cell r="O134">
            <v>2.35</v>
          </cell>
          <cell r="P134"/>
          <cell r="Q134"/>
          <cell r="R134">
            <v>2.25</v>
          </cell>
          <cell r="S134">
            <v>2.5</v>
          </cell>
          <cell r="T134"/>
          <cell r="U134"/>
          <cell r="V134"/>
          <cell r="W134"/>
          <cell r="X134" t="str">
            <v>ALICE</v>
          </cell>
          <cell r="Y134"/>
          <cell r="Z134" t="str">
            <v>Alice Wechat 24/1/19</v>
          </cell>
          <cell r="AA134"/>
          <cell r="AB134">
            <v>43490</v>
          </cell>
          <cell r="AC134">
            <v>4647</v>
          </cell>
        </row>
        <row r="135">
          <cell r="B135">
            <v>4641</v>
          </cell>
          <cell r="C135" t="str">
            <v>XE-1038</v>
          </cell>
          <cell r="D135" t="str">
            <v>VISCOSE 80GSM</v>
          </cell>
          <cell r="E135" t="str">
            <v>60*60/90*88</v>
          </cell>
          <cell r="F135" t="str">
            <v>R100%</v>
          </cell>
          <cell r="G135" t="str">
            <v>100%RAYON</v>
          </cell>
          <cell r="H135" t="str">
            <v>55/56</v>
          </cell>
          <cell r="I135" t="str">
            <v>85-90</v>
          </cell>
          <cell r="J135">
            <v>1.18</v>
          </cell>
          <cell r="K135">
            <v>1.35</v>
          </cell>
          <cell r="L135">
            <v>1.18</v>
          </cell>
          <cell r="M135">
            <v>1.35</v>
          </cell>
          <cell r="N135">
            <v>1.35</v>
          </cell>
          <cell r="O135">
            <v>1.5</v>
          </cell>
          <cell r="P135"/>
          <cell r="Q135"/>
          <cell r="R135">
            <v>1.5</v>
          </cell>
          <cell r="S135">
            <v>1.65</v>
          </cell>
          <cell r="T135"/>
          <cell r="U135"/>
          <cell r="V135"/>
          <cell r="W135"/>
          <cell r="X135" t="str">
            <v>ALICE</v>
          </cell>
          <cell r="Y135"/>
          <cell r="Z135" t="str">
            <v>Alice Wechat 24-1-19</v>
          </cell>
          <cell r="AA135"/>
          <cell r="AB135">
            <v>43489</v>
          </cell>
          <cell r="AC135">
            <v>4641</v>
          </cell>
        </row>
        <row r="136">
          <cell r="B136">
            <v>4635</v>
          </cell>
          <cell r="C136" t="str">
            <v>XE-741/R-4369</v>
          </cell>
          <cell r="D136" t="str">
            <v>CHALLIS VISCOSE</v>
          </cell>
          <cell r="E136" t="str">
            <v>30*30/68*68</v>
          </cell>
          <cell r="F136" t="str">
            <v>V100%</v>
          </cell>
          <cell r="G136" t="str">
            <v>100%VISCOSE</v>
          </cell>
          <cell r="H136" t="str">
            <v>54/55"</v>
          </cell>
          <cell r="I136">
            <v>120</v>
          </cell>
          <cell r="J136">
            <v>1.1299999999999999</v>
          </cell>
          <cell r="K136">
            <v>1.3</v>
          </cell>
          <cell r="L136">
            <v>1.1299999999999999</v>
          </cell>
          <cell r="M136">
            <v>1.3</v>
          </cell>
          <cell r="N136">
            <v>1.18</v>
          </cell>
          <cell r="O136">
            <v>1.35</v>
          </cell>
          <cell r="P136">
            <v>1.28</v>
          </cell>
          <cell r="Q136">
            <v>1.48</v>
          </cell>
          <cell r="R136">
            <v>1.23</v>
          </cell>
          <cell r="S136">
            <v>1.4</v>
          </cell>
          <cell r="T136" t="str">
            <v>ALICE</v>
          </cell>
          <cell r="U136"/>
          <cell r="V136"/>
          <cell r="W136"/>
          <cell r="X136" t="str">
            <v>ALICE</v>
          </cell>
          <cell r="Y136">
            <v>4635</v>
          </cell>
          <cell r="Z136" t="str">
            <v>Alice Wechat 24-1-19</v>
          </cell>
          <cell r="AA136"/>
          <cell r="AB136">
            <v>43489</v>
          </cell>
          <cell r="AC136"/>
        </row>
        <row r="137">
          <cell r="B137">
            <v>4631</v>
          </cell>
          <cell r="C137" t="str">
            <v>ST-85349</v>
          </cell>
          <cell r="D137" t="str">
            <v>FAILLE</v>
          </cell>
          <cell r="E137" t="str">
            <v>75DDTY *150DDTY 8:8</v>
          </cell>
          <cell r="F137" t="str">
            <v>T100%</v>
          </cell>
          <cell r="G137" t="str">
            <v>100% POLYETSER</v>
          </cell>
          <cell r="H137" t="str">
            <v>57/58</v>
          </cell>
          <cell r="I137" t="str">
            <v>130GSM</v>
          </cell>
          <cell r="J137">
            <v>1.23</v>
          </cell>
          <cell r="K137">
            <v>1.49</v>
          </cell>
          <cell r="L137">
            <v>1.24</v>
          </cell>
          <cell r="M137">
            <v>1.49</v>
          </cell>
          <cell r="N137">
            <v>1.24</v>
          </cell>
          <cell r="O137">
            <v>1.49</v>
          </cell>
          <cell r="P137">
            <v>1.4</v>
          </cell>
          <cell r="Q137">
            <v>1.69</v>
          </cell>
          <cell r="R137">
            <v>1.4</v>
          </cell>
          <cell r="S137">
            <v>1.69</v>
          </cell>
          <cell r="T137"/>
          <cell r="U137"/>
          <cell r="V137"/>
          <cell r="W137"/>
          <cell r="X137" t="str">
            <v>SIGER</v>
          </cell>
          <cell r="Y137"/>
          <cell r="Z137" t="str">
            <v>CARA 23/1/19</v>
          </cell>
          <cell r="AA137"/>
          <cell r="AB137">
            <v>43488</v>
          </cell>
          <cell r="AC137">
            <v>4631</v>
          </cell>
        </row>
        <row r="138">
          <cell r="B138">
            <v>4600</v>
          </cell>
          <cell r="C138" t="str">
            <v>TS-528</v>
          </cell>
          <cell r="D138" t="str">
            <v>y/d jacquard</v>
          </cell>
          <cell r="E138"/>
          <cell r="F138" t="str">
            <v>90/10 POLY/SPAN</v>
          </cell>
          <cell r="G138" t="str">
            <v>90% POLYESTER 10% SPANDEX</v>
          </cell>
          <cell r="H138" t="str">
            <v>61/62</v>
          </cell>
          <cell r="I138">
            <v>305</v>
          </cell>
          <cell r="J138">
            <v>2.58</v>
          </cell>
          <cell r="K138"/>
          <cell r="L138">
            <v>2.6</v>
          </cell>
          <cell r="M138"/>
          <cell r="N138">
            <v>2.62</v>
          </cell>
          <cell r="O138"/>
          <cell r="P138"/>
          <cell r="Q138" t="str">
            <v>no</v>
          </cell>
          <cell r="R138"/>
          <cell r="S138"/>
          <cell r="T138"/>
          <cell r="U138"/>
          <cell r="V138"/>
          <cell r="W138"/>
          <cell r="X138" t="str">
            <v>GAVIN</v>
          </cell>
          <cell r="Y138"/>
          <cell r="Z138" t="str">
            <v xml:space="preserve">GAVIN 23/1/19 </v>
          </cell>
          <cell r="AA138"/>
          <cell r="AB138">
            <v>43488</v>
          </cell>
          <cell r="AC138">
            <v>4600</v>
          </cell>
        </row>
        <row r="139">
          <cell r="B139">
            <v>4546</v>
          </cell>
          <cell r="C139" t="str">
            <v>BG3693</v>
          </cell>
          <cell r="D139" t="str">
            <v>CHIFFON ( SAME 2770 )</v>
          </cell>
          <cell r="E139" t="str">
            <v>75D * 75D</v>
          </cell>
          <cell r="F139"/>
          <cell r="G139" t="str">
            <v>100% POLYESTER</v>
          </cell>
          <cell r="H139" t="str">
            <v>57/58</v>
          </cell>
          <cell r="I139">
            <v>70</v>
          </cell>
          <cell r="J139">
            <v>0.9</v>
          </cell>
          <cell r="K139">
            <v>1.1599999999999999</v>
          </cell>
          <cell r="L139">
            <v>0.9</v>
          </cell>
          <cell r="M139">
            <v>1.1599999999999999</v>
          </cell>
          <cell r="N139">
            <v>0.9</v>
          </cell>
          <cell r="O139">
            <v>1.1599999999999999</v>
          </cell>
          <cell r="P139">
            <v>1.03</v>
          </cell>
          <cell r="Q139">
            <v>1.51</v>
          </cell>
          <cell r="R139">
            <v>1.03</v>
          </cell>
          <cell r="S139">
            <v>1.51</v>
          </cell>
          <cell r="T139" t="str">
            <v>EDWIN</v>
          </cell>
          <cell r="U139"/>
          <cell r="V139">
            <v>15</v>
          </cell>
          <cell r="W139"/>
          <cell r="X139" t="str">
            <v>EDWIN</v>
          </cell>
          <cell r="Y139"/>
          <cell r="Z139" t="str">
            <v>EDWIN 23/1/19 by wechat</v>
          </cell>
          <cell r="AA139"/>
          <cell r="AB139">
            <v>43488</v>
          </cell>
          <cell r="AC139">
            <v>4546</v>
          </cell>
        </row>
        <row r="140">
          <cell r="B140">
            <v>4339</v>
          </cell>
          <cell r="C140" t="str">
            <v>BG3364</v>
          </cell>
          <cell r="D140" t="str">
            <v>COTTON - LINING</v>
          </cell>
          <cell r="E140"/>
          <cell r="F140" t="str">
            <v>T/C 65/35</v>
          </cell>
          <cell r="G140" t="str">
            <v>65% POLYESTER 35% COTTON</v>
          </cell>
          <cell r="H140" t="str">
            <v>57/58</v>
          </cell>
          <cell r="I140">
            <v>80</v>
          </cell>
          <cell r="J140">
            <v>0.92</v>
          </cell>
          <cell r="K140">
            <v>1.25</v>
          </cell>
          <cell r="L140">
            <v>0.93</v>
          </cell>
          <cell r="M140">
            <v>1.3</v>
          </cell>
          <cell r="N140">
            <v>0.95</v>
          </cell>
          <cell r="O140">
            <v>1.35</v>
          </cell>
          <cell r="P140"/>
          <cell r="Q140"/>
          <cell r="R140">
            <v>1.1000000000000001</v>
          </cell>
          <cell r="S140">
            <v>1.7</v>
          </cell>
          <cell r="T140"/>
          <cell r="U140"/>
          <cell r="V140">
            <v>15</v>
          </cell>
          <cell r="W140"/>
          <cell r="X140" t="str">
            <v>EDWIN</v>
          </cell>
          <cell r="Y140" t="str">
            <v>DMCARE-TRI-02</v>
          </cell>
          <cell r="Z140" t="str">
            <v>EDWIN 23/1/19 by wechat</v>
          </cell>
          <cell r="AA140"/>
          <cell r="AB140">
            <v>43488</v>
          </cell>
          <cell r="AC140">
            <v>4544</v>
          </cell>
        </row>
        <row r="141">
          <cell r="B141">
            <v>2360</v>
          </cell>
          <cell r="C141" t="str">
            <v>TS-264</v>
          </cell>
          <cell r="D141" t="str">
            <v xml:space="preserve">CORDUROY </v>
          </cell>
          <cell r="E141" t="str">
            <v>20X16+40D</v>
          </cell>
          <cell r="F141"/>
          <cell r="G141" t="str">
            <v>97/3 COTTON / SPAN</v>
          </cell>
          <cell r="H141" t="str">
            <v>57/58</v>
          </cell>
          <cell r="I141">
            <v>216</v>
          </cell>
          <cell r="J141">
            <v>2.71</v>
          </cell>
          <cell r="K141">
            <v>2.89</v>
          </cell>
          <cell r="L141">
            <v>2.73</v>
          </cell>
          <cell r="M141">
            <v>2.92</v>
          </cell>
          <cell r="N141">
            <v>2.75</v>
          </cell>
          <cell r="O141">
            <v>2.95</v>
          </cell>
          <cell r="P141"/>
          <cell r="Q141"/>
          <cell r="R141" t="str">
            <v>NO</v>
          </cell>
          <cell r="S141" t="str">
            <v>NO</v>
          </cell>
          <cell r="T141"/>
          <cell r="U141"/>
          <cell r="V141" t="str">
            <v>OK</v>
          </cell>
          <cell r="W141"/>
          <cell r="X141" t="str">
            <v>GAVIN</v>
          </cell>
          <cell r="Y141"/>
          <cell r="Z141" t="str">
            <v xml:space="preserve">GAVIN 23/1/19 </v>
          </cell>
          <cell r="AA141"/>
          <cell r="AB141">
            <v>43488</v>
          </cell>
          <cell r="AC141">
            <v>2360</v>
          </cell>
        </row>
        <row r="142">
          <cell r="B142">
            <v>2207</v>
          </cell>
          <cell r="C142" t="str">
            <v>HLT1516</v>
          </cell>
          <cell r="D142"/>
          <cell r="E142" t="str">
            <v>15D+15D*75D+100D+40D</v>
          </cell>
          <cell r="F142" t="str">
            <v>T/S 99/1</v>
          </cell>
          <cell r="G142" t="str">
            <v>99%POLYESTER 1%SPANDEX</v>
          </cell>
          <cell r="H142" t="str">
            <v>57/58</v>
          </cell>
          <cell r="I142">
            <v>97</v>
          </cell>
          <cell r="J142">
            <v>1.5671614100185529</v>
          </cell>
          <cell r="K142">
            <v>1.6710575139146568</v>
          </cell>
          <cell r="L142">
            <v>1.5671614100185529</v>
          </cell>
          <cell r="M142">
            <v>1.6710575139146568</v>
          </cell>
          <cell r="N142">
            <v>1.667161410018553</v>
          </cell>
          <cell r="O142">
            <v>1.9710575139146569</v>
          </cell>
          <cell r="P142"/>
          <cell r="Q142"/>
          <cell r="R142">
            <v>2.667161410018553</v>
          </cell>
          <cell r="S142">
            <v>3.4710575139146567</v>
          </cell>
          <cell r="T142"/>
          <cell r="U142"/>
          <cell r="V142"/>
          <cell r="W142"/>
          <cell r="X142" t="str">
            <v>CANDY</v>
          </cell>
          <cell r="Y142" t="str">
            <v>DMCARE-TRI-02</v>
          </cell>
          <cell r="Z142" t="str">
            <v>CANDY 23/1/19</v>
          </cell>
          <cell r="AA142"/>
          <cell r="AB142">
            <v>43488</v>
          </cell>
          <cell r="AC142">
            <v>2207</v>
          </cell>
        </row>
        <row r="143">
          <cell r="B143">
            <v>4645</v>
          </cell>
          <cell r="C143" t="str">
            <v>ST-84249</v>
          </cell>
          <cell r="D143" t="str">
            <v>poly stretch</v>
          </cell>
          <cell r="E143" t="str">
            <v>(100D+40D)*(100D+40D)</v>
          </cell>
          <cell r="F143" t="str">
            <v>T/S 97/3</v>
          </cell>
          <cell r="G143" t="str">
            <v xml:space="preserve">97% POLYESTER3%SP </v>
          </cell>
          <cell r="H143" t="str">
            <v>57/58</v>
          </cell>
          <cell r="I143">
            <v>130</v>
          </cell>
          <cell r="J143">
            <v>1.06</v>
          </cell>
          <cell r="K143">
            <v>1.31</v>
          </cell>
          <cell r="L143">
            <v>1.07</v>
          </cell>
          <cell r="M143">
            <v>1.33</v>
          </cell>
          <cell r="N143">
            <v>1.07</v>
          </cell>
          <cell r="O143">
            <v>1.33</v>
          </cell>
          <cell r="P143"/>
          <cell r="Q143"/>
          <cell r="R143">
            <v>1.22</v>
          </cell>
          <cell r="S143">
            <v>1.53</v>
          </cell>
          <cell r="T143"/>
          <cell r="U143"/>
          <cell r="V143"/>
          <cell r="W143"/>
          <cell r="X143" t="str">
            <v>SIGER</v>
          </cell>
          <cell r="Y143"/>
          <cell r="Z143" t="str">
            <v>CARA 21/1/19 BY WECHAT</v>
          </cell>
          <cell r="AA143"/>
          <cell r="AB143">
            <v>43486</v>
          </cell>
          <cell r="AC143">
            <v>4645</v>
          </cell>
        </row>
        <row r="144">
          <cell r="B144">
            <v>4642</v>
          </cell>
          <cell r="C144" t="str">
            <v>R-7131</v>
          </cell>
          <cell r="D144" t="str">
            <v>RAYON CRINKLE</v>
          </cell>
          <cell r="E144" t="str">
            <v>30*24</v>
          </cell>
          <cell r="F144" t="str">
            <v>R100%</v>
          </cell>
          <cell r="G144" t="str">
            <v>100%RAYON</v>
          </cell>
          <cell r="H144" t="str">
            <v>52/54</v>
          </cell>
          <cell r="I144">
            <v>120</v>
          </cell>
          <cell r="J144">
            <v>1.2</v>
          </cell>
          <cell r="K144">
            <v>1.38</v>
          </cell>
          <cell r="L144">
            <v>1.2</v>
          </cell>
          <cell r="M144">
            <v>1.38</v>
          </cell>
          <cell r="N144">
            <v>1.35</v>
          </cell>
          <cell r="O144">
            <v>1.53</v>
          </cell>
          <cell r="P144"/>
          <cell r="Q144"/>
          <cell r="R144">
            <v>1.5</v>
          </cell>
          <cell r="S144">
            <v>1.68</v>
          </cell>
          <cell r="T144"/>
          <cell r="U144"/>
          <cell r="V144"/>
          <cell r="W144"/>
          <cell r="X144" t="str">
            <v>ALICE</v>
          </cell>
          <cell r="Y144"/>
          <cell r="Z144" t="str">
            <v>SALLY 21/1/19 BY WECHAT</v>
          </cell>
          <cell r="AA144"/>
          <cell r="AB144">
            <v>43486</v>
          </cell>
          <cell r="AC144">
            <v>4642</v>
          </cell>
        </row>
        <row r="145">
          <cell r="B145">
            <v>4641</v>
          </cell>
          <cell r="C145" t="str">
            <v>XE-1038</v>
          </cell>
          <cell r="D145" t="str">
            <v>VISCOSE 80GSM</v>
          </cell>
          <cell r="E145" t="str">
            <v>60*60/90*88</v>
          </cell>
          <cell r="F145" t="str">
            <v>R100%</v>
          </cell>
          <cell r="G145" t="str">
            <v>100%RAYON</v>
          </cell>
          <cell r="H145" t="str">
            <v>55/56</v>
          </cell>
          <cell r="I145" t="str">
            <v>85-90</v>
          </cell>
          <cell r="J145">
            <v>1.1499999999999999</v>
          </cell>
          <cell r="K145">
            <v>1.3</v>
          </cell>
          <cell r="L145">
            <v>1.1499999999999999</v>
          </cell>
          <cell r="M145">
            <v>1.3</v>
          </cell>
          <cell r="N145">
            <v>1.3</v>
          </cell>
          <cell r="O145">
            <v>1.45</v>
          </cell>
          <cell r="P145"/>
          <cell r="Q145"/>
          <cell r="R145">
            <v>1.45</v>
          </cell>
          <cell r="S145">
            <v>1.6</v>
          </cell>
          <cell r="T145"/>
          <cell r="U145"/>
          <cell r="V145"/>
          <cell r="W145"/>
          <cell r="X145" t="str">
            <v>ALICE</v>
          </cell>
          <cell r="Y145"/>
          <cell r="Z145" t="str">
            <v>SALLY 21/1/19 BY WECHAT</v>
          </cell>
          <cell r="AA145"/>
          <cell r="AB145">
            <v>43486</v>
          </cell>
          <cell r="AC145">
            <v>4641</v>
          </cell>
        </row>
        <row r="146">
          <cell r="B146">
            <v>4639</v>
          </cell>
          <cell r="C146" t="str">
            <v>ZT-A-005</v>
          </cell>
          <cell r="D146" t="str">
            <v>POLY</v>
          </cell>
          <cell r="E146" t="str">
            <v>50D+50D*50D+50D</v>
          </cell>
          <cell r="F146" t="str">
            <v>T100%</v>
          </cell>
          <cell r="G146" t="str">
            <v>100% POLYESTER</v>
          </cell>
          <cell r="H146" t="str">
            <v>148CM</v>
          </cell>
          <cell r="I146">
            <v>125</v>
          </cell>
          <cell r="J146">
            <v>1.07</v>
          </cell>
          <cell r="K146">
            <v>1.33</v>
          </cell>
          <cell r="L146">
            <v>1.07</v>
          </cell>
          <cell r="M146">
            <v>1.33</v>
          </cell>
          <cell r="N146">
            <v>1.18</v>
          </cell>
          <cell r="O146">
            <v>1.7</v>
          </cell>
          <cell r="P146"/>
          <cell r="Q146"/>
          <cell r="R146">
            <v>1.29</v>
          </cell>
          <cell r="S146">
            <v>1.85</v>
          </cell>
          <cell r="T146">
            <v>1.25</v>
          </cell>
          <cell r="U146">
            <v>1.81</v>
          </cell>
          <cell r="V146"/>
          <cell r="W146"/>
          <cell r="X146" t="str">
            <v>ALEX</v>
          </cell>
          <cell r="Y146"/>
          <cell r="Z146" t="str">
            <v>ALEX 21/1/19</v>
          </cell>
          <cell r="AA146"/>
          <cell r="AB146">
            <v>43486</v>
          </cell>
          <cell r="AC146">
            <v>4639</v>
          </cell>
        </row>
        <row r="147">
          <cell r="B147">
            <v>4638</v>
          </cell>
          <cell r="C147" t="str">
            <v>ST-810731</v>
          </cell>
          <cell r="D147" t="str">
            <v>POLY STRETCH</v>
          </cell>
          <cell r="E147" t="str">
            <v>(150+40)*(150+40)</v>
          </cell>
          <cell r="F147" t="str">
            <v>T/S 97/3</v>
          </cell>
          <cell r="G147" t="str">
            <v>97%POLYESTER 3%SPANDEX</v>
          </cell>
          <cell r="H147" t="str">
            <v>57/58"</v>
          </cell>
          <cell r="I147">
            <v>168</v>
          </cell>
          <cell r="J147">
            <v>1.2</v>
          </cell>
          <cell r="K147">
            <v>1.45</v>
          </cell>
          <cell r="L147">
            <v>1.21</v>
          </cell>
          <cell r="M147">
            <v>1.46</v>
          </cell>
          <cell r="N147">
            <v>1.21</v>
          </cell>
          <cell r="O147">
            <v>1.46</v>
          </cell>
          <cell r="P147"/>
          <cell r="Q147"/>
          <cell r="R147">
            <v>1.36</v>
          </cell>
          <cell r="S147">
            <v>1.61</v>
          </cell>
          <cell r="T147"/>
          <cell r="U147"/>
          <cell r="V147"/>
          <cell r="W147"/>
          <cell r="X147" t="str">
            <v>SIGER</v>
          </cell>
          <cell r="Y147"/>
          <cell r="Z147" t="str">
            <v>CARA 21/1/19 by wechat</v>
          </cell>
          <cell r="AA147"/>
          <cell r="AB147">
            <v>43486</v>
          </cell>
          <cell r="AC147">
            <v>4638</v>
          </cell>
        </row>
        <row r="148">
          <cell r="B148">
            <v>4635</v>
          </cell>
          <cell r="C148" t="str">
            <v>XE-741/R-4369</v>
          </cell>
          <cell r="D148" t="str">
            <v>CHALLIS VISCOSE</v>
          </cell>
          <cell r="E148" t="str">
            <v>30*30/68*68</v>
          </cell>
          <cell r="F148" t="str">
            <v>V100%</v>
          </cell>
          <cell r="G148" t="str">
            <v>100%VISCOSE</v>
          </cell>
          <cell r="H148" t="str">
            <v>54/55"</v>
          </cell>
          <cell r="I148">
            <v>120</v>
          </cell>
          <cell r="J148">
            <v>1.18</v>
          </cell>
          <cell r="K148">
            <v>1.38</v>
          </cell>
          <cell r="L148">
            <v>1.18</v>
          </cell>
          <cell r="M148">
            <v>1.38</v>
          </cell>
          <cell r="N148">
            <v>1.23</v>
          </cell>
          <cell r="O148">
            <v>1.43</v>
          </cell>
          <cell r="P148"/>
          <cell r="Q148"/>
          <cell r="R148">
            <v>1.28</v>
          </cell>
          <cell r="S148">
            <v>1.48</v>
          </cell>
          <cell r="T148"/>
          <cell r="U148"/>
          <cell r="V148"/>
          <cell r="W148"/>
          <cell r="X148" t="str">
            <v>ALICE</v>
          </cell>
          <cell r="Y148"/>
          <cell r="Z148" t="str">
            <v>SALLY 21/1/19 BY WECHAT</v>
          </cell>
          <cell r="AA148"/>
          <cell r="AB148">
            <v>43486</v>
          </cell>
          <cell r="AC148">
            <v>4635</v>
          </cell>
        </row>
        <row r="149">
          <cell r="B149">
            <v>4634</v>
          </cell>
          <cell r="C149" t="str">
            <v>ST-66207</v>
          </cell>
          <cell r="D149" t="str">
            <v>CHIFFON LATTICE</v>
          </cell>
          <cell r="E149" t="str">
            <v>75D/28T*150D/6T</v>
          </cell>
          <cell r="F149" t="str">
            <v>T100%</v>
          </cell>
          <cell r="G149" t="str">
            <v>100% POLYESTER</v>
          </cell>
          <cell r="H149" t="str">
            <v>57/58"</v>
          </cell>
          <cell r="I149">
            <v>105</v>
          </cell>
          <cell r="J149">
            <v>1.04</v>
          </cell>
          <cell r="K149">
            <v>1.3</v>
          </cell>
          <cell r="L149">
            <v>1.04</v>
          </cell>
          <cell r="M149">
            <v>1.3</v>
          </cell>
          <cell r="N149">
            <v>1.05</v>
          </cell>
          <cell r="O149">
            <v>1.31</v>
          </cell>
          <cell r="P149"/>
          <cell r="Q149"/>
          <cell r="R149">
            <v>1.2</v>
          </cell>
          <cell r="S149">
            <v>1.47</v>
          </cell>
          <cell r="T149"/>
          <cell r="U149"/>
          <cell r="V149"/>
          <cell r="W149"/>
          <cell r="X149" t="str">
            <v>SIGER</v>
          </cell>
          <cell r="Y149" t="str">
            <v>#3</v>
          </cell>
          <cell r="Z149" t="str">
            <v>CARA 21/1/19 BY WECHAT</v>
          </cell>
          <cell r="AA149"/>
          <cell r="AB149">
            <v>43486</v>
          </cell>
          <cell r="AC149">
            <v>4634</v>
          </cell>
        </row>
        <row r="150">
          <cell r="B150">
            <v>4632</v>
          </cell>
          <cell r="C150" t="str">
            <v>XJ-4033</v>
          </cell>
          <cell r="D150" t="str">
            <v>same 4189 w/ air flow</v>
          </cell>
          <cell r="E150" t="str">
            <v>(50D+68D)*(50D+68D)</v>
          </cell>
          <cell r="F150" t="str">
            <v>T100%</v>
          </cell>
          <cell r="G150" t="str">
            <v xml:space="preserve">100%POLYESTER </v>
          </cell>
          <cell r="H150" t="str">
            <v>58/59</v>
          </cell>
          <cell r="I150">
            <v>143</v>
          </cell>
          <cell r="J150">
            <v>1.18</v>
          </cell>
          <cell r="K150"/>
          <cell r="L150">
            <v>1.28</v>
          </cell>
          <cell r="M150"/>
          <cell r="N150">
            <v>1.28</v>
          </cell>
          <cell r="O150"/>
          <cell r="P150"/>
          <cell r="Q150"/>
          <cell r="R150">
            <v>1.36</v>
          </cell>
          <cell r="S150"/>
          <cell r="T150"/>
          <cell r="U150"/>
          <cell r="V150"/>
          <cell r="W150"/>
          <cell r="X150" t="str">
            <v>ALICE</v>
          </cell>
          <cell r="Y150"/>
          <cell r="Z150" t="str">
            <v>SALLY 21/1/19 by wechat</v>
          </cell>
          <cell r="AA150"/>
          <cell r="AB150">
            <v>43486</v>
          </cell>
          <cell r="AC150">
            <v>4632</v>
          </cell>
        </row>
        <row r="151">
          <cell r="B151">
            <v>4624</v>
          </cell>
          <cell r="C151" t="str">
            <v>ST-W8148</v>
          </cell>
          <cell r="D151" t="str">
            <v>same AMW1481</v>
          </cell>
          <cell r="E151" t="str">
            <v>50+50*150D</v>
          </cell>
          <cell r="F151" t="str">
            <v>T100%</v>
          </cell>
          <cell r="G151" t="str">
            <v>100% POLYESTER</v>
          </cell>
          <cell r="H151" t="str">
            <v>57/58</v>
          </cell>
          <cell r="I151">
            <v>160</v>
          </cell>
          <cell r="J151">
            <v>1.26</v>
          </cell>
          <cell r="K151">
            <v>1.52</v>
          </cell>
          <cell r="L151">
            <v>1.26</v>
          </cell>
          <cell r="M151">
            <v>1.52</v>
          </cell>
          <cell r="N151">
            <v>1.27</v>
          </cell>
          <cell r="O151">
            <v>1.53</v>
          </cell>
          <cell r="P151"/>
          <cell r="Q151"/>
          <cell r="R151">
            <v>1.37</v>
          </cell>
          <cell r="S151">
            <v>1.63</v>
          </cell>
          <cell r="T151"/>
          <cell r="U151"/>
          <cell r="V151"/>
          <cell r="W151"/>
          <cell r="X151" t="str">
            <v>SIGER</v>
          </cell>
          <cell r="Y151" t="str">
            <v>DMCARE-TRI-03</v>
          </cell>
          <cell r="Z151" t="str">
            <v>CARA 21/1/19 BY WECHAT</v>
          </cell>
          <cell r="AA151"/>
          <cell r="AB151">
            <v>43486</v>
          </cell>
          <cell r="AC151">
            <v>4624</v>
          </cell>
        </row>
        <row r="152">
          <cell r="B152">
            <v>4623</v>
          </cell>
          <cell r="C152" t="str">
            <v>ST-86477</v>
          </cell>
          <cell r="D152" t="str">
            <v>MILANO CREPE</v>
          </cell>
          <cell r="E152" t="str">
            <v>(50+68)*(50+68)</v>
          </cell>
          <cell r="F152" t="str">
            <v>T100%</v>
          </cell>
          <cell r="G152" t="str">
            <v>100% POLYESTER</v>
          </cell>
          <cell r="H152" t="str">
            <v>57/58"</v>
          </cell>
          <cell r="I152">
            <v>155</v>
          </cell>
          <cell r="J152">
            <v>1.18</v>
          </cell>
          <cell r="K152">
            <v>1.43</v>
          </cell>
          <cell r="L152">
            <v>1.19</v>
          </cell>
          <cell r="M152">
            <v>1.44</v>
          </cell>
          <cell r="N152">
            <v>1.19</v>
          </cell>
          <cell r="O152">
            <v>1.44</v>
          </cell>
          <cell r="P152">
            <v>1.24</v>
          </cell>
          <cell r="Q152">
            <v>1.51</v>
          </cell>
          <cell r="R152">
            <v>1.3</v>
          </cell>
          <cell r="S152">
            <v>1.6</v>
          </cell>
          <cell r="T152"/>
          <cell r="U152"/>
          <cell r="V152"/>
          <cell r="W152"/>
          <cell r="X152" t="str">
            <v>SIGER</v>
          </cell>
          <cell r="Y152"/>
          <cell r="Z152" t="str">
            <v>CARA 20/11/18</v>
          </cell>
          <cell r="AA152"/>
          <cell r="AB152">
            <v>43486</v>
          </cell>
          <cell r="AC152">
            <v>4623</v>
          </cell>
        </row>
        <row r="153">
          <cell r="B153">
            <v>4616</v>
          </cell>
          <cell r="C153" t="str">
            <v>ST-W6619</v>
          </cell>
          <cell r="D153" t="str">
            <v>POLY CHIFFON TWILL</v>
          </cell>
          <cell r="E153" t="str">
            <v>100D*75D</v>
          </cell>
          <cell r="F153" t="str">
            <v>T100%</v>
          </cell>
          <cell r="G153" t="str">
            <v>100%POLYESTER</v>
          </cell>
          <cell r="H153" t="str">
            <v>57/58</v>
          </cell>
          <cell r="I153" t="str">
            <v>120-125</v>
          </cell>
          <cell r="J153">
            <v>1.17</v>
          </cell>
          <cell r="K153">
            <v>1.42</v>
          </cell>
          <cell r="L153">
            <v>1.18</v>
          </cell>
          <cell r="M153">
            <v>1.43</v>
          </cell>
          <cell r="N153">
            <v>1.19</v>
          </cell>
          <cell r="O153">
            <v>1.44</v>
          </cell>
          <cell r="P153"/>
          <cell r="Q153"/>
          <cell r="R153">
            <v>1.34</v>
          </cell>
          <cell r="S153">
            <v>1.54</v>
          </cell>
          <cell r="T153"/>
          <cell r="U153"/>
          <cell r="V153"/>
          <cell r="W153"/>
          <cell r="X153" t="str">
            <v>SIGER</v>
          </cell>
          <cell r="Y153" t="str">
            <v>DMCARE-TRI-03</v>
          </cell>
          <cell r="Z153" t="str">
            <v>CARA 21/1/19 BY WECHAT</v>
          </cell>
          <cell r="AA153"/>
          <cell r="AB153">
            <v>43486</v>
          </cell>
          <cell r="AC153">
            <v>4616</v>
          </cell>
        </row>
        <row r="154">
          <cell r="B154">
            <v>4608</v>
          </cell>
          <cell r="C154" t="str">
            <v>H185#</v>
          </cell>
          <cell r="D154" t="str">
            <v>CREPE</v>
          </cell>
          <cell r="E154" t="str">
            <v>75D*75D/214*100   2400T</v>
          </cell>
          <cell r="F154" t="str">
            <v>T/100%</v>
          </cell>
          <cell r="G154" t="str">
            <v>100% POLYESTER</v>
          </cell>
          <cell r="H154" t="str">
            <v>57/58</v>
          </cell>
          <cell r="I154">
            <v>125</v>
          </cell>
          <cell r="J154">
            <v>1.05</v>
          </cell>
          <cell r="K154">
            <v>1.25</v>
          </cell>
          <cell r="L154">
            <v>1.22</v>
          </cell>
          <cell r="M154">
            <v>1.36</v>
          </cell>
          <cell r="N154">
            <v>1.23</v>
          </cell>
          <cell r="O154">
            <v>1.38</v>
          </cell>
          <cell r="P154"/>
          <cell r="Q154"/>
          <cell r="R154">
            <v>1.32</v>
          </cell>
          <cell r="S154">
            <v>1.76</v>
          </cell>
          <cell r="T154"/>
          <cell r="U154"/>
          <cell r="V154"/>
          <cell r="W154"/>
          <cell r="X154" t="str">
            <v>UYEN</v>
          </cell>
          <cell r="Y154"/>
          <cell r="Z154" t="str">
            <v>UYEN 21/1/19</v>
          </cell>
          <cell r="AA154" t="str">
            <v>25DAYS</v>
          </cell>
          <cell r="AB154">
            <v>43486</v>
          </cell>
          <cell r="AC154">
            <v>4608</v>
          </cell>
        </row>
        <row r="155">
          <cell r="B155">
            <v>4607</v>
          </cell>
          <cell r="C155" t="str">
            <v>HJ5126</v>
          </cell>
          <cell r="D155" t="str">
            <v>BUBBLE CREPE</v>
          </cell>
          <cell r="E155" t="str">
            <v>75D+(75D+40D)*75D+(75D+40D)/75D*200SP875DS+200SP / 180*90    1700T</v>
          </cell>
          <cell r="F155" t="str">
            <v>T/S 97/3</v>
          </cell>
          <cell r="G155" t="str">
            <v>97% POLYESTER 3% SPANDEX</v>
          </cell>
          <cell r="H155" t="str">
            <v>57/58</v>
          </cell>
          <cell r="I155">
            <v>125</v>
          </cell>
          <cell r="J155">
            <v>1.0900000000000001</v>
          </cell>
          <cell r="K155">
            <v>1.29</v>
          </cell>
          <cell r="L155">
            <v>1.1200000000000001</v>
          </cell>
          <cell r="M155">
            <v>1.32</v>
          </cell>
          <cell r="N155">
            <v>1.1499999999999999</v>
          </cell>
          <cell r="O155">
            <v>1.35</v>
          </cell>
          <cell r="P155"/>
          <cell r="Q155"/>
          <cell r="R155">
            <v>1.18</v>
          </cell>
          <cell r="S155">
            <v>1.45</v>
          </cell>
          <cell r="T155"/>
          <cell r="U155"/>
          <cell r="V155"/>
          <cell r="W155"/>
          <cell r="X155" t="str">
            <v>UYEN</v>
          </cell>
          <cell r="Y155"/>
          <cell r="Z155" t="str">
            <v>UYEN 21/1/19</v>
          </cell>
          <cell r="AA155" t="str">
            <v>30DAYS</v>
          </cell>
          <cell r="AB155">
            <v>43486</v>
          </cell>
          <cell r="AC155">
            <v>4607</v>
          </cell>
        </row>
        <row r="156">
          <cell r="B156">
            <v>4545</v>
          </cell>
          <cell r="C156" t="str">
            <v>ZT-A-006</v>
          </cell>
          <cell r="D156" t="str">
            <v>SOFT POLY</v>
          </cell>
          <cell r="E156" t="str">
            <v>50D+50D*150D</v>
          </cell>
          <cell r="F156" t="str">
            <v>T100%</v>
          </cell>
          <cell r="G156" t="str">
            <v>100%POLYESTER</v>
          </cell>
          <cell r="H156">
            <v>150</v>
          </cell>
          <cell r="I156">
            <v>140</v>
          </cell>
          <cell r="J156">
            <v>1.28</v>
          </cell>
          <cell r="K156">
            <v>1.49</v>
          </cell>
          <cell r="L156">
            <v>1.28</v>
          </cell>
          <cell r="M156">
            <v>1.49</v>
          </cell>
          <cell r="N156">
            <v>1.39</v>
          </cell>
          <cell r="O156">
            <v>1.61</v>
          </cell>
          <cell r="P156"/>
          <cell r="Q156"/>
          <cell r="R156">
            <v>1.5</v>
          </cell>
          <cell r="S156">
            <v>2.15</v>
          </cell>
          <cell r="T156"/>
          <cell r="U156"/>
          <cell r="V156"/>
          <cell r="W156"/>
          <cell r="X156" t="str">
            <v>ALEX</v>
          </cell>
          <cell r="Y156"/>
          <cell r="Z156" t="str">
            <v>ALEX 21/1/1910/12/18 price has been confirmed by wechat</v>
          </cell>
          <cell r="AA156" t="str">
            <v>20 DAYS</v>
          </cell>
          <cell r="AB156">
            <v>43486</v>
          </cell>
          <cell r="AC156">
            <v>4545</v>
          </cell>
        </row>
        <row r="157">
          <cell r="B157">
            <v>4250</v>
          </cell>
          <cell r="C157" t="str">
            <v>ST-712692</v>
          </cell>
          <cell r="D157" t="str">
            <v>STRETCH CREPE</v>
          </cell>
          <cell r="E157" t="str">
            <v>(100D+40D)*(100D+40D)</v>
          </cell>
          <cell r="F157" t="str">
            <v>T/S 97/3</v>
          </cell>
          <cell r="G157" t="str">
            <v>97% POLYESTER 3% SPANDEX</v>
          </cell>
          <cell r="H157" t="str">
            <v>57/58</v>
          </cell>
          <cell r="I157">
            <v>135</v>
          </cell>
          <cell r="J157">
            <v>1.05</v>
          </cell>
          <cell r="K157">
            <v>1.35</v>
          </cell>
          <cell r="L157">
            <v>1.08</v>
          </cell>
          <cell r="M157">
            <v>1.36</v>
          </cell>
          <cell r="N157">
            <v>1.0900000000000001</v>
          </cell>
          <cell r="O157">
            <v>1.37</v>
          </cell>
          <cell r="P157">
            <v>1.1499999999999999</v>
          </cell>
          <cell r="Q157">
            <v>1.53</v>
          </cell>
          <cell r="R157">
            <v>1.1499999999999999</v>
          </cell>
          <cell r="S157">
            <v>1.53</v>
          </cell>
          <cell r="T157"/>
          <cell r="U157"/>
          <cell r="V157"/>
          <cell r="W157"/>
          <cell r="X157" t="str">
            <v>SIGER</v>
          </cell>
          <cell r="Y157"/>
          <cell r="Z157" t="str">
            <v>CARA 21/1/19</v>
          </cell>
          <cell r="AA157"/>
          <cell r="AB157">
            <v>43486</v>
          </cell>
          <cell r="AC157">
            <v>4250</v>
          </cell>
        </row>
        <row r="158">
          <cell r="B158">
            <v>4220</v>
          </cell>
          <cell r="C158" t="str">
            <v>ST-712683-E D#3</v>
          </cell>
          <cell r="D158" t="str">
            <v>STRETCH POLY</v>
          </cell>
          <cell r="E158" t="str">
            <v>(75D+40D)*(75D+40D)</v>
          </cell>
          <cell r="F158" t="str">
            <v>T/S 97/3</v>
          </cell>
          <cell r="G158" t="str">
            <v xml:space="preserve">97% POLYESTER3%SP </v>
          </cell>
          <cell r="H158" t="str">
            <v>57/58</v>
          </cell>
          <cell r="I158">
            <v>100</v>
          </cell>
          <cell r="J158">
            <v>1.05</v>
          </cell>
          <cell r="K158">
            <v>1.3</v>
          </cell>
          <cell r="L158">
            <v>1.06</v>
          </cell>
          <cell r="M158">
            <v>1.31</v>
          </cell>
          <cell r="N158">
            <v>1.07</v>
          </cell>
          <cell r="O158">
            <v>1.32</v>
          </cell>
          <cell r="P158">
            <v>1.2</v>
          </cell>
          <cell r="Q158"/>
          <cell r="R158">
            <v>1.22</v>
          </cell>
          <cell r="S158">
            <v>1.42</v>
          </cell>
          <cell r="T158"/>
          <cell r="U158"/>
          <cell r="V158">
            <v>15</v>
          </cell>
          <cell r="W158"/>
          <cell r="X158" t="str">
            <v>SIGER</v>
          </cell>
          <cell r="Y158"/>
          <cell r="Z158" t="str">
            <v>CARA 21/1/19 by wechat</v>
          </cell>
          <cell r="AA158"/>
          <cell r="AB158">
            <v>43486</v>
          </cell>
          <cell r="AC158">
            <v>4867</v>
          </cell>
        </row>
        <row r="159">
          <cell r="B159">
            <v>1483</v>
          </cell>
          <cell r="C159" t="str">
            <v>TOULOUSE</v>
          </cell>
          <cell r="D159" t="str">
            <v>LINING</v>
          </cell>
          <cell r="E159"/>
          <cell r="F159" t="str">
            <v>T 100%</v>
          </cell>
          <cell r="G159" t="str">
            <v>100% POLYESTER</v>
          </cell>
          <cell r="H159" t="str">
            <v>58/60</v>
          </cell>
          <cell r="I159">
            <v>90</v>
          </cell>
          <cell r="J159"/>
          <cell r="K159"/>
          <cell r="L159"/>
          <cell r="M159"/>
          <cell r="N159"/>
          <cell r="O159"/>
          <cell r="P159">
            <v>0.62</v>
          </cell>
          <cell r="Q159"/>
          <cell r="R159">
            <v>0.67</v>
          </cell>
          <cell r="S159"/>
          <cell r="T159" t="str">
            <v>VSANG</v>
          </cell>
          <cell r="U159"/>
          <cell r="V159"/>
          <cell r="W159"/>
          <cell r="X159" t="str">
            <v>VSANG</v>
          </cell>
          <cell r="Y159"/>
          <cell r="Z159">
            <v>43486</v>
          </cell>
          <cell r="AA159"/>
          <cell r="AB159">
            <v>43486</v>
          </cell>
          <cell r="AC159">
            <v>1483</v>
          </cell>
        </row>
        <row r="160">
          <cell r="B160">
            <v>4444</v>
          </cell>
          <cell r="C160" t="str">
            <v>BG3825</v>
          </cell>
          <cell r="D160" t="str">
            <v>SATEEN</v>
          </cell>
          <cell r="E160" t="str">
            <v xml:space="preserve">150D+(50D+68D)*(50D+68D) </v>
          </cell>
          <cell r="F160" t="str">
            <v>T100%</v>
          </cell>
          <cell r="G160" t="str">
            <v>100% POLYESTER</v>
          </cell>
          <cell r="H160" t="str">
            <v>57/58</v>
          </cell>
          <cell r="I160">
            <v>212</v>
          </cell>
          <cell r="J160">
            <v>2.08</v>
          </cell>
          <cell r="K160">
            <v>2.35</v>
          </cell>
          <cell r="L160">
            <v>2.1</v>
          </cell>
          <cell r="M160">
            <v>2.4</v>
          </cell>
          <cell r="N160">
            <v>2.1</v>
          </cell>
          <cell r="O160">
            <v>2.4500000000000002</v>
          </cell>
          <cell r="P160"/>
          <cell r="Q160"/>
          <cell r="R160">
            <v>2.6</v>
          </cell>
          <cell r="S160">
            <v>3.2</v>
          </cell>
          <cell r="T160"/>
          <cell r="U160"/>
          <cell r="V160"/>
          <cell r="W160"/>
          <cell r="X160" t="str">
            <v>EDWIN</v>
          </cell>
          <cell r="Y160" t="str">
            <v>DMCARE-TRI-02</v>
          </cell>
          <cell r="Z160" t="str">
            <v>EDWIN 18/1/19 BY WECHAT</v>
          </cell>
          <cell r="AA160"/>
          <cell r="AB160">
            <v>43483</v>
          </cell>
          <cell r="AC160">
            <v>4444</v>
          </cell>
        </row>
        <row r="161">
          <cell r="B161">
            <v>4643</v>
          </cell>
          <cell r="C161" t="str">
            <v>ST-WV4870</v>
          </cell>
          <cell r="D161" t="str">
            <v>faille</v>
          </cell>
          <cell r="E161"/>
          <cell r="F161" t="str">
            <v>T100%</v>
          </cell>
          <cell r="G161" t="str">
            <v>100% POLYESTER</v>
          </cell>
          <cell r="H161" t="str">
            <v>57/58</v>
          </cell>
          <cell r="I161">
            <v>78</v>
          </cell>
          <cell r="J161">
            <v>1.23</v>
          </cell>
          <cell r="K161">
            <v>1.44</v>
          </cell>
          <cell r="L161">
            <v>1.26</v>
          </cell>
          <cell r="M161">
            <v>1.47</v>
          </cell>
          <cell r="N161">
            <v>1.28</v>
          </cell>
          <cell r="O161">
            <v>1.49</v>
          </cell>
          <cell r="P161"/>
          <cell r="Q161"/>
          <cell r="R161">
            <v>1.6</v>
          </cell>
          <cell r="S161">
            <v>1.81</v>
          </cell>
          <cell r="T161"/>
          <cell r="U161"/>
          <cell r="V161"/>
          <cell r="W161"/>
          <cell r="X161" t="str">
            <v>LILY</v>
          </cell>
          <cell r="Y161" t="str">
            <v>DMCCARE-TRI-03</v>
          </cell>
          <cell r="Z161" t="str">
            <v>LILY 16/1/19 BY WECHAT</v>
          </cell>
          <cell r="AA161"/>
          <cell r="AB161">
            <v>43481</v>
          </cell>
          <cell r="AC161">
            <v>4643</v>
          </cell>
        </row>
        <row r="162">
          <cell r="B162">
            <v>4644</v>
          </cell>
          <cell r="C162" t="str">
            <v>ZT-A-018</v>
          </cell>
          <cell r="D162" t="str">
            <v>FAILLED</v>
          </cell>
          <cell r="E162" t="str">
            <v>50D+50D*150D</v>
          </cell>
          <cell r="F162" t="str">
            <v>T100%</v>
          </cell>
          <cell r="G162" t="str">
            <v>100% POLYESTER</v>
          </cell>
          <cell r="H162">
            <v>150</v>
          </cell>
          <cell r="I162">
            <v>135</v>
          </cell>
          <cell r="J162">
            <v>1.21</v>
          </cell>
          <cell r="K162">
            <v>1.41</v>
          </cell>
          <cell r="L162">
            <v>1.21</v>
          </cell>
          <cell r="M162">
            <v>1.41</v>
          </cell>
          <cell r="N162">
            <v>1.33</v>
          </cell>
          <cell r="O162">
            <v>1.53</v>
          </cell>
          <cell r="P162"/>
          <cell r="Q162"/>
          <cell r="R162">
            <v>1.48</v>
          </cell>
          <cell r="S162">
            <v>1.68</v>
          </cell>
          <cell r="T162"/>
          <cell r="U162"/>
          <cell r="V162"/>
          <cell r="W162"/>
          <cell r="X162" t="str">
            <v>ALEX</v>
          </cell>
          <cell r="Y162"/>
          <cell r="Z162" t="str">
            <v>ALEX 14/1/19 BY WECHAT</v>
          </cell>
          <cell r="AA162"/>
          <cell r="AB162">
            <v>43479</v>
          </cell>
          <cell r="AC162">
            <v>4644</v>
          </cell>
        </row>
        <row r="163">
          <cell r="B163">
            <v>4640</v>
          </cell>
          <cell r="C163" t="str">
            <v>ST-W8148-1</v>
          </cell>
          <cell r="D163" t="str">
            <v>SAME 1481</v>
          </cell>
          <cell r="E163" t="str">
            <v>50+50*150D</v>
          </cell>
          <cell r="F163" t="str">
            <v>T100%</v>
          </cell>
          <cell r="G163" t="str">
            <v>100% POLYESTER</v>
          </cell>
          <cell r="H163" t="str">
            <v>57/58</v>
          </cell>
          <cell r="I163">
            <v>140</v>
          </cell>
          <cell r="J163">
            <v>1.24</v>
          </cell>
          <cell r="K163">
            <v>1.5</v>
          </cell>
          <cell r="L163">
            <v>1.25</v>
          </cell>
          <cell r="M163">
            <v>1.51</v>
          </cell>
          <cell r="N163">
            <v>1.26</v>
          </cell>
          <cell r="O163">
            <v>1.52</v>
          </cell>
          <cell r="P163"/>
          <cell r="Q163"/>
          <cell r="R163">
            <v>1.36</v>
          </cell>
          <cell r="S163">
            <v>1.62</v>
          </cell>
          <cell r="T163"/>
          <cell r="U163"/>
          <cell r="V163"/>
          <cell r="W163"/>
          <cell r="X163" t="str">
            <v>SIGER</v>
          </cell>
          <cell r="Y163"/>
          <cell r="Z163" t="str">
            <v>CARA 10/1/19 BY WECHAT</v>
          </cell>
          <cell r="AA163"/>
          <cell r="AB163">
            <v>43475</v>
          </cell>
          <cell r="AC163">
            <v>4640</v>
          </cell>
        </row>
        <row r="164">
          <cell r="B164">
            <v>2192</v>
          </cell>
          <cell r="C164" t="str">
            <v>HLT256</v>
          </cell>
          <cell r="D164" t="str">
            <v>CRINKLE CHIFFON</v>
          </cell>
          <cell r="E164" t="str">
            <v>75D*75D</v>
          </cell>
          <cell r="F164" t="str">
            <v>T100%</v>
          </cell>
          <cell r="G164" t="str">
            <v>100%POLYESTER</v>
          </cell>
          <cell r="H164" t="str">
            <v>57/58</v>
          </cell>
          <cell r="I164">
            <v>70</v>
          </cell>
          <cell r="J164">
            <v>1.1138528138528101</v>
          </cell>
          <cell r="K164">
            <v>1.2047619047619</v>
          </cell>
          <cell r="L164">
            <v>1.1138528138528101</v>
          </cell>
          <cell r="M164">
            <v>1.2047619047619</v>
          </cell>
          <cell r="N164">
            <v>1.21385281385281</v>
          </cell>
          <cell r="O164">
            <v>1.5047619047619001</v>
          </cell>
          <cell r="P164"/>
          <cell r="Q164"/>
          <cell r="R164">
            <v>2.2138528138528102</v>
          </cell>
          <cell r="S164">
            <v>3.0047619047618999</v>
          </cell>
          <cell r="T164"/>
          <cell r="U164"/>
          <cell r="V164"/>
          <cell r="W164"/>
          <cell r="X164" t="str">
            <v>CANDY</v>
          </cell>
          <cell r="Y164" t="str">
            <v>DMCCARE-TRI-02</v>
          </cell>
          <cell r="Z164" t="str">
            <v>LEI WANG 10/1/19</v>
          </cell>
          <cell r="AA164"/>
          <cell r="AB164">
            <v>43475</v>
          </cell>
          <cell r="AC164">
            <v>2192</v>
          </cell>
        </row>
        <row r="165">
          <cell r="B165">
            <v>4637</v>
          </cell>
          <cell r="C165" t="str">
            <v>OLP-ES0235</v>
          </cell>
          <cell r="D165" t="str">
            <v>LACE</v>
          </cell>
          <cell r="E165"/>
          <cell r="F165" t="str">
            <v>C/N 67.6/32.4</v>
          </cell>
          <cell r="G165" t="str">
            <v>67.6%COTTON 32.4%NYLON</v>
          </cell>
          <cell r="H165" t="str">
            <v>145</v>
          </cell>
          <cell r="I165">
            <v>206</v>
          </cell>
          <cell r="J165">
            <v>3.95</v>
          </cell>
          <cell r="K165"/>
          <cell r="L165">
            <v>3.97</v>
          </cell>
          <cell r="M165"/>
          <cell r="N165">
            <v>3.99</v>
          </cell>
          <cell r="O165"/>
          <cell r="P165"/>
          <cell r="Q165"/>
          <cell r="R165">
            <v>4.05</v>
          </cell>
          <cell r="S165"/>
          <cell r="T165"/>
          <cell r="U165"/>
          <cell r="V165"/>
          <cell r="W165"/>
          <cell r="X165" t="str">
            <v>OWEN</v>
          </cell>
          <cell r="Y165"/>
          <cell r="Z165" t="str">
            <v>JOAN 8/1/19</v>
          </cell>
          <cell r="AA165"/>
          <cell r="AB165">
            <v>43473</v>
          </cell>
          <cell r="AC165">
            <v>4637</v>
          </cell>
        </row>
        <row r="166">
          <cell r="B166">
            <v>4636</v>
          </cell>
          <cell r="C166" t="str">
            <v>OLP-ES0230</v>
          </cell>
          <cell r="D166" t="str">
            <v>LACE</v>
          </cell>
          <cell r="E166"/>
          <cell r="F166" t="str">
            <v>R/N/C 34.7/33.7/31.6</v>
          </cell>
          <cell r="G166" t="str">
            <v>34.7%RAYON 33.7%NYLON 31.6%COTTON</v>
          </cell>
          <cell r="H166" t="str">
            <v>145</v>
          </cell>
          <cell r="I166">
            <v>227</v>
          </cell>
          <cell r="J166">
            <v>3.8</v>
          </cell>
          <cell r="K166"/>
          <cell r="L166">
            <v>3.83</v>
          </cell>
          <cell r="M166"/>
          <cell r="N166">
            <v>3.85</v>
          </cell>
          <cell r="O166"/>
          <cell r="P166"/>
          <cell r="Q166"/>
          <cell r="R166">
            <v>3.92</v>
          </cell>
          <cell r="S166"/>
          <cell r="T166"/>
          <cell r="U166"/>
          <cell r="V166"/>
          <cell r="W166"/>
          <cell r="X166" t="str">
            <v>OWEN</v>
          </cell>
          <cell r="Y166"/>
          <cell r="Z166" t="str">
            <v>JOAN 8/1/19</v>
          </cell>
          <cell r="AA166"/>
          <cell r="AB166">
            <v>43473</v>
          </cell>
          <cell r="AC166">
            <v>4636</v>
          </cell>
        </row>
        <row r="167">
          <cell r="B167">
            <v>4594</v>
          </cell>
          <cell r="C167" t="str">
            <v xml:space="preserve">SJ8031 </v>
          </cell>
          <cell r="D167" t="str">
            <v>SATEEN CHIFFON</v>
          </cell>
          <cell r="E167" t="str">
            <v xml:space="preserve">50D*50D+20D </v>
          </cell>
          <cell r="F167" t="str">
            <v>T/S 96/4</v>
          </cell>
          <cell r="G167" t="str">
            <v>96% POLYESTER 4% SPANDEX</v>
          </cell>
          <cell r="H167" t="str">
            <v>56/57</v>
          </cell>
          <cell r="I167">
            <v>95</v>
          </cell>
          <cell r="J167">
            <v>1.88</v>
          </cell>
          <cell r="K167">
            <v>2</v>
          </cell>
          <cell r="L167">
            <v>1.88</v>
          </cell>
          <cell r="M167">
            <v>2</v>
          </cell>
          <cell r="N167">
            <v>1.88</v>
          </cell>
          <cell r="O167">
            <v>2</v>
          </cell>
          <cell r="P167"/>
          <cell r="Q167"/>
          <cell r="R167">
            <v>2.09</v>
          </cell>
          <cell r="S167">
            <v>3.24</v>
          </cell>
          <cell r="T167"/>
          <cell r="U167"/>
          <cell r="V167"/>
          <cell r="W167"/>
          <cell r="X167" t="str">
            <v>GLORIA (S)</v>
          </cell>
          <cell r="Y167"/>
          <cell r="Z167" t="str">
            <v>GLORIA 3/1/19 BY WECHAT</v>
          </cell>
          <cell r="AA167"/>
          <cell r="AB167">
            <v>43468</v>
          </cell>
          <cell r="AC167">
            <v>4594</v>
          </cell>
        </row>
        <row r="168">
          <cell r="B168">
            <v>4530</v>
          </cell>
          <cell r="C168" t="str">
            <v>H2375</v>
          </cell>
          <cell r="D168" t="str">
            <v>POLY SILKY</v>
          </cell>
          <cell r="E168" t="str">
            <v>50D+68D*50D+68D</v>
          </cell>
          <cell r="F168" t="str">
            <v>T100%</v>
          </cell>
          <cell r="G168" t="str">
            <v>100%POLYESTER</v>
          </cell>
          <cell r="H168" t="str">
            <v>57/58</v>
          </cell>
          <cell r="I168">
            <v>175</v>
          </cell>
          <cell r="J168">
            <v>2.15</v>
          </cell>
          <cell r="K168">
            <v>2.48</v>
          </cell>
          <cell r="L168">
            <v>2.1800000000000002</v>
          </cell>
          <cell r="M168">
            <v>2.5099999999999998</v>
          </cell>
          <cell r="N168">
            <v>2.2000000000000002</v>
          </cell>
          <cell r="O168">
            <v>2.5299999999999998</v>
          </cell>
          <cell r="P168"/>
          <cell r="Q168"/>
          <cell r="R168">
            <v>2.25</v>
          </cell>
          <cell r="S168">
            <v>2.58</v>
          </cell>
          <cell r="T168"/>
          <cell r="U168"/>
          <cell r="V168">
            <v>15</v>
          </cell>
          <cell r="W168"/>
          <cell r="X168" t="str">
            <v>HAOMAIER (S)</v>
          </cell>
          <cell r="Y168" t="str">
            <v>MACHINE WASH WARM</v>
          </cell>
          <cell r="Z168" t="str">
            <v>FIONA 3/1/19 by wechat</v>
          </cell>
          <cell r="AA168"/>
          <cell r="AB168">
            <v>43468</v>
          </cell>
          <cell r="AC168">
            <v>4530</v>
          </cell>
        </row>
        <row r="169">
          <cell r="B169">
            <v>2393</v>
          </cell>
          <cell r="C169" t="str">
            <v>TS-271</v>
          </cell>
          <cell r="D169" t="str">
            <v>SLUB RAYON</v>
          </cell>
          <cell r="E169"/>
          <cell r="F169" t="str">
            <v>R100%</v>
          </cell>
          <cell r="G169" t="str">
            <v xml:space="preserve">100% RAYON </v>
          </cell>
          <cell r="H169" t="str">
            <v>54/55</v>
          </cell>
          <cell r="I169">
            <v>145</v>
          </cell>
          <cell r="J169">
            <v>1.62</v>
          </cell>
          <cell r="K169">
            <v>1.82</v>
          </cell>
          <cell r="L169">
            <v>1.64</v>
          </cell>
          <cell r="M169">
            <v>1.85</v>
          </cell>
          <cell r="N169">
            <v>1.66</v>
          </cell>
          <cell r="O169">
            <v>1.88</v>
          </cell>
          <cell r="P169"/>
          <cell r="Q169"/>
          <cell r="R169">
            <v>1.81</v>
          </cell>
          <cell r="S169">
            <v>2.06</v>
          </cell>
          <cell r="T169"/>
          <cell r="U169"/>
          <cell r="V169"/>
          <cell r="W169"/>
          <cell r="X169" t="str">
            <v>GAVIN</v>
          </cell>
          <cell r="Y169"/>
          <cell r="Z169" t="str">
            <v xml:space="preserve">GAVIN 3/1/19 </v>
          </cell>
          <cell r="AA169"/>
          <cell r="AB169">
            <v>43468</v>
          </cell>
          <cell r="AC169">
            <v>2393</v>
          </cell>
        </row>
        <row r="170">
          <cell r="B170">
            <v>4132</v>
          </cell>
          <cell r="C170" t="str">
            <v>BG3552</v>
          </cell>
          <cell r="D170" t="str">
            <v>POLY</v>
          </cell>
          <cell r="E170" t="str">
            <v>100D*50D</v>
          </cell>
          <cell r="F170" t="str">
            <v>T100%</v>
          </cell>
          <cell r="G170" t="str">
            <v>100% POLYESTER</v>
          </cell>
          <cell r="H170" t="str">
            <v>57/58"</v>
          </cell>
          <cell r="I170">
            <v>120</v>
          </cell>
          <cell r="J170">
            <v>1.24</v>
          </cell>
          <cell r="K170">
            <v>1.58</v>
          </cell>
          <cell r="L170">
            <v>1.26</v>
          </cell>
          <cell r="M170">
            <v>1.63</v>
          </cell>
          <cell r="N170">
            <v>1.27</v>
          </cell>
          <cell r="O170">
            <v>1.68</v>
          </cell>
          <cell r="P170"/>
          <cell r="Q170"/>
          <cell r="R170">
            <v>1.4</v>
          </cell>
          <cell r="S170">
            <v>2.1</v>
          </cell>
          <cell r="T170"/>
          <cell r="U170"/>
          <cell r="V170"/>
          <cell r="W170"/>
          <cell r="X170" t="str">
            <v>EDWIN</v>
          </cell>
          <cell r="Y170"/>
          <cell r="Z170" t="str">
            <v>EDWIN 8/12/18 BY WECHAT</v>
          </cell>
          <cell r="AA170"/>
          <cell r="AB170">
            <v>43442</v>
          </cell>
          <cell r="AC170">
            <v>4132</v>
          </cell>
        </row>
        <row r="171">
          <cell r="B171">
            <v>4630</v>
          </cell>
          <cell r="C171" t="str">
            <v>ST-W8015</v>
          </cell>
          <cell r="D171" t="str">
            <v>BUBBLE CREPE</v>
          </cell>
          <cell r="E171" t="str">
            <v>(75D+40D)*(75D+40D)</v>
          </cell>
          <cell r="F171" t="str">
            <v>T/S 97/3</v>
          </cell>
          <cell r="G171" t="str">
            <v>97% POLYESTER 3%SPANDEX</v>
          </cell>
          <cell r="H171" t="str">
            <v>57/58</v>
          </cell>
          <cell r="I171">
            <v>125</v>
          </cell>
          <cell r="J171">
            <v>1.18</v>
          </cell>
          <cell r="K171">
            <v>1.43</v>
          </cell>
          <cell r="L171">
            <v>1.19</v>
          </cell>
          <cell r="M171">
            <v>1.45</v>
          </cell>
          <cell r="N171">
            <v>1.2</v>
          </cell>
          <cell r="O171">
            <v>1.46</v>
          </cell>
          <cell r="P171">
            <v>1.32</v>
          </cell>
          <cell r="Q171">
            <v>1.61</v>
          </cell>
          <cell r="R171">
            <v>1.32</v>
          </cell>
          <cell r="S171">
            <v>1.61</v>
          </cell>
          <cell r="T171"/>
          <cell r="U171"/>
          <cell r="V171"/>
          <cell r="W171"/>
          <cell r="X171" t="str">
            <v>SIGER</v>
          </cell>
          <cell r="Y171"/>
          <cell r="Z171" t="str">
            <v>CARA 7/12/18 BY WECHAT</v>
          </cell>
          <cell r="AA171"/>
          <cell r="AB171">
            <v>43441</v>
          </cell>
          <cell r="AC171">
            <v>4630</v>
          </cell>
        </row>
        <row r="172">
          <cell r="B172">
            <v>4629</v>
          </cell>
          <cell r="C172" t="str">
            <v>GED-22601</v>
          </cell>
          <cell r="D172" t="str">
            <v>PONTE</v>
          </cell>
          <cell r="E172" t="str">
            <v>40S+40D</v>
          </cell>
          <cell r="F172" t="str">
            <v>R/N/S 68/28/4</v>
          </cell>
          <cell r="G172" t="str">
            <v>68%RAYON 28%NYLON 4%SPANDEX</v>
          </cell>
          <cell r="H172" t="str">
            <v>61"</v>
          </cell>
          <cell r="I172">
            <v>300</v>
          </cell>
          <cell r="J172">
            <v>2.48</v>
          </cell>
          <cell r="K172"/>
          <cell r="L172">
            <v>2.5299999999999998</v>
          </cell>
          <cell r="M172"/>
          <cell r="N172">
            <v>2.5299999999999998</v>
          </cell>
          <cell r="O172"/>
          <cell r="P172">
            <v>3</v>
          </cell>
          <cell r="Q172"/>
          <cell r="R172"/>
          <cell r="S172"/>
          <cell r="T172"/>
          <cell r="U172"/>
          <cell r="V172"/>
          <cell r="W172"/>
          <cell r="X172" t="str">
            <v>UYEN</v>
          </cell>
          <cell r="Y172"/>
          <cell r="Z172" t="str">
            <v>UYEN 4/12/18</v>
          </cell>
          <cell r="AA172" t="str">
            <v>25DAYS</v>
          </cell>
          <cell r="AB172">
            <v>43438</v>
          </cell>
          <cell r="AC172">
            <v>4629</v>
          </cell>
        </row>
        <row r="173">
          <cell r="B173">
            <v>4628</v>
          </cell>
          <cell r="C173" t="str">
            <v>GED-228676</v>
          </cell>
          <cell r="D173" t="str">
            <v>PONTE</v>
          </cell>
          <cell r="E173" t="str">
            <v>50S+40D</v>
          </cell>
          <cell r="F173" t="str">
            <v>R/N/S 64/31/5</v>
          </cell>
          <cell r="G173" t="str">
            <v>64%RAYON 31%NYLON 5%SPANDEX</v>
          </cell>
          <cell r="H173" t="str">
            <v>61"</v>
          </cell>
          <cell r="I173">
            <v>340</v>
          </cell>
          <cell r="J173">
            <v>3.58</v>
          </cell>
          <cell r="K173"/>
          <cell r="L173">
            <v>3.63</v>
          </cell>
          <cell r="M173"/>
          <cell r="N173">
            <v>3.63</v>
          </cell>
          <cell r="O173"/>
          <cell r="P173">
            <v>4.2</v>
          </cell>
          <cell r="Q173"/>
          <cell r="R173"/>
          <cell r="S173"/>
          <cell r="T173"/>
          <cell r="U173"/>
          <cell r="V173"/>
          <cell r="W173"/>
          <cell r="X173" t="str">
            <v>UYEN</v>
          </cell>
          <cell r="Y173"/>
          <cell r="Z173" t="str">
            <v>UYEN 4/12/18</v>
          </cell>
          <cell r="AA173" t="str">
            <v>25DAYS</v>
          </cell>
          <cell r="AB173">
            <v>43438</v>
          </cell>
          <cell r="AC173">
            <v>4628</v>
          </cell>
        </row>
        <row r="174">
          <cell r="B174">
            <v>4627</v>
          </cell>
          <cell r="C174" t="str">
            <v>GRD-128</v>
          </cell>
          <cell r="D174" t="str">
            <v>PONTE</v>
          </cell>
          <cell r="E174" t="str">
            <v>40S+70D</v>
          </cell>
          <cell r="F174" t="str">
            <v>R/N/S 67/28/5</v>
          </cell>
          <cell r="G174" t="str">
            <v>67%RAYON 28%NYLON 5%SPANDEX</v>
          </cell>
          <cell r="H174" t="str">
            <v>61"</v>
          </cell>
          <cell r="I174">
            <v>410</v>
          </cell>
          <cell r="J174">
            <v>3.83</v>
          </cell>
          <cell r="K174"/>
          <cell r="L174">
            <v>3.88</v>
          </cell>
          <cell r="M174"/>
          <cell r="N174">
            <v>3.88</v>
          </cell>
          <cell r="O174"/>
          <cell r="P174">
            <v>4.47</v>
          </cell>
          <cell r="Q174"/>
          <cell r="R174"/>
          <cell r="S174"/>
          <cell r="T174"/>
          <cell r="U174"/>
          <cell r="V174"/>
          <cell r="W174"/>
          <cell r="X174" t="str">
            <v>UYEN</v>
          </cell>
          <cell r="Y174"/>
          <cell r="Z174" t="str">
            <v>UYEN 4/12/18</v>
          </cell>
          <cell r="AA174" t="str">
            <v>25DAYS</v>
          </cell>
          <cell r="AB174">
            <v>43438</v>
          </cell>
          <cell r="AC174">
            <v>4627</v>
          </cell>
        </row>
        <row r="175">
          <cell r="B175">
            <v>4428</v>
          </cell>
          <cell r="C175" t="str">
            <v>WW-22026</v>
          </cell>
          <cell r="D175" t="str">
            <v>FAILLE</v>
          </cell>
          <cell r="E175" t="str">
            <v>75DFDY*150D DTY</v>
          </cell>
          <cell r="F175" t="str">
            <v>T100%</v>
          </cell>
          <cell r="G175" t="str">
            <v>100%POLYESTER</v>
          </cell>
          <cell r="H175" t="str">
            <v>57/58</v>
          </cell>
          <cell r="I175">
            <v>125</v>
          </cell>
          <cell r="J175">
            <v>1.26</v>
          </cell>
          <cell r="K175">
            <v>1.46</v>
          </cell>
          <cell r="L175">
            <v>1.26</v>
          </cell>
          <cell r="M175">
            <v>1.46</v>
          </cell>
          <cell r="N175">
            <v>1.31</v>
          </cell>
          <cell r="O175">
            <v>1.51</v>
          </cell>
          <cell r="P175"/>
          <cell r="Q175"/>
          <cell r="R175">
            <v>1.41</v>
          </cell>
          <cell r="S175">
            <v>1.6099999999999999</v>
          </cell>
          <cell r="T175"/>
          <cell r="U175"/>
          <cell r="V175"/>
          <cell r="W175"/>
          <cell r="X175" t="str">
            <v>PANI</v>
          </cell>
          <cell r="Y175"/>
          <cell r="Z175" t="str">
            <v>AMY 3/12/18</v>
          </cell>
          <cell r="AA175"/>
          <cell r="AB175">
            <v>43437</v>
          </cell>
          <cell r="AC175">
            <v>4428</v>
          </cell>
        </row>
        <row r="176">
          <cell r="B176">
            <v>4618</v>
          </cell>
          <cell r="C176" t="str">
            <v>MH6850</v>
          </cell>
          <cell r="D176" t="str">
            <v>MILANO CREPE</v>
          </cell>
          <cell r="E176" t="str">
            <v>68D+50D*68D+50D</v>
          </cell>
          <cell r="F176" t="str">
            <v>T100%</v>
          </cell>
          <cell r="G176" t="str">
            <v>100% POLYESTER</v>
          </cell>
          <cell r="H176" t="str">
            <v>57/58</v>
          </cell>
          <cell r="I176">
            <v>160</v>
          </cell>
          <cell r="J176">
            <v>1.53</v>
          </cell>
          <cell r="K176">
            <v>1.69</v>
          </cell>
          <cell r="L176">
            <v>1.58</v>
          </cell>
          <cell r="M176">
            <v>1.75</v>
          </cell>
          <cell r="N176">
            <v>1.58</v>
          </cell>
          <cell r="O176">
            <v>1.75</v>
          </cell>
          <cell r="P176"/>
          <cell r="Q176"/>
          <cell r="R176">
            <v>1.81</v>
          </cell>
          <cell r="S176"/>
          <cell r="T176"/>
          <cell r="U176"/>
          <cell r="V176"/>
          <cell r="W176"/>
          <cell r="X176" t="str">
            <v>UYEN</v>
          </cell>
          <cell r="Y176"/>
          <cell r="Z176" t="str">
            <v>UYEN 16/11/18</v>
          </cell>
          <cell r="AA176">
            <v>25</v>
          </cell>
          <cell r="AB176">
            <v>43420</v>
          </cell>
          <cell r="AC176">
            <v>4618</v>
          </cell>
        </row>
        <row r="177">
          <cell r="B177">
            <v>4622</v>
          </cell>
          <cell r="C177" t="str">
            <v>XJ-2824</v>
          </cell>
          <cell r="D177" t="str">
            <v>SAME AMW1481</v>
          </cell>
          <cell r="E177" t="str">
            <v>(50D+50D)*150D</v>
          </cell>
          <cell r="F177" t="str">
            <v>T100%</v>
          </cell>
          <cell r="G177" t="str">
            <v xml:space="preserve">100%POLYESTER </v>
          </cell>
          <cell r="H177" t="str">
            <v>58/59"</v>
          </cell>
          <cell r="I177">
            <v>150</v>
          </cell>
          <cell r="J177">
            <v>1.3</v>
          </cell>
          <cell r="K177">
            <v>1.55</v>
          </cell>
          <cell r="L177">
            <v>1.3</v>
          </cell>
          <cell r="M177">
            <v>1.55</v>
          </cell>
          <cell r="N177">
            <v>1.3</v>
          </cell>
          <cell r="O177">
            <v>1.55</v>
          </cell>
          <cell r="P177"/>
          <cell r="Q177"/>
          <cell r="R177">
            <v>1.38</v>
          </cell>
          <cell r="S177"/>
          <cell r="T177"/>
          <cell r="U177"/>
          <cell r="V177"/>
          <cell r="W177"/>
          <cell r="X177" t="str">
            <v>ALICE</v>
          </cell>
          <cell r="Y177"/>
          <cell r="Z177" t="str">
            <v>SALLY 15/11/18</v>
          </cell>
          <cell r="AA177"/>
          <cell r="AB177">
            <v>43419</v>
          </cell>
          <cell r="AC177">
            <v>4622</v>
          </cell>
        </row>
        <row r="178">
          <cell r="B178">
            <v>4621</v>
          </cell>
          <cell r="C178" t="str">
            <v>XJ-4695</v>
          </cell>
          <cell r="D178" t="str">
            <v>POLY WITH AIR FLOW</v>
          </cell>
          <cell r="E178" t="str">
            <v>180D*180D</v>
          </cell>
          <cell r="F178" t="str">
            <v>T100%</v>
          </cell>
          <cell r="G178" t="str">
            <v xml:space="preserve">100%POLYESTER </v>
          </cell>
          <cell r="H178" t="str">
            <v>59/60"</v>
          </cell>
          <cell r="I178">
            <v>170</v>
          </cell>
          <cell r="J178">
            <v>1.4</v>
          </cell>
          <cell r="K178"/>
          <cell r="L178">
            <v>1.4</v>
          </cell>
          <cell r="M178"/>
          <cell r="N178">
            <v>1.4</v>
          </cell>
          <cell r="O178"/>
          <cell r="P178"/>
          <cell r="Q178"/>
          <cell r="R178">
            <v>1.48</v>
          </cell>
          <cell r="S178"/>
          <cell r="T178"/>
          <cell r="U178"/>
          <cell r="V178"/>
          <cell r="W178"/>
          <cell r="X178" t="str">
            <v>ALICE</v>
          </cell>
          <cell r="Y178"/>
          <cell r="Z178" t="str">
            <v>SALLY 15/11/18</v>
          </cell>
          <cell r="AA178"/>
          <cell r="AB178">
            <v>43419</v>
          </cell>
          <cell r="AC178">
            <v>4621</v>
          </cell>
        </row>
        <row r="179">
          <cell r="B179">
            <v>4620</v>
          </cell>
          <cell r="C179" t="str">
            <v>XG-1988</v>
          </cell>
          <cell r="D179" t="str">
            <v>check chiffon with air flow</v>
          </cell>
          <cell r="E179" t="str">
            <v>75D*75D</v>
          </cell>
          <cell r="F179" t="str">
            <v>T100%</v>
          </cell>
          <cell r="G179" t="str">
            <v xml:space="preserve">100%POLYESTER </v>
          </cell>
          <cell r="H179" t="str">
            <v>58/59"</v>
          </cell>
          <cell r="I179">
            <v>114</v>
          </cell>
          <cell r="J179">
            <v>1.05</v>
          </cell>
          <cell r="K179"/>
          <cell r="L179">
            <v>1.05</v>
          </cell>
          <cell r="M179"/>
          <cell r="N179">
            <v>1.05</v>
          </cell>
          <cell r="O179"/>
          <cell r="P179"/>
          <cell r="Q179"/>
          <cell r="R179">
            <v>1.1299999999999999</v>
          </cell>
          <cell r="S179"/>
          <cell r="T179"/>
          <cell r="U179"/>
          <cell r="V179"/>
          <cell r="W179"/>
          <cell r="X179" t="str">
            <v>ALICE</v>
          </cell>
          <cell r="Y179"/>
          <cell r="Z179" t="str">
            <v>SALLY 15/11/18</v>
          </cell>
          <cell r="AA179"/>
          <cell r="AB179">
            <v>43419</v>
          </cell>
          <cell r="AC179">
            <v>4620</v>
          </cell>
        </row>
        <row r="180">
          <cell r="B180">
            <v>4617</v>
          </cell>
          <cell r="C180" t="str">
            <v>ST-W8092-1</v>
          </cell>
          <cell r="D180" t="str">
            <v>MILANO CREPE</v>
          </cell>
          <cell r="E180" t="str">
            <v>(68+50)*(68+50)</v>
          </cell>
          <cell r="F180" t="str">
            <v>T100%</v>
          </cell>
          <cell r="G180" t="str">
            <v>100%POLYESTER</v>
          </cell>
          <cell r="H180" t="str">
            <v>57/58</v>
          </cell>
          <cell r="I180">
            <v>150</v>
          </cell>
          <cell r="J180">
            <v>1.25</v>
          </cell>
          <cell r="K180">
            <v>1.5</v>
          </cell>
          <cell r="L180">
            <v>1.25</v>
          </cell>
          <cell r="M180">
            <v>1.5</v>
          </cell>
          <cell r="N180">
            <v>1.26</v>
          </cell>
          <cell r="O180">
            <v>1.52</v>
          </cell>
          <cell r="P180">
            <v>1.45</v>
          </cell>
          <cell r="Q180">
            <v>1.7</v>
          </cell>
          <cell r="R180">
            <v>1.4</v>
          </cell>
          <cell r="S180">
            <v>1.57</v>
          </cell>
          <cell r="T180"/>
          <cell r="U180"/>
          <cell r="V180"/>
          <cell r="W180"/>
          <cell r="X180" t="str">
            <v>SIGER</v>
          </cell>
          <cell r="Y180" t="str">
            <v>DMCARE-TRI-03</v>
          </cell>
          <cell r="Z180" t="str">
            <v>CARA 15/11/18</v>
          </cell>
          <cell r="AA180" t="str">
            <v>20-30</v>
          </cell>
          <cell r="AB180">
            <v>43419</v>
          </cell>
          <cell r="AC180">
            <v>4617</v>
          </cell>
        </row>
        <row r="181">
          <cell r="B181">
            <v>4613</v>
          </cell>
          <cell r="C181" t="str">
            <v>XJ-5038</v>
          </cell>
          <cell r="D181" t="str">
            <v>POLY WITH AIR FLOW</v>
          </cell>
          <cell r="E181" t="str">
            <v>(50D+50D)*(50D+50D)</v>
          </cell>
          <cell r="F181" t="str">
            <v>T100%</v>
          </cell>
          <cell r="G181" t="str">
            <v>100%POLYESTER</v>
          </cell>
          <cell r="H181" t="str">
            <v>57/58</v>
          </cell>
          <cell r="I181">
            <v>140</v>
          </cell>
          <cell r="J181">
            <v>1.2</v>
          </cell>
          <cell r="K181"/>
          <cell r="L181">
            <v>1.2</v>
          </cell>
          <cell r="M181"/>
          <cell r="N181">
            <v>1.2</v>
          </cell>
          <cell r="O181"/>
          <cell r="P181"/>
          <cell r="Q181"/>
          <cell r="R181">
            <v>1.28</v>
          </cell>
          <cell r="S181"/>
          <cell r="T181"/>
          <cell r="U181"/>
          <cell r="V181"/>
          <cell r="W181"/>
          <cell r="X181" t="str">
            <v>ALICE</v>
          </cell>
          <cell r="Y181"/>
          <cell r="Z181" t="str">
            <v>SALLY 14/11/18</v>
          </cell>
          <cell r="AA181"/>
          <cell r="AB181">
            <v>43418</v>
          </cell>
          <cell r="AC181">
            <v>4613</v>
          </cell>
        </row>
        <row r="182">
          <cell r="B182">
            <v>3077</v>
          </cell>
          <cell r="C182" t="str">
            <v>#9619</v>
          </cell>
          <cell r="D182" t="str">
            <v>TERRY CREPE</v>
          </cell>
          <cell r="E182"/>
          <cell r="F182" t="str">
            <v>V/R 50/50</v>
          </cell>
          <cell r="G182" t="str">
            <v>50% VISCOSE 50%RAYON</v>
          </cell>
          <cell r="H182" t="str">
            <v>50/51</v>
          </cell>
          <cell r="I182">
            <v>130</v>
          </cell>
          <cell r="J182">
            <v>2.0099999999999998</v>
          </cell>
          <cell r="K182">
            <v>2.37</v>
          </cell>
          <cell r="L182">
            <v>2.0299999999999998</v>
          </cell>
          <cell r="M182">
            <v>2.4300000000000002</v>
          </cell>
          <cell r="N182">
            <v>2.0499999999999998</v>
          </cell>
          <cell r="O182">
            <v>2.4900000000000002</v>
          </cell>
          <cell r="P182"/>
          <cell r="Q182"/>
          <cell r="R182">
            <v>2.08</v>
          </cell>
          <cell r="S182">
            <v>3.02</v>
          </cell>
          <cell r="T182"/>
          <cell r="U182"/>
          <cell r="V182">
            <v>15</v>
          </cell>
          <cell r="W182"/>
          <cell r="X182" t="str">
            <v>TERESA</v>
          </cell>
          <cell r="Y182" t="str">
            <v>DMCARE-TRI-02</v>
          </cell>
          <cell r="Z182" t="str">
            <v>TERESA 7/11/18</v>
          </cell>
          <cell r="AA182"/>
          <cell r="AB182">
            <v>43411</v>
          </cell>
          <cell r="AC182">
            <v>3077</v>
          </cell>
        </row>
        <row r="183">
          <cell r="B183">
            <v>3403</v>
          </cell>
          <cell r="C183" t="str">
            <v>M-1007</v>
          </cell>
          <cell r="D183" t="str">
            <v>CHIFFON PLAIN</v>
          </cell>
          <cell r="E183"/>
          <cell r="F183" t="str">
            <v>T100%</v>
          </cell>
          <cell r="G183" t="str">
            <v xml:space="preserve">100% POLYESTER </v>
          </cell>
          <cell r="H183" t="str">
            <v>57/58</v>
          </cell>
          <cell r="I183">
            <v>75</v>
          </cell>
          <cell r="J183">
            <v>0.8</v>
          </cell>
          <cell r="K183">
            <v>1.1000000000000001</v>
          </cell>
          <cell r="L183">
            <v>0.88</v>
          </cell>
          <cell r="M183">
            <v>1.1499999999999999</v>
          </cell>
          <cell r="N183">
            <v>0.88</v>
          </cell>
          <cell r="O183">
            <v>1.2</v>
          </cell>
          <cell r="P183"/>
          <cell r="Q183"/>
          <cell r="R183">
            <v>1.28</v>
          </cell>
          <cell r="S183">
            <v>1.6</v>
          </cell>
          <cell r="T183"/>
          <cell r="U183"/>
          <cell r="V183"/>
          <cell r="W183" t="str">
            <v>27/10 update price for 10.000m</v>
          </cell>
          <cell r="X183" t="str">
            <v>M-TEX</v>
          </cell>
          <cell r="Y183"/>
          <cell r="Z183" t="str">
            <v>LINDA 27/10/18 BY WECHAT</v>
          </cell>
          <cell r="AA183"/>
          <cell r="AB183">
            <v>43400</v>
          </cell>
          <cell r="AC183">
            <v>3403</v>
          </cell>
        </row>
        <row r="184">
          <cell r="B184">
            <v>2068</v>
          </cell>
          <cell r="C184" t="str">
            <v>#4011090</v>
          </cell>
          <cell r="D184" t="str">
            <v>VISCISE CHALIIS</v>
          </cell>
          <cell r="E184"/>
          <cell r="F184" t="str">
            <v>R100%</v>
          </cell>
          <cell r="G184" t="str">
            <v>100% RAYON</v>
          </cell>
          <cell r="H184" t="str">
            <v>54/55</v>
          </cell>
          <cell r="I184">
            <v>130</v>
          </cell>
          <cell r="J184">
            <v>1.59</v>
          </cell>
          <cell r="K184">
            <v>1.74</v>
          </cell>
          <cell r="L184">
            <v>1.6</v>
          </cell>
          <cell r="M184">
            <v>2.02</v>
          </cell>
          <cell r="N184">
            <v>1.62</v>
          </cell>
          <cell r="O184">
            <v>2.14</v>
          </cell>
          <cell r="P184" t="e">
            <v>#REF!</v>
          </cell>
          <cell r="Q184" t="e">
            <v>#REF!</v>
          </cell>
          <cell r="R184">
            <v>1.81</v>
          </cell>
          <cell r="S184">
            <v>2.89</v>
          </cell>
          <cell r="T184"/>
          <cell r="U184"/>
          <cell r="V184"/>
          <cell r="W184"/>
          <cell r="X184" t="str">
            <v>OWEN</v>
          </cell>
          <cell r="Y184" t="str">
            <v>DMCARE-TRI-3</v>
          </cell>
          <cell r="Z184" t="str">
            <v>JOAN 26/10/18</v>
          </cell>
          <cell r="AA184" t="str">
            <v>30days</v>
          </cell>
          <cell r="AB184">
            <v>43399</v>
          </cell>
          <cell r="AC184">
            <v>2068</v>
          </cell>
        </row>
        <row r="185">
          <cell r="B185">
            <v>1133</v>
          </cell>
          <cell r="C185" t="str">
            <v>R039</v>
          </cell>
          <cell r="D185" t="str">
            <v>VISCOSE CREPE</v>
          </cell>
          <cell r="E185" t="str">
            <v>30*30</v>
          </cell>
          <cell r="F185" t="str">
            <v>R100%</v>
          </cell>
          <cell r="G185" t="str">
            <v>100%RAYON</v>
          </cell>
          <cell r="H185" t="str">
            <v>50/51</v>
          </cell>
          <cell r="I185">
            <v>125</v>
          </cell>
          <cell r="J185">
            <v>1.56</v>
          </cell>
          <cell r="K185">
            <v>1.86</v>
          </cell>
          <cell r="L185">
            <v>1.63</v>
          </cell>
          <cell r="M185">
            <v>2.0299999999999998</v>
          </cell>
          <cell r="N185">
            <v>1.68</v>
          </cell>
          <cell r="O185">
            <v>2.0699999999999998</v>
          </cell>
          <cell r="P185"/>
          <cell r="Q185"/>
          <cell r="R185">
            <v>1.76</v>
          </cell>
          <cell r="S185">
            <v>2.56</v>
          </cell>
          <cell r="T185"/>
          <cell r="U185"/>
          <cell r="V185">
            <v>15</v>
          </cell>
          <cell r="W185"/>
          <cell r="X185" t="str">
            <v>TERESA</v>
          </cell>
          <cell r="Y185"/>
          <cell r="Z185" t="str">
            <v>TERESA 24/10/18 by wechat</v>
          </cell>
          <cell r="AA185"/>
          <cell r="AB185">
            <v>43397</v>
          </cell>
          <cell r="AC185">
            <v>1133</v>
          </cell>
        </row>
        <row r="186">
          <cell r="B186">
            <v>4466</v>
          </cell>
          <cell r="C186" t="str">
            <v>CT1209023</v>
          </cell>
          <cell r="D186" t="str">
            <v>CREPE ( SAME AS 1895 )</v>
          </cell>
          <cell r="E186"/>
          <cell r="F186" t="str">
            <v>T100%</v>
          </cell>
          <cell r="G186" t="str">
            <v>100% POLYESTER</v>
          </cell>
          <cell r="H186" t="str">
            <v>57/58</v>
          </cell>
          <cell r="I186">
            <v>120</v>
          </cell>
          <cell r="J186">
            <v>1.17</v>
          </cell>
          <cell r="K186">
            <v>1.37</v>
          </cell>
          <cell r="L186">
            <v>1.17</v>
          </cell>
          <cell r="M186">
            <v>1.37</v>
          </cell>
          <cell r="N186">
            <v>1.17</v>
          </cell>
          <cell r="O186">
            <v>1.37</v>
          </cell>
          <cell r="P186"/>
          <cell r="Q186"/>
          <cell r="R186">
            <v>1.31</v>
          </cell>
          <cell r="S186">
            <v>1.75</v>
          </cell>
          <cell r="T186"/>
          <cell r="U186"/>
          <cell r="V186" t="str">
            <v>15</v>
          </cell>
          <cell r="W186"/>
          <cell r="X186" t="str">
            <v>BONNIE</v>
          </cell>
          <cell r="Y186" t="str">
            <v>DMCARE-TRI-03</v>
          </cell>
          <cell r="Z186" t="str">
            <v>BONNIE 23/10/18</v>
          </cell>
          <cell r="AA186"/>
          <cell r="AB186">
            <v>43396</v>
          </cell>
          <cell r="AC186">
            <v>4466</v>
          </cell>
        </row>
        <row r="187">
          <cell r="B187">
            <v>261</v>
          </cell>
          <cell r="C187" t="str">
            <v>ST-4206</v>
          </cell>
          <cell r="D187" t="str">
            <v>CDC</v>
          </cell>
          <cell r="E187" t="str">
            <v xml:space="preserve">20*26+75d </v>
          </cell>
          <cell r="F187" t="str">
            <v>T100%</v>
          </cell>
          <cell r="G187" t="str">
            <v>100% POLYESTER</v>
          </cell>
          <cell r="H187" t="str">
            <v>57/58</v>
          </cell>
          <cell r="I187">
            <v>80</v>
          </cell>
          <cell r="J187">
            <v>1.3</v>
          </cell>
          <cell r="K187">
            <v>1.45</v>
          </cell>
          <cell r="L187">
            <v>1.31</v>
          </cell>
          <cell r="M187">
            <v>1.45</v>
          </cell>
          <cell r="N187">
            <v>1.31</v>
          </cell>
          <cell r="O187">
            <v>1.45</v>
          </cell>
          <cell r="P187">
            <v>1.41</v>
          </cell>
          <cell r="Q187">
            <v>1.5</v>
          </cell>
          <cell r="R187">
            <v>1.41</v>
          </cell>
          <cell r="S187">
            <v>1.5</v>
          </cell>
          <cell r="T187"/>
          <cell r="U187"/>
          <cell r="V187"/>
          <cell r="W187"/>
          <cell r="X187" t="str">
            <v>SIGER</v>
          </cell>
          <cell r="Y187"/>
          <cell r="Z187" t="str">
            <v>CARA 23/10/18</v>
          </cell>
          <cell r="AA187"/>
          <cell r="AB187">
            <v>43396</v>
          </cell>
          <cell r="AC187">
            <v>261</v>
          </cell>
        </row>
        <row r="188">
          <cell r="B188">
            <v>4604</v>
          </cell>
          <cell r="C188" t="str">
            <v>GL1631</v>
          </cell>
          <cell r="D188" t="str">
            <v>TAILORING</v>
          </cell>
          <cell r="E188"/>
          <cell r="F188" t="str">
            <v>T/C/LUREX 88/8/4</v>
          </cell>
          <cell r="G188" t="str">
            <v>88% POLYESTER 8% COTTON 4% LUREX</v>
          </cell>
          <cell r="H188" t="str">
            <v>66/67</v>
          </cell>
          <cell r="I188">
            <v>290</v>
          </cell>
          <cell r="J188">
            <v>3.1</v>
          </cell>
          <cell r="K188"/>
          <cell r="L188">
            <v>3.1</v>
          </cell>
          <cell r="M188"/>
          <cell r="N188">
            <v>3.2</v>
          </cell>
          <cell r="O188"/>
          <cell r="P188"/>
          <cell r="Q188"/>
          <cell r="R188"/>
          <cell r="S188"/>
          <cell r="T188"/>
          <cell r="U188"/>
          <cell r="V188"/>
          <cell r="W188" t="str">
            <v>MOQ 2000M</v>
          </cell>
          <cell r="X188" t="str">
            <v>NICKY</v>
          </cell>
          <cell r="Y188"/>
          <cell r="Z188" t="str">
            <v>JOYCE 22/10/18 BY WECHAT</v>
          </cell>
          <cell r="AA188" t="str">
            <v>18-20DAYS</v>
          </cell>
          <cell r="AB188">
            <v>43395</v>
          </cell>
          <cell r="AC188">
            <v>4604</v>
          </cell>
        </row>
        <row r="189">
          <cell r="B189">
            <v>4602</v>
          </cell>
          <cell r="C189" t="str">
            <v>V1818</v>
          </cell>
          <cell r="D189" t="str">
            <v>Y/D BRUSH VISCOSE</v>
          </cell>
          <cell r="E189" t="str">
            <v>21*21/60*56</v>
          </cell>
          <cell r="F189" t="str">
            <v>V100%</v>
          </cell>
          <cell r="G189" t="str">
            <v>100% VISCOSE</v>
          </cell>
          <cell r="H189" t="str">
            <v>57/58</v>
          </cell>
          <cell r="I189">
            <v>130</v>
          </cell>
          <cell r="J189">
            <v>1.85</v>
          </cell>
          <cell r="K189"/>
          <cell r="L189">
            <v>1.88</v>
          </cell>
          <cell r="M189"/>
          <cell r="N189">
            <v>1.88</v>
          </cell>
          <cell r="O189"/>
          <cell r="P189"/>
          <cell r="Q189"/>
          <cell r="R189"/>
          <cell r="S189"/>
          <cell r="T189"/>
          <cell r="U189"/>
          <cell r="V189"/>
          <cell r="W189"/>
          <cell r="X189" t="str">
            <v>UYEN</v>
          </cell>
          <cell r="Y189"/>
          <cell r="Z189" t="str">
            <v>UYEN  15/10/18</v>
          </cell>
          <cell r="AA189" t="str">
            <v xml:space="preserve">30 days </v>
          </cell>
          <cell r="AB189">
            <v>43388</v>
          </cell>
          <cell r="AC189">
            <v>4602</v>
          </cell>
        </row>
        <row r="190">
          <cell r="B190">
            <v>4600</v>
          </cell>
          <cell r="C190" t="str">
            <v>TS-528</v>
          </cell>
          <cell r="D190" t="str">
            <v>KNIT - Y/D TAILORING</v>
          </cell>
          <cell r="E190"/>
          <cell r="F190" t="str">
            <v>T/S 95/5</v>
          </cell>
          <cell r="G190" t="str">
            <v>95% POLYESTER 5% SPANDEX</v>
          </cell>
          <cell r="H190" t="str">
            <v>58/59</v>
          </cell>
          <cell r="I190">
            <v>250</v>
          </cell>
          <cell r="J190">
            <v>2.11</v>
          </cell>
          <cell r="K190"/>
          <cell r="L190">
            <v>2.13</v>
          </cell>
          <cell r="M190"/>
          <cell r="N190">
            <v>2.15</v>
          </cell>
          <cell r="O190"/>
          <cell r="P190"/>
          <cell r="Q190"/>
          <cell r="R190" t="str">
            <v>can't do</v>
          </cell>
          <cell r="S190"/>
          <cell r="T190"/>
          <cell r="U190"/>
          <cell r="V190"/>
          <cell r="W190"/>
          <cell r="X190" t="str">
            <v>GAVIN</v>
          </cell>
          <cell r="Y190"/>
          <cell r="Z190" t="str">
            <v>GAVIN 12/10/18</v>
          </cell>
          <cell r="AA190"/>
          <cell r="AB190">
            <v>43385</v>
          </cell>
          <cell r="AC190">
            <v>4600</v>
          </cell>
        </row>
        <row r="191">
          <cell r="B191">
            <v>4599</v>
          </cell>
          <cell r="C191" t="str">
            <v>HY18-0917</v>
          </cell>
          <cell r="D191"/>
          <cell r="E191" t="str">
            <v>20D+26D*75D</v>
          </cell>
          <cell r="F191" t="str">
            <v>T100%</v>
          </cell>
          <cell r="G191" t="str">
            <v>100%POLYESTER</v>
          </cell>
          <cell r="H191" t="str">
            <v>57/58</v>
          </cell>
          <cell r="I191">
            <v>90</v>
          </cell>
          <cell r="J191">
            <v>1.84</v>
          </cell>
          <cell r="K191">
            <v>2.17</v>
          </cell>
          <cell r="L191">
            <v>1.87</v>
          </cell>
          <cell r="M191">
            <v>2.2000000000000002</v>
          </cell>
          <cell r="N191">
            <v>1.89</v>
          </cell>
          <cell r="O191">
            <v>2.2200000000000002</v>
          </cell>
          <cell r="P191"/>
          <cell r="Q191"/>
          <cell r="R191">
            <v>1.94</v>
          </cell>
          <cell r="S191">
            <v>2.27</v>
          </cell>
          <cell r="T191"/>
          <cell r="U191"/>
          <cell r="V191"/>
          <cell r="W191"/>
          <cell r="X191" t="str">
            <v>HAOMAIER (S)</v>
          </cell>
          <cell r="Y191"/>
          <cell r="Z191" t="str">
            <v>FIONA 12/10/18</v>
          </cell>
          <cell r="AA191" t="str">
            <v>25DAYS</v>
          </cell>
          <cell r="AB191">
            <v>43385</v>
          </cell>
          <cell r="AC191">
            <v>4599</v>
          </cell>
        </row>
        <row r="192">
          <cell r="B192">
            <v>4596</v>
          </cell>
          <cell r="C192" t="str">
            <v>SJ12401</v>
          </cell>
          <cell r="D192" t="str">
            <v>*</v>
          </cell>
          <cell r="E192" t="str">
            <v>(50D+50D)*2</v>
          </cell>
          <cell r="F192" t="str">
            <v>T100%</v>
          </cell>
          <cell r="G192" t="str">
            <v xml:space="preserve">100% POLYESTER </v>
          </cell>
          <cell r="H192" t="str">
            <v>57/58</v>
          </cell>
          <cell r="I192">
            <v>160</v>
          </cell>
          <cell r="J192">
            <v>2</v>
          </cell>
          <cell r="K192">
            <v>2.2999999999999998</v>
          </cell>
          <cell r="L192">
            <v>2.0499999999999998</v>
          </cell>
          <cell r="M192">
            <v>2.35</v>
          </cell>
          <cell r="N192">
            <v>2.0499999999999998</v>
          </cell>
          <cell r="O192">
            <v>2.35</v>
          </cell>
          <cell r="P192"/>
          <cell r="Q192"/>
          <cell r="R192">
            <v>2.2000000000000002</v>
          </cell>
          <cell r="S192">
            <v>2.9</v>
          </cell>
          <cell r="T192"/>
          <cell r="U192"/>
          <cell r="V192"/>
          <cell r="W192"/>
          <cell r="X192" t="str">
            <v>GLORIA (S)</v>
          </cell>
          <cell r="Y192"/>
          <cell r="Z192" t="str">
            <v>GLORIA 11/10/18</v>
          </cell>
          <cell r="AA192" t="str">
            <v>40 DAYS</v>
          </cell>
          <cell r="AB192">
            <v>43384</v>
          </cell>
          <cell r="AC192">
            <v>4596</v>
          </cell>
        </row>
        <row r="193">
          <cell r="B193">
            <v>4468</v>
          </cell>
          <cell r="C193" t="str">
            <v>CT1104176</v>
          </cell>
          <cell r="D193" t="str">
            <v>CHIFFON ( SAME AMW1509 )</v>
          </cell>
          <cell r="E193"/>
          <cell r="F193" t="str">
            <v>T100%</v>
          </cell>
          <cell r="G193" t="str">
            <v>100% POLYESTER</v>
          </cell>
          <cell r="H193" t="str">
            <v>57/58”</v>
          </cell>
          <cell r="I193">
            <v>75</v>
          </cell>
          <cell r="J193">
            <v>0.85</v>
          </cell>
          <cell r="K193">
            <v>1.1599999999999999</v>
          </cell>
          <cell r="L193">
            <v>0.88</v>
          </cell>
          <cell r="M193">
            <v>1.1599999999999999</v>
          </cell>
          <cell r="N193">
            <v>0.88</v>
          </cell>
          <cell r="O193">
            <v>1.1599999999999999</v>
          </cell>
          <cell r="P193"/>
          <cell r="Q193"/>
          <cell r="R193">
            <v>1.03</v>
          </cell>
          <cell r="S193">
            <v>1.51</v>
          </cell>
          <cell r="T193"/>
          <cell r="U193"/>
          <cell r="V193" t="str">
            <v>15</v>
          </cell>
          <cell r="W193"/>
          <cell r="X193" t="str">
            <v>BONNIE</v>
          </cell>
          <cell r="Y193"/>
          <cell r="Z193" t="str">
            <v>BONNIE 10/10/18 by wechat</v>
          </cell>
          <cell r="AA193"/>
          <cell r="AB193">
            <v>43383</v>
          </cell>
          <cell r="AC193">
            <v>4468</v>
          </cell>
        </row>
        <row r="194">
          <cell r="B194">
            <v>4467</v>
          </cell>
          <cell r="C194" t="str">
            <v>CT1209006</v>
          </cell>
          <cell r="D194" t="str">
            <v>CRINKLE CHIFFON ( SAME AMW3030)</v>
          </cell>
          <cell r="E194" t="str">
            <v>75D*75D</v>
          </cell>
          <cell r="F194" t="str">
            <v>T100%</v>
          </cell>
          <cell r="G194" t="str">
            <v>100% POLYESTER</v>
          </cell>
          <cell r="H194" t="str">
            <v>57/58</v>
          </cell>
          <cell r="I194">
            <v>70</v>
          </cell>
          <cell r="J194">
            <v>0.88</v>
          </cell>
          <cell r="K194">
            <v>1.1599999999999999</v>
          </cell>
          <cell r="L194">
            <v>0.88</v>
          </cell>
          <cell r="M194">
            <v>1.1599999999999999</v>
          </cell>
          <cell r="N194">
            <v>0.88</v>
          </cell>
          <cell r="O194">
            <v>1.1599999999999999</v>
          </cell>
          <cell r="P194"/>
          <cell r="Q194"/>
          <cell r="R194">
            <v>1.03</v>
          </cell>
          <cell r="S194">
            <v>1.51</v>
          </cell>
          <cell r="T194"/>
          <cell r="U194"/>
          <cell r="V194" t="str">
            <v>15</v>
          </cell>
          <cell r="W194"/>
          <cell r="X194" t="str">
            <v>BONNIE</v>
          </cell>
          <cell r="Y194"/>
          <cell r="Z194" t="str">
            <v>BONNIE 10/10/18 by wechat</v>
          </cell>
          <cell r="AA194"/>
          <cell r="AB194">
            <v>43383</v>
          </cell>
          <cell r="AC194">
            <v>4467</v>
          </cell>
        </row>
        <row r="195">
          <cell r="B195">
            <v>4598</v>
          </cell>
          <cell r="C195" t="str">
            <v>JL-190006</v>
          </cell>
          <cell r="D195" t="str">
            <v>CREPE RAYON*</v>
          </cell>
          <cell r="E195" t="str">
            <v xml:space="preserve">
30HTX30HT 88X70
</v>
          </cell>
          <cell r="F195" t="str">
            <v>R100%</v>
          </cell>
          <cell r="G195" t="str">
            <v>100% RAYON</v>
          </cell>
          <cell r="H195" t="str">
            <v>48/49</v>
          </cell>
          <cell r="I195">
            <v>135</v>
          </cell>
          <cell r="J195">
            <v>2</v>
          </cell>
          <cell r="K195">
            <v>2.0699999999999998</v>
          </cell>
          <cell r="L195">
            <v>2</v>
          </cell>
          <cell r="M195">
            <v>2.0699999999999998</v>
          </cell>
          <cell r="N195">
            <v>2</v>
          </cell>
          <cell r="O195">
            <v>2.2199999999999998</v>
          </cell>
          <cell r="P195">
            <v>0.05</v>
          </cell>
          <cell r="Q195">
            <v>0.05</v>
          </cell>
          <cell r="R195">
            <v>2.3499999999999996</v>
          </cell>
          <cell r="S195">
            <v>2.7199999999999998</v>
          </cell>
          <cell r="T195"/>
          <cell r="U195"/>
          <cell r="V195"/>
          <cell r="W195"/>
          <cell r="X195" t="str">
            <v>JIANGLONG (S)</v>
          </cell>
          <cell r="Y195"/>
          <cell r="Z195" t="str">
            <v>SUSAN 9/10/18</v>
          </cell>
          <cell r="AA195" t="str">
            <v>38-40DAYS</v>
          </cell>
          <cell r="AB195">
            <v>43382</v>
          </cell>
          <cell r="AC195">
            <v>4598</v>
          </cell>
        </row>
        <row r="196">
          <cell r="B196">
            <v>4595</v>
          </cell>
          <cell r="C196" t="str">
            <v>BG4211</v>
          </cell>
          <cell r="D196" t="str">
            <v>Y/D CHECK COTTON W/ AIR FLOW</v>
          </cell>
          <cell r="E196" t="str">
            <v>45S*45S/72*56</v>
          </cell>
          <cell r="F196" t="str">
            <v>T/C 80/20</v>
          </cell>
          <cell r="G196" t="str">
            <v>80% POLYESTER 20% COTTON</v>
          </cell>
          <cell r="H196" t="str">
            <v>57/58</v>
          </cell>
          <cell r="I196">
            <v>102</v>
          </cell>
          <cell r="J196">
            <v>1.33</v>
          </cell>
          <cell r="K196"/>
          <cell r="L196">
            <v>1.34</v>
          </cell>
          <cell r="M196"/>
          <cell r="N196">
            <v>1.35</v>
          </cell>
          <cell r="O196"/>
          <cell r="P196"/>
          <cell r="Q196"/>
          <cell r="R196">
            <v>1.5</v>
          </cell>
          <cell r="S196"/>
          <cell r="T196"/>
          <cell r="U196"/>
          <cell r="V196"/>
          <cell r="W196"/>
          <cell r="X196" t="str">
            <v>EDWIN</v>
          </cell>
          <cell r="Y196" t="str">
            <v>DMCARE-TRI-02</v>
          </cell>
          <cell r="Z196" t="str">
            <v>EDWIN 8/10/18</v>
          </cell>
          <cell r="AA196" t="str">
            <v>15-20 DAYS</v>
          </cell>
          <cell r="AB196">
            <v>43381</v>
          </cell>
          <cell r="AC196">
            <v>4595</v>
          </cell>
        </row>
        <row r="197">
          <cell r="B197">
            <v>3514</v>
          </cell>
          <cell r="C197" t="str">
            <v>D004-2</v>
          </cell>
          <cell r="D197" t="str">
            <v>COTTON Y/D</v>
          </cell>
          <cell r="E197" t="str">
            <v>50X50 / 140 x 80</v>
          </cell>
          <cell r="F197" t="str">
            <v>C100%</v>
          </cell>
          <cell r="G197" t="str">
            <v>100% COTTON</v>
          </cell>
          <cell r="H197" t="str">
            <v>57/58</v>
          </cell>
          <cell r="I197">
            <v>103</v>
          </cell>
          <cell r="J197">
            <v>1.7716535433070868</v>
          </cell>
          <cell r="K197">
            <v>1.8044619422572177</v>
          </cell>
          <cell r="L197">
            <v>1.8044619422572177</v>
          </cell>
          <cell r="M197">
            <v>1.837270341207349</v>
          </cell>
          <cell r="N197">
            <v>1.8591426071741033</v>
          </cell>
          <cell r="O197">
            <v>1.94663167104112</v>
          </cell>
          <cell r="P197">
            <v>0</v>
          </cell>
          <cell r="Q197">
            <v>0</v>
          </cell>
          <cell r="R197">
            <v>2.1325459317585302</v>
          </cell>
          <cell r="S197">
            <v>2.2747156605424323</v>
          </cell>
          <cell r="T197">
            <v>2.1325459317585302</v>
          </cell>
          <cell r="U197">
            <v>2.2747156605424323</v>
          </cell>
          <cell r="V197"/>
          <cell r="W197"/>
          <cell r="X197" t="str">
            <v>DAVID</v>
          </cell>
          <cell r="Y197"/>
          <cell r="Z197" t="str">
            <v>DAVID 8/10/18 BY WECHAT</v>
          </cell>
          <cell r="AA197" t="str">
            <v>35 DAYS</v>
          </cell>
          <cell r="AB197">
            <v>43381</v>
          </cell>
          <cell r="AC197">
            <v>3514</v>
          </cell>
        </row>
        <row r="198">
          <cell r="B198">
            <v>3381</v>
          </cell>
          <cell r="C198" t="str">
            <v>T004</v>
          </cell>
          <cell r="D198" t="str">
            <v>CREPE ( REPLACE 2002</v>
          </cell>
          <cell r="E198" t="str">
            <v>75D*75D</v>
          </cell>
          <cell r="F198" t="str">
            <v>T100%</v>
          </cell>
          <cell r="G198" t="str">
            <v xml:space="preserve">100% POLYESTER </v>
          </cell>
          <cell r="H198" t="str">
            <v>57/58</v>
          </cell>
          <cell r="I198">
            <v>120</v>
          </cell>
          <cell r="J198">
            <v>1.18</v>
          </cell>
          <cell r="K198">
            <v>1.35</v>
          </cell>
          <cell r="L198">
            <v>1.2</v>
          </cell>
          <cell r="M198">
            <v>1.4</v>
          </cell>
          <cell r="N198">
            <v>1.2</v>
          </cell>
          <cell r="O198">
            <v>1.4</v>
          </cell>
          <cell r="P198">
            <v>1.35</v>
          </cell>
          <cell r="Q198">
            <v>1.99</v>
          </cell>
          <cell r="R198">
            <v>1.35</v>
          </cell>
          <cell r="S198">
            <v>1.99</v>
          </cell>
          <cell r="T198" t="str">
            <v>TERESA</v>
          </cell>
          <cell r="U198"/>
          <cell r="V198"/>
          <cell r="W198"/>
          <cell r="X198" t="str">
            <v>TERESA</v>
          </cell>
          <cell r="Y198"/>
          <cell r="Z198" t="str">
            <v>TERESA 8/10/18</v>
          </cell>
          <cell r="AA198"/>
          <cell r="AB198">
            <v>43381</v>
          </cell>
          <cell r="AC198">
            <v>3381</v>
          </cell>
        </row>
        <row r="199">
          <cell r="B199">
            <v>4594</v>
          </cell>
          <cell r="C199" t="str">
            <v xml:space="preserve">SJ8031 </v>
          </cell>
          <cell r="D199" t="str">
            <v>SATEEN CHIFFON *</v>
          </cell>
          <cell r="E199" t="str">
            <v xml:space="preserve">50D*50D+20D </v>
          </cell>
          <cell r="F199" t="str">
            <v>T/S 96/4</v>
          </cell>
          <cell r="G199" t="str">
            <v>96% POLYESTER 4% SPANDEX</v>
          </cell>
          <cell r="H199" t="str">
            <v>56/57</v>
          </cell>
          <cell r="I199">
            <v>95</v>
          </cell>
          <cell r="J199" t="str">
            <v xml:space="preserve">
$1.89</v>
          </cell>
          <cell r="K199">
            <v>1.95</v>
          </cell>
          <cell r="L199" t="str">
            <v xml:space="preserve">
$1.89</v>
          </cell>
          <cell r="M199">
            <v>1.95</v>
          </cell>
          <cell r="N199" t="str">
            <v xml:space="preserve">
$1.89</v>
          </cell>
          <cell r="O199">
            <v>2</v>
          </cell>
          <cell r="P199"/>
          <cell r="Q199"/>
          <cell r="R199" t="str">
            <v xml:space="preserve">
$2.09</v>
          </cell>
          <cell r="S199">
            <v>3.08</v>
          </cell>
          <cell r="T199"/>
          <cell r="U199"/>
          <cell r="V199"/>
          <cell r="W199" t="str">
            <v>SOLID PRICE IS FOR SPECIAL COLOR ( NEON COLOR ). IF NORMAL COLOR IS $1.75 ( $1.95 FOR 1000M )</v>
          </cell>
          <cell r="X199" t="str">
            <v>GLORIA (S)</v>
          </cell>
          <cell r="Y199"/>
          <cell r="Z199" t="str">
            <v>GLORIA 6/10/18</v>
          </cell>
          <cell r="AA199" t="str">
            <v>35 DAYS</v>
          </cell>
          <cell r="AB199">
            <v>43379</v>
          </cell>
          <cell r="AC199">
            <v>4594</v>
          </cell>
        </row>
        <row r="200">
          <cell r="B200">
            <v>4593</v>
          </cell>
          <cell r="C200" t="str">
            <v>HH-22026</v>
          </cell>
          <cell r="D200" t="str">
            <v>TAILORING</v>
          </cell>
          <cell r="E200" t="str">
            <v>40S/2+40D*40S/2+40D,76*60</v>
          </cell>
          <cell r="F200" t="str">
            <v>T/R/SP 63/33/4</v>
          </cell>
          <cell r="G200" t="str">
            <v>63% POLYESTER 33% RAYON 4% SPANDEX</v>
          </cell>
          <cell r="H200" t="str">
            <v>57/58</v>
          </cell>
          <cell r="I200">
            <v>220</v>
          </cell>
          <cell r="J200">
            <v>2.6</v>
          </cell>
          <cell r="K200"/>
          <cell r="L200">
            <v>2.62</v>
          </cell>
          <cell r="M200"/>
          <cell r="N200">
            <v>2.62</v>
          </cell>
          <cell r="O200"/>
          <cell r="P200"/>
          <cell r="Q200"/>
          <cell r="R200">
            <v>2.75</v>
          </cell>
          <cell r="S200"/>
          <cell r="T200"/>
          <cell r="U200"/>
          <cell r="V200"/>
          <cell r="W200"/>
          <cell r="X200" t="str">
            <v>GAIL (S)</v>
          </cell>
          <cell r="Y200"/>
          <cell r="Z200" t="str">
            <v>GAIL 5/10/18</v>
          </cell>
          <cell r="AA200" t="str">
            <v>30-35DAYS</v>
          </cell>
          <cell r="AB200">
            <v>43378</v>
          </cell>
          <cell r="AC200">
            <v>4593</v>
          </cell>
        </row>
        <row r="201">
          <cell r="B201">
            <v>4592</v>
          </cell>
          <cell r="C201" t="str">
            <v>ST-LM003</v>
          </cell>
          <cell r="D201" t="str">
            <v>PONTE</v>
          </cell>
          <cell r="E201"/>
          <cell r="F201" t="str">
            <v>T/R/S 51/44/5</v>
          </cell>
          <cell r="G201" t="str">
            <v>51% POLYESTER 44% RAYON 5% SPNDEX</v>
          </cell>
          <cell r="H201">
            <v>62</v>
          </cell>
          <cell r="I201">
            <v>370</v>
          </cell>
          <cell r="J201">
            <v>2.91</v>
          </cell>
          <cell r="K201"/>
          <cell r="L201">
            <v>2.97</v>
          </cell>
          <cell r="M201"/>
          <cell r="N201">
            <v>3.11</v>
          </cell>
          <cell r="O201"/>
          <cell r="P201"/>
          <cell r="Q201"/>
          <cell r="R201">
            <v>3.18</v>
          </cell>
          <cell r="S201"/>
          <cell r="T201"/>
          <cell r="U201"/>
          <cell r="V201"/>
          <cell r="W201"/>
          <cell r="X201" t="str">
            <v>LILY</v>
          </cell>
          <cell r="Y201"/>
          <cell r="Z201" t="str">
            <v>LILY 5/10/18</v>
          </cell>
          <cell r="AA201"/>
          <cell r="AB201">
            <v>43378</v>
          </cell>
          <cell r="AC201">
            <v>4592</v>
          </cell>
        </row>
        <row r="202">
          <cell r="B202">
            <v>4591</v>
          </cell>
          <cell r="C202" t="str">
            <v>ST-LM001</v>
          </cell>
          <cell r="D202" t="str">
            <v>PONTE</v>
          </cell>
          <cell r="E202"/>
          <cell r="F202" t="str">
            <v>R/N/T/S 54/24/17/5</v>
          </cell>
          <cell r="G202" t="str">
            <v>54% RAYON 24% NYLON 17% POLYESTER 5% SPANDEX</v>
          </cell>
          <cell r="H202">
            <v>62</v>
          </cell>
          <cell r="I202">
            <v>440</v>
          </cell>
          <cell r="J202">
            <v>4.7300000000000004</v>
          </cell>
          <cell r="K202"/>
          <cell r="L202">
            <v>4.7699999999999996</v>
          </cell>
          <cell r="M202"/>
          <cell r="N202">
            <v>4.8</v>
          </cell>
          <cell r="O202"/>
          <cell r="P202"/>
          <cell r="Q202"/>
          <cell r="R202">
            <v>4.8600000000000003</v>
          </cell>
          <cell r="S202"/>
          <cell r="T202"/>
          <cell r="U202"/>
          <cell r="V202"/>
          <cell r="W202"/>
          <cell r="X202" t="str">
            <v>LILY</v>
          </cell>
          <cell r="Y202"/>
          <cell r="Z202" t="str">
            <v>LILY 5/10/18</v>
          </cell>
          <cell r="AA202"/>
          <cell r="AB202">
            <v>43378</v>
          </cell>
          <cell r="AC202">
            <v>4591</v>
          </cell>
        </row>
        <row r="203">
          <cell r="B203">
            <v>4439</v>
          </cell>
          <cell r="C203" t="str">
            <v>BG4058</v>
          </cell>
          <cell r="D203" t="str">
            <v>SLUB RAYON - SAME FAKE LINEN</v>
          </cell>
          <cell r="E203"/>
          <cell r="F203" t="str">
            <v>R100%</v>
          </cell>
          <cell r="G203" t="str">
            <v>100% RAYON</v>
          </cell>
          <cell r="H203" t="str">
            <v>53/54</v>
          </cell>
          <cell r="I203">
            <v>117</v>
          </cell>
          <cell r="J203">
            <v>1.5</v>
          </cell>
          <cell r="K203">
            <v>1.85</v>
          </cell>
          <cell r="L203">
            <v>1.52</v>
          </cell>
          <cell r="M203">
            <v>1.9</v>
          </cell>
          <cell r="N203">
            <v>1.53</v>
          </cell>
          <cell r="O203">
            <v>1.95</v>
          </cell>
          <cell r="P203"/>
          <cell r="Q203">
            <v>1.7</v>
          </cell>
          <cell r="R203">
            <v>2.4</v>
          </cell>
          <cell r="S203">
            <v>2.2999999999999998</v>
          </cell>
          <cell r="T203"/>
          <cell r="U203"/>
          <cell r="V203"/>
          <cell r="W203"/>
          <cell r="X203" t="str">
            <v>EDWIN</v>
          </cell>
          <cell r="Y203" t="str">
            <v>DMCARE-TRI-01</v>
          </cell>
          <cell r="Z203" t="str">
            <v>EDWIN 5/10/18</v>
          </cell>
          <cell r="AA203"/>
          <cell r="AB203">
            <v>43378</v>
          </cell>
          <cell r="AC203">
            <v>4439</v>
          </cell>
        </row>
        <row r="204">
          <cell r="B204">
            <v>4264</v>
          </cell>
          <cell r="C204" t="str">
            <v>ST-LM055</v>
          </cell>
          <cell r="D204" t="str">
            <v>PONTE</v>
          </cell>
          <cell r="E204"/>
          <cell r="F204" t="str">
            <v>T/S 96/4</v>
          </cell>
          <cell r="G204" t="str">
            <v>96% POLYESTER 4% SPANDEX</v>
          </cell>
          <cell r="H204">
            <v>58</v>
          </cell>
          <cell r="I204">
            <v>350</v>
          </cell>
          <cell r="J204">
            <v>2.23</v>
          </cell>
          <cell r="K204"/>
          <cell r="L204">
            <v>2.27</v>
          </cell>
          <cell r="M204"/>
          <cell r="N204">
            <v>2.2999999999999998</v>
          </cell>
          <cell r="O204"/>
          <cell r="P204"/>
          <cell r="Q204"/>
          <cell r="R204">
            <v>2.36</v>
          </cell>
          <cell r="S204"/>
          <cell r="T204"/>
          <cell r="U204"/>
          <cell r="V204"/>
          <cell r="W204"/>
          <cell r="X204" t="str">
            <v>LILY</v>
          </cell>
          <cell r="Y204"/>
          <cell r="Z204" t="str">
            <v>LILY 5/10/18</v>
          </cell>
          <cell r="AA204"/>
          <cell r="AB204">
            <v>43378</v>
          </cell>
          <cell r="AC204">
            <v>4264</v>
          </cell>
        </row>
        <row r="205">
          <cell r="B205">
            <v>4051</v>
          </cell>
          <cell r="C205" t="str">
            <v>WK-25968</v>
          </cell>
          <cell r="D205" t="str">
            <v>PONTE</v>
          </cell>
          <cell r="E205" t="str">
            <v>40SR+70/40DSP</v>
          </cell>
          <cell r="F205" t="str">
            <v>R/N/S 60/35/5</v>
          </cell>
          <cell r="G205" t="str">
            <v>60% RAYON 35% NYLON 5% SPANDEX</v>
          </cell>
          <cell r="H205" t="str">
            <v>150CM</v>
          </cell>
          <cell r="I205">
            <v>350</v>
          </cell>
          <cell r="J205">
            <v>3.3</v>
          </cell>
          <cell r="K205"/>
          <cell r="L205">
            <v>3.3</v>
          </cell>
          <cell r="M205"/>
          <cell r="N205">
            <v>3.4</v>
          </cell>
          <cell r="O205"/>
          <cell r="P205"/>
          <cell r="Q205"/>
          <cell r="R205">
            <v>3.5</v>
          </cell>
          <cell r="S205"/>
          <cell r="T205"/>
          <cell r="U205"/>
          <cell r="V205"/>
          <cell r="W205"/>
          <cell r="X205" t="str">
            <v>PANI</v>
          </cell>
          <cell r="Y205"/>
          <cell r="Z205" t="str">
            <v>AMY 5/10/18 BY WECHAT</v>
          </cell>
          <cell r="AA205" t="str">
            <v>30 DAYS</v>
          </cell>
          <cell r="AB205">
            <v>43378</v>
          </cell>
          <cell r="AC205">
            <v>4051</v>
          </cell>
        </row>
        <row r="206">
          <cell r="B206">
            <v>4589</v>
          </cell>
          <cell r="C206" t="str">
            <v>ST-W8075</v>
          </cell>
          <cell r="D206" t="str">
            <v>SATEEN</v>
          </cell>
          <cell r="E206" t="str">
            <v>50D*50D+20D 15T*12T</v>
          </cell>
          <cell r="F206" t="str">
            <v>T/S 97/3</v>
          </cell>
          <cell r="G206" t="str">
            <v>97% POLYETSER 3% SPANDEX</v>
          </cell>
          <cell r="H206" t="str">
            <v>57/58</v>
          </cell>
          <cell r="I206">
            <v>95</v>
          </cell>
          <cell r="J206">
            <v>1.3699999999999999</v>
          </cell>
          <cell r="K206">
            <v>1.63</v>
          </cell>
          <cell r="L206">
            <v>1.39</v>
          </cell>
          <cell r="M206">
            <v>1.65</v>
          </cell>
          <cell r="N206">
            <v>1.4</v>
          </cell>
          <cell r="O206">
            <v>1.66</v>
          </cell>
          <cell r="P206"/>
          <cell r="Q206"/>
          <cell r="R206">
            <v>1.5</v>
          </cell>
          <cell r="S206">
            <v>1.79</v>
          </cell>
          <cell r="T206"/>
          <cell r="U206"/>
          <cell r="V206"/>
          <cell r="W206"/>
          <cell r="X206" t="str">
            <v>SIGER</v>
          </cell>
          <cell r="Y206" t="str">
            <v>DMCARE-TRI-03</v>
          </cell>
          <cell r="Z206" t="str">
            <v>SIGER BY WECHAT</v>
          </cell>
          <cell r="AA206"/>
          <cell r="AB206">
            <v>43377</v>
          </cell>
          <cell r="AC206">
            <v>4589</v>
          </cell>
        </row>
        <row r="207">
          <cell r="B207">
            <v>4590</v>
          </cell>
          <cell r="C207" t="str">
            <v>CJ4040</v>
          </cell>
          <cell r="D207" t="str">
            <v>COTTON W/ JAC DOT</v>
          </cell>
          <cell r="E207" t="str">
            <v>40S+32S/2*40S/88*64</v>
          </cell>
          <cell r="F207" t="str">
            <v>C100%</v>
          </cell>
          <cell r="G207" t="str">
            <v>100% COTTON</v>
          </cell>
          <cell r="H207" t="str">
            <v>57/58</v>
          </cell>
          <cell r="I207">
            <v>95</v>
          </cell>
          <cell r="J207">
            <v>1.7</v>
          </cell>
          <cell r="K207">
            <v>1.87</v>
          </cell>
          <cell r="L207">
            <v>1.71</v>
          </cell>
          <cell r="M207">
            <v>1.9</v>
          </cell>
          <cell r="N207">
            <v>1.72</v>
          </cell>
          <cell r="O207">
            <v>1.91</v>
          </cell>
          <cell r="P207"/>
          <cell r="Q207"/>
          <cell r="R207">
            <v>1.69</v>
          </cell>
          <cell r="S207">
            <v>2.21</v>
          </cell>
          <cell r="T207"/>
          <cell r="U207"/>
          <cell r="V207"/>
          <cell r="W207"/>
          <cell r="X207" t="str">
            <v>UYEN</v>
          </cell>
          <cell r="Y207"/>
          <cell r="Z207" t="str">
            <v>UYEN 1/10/18</v>
          </cell>
          <cell r="AA207" t="str">
            <v>25DAYS</v>
          </cell>
          <cell r="AB207">
            <v>43374</v>
          </cell>
          <cell r="AC207">
            <v>4590</v>
          </cell>
        </row>
        <row r="208">
          <cell r="B208">
            <v>4588</v>
          </cell>
          <cell r="C208" t="str">
            <v>CJ6060</v>
          </cell>
          <cell r="D208" t="str">
            <v>COTTON W/ JAC DOT</v>
          </cell>
          <cell r="E208" t="str">
            <v>60S+32S/2*60S</v>
          </cell>
          <cell r="F208" t="str">
            <v>C100%</v>
          </cell>
          <cell r="G208" t="str">
            <v>100% COTTON</v>
          </cell>
          <cell r="H208" t="str">
            <v>57/58</v>
          </cell>
          <cell r="I208">
            <v>70</v>
          </cell>
          <cell r="J208">
            <v>1.52</v>
          </cell>
          <cell r="K208">
            <v>1.74</v>
          </cell>
          <cell r="L208">
            <v>1.53</v>
          </cell>
          <cell r="M208">
            <v>1.76</v>
          </cell>
          <cell r="N208">
            <v>1.55</v>
          </cell>
          <cell r="O208">
            <v>1.78</v>
          </cell>
          <cell r="P208"/>
          <cell r="Q208"/>
          <cell r="R208">
            <v>1.62</v>
          </cell>
          <cell r="S208">
            <v>1.99</v>
          </cell>
          <cell r="T208">
            <v>1.62</v>
          </cell>
          <cell r="U208">
            <v>1.99</v>
          </cell>
          <cell r="V208">
            <v>15</v>
          </cell>
          <cell r="W208"/>
          <cell r="X208" t="str">
            <v>UYEN</v>
          </cell>
          <cell r="Y208"/>
          <cell r="Z208" t="str">
            <v>UYEN 1/10/18</v>
          </cell>
          <cell r="AA208" t="str">
            <v>25DAYS</v>
          </cell>
          <cell r="AB208">
            <v>43374</v>
          </cell>
          <cell r="AC208">
            <v>4588</v>
          </cell>
        </row>
        <row r="209">
          <cell r="B209">
            <v>4225</v>
          </cell>
          <cell r="C209" t="str">
            <v>ST-W6624 D#3</v>
          </cell>
          <cell r="D209" t="str">
            <v>CHIFFON WITH STRIPE</v>
          </cell>
          <cell r="E209"/>
          <cell r="F209" t="str">
            <v>T100%</v>
          </cell>
          <cell r="G209" t="str">
            <v>100% POLYESTER</v>
          </cell>
          <cell r="H209" t="str">
            <v>57/58</v>
          </cell>
          <cell r="I209">
            <v>100</v>
          </cell>
          <cell r="J209">
            <v>1.1599999999999999</v>
          </cell>
          <cell r="K209">
            <v>1.44</v>
          </cell>
          <cell r="L209">
            <v>1.2</v>
          </cell>
          <cell r="M209">
            <v>1.48</v>
          </cell>
          <cell r="N209">
            <v>1.24</v>
          </cell>
          <cell r="O209">
            <v>1.64</v>
          </cell>
          <cell r="P209"/>
          <cell r="Q209"/>
          <cell r="R209">
            <v>1.31</v>
          </cell>
          <cell r="S209">
            <v>1.76</v>
          </cell>
          <cell r="T209"/>
          <cell r="U209"/>
          <cell r="V209"/>
          <cell r="W209"/>
          <cell r="X209" t="str">
            <v>SIGER</v>
          </cell>
          <cell r="Y209"/>
          <cell r="Z209" t="str">
            <v>SIGER 1/10/18 BY WECHAT</v>
          </cell>
          <cell r="AA209"/>
          <cell r="AB209">
            <v>43374</v>
          </cell>
          <cell r="AC209">
            <v>4225</v>
          </cell>
        </row>
        <row r="210">
          <cell r="B210">
            <v>2472</v>
          </cell>
          <cell r="C210" t="str">
            <v>ST-411205</v>
          </cell>
          <cell r="D210" t="str">
            <v>POLY STRETCH</v>
          </cell>
          <cell r="E210"/>
          <cell r="F210" t="str">
            <v>T/S 97/3</v>
          </cell>
          <cell r="G210" t="str">
            <v>97% POLYESTER 3% SPAN</v>
          </cell>
          <cell r="H210" t="str">
            <v>57/58</v>
          </cell>
          <cell r="I210">
            <v>110</v>
          </cell>
          <cell r="J210">
            <v>1.1599999999999999</v>
          </cell>
          <cell r="K210">
            <v>1.43</v>
          </cell>
          <cell r="L210">
            <v>1.19</v>
          </cell>
          <cell r="M210">
            <v>1.46</v>
          </cell>
          <cell r="N210">
            <v>1.21</v>
          </cell>
          <cell r="O210">
            <v>1.5</v>
          </cell>
          <cell r="P210"/>
          <cell r="Q210"/>
          <cell r="R210">
            <v>1.28</v>
          </cell>
          <cell r="S210">
            <v>1.6</v>
          </cell>
          <cell r="T210"/>
          <cell r="U210"/>
          <cell r="V210"/>
          <cell r="W210"/>
          <cell r="X210"/>
          <cell r="Y210"/>
          <cell r="Z210"/>
          <cell r="AA210"/>
          <cell r="AB210">
            <v>43374</v>
          </cell>
          <cell r="AC210">
            <v>2472</v>
          </cell>
        </row>
        <row r="211">
          <cell r="B211">
            <v>342</v>
          </cell>
          <cell r="C211" t="str">
            <v>TS-089</v>
          </cell>
          <cell r="D211" t="str">
            <v>COTTON STRETCH</v>
          </cell>
          <cell r="E211" t="str">
            <v>40X70+40d</v>
          </cell>
          <cell r="F211" t="str">
            <v>C/N/S 66/31/3</v>
          </cell>
          <cell r="G211" t="str">
            <v>66% COTTON 31% NYLON 3% SPANDEX</v>
          </cell>
          <cell r="H211" t="str">
            <v>57/58</v>
          </cell>
          <cell r="I211">
            <v>107</v>
          </cell>
          <cell r="J211">
            <v>1.81</v>
          </cell>
          <cell r="K211">
            <v>1.94</v>
          </cell>
          <cell r="L211">
            <v>1.83</v>
          </cell>
          <cell r="M211">
            <v>1.97</v>
          </cell>
          <cell r="N211">
            <v>1.85</v>
          </cell>
          <cell r="O211">
            <v>2</v>
          </cell>
          <cell r="P211"/>
          <cell r="Q211"/>
          <cell r="R211">
            <v>2</v>
          </cell>
          <cell r="S211">
            <v>2.25</v>
          </cell>
          <cell r="T211"/>
          <cell r="U211"/>
          <cell r="V211"/>
          <cell r="W211"/>
          <cell r="X211" t="str">
            <v>GAVIN</v>
          </cell>
          <cell r="Y211"/>
          <cell r="Z211" t="str">
            <v>GAVIN 1/10/18</v>
          </cell>
          <cell r="AA211" t="str">
            <v xml:space="preserve">18 days </v>
          </cell>
          <cell r="AB211">
            <v>43374</v>
          </cell>
          <cell r="AC211">
            <v>342</v>
          </cell>
        </row>
        <row r="212">
          <cell r="B212">
            <v>4580</v>
          </cell>
          <cell r="C212" t="str">
            <v>OLP-SR6030D</v>
          </cell>
          <cell r="D212" t="str">
            <v>STRETCH RAYON *</v>
          </cell>
          <cell r="E212"/>
          <cell r="F212" t="str">
            <v>R/S 95/5</v>
          </cell>
          <cell r="G212" t="str">
            <v>95% RAYON 5% SPANDEX</v>
          </cell>
          <cell r="H212" t="str">
            <v>51/52</v>
          </cell>
          <cell r="I212">
            <v>105</v>
          </cell>
          <cell r="J212" t="str">
            <v>DMCARE-TRI-03</v>
          </cell>
          <cell r="K212">
            <v>1.85</v>
          </cell>
          <cell r="L212">
            <v>2.23</v>
          </cell>
          <cell r="M212">
            <v>1.87</v>
          </cell>
          <cell r="N212">
            <v>2.25</v>
          </cell>
          <cell r="O212">
            <v>1.87</v>
          </cell>
          <cell r="P212">
            <v>2.25</v>
          </cell>
          <cell r="Q212"/>
          <cell r="R212"/>
          <cell r="S212">
            <v>2.1</v>
          </cell>
          <cell r="T212">
            <v>2.82</v>
          </cell>
          <cell r="U212"/>
          <cell r="V212"/>
          <cell r="W212"/>
          <cell r="X212" t="str">
            <v>OWEN</v>
          </cell>
          <cell r="Y212"/>
          <cell r="Z212" t="str">
            <v>JOAN 29/9/18 VIA WECHAT</v>
          </cell>
          <cell r="AA212"/>
          <cell r="AB212">
            <v>43372</v>
          </cell>
          <cell r="AC212">
            <v>4580</v>
          </cell>
        </row>
        <row r="213">
          <cell r="B213">
            <v>4579</v>
          </cell>
          <cell r="C213" t="str">
            <v>ST-WV3968</v>
          </cell>
          <cell r="D213" t="str">
            <v>same as 4189 w/o air flow</v>
          </cell>
          <cell r="E213" t="str">
            <v>50+68*50+68</v>
          </cell>
          <cell r="F213" t="str">
            <v>T100%</v>
          </cell>
          <cell r="G213" t="str">
            <v>100% POLYESTER</v>
          </cell>
          <cell r="H213" t="str">
            <v>57/58</v>
          </cell>
          <cell r="I213">
            <v>150</v>
          </cell>
          <cell r="J213">
            <v>1.4</v>
          </cell>
          <cell r="K213"/>
          <cell r="L213">
            <v>1.43</v>
          </cell>
          <cell r="M213"/>
          <cell r="N213">
            <v>1.45</v>
          </cell>
          <cell r="O213"/>
          <cell r="P213"/>
          <cell r="Q213"/>
          <cell r="R213">
            <v>1.5</v>
          </cell>
          <cell r="S213"/>
          <cell r="T213"/>
          <cell r="U213"/>
          <cell r="V213"/>
          <cell r="W213"/>
          <cell r="X213" t="str">
            <v>LILY</v>
          </cell>
          <cell r="Y213" t="str">
            <v>DMCARE-TRI-03</v>
          </cell>
          <cell r="Z213" t="str">
            <v>LILY 29/9/18 VIA WECHAT</v>
          </cell>
          <cell r="AA213"/>
          <cell r="AB213">
            <v>43372</v>
          </cell>
          <cell r="AC213">
            <v>4579</v>
          </cell>
        </row>
        <row r="214">
          <cell r="B214" t="str">
            <v>314S</v>
          </cell>
          <cell r="C214" t="str">
            <v>BG2684</v>
          </cell>
          <cell r="D214" t="str">
            <v>FAILLE</v>
          </cell>
          <cell r="E214" t="str">
            <v>75D*75D</v>
          </cell>
          <cell r="F214" t="str">
            <v>T100%</v>
          </cell>
          <cell r="G214" t="str">
            <v>100%POLYESTER</v>
          </cell>
          <cell r="H214" t="str">
            <v>57/58</v>
          </cell>
          <cell r="I214">
            <v>72</v>
          </cell>
          <cell r="J214">
            <v>1.05</v>
          </cell>
          <cell r="K214">
            <v>1.35</v>
          </cell>
          <cell r="L214">
            <v>1.05</v>
          </cell>
          <cell r="M214">
            <v>1.4</v>
          </cell>
          <cell r="N214">
            <v>1.05</v>
          </cell>
          <cell r="O214">
            <v>1.45</v>
          </cell>
          <cell r="P214"/>
          <cell r="Q214"/>
          <cell r="R214">
            <v>1.25</v>
          </cell>
          <cell r="S214">
            <v>1.9</v>
          </cell>
          <cell r="T214"/>
          <cell r="U214"/>
          <cell r="V214"/>
          <cell r="W214"/>
          <cell r="X214" t="str">
            <v>EDWIN</v>
          </cell>
          <cell r="Y214"/>
          <cell r="Z214" t="str">
            <v>EDWIN 28/9/18</v>
          </cell>
          <cell r="AA214"/>
          <cell r="AB214">
            <v>43371</v>
          </cell>
          <cell r="AC214" t="str">
            <v>314S</v>
          </cell>
        </row>
        <row r="215">
          <cell r="B215">
            <v>4584</v>
          </cell>
          <cell r="C215" t="str">
            <v>GMB-2571</v>
          </cell>
          <cell r="D215" t="str">
            <v>TAILORING -Y/D</v>
          </cell>
          <cell r="E215" t="str">
            <v>32/2X32/2+40D '94X64</v>
          </cell>
          <cell r="F215" t="str">
            <v>T/S 98/2</v>
          </cell>
          <cell r="G215" t="str">
            <v>98%POLY 2%SPANDEX</v>
          </cell>
          <cell r="H215" t="str">
            <v>57/58</v>
          </cell>
          <cell r="I215" t="str">
            <v>275</v>
          </cell>
          <cell r="J215">
            <v>2.85</v>
          </cell>
          <cell r="K215"/>
          <cell r="L215">
            <v>2.9</v>
          </cell>
          <cell r="M215"/>
          <cell r="N215">
            <v>2.92</v>
          </cell>
          <cell r="O215"/>
          <cell r="P215"/>
          <cell r="Q215"/>
          <cell r="R215">
            <v>2.97</v>
          </cell>
          <cell r="S215"/>
          <cell r="T215"/>
          <cell r="U215"/>
          <cell r="V215"/>
          <cell r="W215"/>
          <cell r="X215" t="str">
            <v>CAROL  (S)</v>
          </cell>
          <cell r="Y215"/>
          <cell r="Z215" t="str">
            <v>LINDSAY 28/9/18</v>
          </cell>
          <cell r="AA215" t="str">
            <v>45 days</v>
          </cell>
          <cell r="AB215">
            <v>43371</v>
          </cell>
          <cell r="AC215">
            <v>4584</v>
          </cell>
        </row>
        <row r="216">
          <cell r="B216">
            <v>4583</v>
          </cell>
          <cell r="C216" t="str">
            <v>GM1647#</v>
          </cell>
          <cell r="D216" t="str">
            <v>TAILORING -Y/D</v>
          </cell>
          <cell r="E216" t="str">
            <v>32/2X32/2+40D '94X64</v>
          </cell>
          <cell r="F216" t="str">
            <v>T/S 98/2</v>
          </cell>
          <cell r="G216" t="str">
            <v>98%POLY 2%SPANDEX</v>
          </cell>
          <cell r="H216" t="str">
            <v>57/58</v>
          </cell>
          <cell r="I216" t="str">
            <v>275</v>
          </cell>
          <cell r="J216">
            <v>2.85</v>
          </cell>
          <cell r="K216"/>
          <cell r="L216">
            <v>2.9</v>
          </cell>
          <cell r="M216"/>
          <cell r="N216">
            <v>2.92</v>
          </cell>
          <cell r="O216"/>
          <cell r="P216"/>
          <cell r="Q216"/>
          <cell r="R216">
            <v>2.97</v>
          </cell>
          <cell r="S216"/>
          <cell r="T216"/>
          <cell r="U216"/>
          <cell r="V216"/>
          <cell r="W216"/>
          <cell r="X216" t="str">
            <v>CAROL  (S)</v>
          </cell>
          <cell r="Y216"/>
          <cell r="Z216" t="str">
            <v>LINDSAY 28/9/18</v>
          </cell>
          <cell r="AA216" t="str">
            <v>45 days</v>
          </cell>
          <cell r="AB216">
            <v>43371</v>
          </cell>
          <cell r="AC216">
            <v>4583</v>
          </cell>
        </row>
        <row r="217">
          <cell r="B217">
            <v>4582</v>
          </cell>
          <cell r="C217" t="str">
            <v>GMB-2576</v>
          </cell>
          <cell r="D217" t="str">
            <v>TAILORING -Y/D</v>
          </cell>
          <cell r="E217" t="str">
            <v>32/2X32/2+40D '70X52</v>
          </cell>
          <cell r="F217" t="str">
            <v>T/R/S 65/33/2</v>
          </cell>
          <cell r="G217" t="str">
            <v>65%POLY 33%RAYON 2%SPANDEX</v>
          </cell>
          <cell r="H217" t="str">
            <v>55/56</v>
          </cell>
          <cell r="I217" t="str">
            <v>240</v>
          </cell>
          <cell r="J217">
            <v>2.9</v>
          </cell>
          <cell r="K217"/>
          <cell r="L217">
            <v>2.95</v>
          </cell>
          <cell r="M217"/>
          <cell r="N217">
            <v>2.97</v>
          </cell>
          <cell r="O217"/>
          <cell r="P217"/>
          <cell r="Q217"/>
          <cell r="R217">
            <v>3.02</v>
          </cell>
          <cell r="S217"/>
          <cell r="T217"/>
          <cell r="U217"/>
          <cell r="V217"/>
          <cell r="W217"/>
          <cell r="X217" t="str">
            <v>CAROL  (S)</v>
          </cell>
          <cell r="Y217"/>
          <cell r="Z217" t="str">
            <v>LINDSAY 28/9/18</v>
          </cell>
          <cell r="AA217" t="str">
            <v>45 days</v>
          </cell>
          <cell r="AB217">
            <v>43371</v>
          </cell>
          <cell r="AC217">
            <v>4582</v>
          </cell>
        </row>
        <row r="218">
          <cell r="B218">
            <v>4581</v>
          </cell>
          <cell r="C218" t="str">
            <v>GM1467</v>
          </cell>
          <cell r="D218" t="str">
            <v>TAILORING -Y/D</v>
          </cell>
          <cell r="E218" t="str">
            <v>32/2X21/2 '74X60</v>
          </cell>
          <cell r="F218" t="str">
            <v>T/R 65/35</v>
          </cell>
          <cell r="G218" t="str">
            <v>65%POLY 35%RAYON</v>
          </cell>
          <cell r="H218" t="str">
            <v>57/58</v>
          </cell>
          <cell r="I218" t="str">
            <v>290</v>
          </cell>
          <cell r="J218">
            <v>3.5</v>
          </cell>
          <cell r="K218"/>
          <cell r="L218">
            <v>3.55</v>
          </cell>
          <cell r="M218"/>
          <cell r="N218">
            <v>3.57</v>
          </cell>
          <cell r="O218"/>
          <cell r="P218"/>
          <cell r="Q218"/>
          <cell r="R218">
            <v>3.62</v>
          </cell>
          <cell r="S218"/>
          <cell r="T218"/>
          <cell r="U218"/>
          <cell r="V218"/>
          <cell r="W218"/>
          <cell r="X218" t="str">
            <v>CAROL  (S)</v>
          </cell>
          <cell r="Y218"/>
          <cell r="Z218" t="str">
            <v>LINDSAY 28/9/18</v>
          </cell>
          <cell r="AA218" t="str">
            <v>45 days</v>
          </cell>
          <cell r="AB218">
            <v>43371</v>
          </cell>
          <cell r="AC218">
            <v>4581</v>
          </cell>
        </row>
        <row r="219">
          <cell r="B219">
            <v>4568</v>
          </cell>
          <cell r="C219" t="str">
            <v>OLP-SR00543</v>
          </cell>
          <cell r="D219" t="str">
            <v xml:space="preserve">SAME AS STRETCH COTTON </v>
          </cell>
          <cell r="E219"/>
          <cell r="F219" t="str">
            <v>R/N/S 75/22/3</v>
          </cell>
          <cell r="G219" t="str">
            <v>75% RAYON 22% NYLON 3% SPANDEX</v>
          </cell>
          <cell r="H219" t="str">
            <v>48/50</v>
          </cell>
          <cell r="I219">
            <v>122</v>
          </cell>
          <cell r="J219">
            <v>2.0499999999999998</v>
          </cell>
          <cell r="K219"/>
          <cell r="L219">
            <v>2.09</v>
          </cell>
          <cell r="M219"/>
          <cell r="N219">
            <v>2.09</v>
          </cell>
          <cell r="O219"/>
          <cell r="P219"/>
          <cell r="Q219"/>
          <cell r="R219" t="str">
            <v>can not do</v>
          </cell>
          <cell r="S219"/>
          <cell r="T219"/>
          <cell r="U219"/>
          <cell r="V219"/>
          <cell r="W219"/>
          <cell r="X219" t="str">
            <v>OWEN</v>
          </cell>
          <cell r="Y219" t="str">
            <v>DMCARE-TRI-03</v>
          </cell>
          <cell r="Z219" t="str">
            <v>JOAN 28/9/18</v>
          </cell>
          <cell r="AA219"/>
          <cell r="AB219">
            <v>43371</v>
          </cell>
          <cell r="AC219">
            <v>4568</v>
          </cell>
        </row>
        <row r="220">
          <cell r="B220">
            <v>3720</v>
          </cell>
          <cell r="C220" t="str">
            <v>T172</v>
          </cell>
          <cell r="D220" t="str">
            <v>POLY CRINKLE</v>
          </cell>
          <cell r="E220" t="str">
            <v>100DX100D</v>
          </cell>
          <cell r="F220" t="str">
            <v>T100%</v>
          </cell>
          <cell r="G220" t="str">
            <v xml:space="preserve">100%POLYESTER </v>
          </cell>
          <cell r="H220" t="str">
            <v>57/58</v>
          </cell>
          <cell r="I220">
            <v>110</v>
          </cell>
          <cell r="J220">
            <v>1.36</v>
          </cell>
          <cell r="K220">
            <v>1.57</v>
          </cell>
          <cell r="L220">
            <v>1.38</v>
          </cell>
          <cell r="M220">
            <v>1.65</v>
          </cell>
          <cell r="N220">
            <v>1.42</v>
          </cell>
          <cell r="O220">
            <v>1.69</v>
          </cell>
          <cell r="P220"/>
          <cell r="Q220"/>
          <cell r="R220">
            <v>1.52</v>
          </cell>
          <cell r="S220">
            <v>2.1800000000000002</v>
          </cell>
          <cell r="T220"/>
          <cell r="U220"/>
          <cell r="V220"/>
          <cell r="W220"/>
          <cell r="X220" t="str">
            <v>TERESA</v>
          </cell>
          <cell r="Y220" t="str">
            <v>DMCARE-TRI-02</v>
          </cell>
          <cell r="Z220" t="str">
            <v>VIVIAN 28/9/18 VIA WECHAT</v>
          </cell>
          <cell r="AA220"/>
          <cell r="AB220">
            <v>43371</v>
          </cell>
          <cell r="AC220">
            <v>3720</v>
          </cell>
        </row>
        <row r="221">
          <cell r="B221">
            <v>314</v>
          </cell>
          <cell r="C221" t="str">
            <v>BG2684</v>
          </cell>
          <cell r="D221" t="str">
            <v>FAILE</v>
          </cell>
          <cell r="E221" t="str">
            <v>75D*75D</v>
          </cell>
          <cell r="F221" t="str">
            <v>T100%</v>
          </cell>
          <cell r="G221" t="str">
            <v>100%POLYESTER</v>
          </cell>
          <cell r="H221" t="str">
            <v>57/58</v>
          </cell>
          <cell r="I221">
            <v>72</v>
          </cell>
          <cell r="J221">
            <v>1.05</v>
          </cell>
          <cell r="K221">
            <v>1.4</v>
          </cell>
          <cell r="L221">
            <v>1.05</v>
          </cell>
          <cell r="M221">
            <v>1.45</v>
          </cell>
          <cell r="N221">
            <v>1.05</v>
          </cell>
          <cell r="O221">
            <v>1.5</v>
          </cell>
          <cell r="P221"/>
          <cell r="Q221"/>
          <cell r="R221">
            <v>1.25</v>
          </cell>
          <cell r="S221">
            <v>1.9</v>
          </cell>
          <cell r="T221"/>
          <cell r="U221"/>
          <cell r="V221"/>
          <cell r="W221"/>
          <cell r="X221" t="str">
            <v>EDWIN</v>
          </cell>
          <cell r="Y221"/>
          <cell r="Z221" t="str">
            <v>EDWIN 28/9/18</v>
          </cell>
          <cell r="AA221" t="str">
            <v>20 DAYS</v>
          </cell>
          <cell r="AB221">
            <v>43371</v>
          </cell>
          <cell r="AC221">
            <v>314</v>
          </cell>
        </row>
        <row r="222">
          <cell r="B222">
            <v>4574</v>
          </cell>
          <cell r="C222" t="str">
            <v xml:space="preserve">SJ14935B </v>
          </cell>
          <cell r="D222" t="str">
            <v>FAILLE - CDC ( same 1481 )</v>
          </cell>
          <cell r="E222"/>
          <cell r="F222" t="str">
            <v>T100%</v>
          </cell>
          <cell r="G222" t="str">
            <v>100% POLYESTER</v>
          </cell>
          <cell r="H222" t="str">
            <v>56</v>
          </cell>
          <cell r="I222">
            <v>170</v>
          </cell>
          <cell r="J222">
            <v>1.86</v>
          </cell>
          <cell r="K222">
            <v>2.16</v>
          </cell>
          <cell r="L222">
            <v>1.9</v>
          </cell>
          <cell r="M222">
            <v>2.2000000000000002</v>
          </cell>
          <cell r="N222">
            <v>1.9</v>
          </cell>
          <cell r="O222">
            <v>2.2000000000000002</v>
          </cell>
          <cell r="P222"/>
          <cell r="Q222"/>
          <cell r="R222">
            <v>2.2999999999999998</v>
          </cell>
          <cell r="S222">
            <v>2.8</v>
          </cell>
          <cell r="T222"/>
          <cell r="U222"/>
          <cell r="V222"/>
          <cell r="W222"/>
          <cell r="X222" t="str">
            <v>GLORIA (S)</v>
          </cell>
          <cell r="Y222"/>
          <cell r="Z222" t="str">
            <v>CANDY 27/9/18</v>
          </cell>
          <cell r="AA222" t="str">
            <v>35-40 DAYS</v>
          </cell>
          <cell r="AB222">
            <v>43370</v>
          </cell>
          <cell r="AC222">
            <v>4574</v>
          </cell>
        </row>
        <row r="223">
          <cell r="B223">
            <v>1517</v>
          </cell>
          <cell r="C223" t="str">
            <v>TOULOUSE</v>
          </cell>
          <cell r="D223" t="str">
            <v>LINING</v>
          </cell>
          <cell r="E223" t="str">
            <v>75D</v>
          </cell>
          <cell r="F223" t="str">
            <v>T100%</v>
          </cell>
          <cell r="G223" t="str">
            <v>100% POLYESTER</v>
          </cell>
          <cell r="H223" t="str">
            <v>58/60</v>
          </cell>
          <cell r="I223">
            <v>110</v>
          </cell>
          <cell r="J223"/>
          <cell r="K223"/>
          <cell r="L223"/>
          <cell r="M223"/>
          <cell r="N223"/>
          <cell r="O223"/>
          <cell r="P223"/>
          <cell r="Q223"/>
          <cell r="R223">
            <v>0.66</v>
          </cell>
          <cell r="S223"/>
          <cell r="T223"/>
          <cell r="U223"/>
          <cell r="V223">
            <v>15</v>
          </cell>
          <cell r="W223" t="str">
            <v>14000vnd / m ( màu đậm )</v>
          </cell>
          <cell r="X223" t="str">
            <v>VSANG</v>
          </cell>
          <cell r="Y223"/>
          <cell r="Z223">
            <v>43370</v>
          </cell>
          <cell r="AA223"/>
          <cell r="AB223">
            <v>43370</v>
          </cell>
          <cell r="AC223">
            <v>4921</v>
          </cell>
        </row>
        <row r="224">
          <cell r="B224">
            <v>714</v>
          </cell>
          <cell r="C224" t="str">
            <v>TOULOUSE</v>
          </cell>
          <cell r="D224" t="str">
            <v>TOULOUSE</v>
          </cell>
          <cell r="E224" t="str">
            <v>75D</v>
          </cell>
          <cell r="F224" t="str">
            <v>T100%</v>
          </cell>
          <cell r="G224" t="str">
            <v>100% POLYESTER</v>
          </cell>
          <cell r="H224" t="str">
            <v>58/60</v>
          </cell>
          <cell r="I224">
            <v>130</v>
          </cell>
          <cell r="J224"/>
          <cell r="K224"/>
          <cell r="L224"/>
          <cell r="M224"/>
          <cell r="N224"/>
          <cell r="O224"/>
          <cell r="P224"/>
          <cell r="Q224"/>
          <cell r="R224">
            <v>0.77</v>
          </cell>
          <cell r="S224"/>
          <cell r="T224"/>
          <cell r="U224"/>
          <cell r="V224"/>
          <cell r="W224"/>
          <cell r="X224" t="str">
            <v>VSANG</v>
          </cell>
          <cell r="Y224"/>
          <cell r="Z224">
            <v>43370</v>
          </cell>
          <cell r="AA224"/>
          <cell r="AB224">
            <v>43370</v>
          </cell>
          <cell r="AC224">
            <v>714</v>
          </cell>
        </row>
        <row r="225">
          <cell r="B225">
            <v>2597</v>
          </cell>
          <cell r="C225" t="str">
            <v>4417XS</v>
          </cell>
          <cell r="D225" t="str">
            <v>TAILORING</v>
          </cell>
          <cell r="E225"/>
          <cell r="F225" t="str">
            <v>T/R/S 63/33/4</v>
          </cell>
          <cell r="G225" t="str">
            <v>63% POLYESTER 33% RAYON 4% SPANDEX</v>
          </cell>
          <cell r="H225" t="str">
            <v>57/58</v>
          </cell>
          <cell r="I225">
            <v>300</v>
          </cell>
          <cell r="J225">
            <v>3.94</v>
          </cell>
          <cell r="K225"/>
          <cell r="L225">
            <v>3.96</v>
          </cell>
          <cell r="M225"/>
          <cell r="N225">
            <v>3.96</v>
          </cell>
          <cell r="O225"/>
          <cell r="P225"/>
          <cell r="Q225"/>
          <cell r="R225">
            <v>4.41</v>
          </cell>
          <cell r="S225"/>
          <cell r="T225"/>
          <cell r="U225"/>
          <cell r="V225"/>
          <cell r="W225"/>
          <cell r="X225" t="str">
            <v>OWEN</v>
          </cell>
          <cell r="Y225" t="str">
            <v>DMCARE-TRI-03</v>
          </cell>
          <cell r="Z225" t="str">
            <v>JOAN 22/9/18 BY WECHAT</v>
          </cell>
          <cell r="AA225" t="str">
            <v xml:space="preserve">55days </v>
          </cell>
          <cell r="AB225">
            <v>43365</v>
          </cell>
          <cell r="AC225">
            <v>2597</v>
          </cell>
        </row>
        <row r="226">
          <cell r="B226">
            <v>2596</v>
          </cell>
          <cell r="C226" t="str">
            <v>3848XS</v>
          </cell>
          <cell r="D226" t="str">
            <v>TAILORING</v>
          </cell>
          <cell r="E226"/>
          <cell r="F226" t="str">
            <v>T/R/S 65/33/2</v>
          </cell>
          <cell r="G226" t="str">
            <v>65% POLYESTER 33% RAYON 2% SPANDEX</v>
          </cell>
          <cell r="H226" t="str">
            <v>57/58</v>
          </cell>
          <cell r="I226">
            <v>260</v>
          </cell>
          <cell r="J226">
            <v>4.16</v>
          </cell>
          <cell r="K226"/>
          <cell r="L226">
            <v>4.18</v>
          </cell>
          <cell r="M226"/>
          <cell r="N226">
            <v>4.18</v>
          </cell>
          <cell r="O226"/>
          <cell r="P226"/>
          <cell r="Q226"/>
          <cell r="R226">
            <v>4.63</v>
          </cell>
          <cell r="S226"/>
          <cell r="T226"/>
          <cell r="U226"/>
          <cell r="V226"/>
          <cell r="W226"/>
          <cell r="X226" t="str">
            <v>OWEN</v>
          </cell>
          <cell r="Y226" t="str">
            <v>DMCARE-TRI-03</v>
          </cell>
          <cell r="Z226" t="str">
            <v>JOAN 22/9/18 BY WECHAT</v>
          </cell>
          <cell r="AA226" t="str">
            <v xml:space="preserve">55days </v>
          </cell>
          <cell r="AB226">
            <v>43365</v>
          </cell>
          <cell r="AC226">
            <v>2596</v>
          </cell>
        </row>
        <row r="227">
          <cell r="B227">
            <v>3621</v>
          </cell>
          <cell r="C227" t="str">
            <v>SYS-405A</v>
          </cell>
          <cell r="D227" t="str">
            <v>TWO DOUBLE LAYER</v>
          </cell>
          <cell r="E227"/>
          <cell r="F227" t="str">
            <v>T/R/S 65/32/3</v>
          </cell>
          <cell r="G227" t="str">
            <v>65% POLYESTER 32% RAYON 3% SPANDEX</v>
          </cell>
          <cell r="H227" t="str">
            <v>57/58</v>
          </cell>
          <cell r="I227">
            <v>395</v>
          </cell>
          <cell r="J227">
            <v>4.91</v>
          </cell>
          <cell r="K227"/>
          <cell r="L227">
            <v>4.96</v>
          </cell>
          <cell r="M227"/>
          <cell r="N227">
            <v>4.96</v>
          </cell>
          <cell r="O227"/>
          <cell r="P227"/>
          <cell r="Q227"/>
          <cell r="R227">
            <v>5.26</v>
          </cell>
          <cell r="S227"/>
          <cell r="T227"/>
          <cell r="U227"/>
          <cell r="V227"/>
          <cell r="W227"/>
          <cell r="X227" t="str">
            <v>LIVALTEX</v>
          </cell>
          <cell r="Y227"/>
          <cell r="Z227" t="str">
            <v>LINDA</v>
          </cell>
          <cell r="AA227" t="str">
            <v>45DAYS</v>
          </cell>
          <cell r="AB227">
            <v>43364</v>
          </cell>
          <cell r="AC227">
            <v>3621</v>
          </cell>
        </row>
        <row r="228">
          <cell r="B228">
            <v>3615</v>
          </cell>
          <cell r="C228" t="str">
            <v>NPSJ-030</v>
          </cell>
          <cell r="D228" t="str">
            <v>DOBBY</v>
          </cell>
          <cell r="E228"/>
          <cell r="F228" t="str">
            <v>R/N/T/S 64/20/12/4</v>
          </cell>
          <cell r="G228" t="str">
            <v>64% RAYON 20% NYLON 12% POLY 4% SPANDEX</v>
          </cell>
          <cell r="H228" t="str">
            <v>55/56</v>
          </cell>
          <cell r="I228">
            <v>240</v>
          </cell>
          <cell r="J228">
            <v>3.25</v>
          </cell>
          <cell r="K228"/>
          <cell r="L228">
            <v>3.3</v>
          </cell>
          <cell r="M228"/>
          <cell r="N228">
            <v>3.3</v>
          </cell>
          <cell r="O228"/>
          <cell r="P228"/>
          <cell r="Q228"/>
          <cell r="R228">
            <v>3.6</v>
          </cell>
          <cell r="S228"/>
          <cell r="T228"/>
          <cell r="U228"/>
          <cell r="V228"/>
          <cell r="W228"/>
          <cell r="X228" t="str">
            <v>LIVALTEX</v>
          </cell>
          <cell r="Y228"/>
          <cell r="Z228" t="str">
            <v>LINDA</v>
          </cell>
          <cell r="AA228" t="str">
            <v>45DAYS</v>
          </cell>
          <cell r="AB228">
            <v>43364</v>
          </cell>
          <cell r="AC228">
            <v>3615</v>
          </cell>
        </row>
        <row r="229">
          <cell r="B229">
            <v>4570</v>
          </cell>
          <cell r="C229" t="str">
            <v>OLP-SR00103</v>
          </cell>
          <cell r="D229" t="str">
            <v>SLUB POLY</v>
          </cell>
          <cell r="E229"/>
          <cell r="F229" t="str">
            <v>R/T 75/25</v>
          </cell>
          <cell r="G229" t="str">
            <v>75% RAYON 25% POLYESTER</v>
          </cell>
          <cell r="H229" t="str">
            <v>57/58</v>
          </cell>
          <cell r="I229">
            <v>118</v>
          </cell>
          <cell r="J229">
            <v>2.0299999999999998</v>
          </cell>
          <cell r="K229"/>
          <cell r="L229">
            <v>2.06</v>
          </cell>
          <cell r="M229"/>
          <cell r="N229">
            <v>2.12</v>
          </cell>
          <cell r="O229"/>
          <cell r="P229"/>
          <cell r="Q229"/>
          <cell r="R229" t="str">
            <v>can not do</v>
          </cell>
          <cell r="S229"/>
          <cell r="T229"/>
          <cell r="U229"/>
          <cell r="V229"/>
          <cell r="W229"/>
          <cell r="X229" t="str">
            <v>OWEN</v>
          </cell>
          <cell r="Y229" t="str">
            <v>DMCARE-TRI-02</v>
          </cell>
          <cell r="Z229" t="str">
            <v>JOAN 20/9/18 BY WECHAT</v>
          </cell>
          <cell r="AA229"/>
          <cell r="AB229">
            <v>43363</v>
          </cell>
          <cell r="AC229">
            <v>4570</v>
          </cell>
        </row>
        <row r="230">
          <cell r="B230">
            <v>4569</v>
          </cell>
          <cell r="C230" t="str">
            <v>OLP-1733001YD</v>
          </cell>
          <cell r="D230" t="str">
            <v>MODAL POLY</v>
          </cell>
          <cell r="E230"/>
          <cell r="F230" t="str">
            <v>M/T 66/34</v>
          </cell>
          <cell r="G230" t="str">
            <v>66% MODAL 34% POLYESTER</v>
          </cell>
          <cell r="H230" t="str">
            <v>57/58</v>
          </cell>
          <cell r="I230">
            <v>110</v>
          </cell>
          <cell r="J230">
            <v>2.7</v>
          </cell>
          <cell r="K230"/>
          <cell r="L230">
            <v>2.73</v>
          </cell>
          <cell r="M230"/>
          <cell r="N230">
            <v>2.8</v>
          </cell>
          <cell r="O230"/>
          <cell r="P230"/>
          <cell r="Q230"/>
          <cell r="R230" t="str">
            <v>can not do</v>
          </cell>
          <cell r="S230"/>
          <cell r="T230"/>
          <cell r="U230"/>
          <cell r="V230"/>
          <cell r="W230"/>
          <cell r="X230" t="str">
            <v>OWEN</v>
          </cell>
          <cell r="Y230" t="str">
            <v>DMCARE-TRI-02</v>
          </cell>
          <cell r="Z230" t="str">
            <v>JOAN 20/9/18 BY WECHAT</v>
          </cell>
          <cell r="AA230"/>
          <cell r="AB230">
            <v>43363</v>
          </cell>
          <cell r="AC230">
            <v>4569</v>
          </cell>
        </row>
        <row r="231">
          <cell r="B231">
            <v>4568</v>
          </cell>
          <cell r="C231" t="str">
            <v>OLP-SR00543</v>
          </cell>
          <cell r="D231" t="str">
            <v>STRETCH</v>
          </cell>
          <cell r="E231"/>
          <cell r="F231" t="str">
            <v>R/N/S 75/22/3</v>
          </cell>
          <cell r="G231" t="str">
            <v>75% RAYON 22% NYLON 3% SPANDEX</v>
          </cell>
          <cell r="H231" t="str">
            <v>48/50</v>
          </cell>
          <cell r="I231">
            <v>122</v>
          </cell>
          <cell r="J231">
            <v>2.08</v>
          </cell>
          <cell r="K231"/>
          <cell r="L231">
            <v>2.1</v>
          </cell>
          <cell r="M231"/>
          <cell r="N231">
            <v>2.15</v>
          </cell>
          <cell r="O231"/>
          <cell r="P231"/>
          <cell r="Q231"/>
          <cell r="R231" t="str">
            <v>can not do</v>
          </cell>
          <cell r="S231"/>
          <cell r="T231"/>
          <cell r="U231"/>
          <cell r="V231"/>
          <cell r="W231"/>
          <cell r="X231" t="str">
            <v>OWEN</v>
          </cell>
          <cell r="Y231"/>
          <cell r="Z231" t="str">
            <v>JOAN 19/9/18 BY WECHAT</v>
          </cell>
          <cell r="AA231"/>
          <cell r="AB231">
            <v>43362</v>
          </cell>
          <cell r="AC231">
            <v>4568</v>
          </cell>
        </row>
        <row r="232">
          <cell r="B232">
            <v>4567</v>
          </cell>
          <cell r="C232" t="str">
            <v>CT1302658</v>
          </cell>
          <cell r="D232" t="str">
            <v>POLY TWILL</v>
          </cell>
          <cell r="E232" t="str">
            <v>50DFDY + 50DPOY</v>
          </cell>
          <cell r="F232" t="str">
            <v>T100%</v>
          </cell>
          <cell r="G232" t="str">
            <v>100% POLYESTER</v>
          </cell>
          <cell r="H232">
            <v>146</v>
          </cell>
          <cell r="I232">
            <v>182</v>
          </cell>
          <cell r="J232">
            <v>1.98</v>
          </cell>
          <cell r="K232">
            <v>2.2799999999999998</v>
          </cell>
          <cell r="L232">
            <v>1.98</v>
          </cell>
          <cell r="M232">
            <v>2.2799999999999998</v>
          </cell>
          <cell r="N232">
            <v>1.98</v>
          </cell>
          <cell r="O232">
            <v>2.2799999999999998</v>
          </cell>
          <cell r="P232"/>
          <cell r="Q232"/>
          <cell r="R232">
            <v>2.13</v>
          </cell>
          <cell r="S232">
            <v>2.63</v>
          </cell>
          <cell r="T232"/>
          <cell r="U232"/>
          <cell r="V232">
            <v>15</v>
          </cell>
          <cell r="W232"/>
          <cell r="X232" t="str">
            <v>BONNIE</v>
          </cell>
          <cell r="Y232"/>
          <cell r="Z232" t="str">
            <v>BONNIE 19/9/18 BY WECHAT</v>
          </cell>
          <cell r="AA232"/>
          <cell r="AB232">
            <v>43362</v>
          </cell>
          <cell r="AC232">
            <v>4567</v>
          </cell>
        </row>
        <row r="233">
          <cell r="B233">
            <v>4566</v>
          </cell>
          <cell r="C233" t="str">
            <v>ST-W7313</v>
          </cell>
          <cell r="D233" t="str">
            <v>HEAVY CREPE</v>
          </cell>
          <cell r="E233" t="str">
            <v>50+60*50+68 1400T</v>
          </cell>
          <cell r="F233" t="str">
            <v>T100%</v>
          </cell>
          <cell r="G233" t="str">
            <v>100%POLYESTER</v>
          </cell>
          <cell r="H233" t="str">
            <v>57/58</v>
          </cell>
          <cell r="I233">
            <v>180</v>
          </cell>
          <cell r="J233">
            <v>1.45</v>
          </cell>
          <cell r="K233">
            <v>1.71</v>
          </cell>
          <cell r="L233">
            <v>1.43</v>
          </cell>
          <cell r="M233">
            <v>1.69</v>
          </cell>
          <cell r="N233">
            <v>1.44</v>
          </cell>
          <cell r="O233">
            <v>1.7</v>
          </cell>
          <cell r="P233">
            <v>1.58</v>
          </cell>
          <cell r="Q233">
            <v>1.87</v>
          </cell>
          <cell r="R233">
            <v>1.58</v>
          </cell>
          <cell r="S233">
            <v>1.87</v>
          </cell>
          <cell r="T233"/>
          <cell r="U233"/>
          <cell r="V233">
            <v>15</v>
          </cell>
          <cell r="W233"/>
          <cell r="X233" t="str">
            <v>SIGER</v>
          </cell>
          <cell r="Y233" t="str">
            <v>DMCARE-TRI-03</v>
          </cell>
          <cell r="Z233" t="str">
            <v>CARA 19/9 BY WECHAT</v>
          </cell>
          <cell r="AA233"/>
          <cell r="AB233">
            <v>43362</v>
          </cell>
          <cell r="AC233">
            <v>4566</v>
          </cell>
        </row>
        <row r="234">
          <cell r="B234">
            <v>4565</v>
          </cell>
          <cell r="C234" t="str">
            <v>ST-84259</v>
          </cell>
          <cell r="D234" t="str">
            <v>TWILL STRETCH POLY</v>
          </cell>
          <cell r="E234" t="str">
            <v>（75D+40D)*(75D+40D)</v>
          </cell>
          <cell r="F234" t="str">
            <v>T/S 97/3</v>
          </cell>
          <cell r="G234" t="str">
            <v>97% POLYESTER 3% SPANDEX</v>
          </cell>
          <cell r="H234" t="str">
            <v>57/58</v>
          </cell>
          <cell r="I234">
            <v>110</v>
          </cell>
          <cell r="J234">
            <v>1.18</v>
          </cell>
          <cell r="K234">
            <v>1.44</v>
          </cell>
          <cell r="L234">
            <v>1.2</v>
          </cell>
          <cell r="M234">
            <v>1.46</v>
          </cell>
          <cell r="N234">
            <v>1.21</v>
          </cell>
          <cell r="O234">
            <v>1.47</v>
          </cell>
          <cell r="P234">
            <v>1.33</v>
          </cell>
          <cell r="Q234">
            <v>1.65</v>
          </cell>
          <cell r="R234">
            <v>1.31</v>
          </cell>
          <cell r="S234">
            <v>1.6</v>
          </cell>
          <cell r="T234"/>
          <cell r="U234"/>
          <cell r="V234"/>
          <cell r="W234"/>
          <cell r="X234" t="str">
            <v>SIGER</v>
          </cell>
          <cell r="Y234" t="str">
            <v>DMCARE-TRI-03</v>
          </cell>
          <cell r="Z234" t="str">
            <v>CARA 19/9 BY WECHAT</v>
          </cell>
          <cell r="AA234"/>
          <cell r="AB234">
            <v>43362</v>
          </cell>
          <cell r="AC234">
            <v>4565</v>
          </cell>
        </row>
        <row r="235">
          <cell r="B235">
            <v>4552</v>
          </cell>
          <cell r="C235" t="str">
            <v>ST-W8006</v>
          </cell>
          <cell r="D235"/>
          <cell r="E235" t="str">
            <v>180D*180D</v>
          </cell>
          <cell r="F235" t="str">
            <v>T100%</v>
          </cell>
          <cell r="G235" t="str">
            <v>100% POLYESTER</v>
          </cell>
          <cell r="H235" t="str">
            <v>57/58</v>
          </cell>
          <cell r="I235">
            <v>175</v>
          </cell>
          <cell r="J235">
            <v>1.66</v>
          </cell>
          <cell r="K235">
            <v>1.92</v>
          </cell>
          <cell r="L235">
            <v>1.68</v>
          </cell>
          <cell r="M235">
            <v>1.94</v>
          </cell>
          <cell r="N235">
            <v>1.69</v>
          </cell>
          <cell r="O235">
            <v>1.95</v>
          </cell>
          <cell r="P235"/>
          <cell r="Q235"/>
          <cell r="R235">
            <v>1.79</v>
          </cell>
          <cell r="S235">
            <v>2.08</v>
          </cell>
          <cell r="T235"/>
          <cell r="U235"/>
          <cell r="V235"/>
          <cell r="W235"/>
          <cell r="X235" t="str">
            <v>SIGER</v>
          </cell>
          <cell r="Y235" t="str">
            <v>DMCARE-TRI-03</v>
          </cell>
          <cell r="Z235" t="str">
            <v>CARA 19/9 BY WECHAT</v>
          </cell>
          <cell r="AA235"/>
          <cell r="AB235">
            <v>43362</v>
          </cell>
          <cell r="AC235">
            <v>4552</v>
          </cell>
        </row>
        <row r="236">
          <cell r="B236">
            <v>4485</v>
          </cell>
          <cell r="C236" t="str">
            <v>OLP-SP00156</v>
          </cell>
          <cell r="D236"/>
          <cell r="E236"/>
          <cell r="F236" t="str">
            <v>T/R 97/3</v>
          </cell>
          <cell r="G236" t="str">
            <v>97%POLYESTER 3%RAYON</v>
          </cell>
          <cell r="H236" t="str">
            <v>57/58</v>
          </cell>
          <cell r="I236">
            <v>112</v>
          </cell>
          <cell r="J236">
            <v>2.13</v>
          </cell>
          <cell r="K236"/>
          <cell r="L236">
            <v>2.16</v>
          </cell>
          <cell r="M236"/>
          <cell r="N236">
            <v>2.2200000000000002</v>
          </cell>
          <cell r="O236"/>
          <cell r="P236"/>
          <cell r="Q236"/>
          <cell r="R236" t="str">
            <v>can not do</v>
          </cell>
          <cell r="S236"/>
          <cell r="T236"/>
          <cell r="U236"/>
          <cell r="V236"/>
          <cell r="W236"/>
          <cell r="X236" t="str">
            <v>OWEN</v>
          </cell>
          <cell r="Y236"/>
          <cell r="Z236" t="str">
            <v>JOAN 19/9/18 BY WECHAT</v>
          </cell>
          <cell r="AA236"/>
          <cell r="AB236">
            <v>43362</v>
          </cell>
          <cell r="AC236">
            <v>4485</v>
          </cell>
        </row>
        <row r="237">
          <cell r="B237">
            <v>2030</v>
          </cell>
          <cell r="C237" t="str">
            <v>ST-W5363</v>
          </cell>
          <cell r="D237"/>
          <cell r="E237"/>
          <cell r="F237" t="str">
            <v xml:space="preserve">70/30 M/T </v>
          </cell>
          <cell r="G237" t="str">
            <v xml:space="preserve">70% MODAL  30% POLYESTER </v>
          </cell>
          <cell r="H237" t="str">
            <v>57/58</v>
          </cell>
          <cell r="I237">
            <v>115</v>
          </cell>
          <cell r="J237">
            <v>2.88</v>
          </cell>
          <cell r="K237">
            <v>3.13</v>
          </cell>
          <cell r="L237">
            <v>2.89</v>
          </cell>
          <cell r="M237">
            <v>3.14</v>
          </cell>
          <cell r="N237">
            <v>2.9</v>
          </cell>
          <cell r="O237">
            <v>3.15</v>
          </cell>
          <cell r="P237"/>
          <cell r="Q237"/>
          <cell r="R237">
            <v>3</v>
          </cell>
          <cell r="S237">
            <v>3.25</v>
          </cell>
          <cell r="T237"/>
          <cell r="U237"/>
          <cell r="V237"/>
          <cell r="W237"/>
          <cell r="X237" t="str">
            <v>SIGER</v>
          </cell>
          <cell r="Y237" t="str">
            <v>DMCARE-TRI-01</v>
          </cell>
          <cell r="Z237" t="str">
            <v>CARA 19/9 BY WECHAT</v>
          </cell>
          <cell r="AA237" t="str">
            <v>30 days</v>
          </cell>
          <cell r="AB237">
            <v>43362</v>
          </cell>
          <cell r="AC237">
            <v>2030</v>
          </cell>
        </row>
        <row r="238">
          <cell r="B238">
            <v>842</v>
          </cell>
          <cell r="C238" t="str">
            <v>BG2176</v>
          </cell>
          <cell r="D238" t="str">
            <v>LIGHT SATEEN</v>
          </cell>
          <cell r="E238"/>
          <cell r="F238" t="str">
            <v>T100%</v>
          </cell>
          <cell r="G238" t="str">
            <v>100% POLYESTER</v>
          </cell>
          <cell r="H238" t="str">
            <v>57/58</v>
          </cell>
          <cell r="I238">
            <v>95</v>
          </cell>
          <cell r="J238">
            <v>1.63</v>
          </cell>
          <cell r="K238">
            <v>2</v>
          </cell>
          <cell r="L238">
            <v>1.66</v>
          </cell>
          <cell r="M238">
            <v>2.0499999999999998</v>
          </cell>
          <cell r="N238">
            <v>1.68</v>
          </cell>
          <cell r="O238">
            <v>2.1</v>
          </cell>
          <cell r="P238"/>
          <cell r="Q238"/>
          <cell r="R238">
            <v>1.9</v>
          </cell>
          <cell r="S238">
            <v>2.4</v>
          </cell>
          <cell r="T238"/>
          <cell r="U238"/>
          <cell r="V238"/>
          <cell r="W238"/>
          <cell r="X238" t="str">
            <v>EDWIN</v>
          </cell>
          <cell r="Y238"/>
          <cell r="Z238" t="str">
            <v>EDWIN 19/9 BY WECHAT</v>
          </cell>
          <cell r="AA238"/>
          <cell r="AB238">
            <v>43362</v>
          </cell>
          <cell r="AC238">
            <v>842</v>
          </cell>
        </row>
        <row r="239">
          <cell r="B239">
            <v>4563</v>
          </cell>
          <cell r="C239" t="str">
            <v>JL-152457</v>
          </cell>
          <cell r="D239" t="str">
            <v>RAYON TWILL</v>
          </cell>
          <cell r="E239" t="str">
            <v xml:space="preserve">40X40 130X86 </v>
          </cell>
          <cell r="F239" t="str">
            <v>R100%</v>
          </cell>
          <cell r="G239" t="str">
            <v xml:space="preserve">100%RAYON </v>
          </cell>
          <cell r="H239" t="str">
            <v>54/55</v>
          </cell>
          <cell r="I239">
            <v>140</v>
          </cell>
          <cell r="J239">
            <v>1.92</v>
          </cell>
          <cell r="K239">
            <v>2.04</v>
          </cell>
          <cell r="L239">
            <v>1.92</v>
          </cell>
          <cell r="M239">
            <v>2.0699999999999998</v>
          </cell>
          <cell r="N239">
            <v>1.92</v>
          </cell>
          <cell r="O239">
            <v>2.14</v>
          </cell>
          <cell r="P239"/>
          <cell r="Q239"/>
          <cell r="R239">
            <v>2.02</v>
          </cell>
          <cell r="S239">
            <v>2.79</v>
          </cell>
          <cell r="T239"/>
          <cell r="U239"/>
          <cell r="V239"/>
          <cell r="W239" t="str">
            <v>print price is based on 08 color ways.  , $75 / colorwway</v>
          </cell>
          <cell r="X239" t="str">
            <v>JIANGLONG (S)</v>
          </cell>
          <cell r="Y239"/>
          <cell r="Z239" t="str">
            <v>SUSAN 7/9/18</v>
          </cell>
          <cell r="AA239" t="str">
            <v xml:space="preserve">38-40DAYS </v>
          </cell>
          <cell r="AB239">
            <v>43350</v>
          </cell>
          <cell r="AC239">
            <v>4563</v>
          </cell>
        </row>
        <row r="240">
          <cell r="B240">
            <v>4562</v>
          </cell>
          <cell r="C240" t="str">
            <v>JL-156792</v>
          </cell>
          <cell r="D240"/>
          <cell r="E240" t="str">
            <v>(20D+26D)X75D 190X100</v>
          </cell>
          <cell r="F240" t="str">
            <v>T100%</v>
          </cell>
          <cell r="G240" t="str">
            <v xml:space="preserve">100%POLYESTER </v>
          </cell>
          <cell r="H240" t="str">
            <v>56/57</v>
          </cell>
          <cell r="I240">
            <v>80</v>
          </cell>
          <cell r="J240">
            <v>1.43</v>
          </cell>
          <cell r="K240">
            <v>1.83</v>
          </cell>
          <cell r="L240">
            <v>1.43</v>
          </cell>
          <cell r="M240">
            <v>1.83</v>
          </cell>
          <cell r="N240">
            <v>1.43</v>
          </cell>
          <cell r="O240">
            <v>2.0299999999999998</v>
          </cell>
          <cell r="P240"/>
          <cell r="Q240"/>
          <cell r="R240">
            <v>1.51</v>
          </cell>
          <cell r="S240">
            <v>2.85</v>
          </cell>
          <cell r="T240"/>
          <cell r="U240"/>
          <cell r="V240"/>
          <cell r="W240" t="str">
            <v>print price is based on 08 color ways.  , $75 / colorwway</v>
          </cell>
          <cell r="X240" t="str">
            <v>JIANGLONG (S)</v>
          </cell>
          <cell r="Y240"/>
          <cell r="Z240" t="str">
            <v>SUSAN 7/9/18</v>
          </cell>
          <cell r="AA240" t="str">
            <v xml:space="preserve">38-40DAYS </v>
          </cell>
          <cell r="AB240">
            <v>43350</v>
          </cell>
          <cell r="AC240">
            <v>4562</v>
          </cell>
        </row>
        <row r="241">
          <cell r="B241">
            <v>4561</v>
          </cell>
          <cell r="C241" t="str">
            <v>JL-190004</v>
          </cell>
          <cell r="D241"/>
          <cell r="E241" t="str">
            <v>20DX21 158X79</v>
          </cell>
          <cell r="F241" t="str">
            <v>R/T 87/13</v>
          </cell>
          <cell r="G241" t="str">
            <v xml:space="preserve">87%RAYON 13%POLY DTED </v>
          </cell>
          <cell r="H241" t="str">
            <v>54/55</v>
          </cell>
          <cell r="I241">
            <v>121</v>
          </cell>
          <cell r="J241">
            <v>2.11</v>
          </cell>
          <cell r="K241"/>
          <cell r="L241">
            <v>2.11</v>
          </cell>
          <cell r="M241"/>
          <cell r="N241">
            <v>2.11</v>
          </cell>
          <cell r="O241"/>
          <cell r="P241"/>
          <cell r="Q241"/>
          <cell r="R241">
            <v>2.27</v>
          </cell>
          <cell r="S241"/>
          <cell r="T241"/>
          <cell r="U241"/>
          <cell r="V241"/>
          <cell r="W241"/>
          <cell r="X241" t="str">
            <v>JIANGLONG (S)</v>
          </cell>
          <cell r="Y241"/>
          <cell r="Z241" t="str">
            <v>SUSAN 7/9/18</v>
          </cell>
          <cell r="AA241" t="str">
            <v>38-40days</v>
          </cell>
          <cell r="AB241">
            <v>43350</v>
          </cell>
          <cell r="AC241">
            <v>4561</v>
          </cell>
        </row>
        <row r="242">
          <cell r="B242">
            <v>4601</v>
          </cell>
          <cell r="C242" t="str">
            <v>CT1302317</v>
          </cell>
          <cell r="D242" t="str">
            <v>TAILORING</v>
          </cell>
          <cell r="E242" t="str">
            <v>180D * 180D</v>
          </cell>
          <cell r="F242" t="str">
            <v>T100%</v>
          </cell>
          <cell r="G242" t="str">
            <v>100% POLYESTER</v>
          </cell>
          <cell r="H242" t="str">
            <v>57/58</v>
          </cell>
          <cell r="I242">
            <v>160</v>
          </cell>
          <cell r="J242">
            <v>1.62</v>
          </cell>
          <cell r="K242">
            <v>1.92</v>
          </cell>
          <cell r="L242">
            <v>1.62</v>
          </cell>
          <cell r="M242">
            <v>1.92</v>
          </cell>
          <cell r="N242">
            <v>1.62</v>
          </cell>
          <cell r="O242">
            <v>1.92</v>
          </cell>
          <cell r="P242"/>
          <cell r="Q242"/>
          <cell r="R242">
            <v>1.77</v>
          </cell>
          <cell r="S242">
            <v>2.27</v>
          </cell>
          <cell r="T242"/>
          <cell r="U242"/>
          <cell r="V242"/>
          <cell r="W242"/>
          <cell r="X242" t="str">
            <v>BONNIE</v>
          </cell>
          <cell r="Y242"/>
          <cell r="Z242" t="str">
            <v>BONNIE 31/8/18</v>
          </cell>
          <cell r="AA242"/>
          <cell r="AB242">
            <v>43343</v>
          </cell>
          <cell r="AC242">
            <v>4601</v>
          </cell>
        </row>
        <row r="243">
          <cell r="B243">
            <v>4597</v>
          </cell>
          <cell r="C243" t="str">
            <v>CT1209008-4ZPFD</v>
          </cell>
          <cell r="D243" t="str">
            <v>CREPE CHIFFON</v>
          </cell>
          <cell r="E243"/>
          <cell r="F243" t="str">
            <v>T100%</v>
          </cell>
          <cell r="G243" t="str">
            <v>100% POLYESTER</v>
          </cell>
          <cell r="H243" t="str">
            <v>57/58''</v>
          </cell>
          <cell r="I243">
            <v>95</v>
          </cell>
          <cell r="J243">
            <v>1.1499999999999999</v>
          </cell>
          <cell r="K243">
            <v>1.45</v>
          </cell>
          <cell r="L243">
            <v>1.1499999999999999</v>
          </cell>
          <cell r="M243">
            <v>1.45</v>
          </cell>
          <cell r="N243">
            <v>1.1499999999999999</v>
          </cell>
          <cell r="O243">
            <v>1.45</v>
          </cell>
          <cell r="P243"/>
          <cell r="Q243"/>
          <cell r="R243">
            <v>1.3</v>
          </cell>
          <cell r="S243">
            <v>1.8</v>
          </cell>
          <cell r="T243"/>
          <cell r="U243"/>
          <cell r="V243"/>
          <cell r="W243"/>
          <cell r="X243" t="str">
            <v>BONNIE</v>
          </cell>
          <cell r="Y243"/>
          <cell r="Z243" t="str">
            <v>BONNIE 31/8/18</v>
          </cell>
          <cell r="AA243"/>
          <cell r="AB243">
            <v>43343</v>
          </cell>
          <cell r="AC243">
            <v>4597</v>
          </cell>
        </row>
        <row r="244">
          <cell r="B244">
            <v>4586</v>
          </cell>
          <cell r="C244" t="str">
            <v>CT1302432</v>
          </cell>
          <cell r="D244" t="str">
            <v>JAC CDC</v>
          </cell>
          <cell r="E244"/>
          <cell r="F244" t="str">
            <v>T100%</v>
          </cell>
          <cell r="G244" t="str">
            <v>100% POLYESTER</v>
          </cell>
          <cell r="H244" t="str">
            <v>57/58''</v>
          </cell>
          <cell r="I244">
            <v>92</v>
          </cell>
          <cell r="J244">
            <v>1.22</v>
          </cell>
          <cell r="K244">
            <v>1.52</v>
          </cell>
          <cell r="L244">
            <v>1.22</v>
          </cell>
          <cell r="M244">
            <v>1.52</v>
          </cell>
          <cell r="N244">
            <v>1.22</v>
          </cell>
          <cell r="O244">
            <v>1.52</v>
          </cell>
          <cell r="P244"/>
          <cell r="Q244"/>
          <cell r="R244">
            <v>1.37</v>
          </cell>
          <cell r="S244">
            <v>1.87</v>
          </cell>
          <cell r="T244"/>
          <cell r="U244"/>
          <cell r="V244"/>
          <cell r="W244"/>
          <cell r="X244" t="str">
            <v>BONNIE</v>
          </cell>
          <cell r="Y244"/>
          <cell r="Z244" t="str">
            <v>BONNIE 31/8/18</v>
          </cell>
          <cell r="AA244"/>
          <cell r="AB244">
            <v>43343</v>
          </cell>
          <cell r="AC244">
            <v>4586</v>
          </cell>
        </row>
        <row r="245">
          <cell r="B245">
            <v>4585</v>
          </cell>
          <cell r="C245" t="str">
            <v>CT1302132</v>
          </cell>
          <cell r="D245" t="str">
            <v>SATEEN</v>
          </cell>
          <cell r="E245"/>
          <cell r="F245" t="str">
            <v>T100%</v>
          </cell>
          <cell r="G245" t="str">
            <v>100% POLYESTER</v>
          </cell>
          <cell r="H245" t="str">
            <v>57/58''</v>
          </cell>
          <cell r="I245">
            <v>144</v>
          </cell>
          <cell r="J245">
            <v>1.65</v>
          </cell>
          <cell r="K245">
            <v>1.95</v>
          </cell>
          <cell r="L245">
            <v>1.65</v>
          </cell>
          <cell r="M245">
            <v>1.95</v>
          </cell>
          <cell r="N245">
            <v>1.65</v>
          </cell>
          <cell r="O245">
            <v>1.95</v>
          </cell>
          <cell r="P245"/>
          <cell r="Q245"/>
          <cell r="R245">
            <v>1.8</v>
          </cell>
          <cell r="S245">
            <v>2.2999999999999998</v>
          </cell>
          <cell r="T245"/>
          <cell r="U245"/>
          <cell r="V245"/>
          <cell r="W245"/>
          <cell r="X245" t="str">
            <v>BONNIE</v>
          </cell>
          <cell r="Y245"/>
          <cell r="Z245" t="str">
            <v>BONNIE 31/8/18</v>
          </cell>
          <cell r="AA245"/>
          <cell r="AB245">
            <v>43343</v>
          </cell>
          <cell r="AC245">
            <v>4585</v>
          </cell>
        </row>
        <row r="246">
          <cell r="B246">
            <v>4578</v>
          </cell>
          <cell r="C246" t="str">
            <v>CT1104173D-1</v>
          </cell>
          <cell r="D246" t="str">
            <v>SLIGHT CREPE</v>
          </cell>
          <cell r="E246"/>
          <cell r="F246" t="str">
            <v>T100%</v>
          </cell>
          <cell r="G246" t="str">
            <v>100% POLYESTER</v>
          </cell>
          <cell r="H246" t="str">
            <v>57/58''</v>
          </cell>
          <cell r="I246">
            <v>90</v>
          </cell>
          <cell r="J246">
            <v>1.02</v>
          </cell>
          <cell r="K246">
            <v>1.32</v>
          </cell>
          <cell r="L246">
            <v>1.02</v>
          </cell>
          <cell r="M246">
            <v>1.32</v>
          </cell>
          <cell r="N246">
            <v>1.02</v>
          </cell>
          <cell r="O246">
            <v>1.32</v>
          </cell>
          <cell r="P246"/>
          <cell r="Q246"/>
          <cell r="R246">
            <v>1.17</v>
          </cell>
          <cell r="S246">
            <v>1.67</v>
          </cell>
          <cell r="T246"/>
          <cell r="U246"/>
          <cell r="V246"/>
          <cell r="W246"/>
          <cell r="X246" t="str">
            <v>BONNIE</v>
          </cell>
          <cell r="Y246"/>
          <cell r="Z246" t="str">
            <v>BONNIE 31/8/18</v>
          </cell>
          <cell r="AA246"/>
          <cell r="AB246">
            <v>43343</v>
          </cell>
          <cell r="AC246">
            <v>4578</v>
          </cell>
        </row>
        <row r="247">
          <cell r="B247">
            <v>4575</v>
          </cell>
          <cell r="C247" t="str">
            <v>ST-W7158</v>
          </cell>
          <cell r="D247" t="str">
            <v>TAILORING - TWILL</v>
          </cell>
          <cell r="E247" t="str">
            <v>(32S/TR+40DSP)*(150D+40DSP)</v>
          </cell>
          <cell r="F247" t="str">
            <v>T/R/S 81/15/4</v>
          </cell>
          <cell r="G247" t="str">
            <v>81% POLYESTER 15% RAYON 4% SPANDEX</v>
          </cell>
          <cell r="H247" t="str">
            <v>57/58</v>
          </cell>
          <cell r="I247">
            <v>200</v>
          </cell>
          <cell r="J247">
            <v>1.98</v>
          </cell>
          <cell r="K247">
            <v>2.2799999999999998</v>
          </cell>
          <cell r="L247">
            <v>2</v>
          </cell>
          <cell r="M247">
            <v>2.2999999999999998</v>
          </cell>
          <cell r="N247">
            <v>2.0099999999999998</v>
          </cell>
          <cell r="O247">
            <v>2.3099999999999996</v>
          </cell>
          <cell r="P247">
            <v>2.11</v>
          </cell>
          <cell r="Q247">
            <v>2.4399999999999995</v>
          </cell>
          <cell r="R247">
            <v>2.11</v>
          </cell>
          <cell r="S247">
            <v>2.4399999999999995</v>
          </cell>
          <cell r="T247"/>
          <cell r="U247"/>
          <cell r="V247"/>
          <cell r="W247"/>
          <cell r="X247" t="str">
            <v>SIGER</v>
          </cell>
          <cell r="Y247" t="str">
            <v>DMCARE-TRI-03</v>
          </cell>
          <cell r="Z247" t="str">
            <v>CARA 31/8/18</v>
          </cell>
          <cell r="AA247"/>
          <cell r="AB247">
            <v>43343</v>
          </cell>
          <cell r="AC247">
            <v>4575</v>
          </cell>
        </row>
        <row r="248">
          <cell r="B248">
            <v>4573</v>
          </cell>
          <cell r="C248" t="str">
            <v>ST-85346</v>
          </cell>
          <cell r="D248" t="str">
            <v>SATEEN</v>
          </cell>
          <cell r="E248" t="str">
            <v>50*50</v>
          </cell>
          <cell r="F248" t="str">
            <v>T100%</v>
          </cell>
          <cell r="G248" t="str">
            <v>100% POLYESTER</v>
          </cell>
          <cell r="H248" t="str">
            <v>57/58</v>
          </cell>
          <cell r="I248">
            <v>80</v>
          </cell>
          <cell r="J248">
            <v>1.1599999999999999</v>
          </cell>
          <cell r="K248">
            <v>1.42</v>
          </cell>
          <cell r="L248">
            <v>1.18</v>
          </cell>
          <cell r="M248">
            <v>1.44</v>
          </cell>
          <cell r="N248">
            <v>1.19</v>
          </cell>
          <cell r="O248">
            <v>1.45</v>
          </cell>
          <cell r="P248"/>
          <cell r="Q248"/>
          <cell r="R248">
            <v>1.29</v>
          </cell>
          <cell r="S248">
            <v>1.58</v>
          </cell>
          <cell r="T248"/>
          <cell r="U248"/>
          <cell r="V248"/>
          <cell r="W248"/>
          <cell r="X248" t="str">
            <v>SIGER</v>
          </cell>
          <cell r="Y248" t="str">
            <v>DMCARE-TRI-03</v>
          </cell>
          <cell r="Z248" t="str">
            <v>CARA 31/8/19</v>
          </cell>
          <cell r="AA248"/>
          <cell r="AB248">
            <v>43343</v>
          </cell>
          <cell r="AC248">
            <v>4573</v>
          </cell>
        </row>
        <row r="249">
          <cell r="B249">
            <v>4572</v>
          </cell>
          <cell r="C249" t="str">
            <v>ST-W7338</v>
          </cell>
          <cell r="D249" t="str">
            <v>SATEEN</v>
          </cell>
          <cell r="E249" t="str">
            <v>（20+26）*75长丝</v>
          </cell>
          <cell r="F249" t="str">
            <v>T100%</v>
          </cell>
          <cell r="G249" t="str">
            <v>100% POLYETSER</v>
          </cell>
          <cell r="H249" t="str">
            <v>57/58</v>
          </cell>
          <cell r="I249">
            <v>95</v>
          </cell>
          <cell r="J249">
            <v>1.21</v>
          </cell>
          <cell r="K249">
            <v>1.47</v>
          </cell>
          <cell r="L249">
            <v>1.23</v>
          </cell>
          <cell r="M249">
            <v>1.49</v>
          </cell>
          <cell r="N249">
            <v>1.24</v>
          </cell>
          <cell r="O249">
            <v>1.5</v>
          </cell>
          <cell r="P249"/>
          <cell r="Q249"/>
          <cell r="R249">
            <v>1.34</v>
          </cell>
          <cell r="S249">
            <v>1.63</v>
          </cell>
          <cell r="T249">
            <v>1.63</v>
          </cell>
          <cell r="U249"/>
          <cell r="V249">
            <v>15</v>
          </cell>
          <cell r="W249"/>
          <cell r="X249" t="str">
            <v>SIGER</v>
          </cell>
          <cell r="Y249" t="str">
            <v>DMCARE-TRI-03</v>
          </cell>
          <cell r="Z249" t="str">
            <v>CARA 31/8/19</v>
          </cell>
          <cell r="AA249"/>
          <cell r="AB249">
            <v>43343</v>
          </cell>
          <cell r="AC249">
            <v>4572</v>
          </cell>
        </row>
        <row r="250">
          <cell r="B250">
            <v>4560</v>
          </cell>
          <cell r="C250" t="str">
            <v>R151</v>
          </cell>
          <cell r="D250" t="str">
            <v>VISCOSE CREPE</v>
          </cell>
          <cell r="E250" t="str">
            <v>30S*24S  , 66*44</v>
          </cell>
          <cell r="F250" t="str">
            <v>R100%</v>
          </cell>
          <cell r="G250" t="str">
            <v>100% RAYON</v>
          </cell>
          <cell r="H250" t="str">
            <v>53/54</v>
          </cell>
          <cell r="I250">
            <v>130</v>
          </cell>
          <cell r="J250">
            <v>13</v>
          </cell>
          <cell r="K250">
            <v>1.76</v>
          </cell>
          <cell r="L250">
            <v>2.0699999999999998</v>
          </cell>
          <cell r="M250">
            <v>1.78</v>
          </cell>
          <cell r="N250">
            <v>2.15</v>
          </cell>
          <cell r="O250">
            <v>1.83</v>
          </cell>
          <cell r="P250">
            <v>2.19</v>
          </cell>
          <cell r="Q250"/>
          <cell r="R250"/>
          <cell r="S250">
            <v>1.93</v>
          </cell>
          <cell r="T250">
            <v>2.78</v>
          </cell>
          <cell r="U250"/>
          <cell r="V250"/>
          <cell r="W250"/>
          <cell r="X250" t="str">
            <v>TERESA</v>
          </cell>
          <cell r="Y250" t="str">
            <v>DMCARE-TRI-02</v>
          </cell>
          <cell r="Z250" t="str">
            <v>TERESA 31/8/18</v>
          </cell>
          <cell r="AA250"/>
          <cell r="AB250">
            <v>43343</v>
          </cell>
          <cell r="AC250">
            <v>4560</v>
          </cell>
        </row>
        <row r="251">
          <cell r="B251">
            <v>4559</v>
          </cell>
          <cell r="C251" t="str">
            <v>OLP-SL00658</v>
          </cell>
          <cell r="D251" t="str">
            <v>LINEN</v>
          </cell>
          <cell r="E251"/>
          <cell r="F251" t="str">
            <v>L/V 55/45</v>
          </cell>
          <cell r="G251" t="str">
            <v>55% LINEN 45% VISCOSE</v>
          </cell>
          <cell r="H251" t="str">
            <v>53/54</v>
          </cell>
          <cell r="I251">
            <v>180</v>
          </cell>
          <cell r="J251">
            <v>1.95</v>
          </cell>
          <cell r="K251">
            <v>2.33</v>
          </cell>
          <cell r="L251">
            <v>1.96</v>
          </cell>
          <cell r="M251">
            <v>2.36</v>
          </cell>
          <cell r="N251">
            <v>2</v>
          </cell>
          <cell r="O251">
            <v>2.4</v>
          </cell>
          <cell r="P251"/>
          <cell r="Q251"/>
          <cell r="R251">
            <v>2.25</v>
          </cell>
          <cell r="S251">
            <v>2.7</v>
          </cell>
          <cell r="T251"/>
          <cell r="U251"/>
          <cell r="V251"/>
          <cell r="W251"/>
          <cell r="X251" t="str">
            <v>OWEN</v>
          </cell>
          <cell r="Y251" t="str">
            <v>DMCARE-TRI-02</v>
          </cell>
          <cell r="Z251" t="str">
            <v>JOAN 31/8/18</v>
          </cell>
          <cell r="AA251" t="str">
            <v>35days</v>
          </cell>
          <cell r="AB251">
            <v>43343</v>
          </cell>
          <cell r="AC251">
            <v>4559</v>
          </cell>
        </row>
        <row r="252">
          <cell r="B252">
            <v>4558</v>
          </cell>
          <cell r="C252" t="str">
            <v>OLP-SP00142</v>
          </cell>
          <cell r="D252"/>
          <cell r="E252"/>
          <cell r="F252" t="str">
            <v>T100%</v>
          </cell>
          <cell r="G252" t="str">
            <v>100% POLYESTER</v>
          </cell>
          <cell r="H252" t="str">
            <v>57/58</v>
          </cell>
          <cell r="I252">
            <v>180</v>
          </cell>
          <cell r="J252">
            <v>1.8</v>
          </cell>
          <cell r="K252">
            <v>2.2000000000000002</v>
          </cell>
          <cell r="L252">
            <v>1.82</v>
          </cell>
          <cell r="M252">
            <v>2.2200000000000002</v>
          </cell>
          <cell r="N252">
            <v>1.85</v>
          </cell>
          <cell r="O252">
            <v>2.2599999999999998</v>
          </cell>
          <cell r="P252"/>
          <cell r="Q252"/>
          <cell r="R252">
            <v>2.1</v>
          </cell>
          <cell r="S252">
            <v>2.56</v>
          </cell>
          <cell r="T252"/>
          <cell r="U252"/>
          <cell r="V252"/>
          <cell r="W252"/>
          <cell r="X252" t="str">
            <v>OWEN</v>
          </cell>
          <cell r="Y252" t="str">
            <v>DMCARE-TRI-02</v>
          </cell>
          <cell r="Z252" t="str">
            <v>JOAN 31/8/18</v>
          </cell>
          <cell r="AA252" t="str">
            <v>35days</v>
          </cell>
          <cell r="AB252">
            <v>43343</v>
          </cell>
          <cell r="AC252">
            <v>4558</v>
          </cell>
        </row>
        <row r="253">
          <cell r="B253">
            <v>4557</v>
          </cell>
          <cell r="C253" t="str">
            <v>OLP-YL00788</v>
          </cell>
          <cell r="D253" t="str">
            <v>LINEN</v>
          </cell>
          <cell r="E253"/>
          <cell r="F253" t="str">
            <v>L/C/S 53/44/3</v>
          </cell>
          <cell r="G253" t="str">
            <v>53% LINEN 44% COTTON 3% SPANDEX</v>
          </cell>
          <cell r="H253" t="str">
            <v>48/50</v>
          </cell>
          <cell r="I253">
            <v>207</v>
          </cell>
          <cell r="J253">
            <v>4.93</v>
          </cell>
          <cell r="K253"/>
          <cell r="L253">
            <v>4.97</v>
          </cell>
          <cell r="M253"/>
          <cell r="N253">
            <v>5.07</v>
          </cell>
          <cell r="O253"/>
          <cell r="P253"/>
          <cell r="Q253"/>
          <cell r="R253">
            <v>5.26</v>
          </cell>
          <cell r="S253"/>
          <cell r="T253"/>
          <cell r="U253"/>
          <cell r="V253"/>
          <cell r="W253"/>
          <cell r="X253" t="str">
            <v>OWEN</v>
          </cell>
          <cell r="Y253" t="str">
            <v>DMCARE-TRI-02</v>
          </cell>
          <cell r="Z253" t="str">
            <v>JOAN 31/8/18</v>
          </cell>
          <cell r="AA253" t="str">
            <v>55days</v>
          </cell>
          <cell r="AB253">
            <v>43343</v>
          </cell>
          <cell r="AC253">
            <v>4557</v>
          </cell>
        </row>
        <row r="254">
          <cell r="B254">
            <v>4556</v>
          </cell>
          <cell r="C254" t="str">
            <v>ST-85395</v>
          </cell>
          <cell r="D254"/>
          <cell r="E254" t="str">
            <v>75*(50+68+100+40)</v>
          </cell>
          <cell r="F254" t="str">
            <v>T/S 97/3</v>
          </cell>
          <cell r="G254" t="str">
            <v>97% POLYESTER 3%SPANDEX</v>
          </cell>
          <cell r="H254" t="str">
            <v>57/58</v>
          </cell>
          <cell r="I254">
            <v>120</v>
          </cell>
          <cell r="J254">
            <v>1.18</v>
          </cell>
          <cell r="K254">
            <v>1.44</v>
          </cell>
          <cell r="L254">
            <v>1.2</v>
          </cell>
          <cell r="M254">
            <v>1.46</v>
          </cell>
          <cell r="N254">
            <v>1.21</v>
          </cell>
          <cell r="O254">
            <v>1.47</v>
          </cell>
          <cell r="P254"/>
          <cell r="Q254"/>
          <cell r="R254">
            <v>1.31</v>
          </cell>
          <cell r="S254">
            <v>1.6</v>
          </cell>
          <cell r="T254"/>
          <cell r="U254"/>
          <cell r="V254"/>
          <cell r="W254"/>
          <cell r="X254" t="str">
            <v>SIGER</v>
          </cell>
          <cell r="Y254" t="str">
            <v>DMCARE-TRI-03</v>
          </cell>
          <cell r="Z254" t="str">
            <v>CARA 31/8/18</v>
          </cell>
          <cell r="AA254"/>
          <cell r="AB254">
            <v>43343</v>
          </cell>
          <cell r="AC254">
            <v>4556</v>
          </cell>
        </row>
        <row r="255">
          <cell r="B255">
            <v>4555</v>
          </cell>
          <cell r="C255" t="str">
            <v>ST-8149</v>
          </cell>
          <cell r="D255"/>
          <cell r="E255" t="str">
            <v>（50+68）*（50+68）</v>
          </cell>
          <cell r="F255" t="str">
            <v>T100%</v>
          </cell>
          <cell r="G255" t="str">
            <v>100% POLYESTER</v>
          </cell>
          <cell r="H255" t="str">
            <v>57/58</v>
          </cell>
          <cell r="I255">
            <v>170</v>
          </cell>
          <cell r="J255">
            <v>1.44</v>
          </cell>
          <cell r="K255">
            <v>1.7</v>
          </cell>
          <cell r="L255">
            <v>1.46</v>
          </cell>
          <cell r="M255">
            <v>1.72</v>
          </cell>
          <cell r="N255">
            <v>1.47</v>
          </cell>
          <cell r="O255">
            <v>1.73</v>
          </cell>
          <cell r="P255"/>
          <cell r="Q255"/>
          <cell r="R255">
            <v>1.57</v>
          </cell>
          <cell r="S255">
            <v>1.8599999999999999</v>
          </cell>
          <cell r="T255"/>
          <cell r="U255"/>
          <cell r="V255"/>
          <cell r="W255"/>
          <cell r="X255" t="str">
            <v>SIGER</v>
          </cell>
          <cell r="Y255" t="str">
            <v>DMCARE-TRI-03</v>
          </cell>
          <cell r="Z255" t="str">
            <v>CARA 31/8/18</v>
          </cell>
          <cell r="AA255"/>
          <cell r="AB255">
            <v>43343</v>
          </cell>
          <cell r="AC255">
            <v>4555</v>
          </cell>
        </row>
        <row r="256">
          <cell r="B256">
            <v>4554</v>
          </cell>
          <cell r="C256" t="str">
            <v>ST-712724-A</v>
          </cell>
          <cell r="D256"/>
          <cell r="E256" t="str">
            <v>50D*50D</v>
          </cell>
          <cell r="F256" t="str">
            <v>T100%</v>
          </cell>
          <cell r="G256" t="str">
            <v>100% POLYESTER</v>
          </cell>
          <cell r="H256" t="str">
            <v>57/58</v>
          </cell>
          <cell r="I256">
            <v>100</v>
          </cell>
          <cell r="J256">
            <v>1.35</v>
          </cell>
          <cell r="K256">
            <v>1.61</v>
          </cell>
          <cell r="L256">
            <v>1.37</v>
          </cell>
          <cell r="M256">
            <v>1.6300000000000001</v>
          </cell>
          <cell r="N256">
            <v>1.3800000000000001</v>
          </cell>
          <cell r="O256">
            <v>1.6400000000000001</v>
          </cell>
          <cell r="P256"/>
          <cell r="Q256"/>
          <cell r="R256">
            <v>1.4800000000000002</v>
          </cell>
          <cell r="S256">
            <v>1.77</v>
          </cell>
          <cell r="T256"/>
          <cell r="U256"/>
          <cell r="V256"/>
          <cell r="W256"/>
          <cell r="X256" t="str">
            <v>SIGER</v>
          </cell>
          <cell r="Y256" t="str">
            <v>DMCARE-TRI-03</v>
          </cell>
          <cell r="Z256" t="str">
            <v>CARA 31/8/18</v>
          </cell>
          <cell r="AA256"/>
          <cell r="AB256">
            <v>43343</v>
          </cell>
          <cell r="AC256">
            <v>4554</v>
          </cell>
        </row>
        <row r="257">
          <cell r="B257">
            <v>4553</v>
          </cell>
          <cell r="C257" t="str">
            <v>ST-W8077</v>
          </cell>
          <cell r="D257"/>
          <cell r="E257" t="str">
            <v>（50+50）*（50+50）</v>
          </cell>
          <cell r="F257" t="str">
            <v>T100%</v>
          </cell>
          <cell r="G257" t="str">
            <v>100% POLYESTER</v>
          </cell>
          <cell r="H257" t="str">
            <v>57/58</v>
          </cell>
          <cell r="I257">
            <v>145</v>
          </cell>
          <cell r="J257">
            <v>1.51</v>
          </cell>
          <cell r="K257">
            <v>1.77</v>
          </cell>
          <cell r="L257">
            <v>1.53</v>
          </cell>
          <cell r="M257">
            <v>1.79</v>
          </cell>
          <cell r="N257">
            <v>1.54</v>
          </cell>
          <cell r="O257">
            <v>1.8</v>
          </cell>
          <cell r="P257"/>
          <cell r="Q257"/>
          <cell r="R257">
            <v>1.6400000000000001</v>
          </cell>
          <cell r="S257">
            <v>1.9300000000000002</v>
          </cell>
          <cell r="T257"/>
          <cell r="U257"/>
          <cell r="V257"/>
          <cell r="W257"/>
          <cell r="X257" t="str">
            <v>SIGER</v>
          </cell>
          <cell r="Y257" t="str">
            <v>DMCARE-TRI-03</v>
          </cell>
          <cell r="Z257" t="str">
            <v>CARA 31/8/18</v>
          </cell>
          <cell r="AA257"/>
          <cell r="AB257">
            <v>43343</v>
          </cell>
          <cell r="AC257">
            <v>4553</v>
          </cell>
        </row>
        <row r="258">
          <cell r="B258">
            <v>4552</v>
          </cell>
          <cell r="C258" t="str">
            <v>ST-W8006</v>
          </cell>
          <cell r="D258"/>
          <cell r="E258" t="str">
            <v>180D*180D</v>
          </cell>
          <cell r="F258" t="str">
            <v>T100%</v>
          </cell>
          <cell r="G258" t="str">
            <v>100% POLYESTER</v>
          </cell>
          <cell r="H258" t="str">
            <v>57/58</v>
          </cell>
          <cell r="I258">
            <v>175</v>
          </cell>
          <cell r="J258">
            <v>1.66</v>
          </cell>
          <cell r="K258">
            <v>1.92</v>
          </cell>
          <cell r="L258">
            <v>1.68</v>
          </cell>
          <cell r="M258">
            <v>1.94</v>
          </cell>
          <cell r="N258">
            <v>1.69</v>
          </cell>
          <cell r="O258">
            <v>1.95</v>
          </cell>
          <cell r="P258"/>
          <cell r="Q258"/>
          <cell r="R258">
            <v>1.79</v>
          </cell>
          <cell r="S258">
            <v>2.08</v>
          </cell>
          <cell r="T258"/>
          <cell r="U258"/>
          <cell r="V258"/>
          <cell r="W258"/>
          <cell r="X258" t="str">
            <v>SIGER</v>
          </cell>
          <cell r="Y258" t="str">
            <v>DMCARE-TRI-03</v>
          </cell>
          <cell r="Z258" t="str">
            <v>CARA 31/8/18</v>
          </cell>
          <cell r="AA258"/>
          <cell r="AB258">
            <v>43343</v>
          </cell>
          <cell r="AC258">
            <v>4552</v>
          </cell>
        </row>
        <row r="259">
          <cell r="B259">
            <v>3377</v>
          </cell>
          <cell r="C259" t="str">
            <v>BG3778</v>
          </cell>
          <cell r="D259" t="str">
            <v>POLY SAME AS COTTON</v>
          </cell>
          <cell r="E259" t="str">
            <v>50S*50S</v>
          </cell>
          <cell r="F259" t="str">
            <v>T100%</v>
          </cell>
          <cell r="G259" t="str">
            <v>100% POLYESTER</v>
          </cell>
          <cell r="H259" t="str">
            <v>57/58</v>
          </cell>
          <cell r="I259">
            <v>100</v>
          </cell>
          <cell r="J259">
            <v>1.55</v>
          </cell>
          <cell r="K259">
            <v>1.78</v>
          </cell>
          <cell r="L259">
            <v>1.57</v>
          </cell>
          <cell r="M259">
            <v>1.82</v>
          </cell>
          <cell r="N259">
            <v>1.58</v>
          </cell>
          <cell r="O259">
            <v>1.86</v>
          </cell>
          <cell r="P259"/>
          <cell r="Q259"/>
          <cell r="R259">
            <v>1.7</v>
          </cell>
          <cell r="S259">
            <v>2.2999999999999998</v>
          </cell>
          <cell r="T259"/>
          <cell r="U259"/>
          <cell r="V259" t="str">
            <v>AVAILABLE</v>
          </cell>
          <cell r="W259"/>
          <cell r="X259" t="str">
            <v>EDWIN</v>
          </cell>
          <cell r="Y259" t="str">
            <v>DMCARE-TRI-02</v>
          </cell>
          <cell r="Z259" t="str">
            <v>EDWIN 30/8/18 BY WECHAT</v>
          </cell>
          <cell r="AA259"/>
          <cell r="AB259">
            <v>43342</v>
          </cell>
          <cell r="AC259">
            <v>3377</v>
          </cell>
        </row>
        <row r="260">
          <cell r="B260">
            <v>842</v>
          </cell>
          <cell r="C260" t="str">
            <v>BG2176</v>
          </cell>
          <cell r="D260" t="str">
            <v>SATEEN WITH AIR FLOW</v>
          </cell>
          <cell r="E260"/>
          <cell r="F260" t="str">
            <v>T100%</v>
          </cell>
          <cell r="G260" t="str">
            <v>100%POLYESTER</v>
          </cell>
          <cell r="H260" t="str">
            <v>57/58</v>
          </cell>
          <cell r="I260">
            <v>95</v>
          </cell>
          <cell r="J260">
            <v>1.53</v>
          </cell>
          <cell r="K260">
            <v>1.8</v>
          </cell>
          <cell r="L260">
            <v>1.55</v>
          </cell>
          <cell r="M260">
            <v>1.85</v>
          </cell>
          <cell r="N260">
            <v>1.56</v>
          </cell>
          <cell r="O260">
            <v>1.9</v>
          </cell>
          <cell r="P260"/>
          <cell r="Q260"/>
          <cell r="R260">
            <v>1.75</v>
          </cell>
          <cell r="S260">
            <v>2.2000000000000002</v>
          </cell>
          <cell r="T260"/>
          <cell r="U260"/>
          <cell r="V260"/>
          <cell r="W260"/>
          <cell r="X260" t="str">
            <v>EDWIN</v>
          </cell>
          <cell r="Y260"/>
          <cell r="Z260" t="str">
            <v>EDWIN 29/8/18</v>
          </cell>
          <cell r="AA260" t="str">
            <v>15-25 DAYS</v>
          </cell>
          <cell r="AB260">
            <v>43341</v>
          </cell>
          <cell r="AC260">
            <v>842</v>
          </cell>
        </row>
        <row r="261">
          <cell r="B261">
            <v>4551</v>
          </cell>
          <cell r="C261" t="str">
            <v>R069</v>
          </cell>
          <cell r="D261" t="str">
            <v>RAYON TWILL</v>
          </cell>
          <cell r="E261" t="str">
            <v>30*30 TWILL , 106*64</v>
          </cell>
          <cell r="F261" t="str">
            <v>R100%</v>
          </cell>
          <cell r="G261" t="str">
            <v>100% RAYON</v>
          </cell>
          <cell r="H261" t="str">
            <v>53/54</v>
          </cell>
          <cell r="I261">
            <v>155</v>
          </cell>
          <cell r="J261">
            <v>1.59</v>
          </cell>
          <cell r="K261">
            <v>1.78</v>
          </cell>
          <cell r="L261">
            <v>1.61</v>
          </cell>
          <cell r="M261">
            <v>1.86</v>
          </cell>
          <cell r="N261">
            <v>1.66</v>
          </cell>
          <cell r="O261">
            <v>1.9</v>
          </cell>
          <cell r="P261"/>
          <cell r="Q261"/>
          <cell r="R261">
            <v>1.75</v>
          </cell>
          <cell r="S261">
            <v>2.39</v>
          </cell>
          <cell r="T261"/>
          <cell r="U261"/>
          <cell r="V261"/>
          <cell r="W261"/>
          <cell r="X261" t="str">
            <v>TERESA</v>
          </cell>
          <cell r="Y261" t="str">
            <v>DMCARE-TRI-02</v>
          </cell>
          <cell r="Z261" t="str">
            <v>TERESA 22/8/18</v>
          </cell>
          <cell r="AA261"/>
          <cell r="AB261">
            <v>43336</v>
          </cell>
          <cell r="AC261">
            <v>4551</v>
          </cell>
        </row>
        <row r="262">
          <cell r="B262">
            <v>4298</v>
          </cell>
          <cell r="C262" t="str">
            <v>BG1374</v>
          </cell>
          <cell r="D262" t="str">
            <v>RAYON TWILL</v>
          </cell>
          <cell r="E262" t="str">
            <v>30S*24S</v>
          </cell>
          <cell r="F262" t="str">
            <v>R100%</v>
          </cell>
          <cell r="G262" t="str">
            <v>100% RAYON</v>
          </cell>
          <cell r="H262" t="str">
            <v>53/54</v>
          </cell>
          <cell r="I262">
            <v>150</v>
          </cell>
          <cell r="J262">
            <v>1.6</v>
          </cell>
          <cell r="K262">
            <v>1.85</v>
          </cell>
          <cell r="L262">
            <v>1.62</v>
          </cell>
          <cell r="M262">
            <v>1.9</v>
          </cell>
          <cell r="N262">
            <v>1.62</v>
          </cell>
          <cell r="O262">
            <v>1.95</v>
          </cell>
          <cell r="P262"/>
          <cell r="Q262"/>
          <cell r="R262">
            <v>1.8</v>
          </cell>
          <cell r="S262">
            <v>2.4</v>
          </cell>
          <cell r="T262"/>
          <cell r="U262"/>
          <cell r="V262"/>
          <cell r="W262"/>
          <cell r="X262" t="str">
            <v>EDWIN</v>
          </cell>
          <cell r="Y262" t="str">
            <v>DMCARE-TRI-01</v>
          </cell>
          <cell r="Z262" t="str">
            <v>EDWIN 24/8/18</v>
          </cell>
          <cell r="AA262"/>
          <cell r="AB262">
            <v>43336</v>
          </cell>
          <cell r="AC262">
            <v>4298</v>
          </cell>
        </row>
        <row r="263">
          <cell r="B263">
            <v>3976</v>
          </cell>
          <cell r="C263" t="str">
            <v>9736-2S</v>
          </cell>
          <cell r="D263"/>
          <cell r="E263" t="str">
            <v>68D*32S</v>
          </cell>
          <cell r="F263" t="str">
            <v>T/R 80/20</v>
          </cell>
          <cell r="G263" t="str">
            <v>80% POLYESTER 20% RAYON</v>
          </cell>
          <cell r="H263" t="str">
            <v>56/57</v>
          </cell>
          <cell r="I263">
            <v>70</v>
          </cell>
          <cell r="J263">
            <v>1.1000000000000001</v>
          </cell>
          <cell r="K263">
            <v>1.23</v>
          </cell>
          <cell r="L263">
            <v>1.1200000000000001</v>
          </cell>
          <cell r="M263">
            <v>1.31</v>
          </cell>
          <cell r="N263">
            <v>1.17</v>
          </cell>
          <cell r="O263">
            <v>1.34</v>
          </cell>
          <cell r="P263"/>
          <cell r="Q263"/>
          <cell r="R263">
            <v>1.25</v>
          </cell>
          <cell r="S263">
            <v>1.83</v>
          </cell>
          <cell r="T263"/>
          <cell r="U263"/>
          <cell r="V263">
            <v>15</v>
          </cell>
          <cell r="W263"/>
          <cell r="X263" t="str">
            <v>TERESA</v>
          </cell>
          <cell r="Y263" t="str">
            <v>DMCARE-TRI-02</v>
          </cell>
          <cell r="Z263" t="str">
            <v>TERESA 24/8/18</v>
          </cell>
          <cell r="AA263"/>
          <cell r="AB263">
            <v>43334</v>
          </cell>
          <cell r="AC263">
            <v>3976</v>
          </cell>
        </row>
        <row r="264">
          <cell r="B264">
            <v>4550</v>
          </cell>
          <cell r="C264" t="str">
            <v>BG1969</v>
          </cell>
          <cell r="D264" t="str">
            <v>SLIGHT COTTON</v>
          </cell>
          <cell r="E264" t="str">
            <v>60S*60S/90*88</v>
          </cell>
          <cell r="F264" t="str">
            <v>C/R 55/45</v>
          </cell>
          <cell r="G264" t="str">
            <v>55% COTTON+45% RAYON</v>
          </cell>
          <cell r="H264" t="str">
            <v>54/55</v>
          </cell>
          <cell r="I264">
            <v>78</v>
          </cell>
          <cell r="J264">
            <v>1.55</v>
          </cell>
          <cell r="K264">
            <v>1.88</v>
          </cell>
          <cell r="L264">
            <v>1.57</v>
          </cell>
          <cell r="M264">
            <v>1.93</v>
          </cell>
          <cell r="N264">
            <v>1.58</v>
          </cell>
          <cell r="O264">
            <v>1.98</v>
          </cell>
          <cell r="P264"/>
          <cell r="Q264"/>
          <cell r="R264">
            <v>1.8</v>
          </cell>
          <cell r="S264">
            <v>2.4</v>
          </cell>
          <cell r="T264"/>
          <cell r="U264"/>
          <cell r="V264">
            <v>15</v>
          </cell>
          <cell r="W264"/>
          <cell r="X264" t="str">
            <v>EDWIN</v>
          </cell>
          <cell r="Y264" t="str">
            <v>DMCARE-TRI-02</v>
          </cell>
          <cell r="Z264" t="str">
            <v>EDWIN 20/8/18</v>
          </cell>
          <cell r="AA264" t="str">
            <v>15 DAYS</v>
          </cell>
          <cell r="AB264">
            <v>43332</v>
          </cell>
          <cell r="AC264">
            <v>4550</v>
          </cell>
        </row>
        <row r="265">
          <cell r="B265">
            <v>4548</v>
          </cell>
          <cell r="C265" t="str">
            <v>HBXB75</v>
          </cell>
          <cell r="D265" t="str">
            <v>poly silky</v>
          </cell>
          <cell r="E265" t="str">
            <v>75D*75D</v>
          </cell>
          <cell r="F265" t="str">
            <v>T100%</v>
          </cell>
          <cell r="G265" t="str">
            <v>100% POLYESTER</v>
          </cell>
          <cell r="H265" t="str">
            <v>57/58</v>
          </cell>
          <cell r="I265">
            <v>103</v>
          </cell>
          <cell r="J265">
            <v>1.83</v>
          </cell>
          <cell r="K265">
            <v>2.13</v>
          </cell>
          <cell r="L265">
            <v>1.86</v>
          </cell>
          <cell r="M265">
            <v>2.29</v>
          </cell>
          <cell r="N265">
            <v>1.88</v>
          </cell>
          <cell r="O265">
            <v>2.36</v>
          </cell>
          <cell r="P265"/>
          <cell r="Q265"/>
          <cell r="R265">
            <v>1.93</v>
          </cell>
          <cell r="S265">
            <v>2.78</v>
          </cell>
          <cell r="T265"/>
          <cell r="U265"/>
          <cell r="V265">
            <v>15</v>
          </cell>
          <cell r="W265"/>
          <cell r="X265" t="str">
            <v>HAOMAIER (S)</v>
          </cell>
          <cell r="Y265" t="str">
            <v>DMCARE-TRI-02</v>
          </cell>
          <cell r="Z265" t="str">
            <v>FIONA 17/8/18 BY WECHAT</v>
          </cell>
          <cell r="AA265" t="str">
            <v>20-25 days</v>
          </cell>
          <cell r="AB265">
            <v>43329</v>
          </cell>
          <cell r="AC265">
            <v>4548</v>
          </cell>
        </row>
        <row r="266">
          <cell r="B266">
            <v>4547</v>
          </cell>
          <cell r="C266" t="str">
            <v>R013-1</v>
          </cell>
          <cell r="D266" t="str">
            <v>Rayon herringbone dobby</v>
          </cell>
          <cell r="E266" t="str">
            <v>60S*60S</v>
          </cell>
          <cell r="F266" t="str">
            <v>R100%</v>
          </cell>
          <cell r="G266" t="str">
            <v>100% RAYON</v>
          </cell>
          <cell r="H266" t="str">
            <v>53/54</v>
          </cell>
          <cell r="I266" t="str">
            <v>85-90</v>
          </cell>
          <cell r="J266">
            <v>1.5</v>
          </cell>
          <cell r="K266">
            <v>1.77</v>
          </cell>
          <cell r="L266">
            <v>1.52</v>
          </cell>
          <cell r="M266">
            <v>1.85</v>
          </cell>
          <cell r="N266">
            <v>1.57</v>
          </cell>
          <cell r="O266">
            <v>1.89</v>
          </cell>
          <cell r="P266">
            <v>1.65</v>
          </cell>
          <cell r="Q266">
            <v>2.48</v>
          </cell>
          <cell r="R266">
            <v>1.65</v>
          </cell>
          <cell r="S266">
            <v>2.48</v>
          </cell>
          <cell r="T266"/>
          <cell r="U266"/>
          <cell r="V266">
            <v>15</v>
          </cell>
          <cell r="W266"/>
          <cell r="X266" t="str">
            <v>TERESA</v>
          </cell>
          <cell r="Y266"/>
          <cell r="Z266" t="str">
            <v>TERESA 16/8/18</v>
          </cell>
          <cell r="AA266" t="str">
            <v>50days for unavailable greige</v>
          </cell>
          <cell r="AB266">
            <v>43328</v>
          </cell>
          <cell r="AC266">
            <v>4547</v>
          </cell>
        </row>
        <row r="267">
          <cell r="B267">
            <v>4544</v>
          </cell>
          <cell r="C267" t="str">
            <v>ZT18-SL070-002</v>
          </cell>
          <cell r="D267" t="str">
            <v>SATEEN JAC. SILKY</v>
          </cell>
          <cell r="E267"/>
          <cell r="F267" t="str">
            <v>T100%</v>
          </cell>
          <cell r="G267" t="str">
            <v>100%POLYESTER</v>
          </cell>
          <cell r="H267" t="str">
            <v>57/58</v>
          </cell>
          <cell r="I267">
            <v>90</v>
          </cell>
          <cell r="J267">
            <v>1.51</v>
          </cell>
          <cell r="K267">
            <v>1.81</v>
          </cell>
          <cell r="L267">
            <v>1.51</v>
          </cell>
          <cell r="M267">
            <v>1.81</v>
          </cell>
          <cell r="N267">
            <v>1.65</v>
          </cell>
          <cell r="O267">
            <v>1.96</v>
          </cell>
          <cell r="P267"/>
          <cell r="Q267"/>
          <cell r="R267">
            <v>1.8</v>
          </cell>
          <cell r="S267"/>
          <cell r="T267"/>
          <cell r="U267"/>
          <cell r="V267"/>
          <cell r="W267"/>
          <cell r="X267" t="str">
            <v>ALEX</v>
          </cell>
          <cell r="Y267"/>
          <cell r="Z267" t="str">
            <v>ALEX 13/8/18</v>
          </cell>
          <cell r="AA267" t="str">
            <v>20 DAYS</v>
          </cell>
          <cell r="AB267">
            <v>43325</v>
          </cell>
          <cell r="AC267">
            <v>4544</v>
          </cell>
        </row>
        <row r="268">
          <cell r="B268">
            <v>4244</v>
          </cell>
          <cell r="C268" t="str">
            <v>ST-WV3575</v>
          </cell>
          <cell r="D268" t="str">
            <v>SLUB COTTON</v>
          </cell>
          <cell r="E268"/>
          <cell r="F268" t="str">
            <v>C100%</v>
          </cell>
          <cell r="G268" t="str">
            <v>100% COTTON</v>
          </cell>
          <cell r="H268" t="str">
            <v>55</v>
          </cell>
          <cell r="I268">
            <v>70</v>
          </cell>
          <cell r="J268">
            <v>1.43</v>
          </cell>
          <cell r="K268">
            <v>1.66</v>
          </cell>
          <cell r="L268">
            <v>1.49</v>
          </cell>
          <cell r="M268">
            <v>1.75</v>
          </cell>
          <cell r="N268">
            <v>1.53</v>
          </cell>
          <cell r="O268">
            <v>1.83</v>
          </cell>
          <cell r="P268"/>
          <cell r="Q268"/>
          <cell r="R268">
            <v>1.57</v>
          </cell>
          <cell r="S268">
            <v>2.0699999999999998</v>
          </cell>
          <cell r="T268"/>
          <cell r="U268"/>
          <cell r="V268"/>
          <cell r="W268" t="str">
            <v xml:space="preserve"> print price based on 6-8 color way</v>
          </cell>
          <cell r="X268" t="str">
            <v>LILY</v>
          </cell>
          <cell r="Y268" t="str">
            <v>DMCARE-TRI-03</v>
          </cell>
          <cell r="Z268" t="str">
            <v>LILY 9/8/18 by we chat</v>
          </cell>
          <cell r="AA268"/>
          <cell r="AB268">
            <v>43321</v>
          </cell>
          <cell r="AC268">
            <v>4244</v>
          </cell>
        </row>
        <row r="269">
          <cell r="B269">
            <v>4541</v>
          </cell>
          <cell r="C269" t="str">
            <v>BG2088</v>
          </cell>
          <cell r="D269" t="str">
            <v>CHIFFON ( SAME 2770 )</v>
          </cell>
          <cell r="E269"/>
          <cell r="F269"/>
          <cell r="G269" t="str">
            <v>100% POLYESTER</v>
          </cell>
          <cell r="H269" t="str">
            <v>57/58</v>
          </cell>
          <cell r="I269">
            <v>83</v>
          </cell>
          <cell r="J269">
            <v>0.9</v>
          </cell>
          <cell r="K269">
            <v>1.1599999999999999</v>
          </cell>
          <cell r="L269">
            <v>0.9</v>
          </cell>
          <cell r="M269">
            <v>1.1599999999999999</v>
          </cell>
          <cell r="N269">
            <v>0.9</v>
          </cell>
          <cell r="O269">
            <v>1.1599999999999999</v>
          </cell>
          <cell r="P269"/>
          <cell r="Q269"/>
          <cell r="R269">
            <v>1.03</v>
          </cell>
          <cell r="S269">
            <v>1.51</v>
          </cell>
          <cell r="T269"/>
          <cell r="U269"/>
          <cell r="V269">
            <v>15</v>
          </cell>
          <cell r="W269"/>
          <cell r="X269" t="str">
            <v>EDWIN</v>
          </cell>
          <cell r="Y269"/>
          <cell r="Z269" t="str">
            <v>EDWIN 7/8/18 BY WECHAT</v>
          </cell>
          <cell r="AA269"/>
          <cell r="AB269">
            <v>43319</v>
          </cell>
          <cell r="AC269">
            <v>4541</v>
          </cell>
        </row>
        <row r="270">
          <cell r="B270">
            <v>4286</v>
          </cell>
          <cell r="C270" t="str">
            <v>WW-23438</v>
          </cell>
          <cell r="D270" t="str">
            <v>POLY TWLL</v>
          </cell>
          <cell r="E270"/>
          <cell r="F270" t="str">
            <v>T100%</v>
          </cell>
          <cell r="G270" t="str">
            <v xml:space="preserve">100% POLYESTER </v>
          </cell>
          <cell r="H270" t="str">
            <v>57/58</v>
          </cell>
          <cell r="I270">
            <v>180</v>
          </cell>
          <cell r="J270">
            <v>1.9</v>
          </cell>
          <cell r="K270">
            <v>2.2000000000000002</v>
          </cell>
          <cell r="L270">
            <v>1.9</v>
          </cell>
          <cell r="M270">
            <v>2.2000000000000002</v>
          </cell>
          <cell r="N270">
            <v>2</v>
          </cell>
          <cell r="O270">
            <v>2.2999999999999998</v>
          </cell>
          <cell r="P270"/>
          <cell r="Q270"/>
          <cell r="R270">
            <v>2.1</v>
          </cell>
          <cell r="S270">
            <v>2.4</v>
          </cell>
          <cell r="T270"/>
          <cell r="U270"/>
          <cell r="V270">
            <v>15</v>
          </cell>
          <cell r="W270"/>
          <cell r="X270" t="str">
            <v>KAIMING</v>
          </cell>
          <cell r="Y270" t="str">
            <v>DMCARE-TRI-02</v>
          </cell>
          <cell r="Z270" t="str">
            <v>NICOLE 6/8/18</v>
          </cell>
          <cell r="AA270"/>
          <cell r="AB270">
            <v>43318</v>
          </cell>
          <cell r="AC270">
            <v>4286</v>
          </cell>
        </row>
        <row r="271">
          <cell r="B271">
            <v>4428</v>
          </cell>
          <cell r="C271" t="str">
            <v>WW-22026</v>
          </cell>
          <cell r="D271"/>
          <cell r="E271" t="str">
            <v>75DFDY*150D DTY</v>
          </cell>
          <cell r="F271" t="str">
            <v>T100%</v>
          </cell>
          <cell r="G271" t="str">
            <v>100% POLYESTER</v>
          </cell>
          <cell r="H271" t="str">
            <v>57/58</v>
          </cell>
          <cell r="I271">
            <v>125</v>
          </cell>
          <cell r="J271">
            <v>1.33</v>
          </cell>
          <cell r="K271">
            <v>1.73</v>
          </cell>
          <cell r="L271">
            <v>1.33</v>
          </cell>
          <cell r="M271">
            <v>1.73</v>
          </cell>
          <cell r="N271">
            <v>1.3965000000000001</v>
          </cell>
          <cell r="O271">
            <v>1.8165</v>
          </cell>
          <cell r="P271"/>
          <cell r="Q271"/>
          <cell r="R271">
            <v>1.4630000000000003</v>
          </cell>
          <cell r="S271">
            <v>1.903</v>
          </cell>
          <cell r="T271"/>
          <cell r="U271"/>
          <cell r="V271">
            <v>15</v>
          </cell>
          <cell r="W271"/>
          <cell r="X271" t="str">
            <v>PANI</v>
          </cell>
          <cell r="Y271" t="str">
            <v>DMCARE-TRI-02</v>
          </cell>
          <cell r="Z271" t="str">
            <v>AMY 4/8/18</v>
          </cell>
          <cell r="AA271"/>
          <cell r="AB271">
            <v>43316</v>
          </cell>
          <cell r="AC271">
            <v>4428</v>
          </cell>
        </row>
        <row r="272">
          <cell r="B272">
            <v>4422</v>
          </cell>
          <cell r="C272" t="str">
            <v>WW-20460</v>
          </cell>
          <cell r="D272"/>
          <cell r="E272" t="str">
            <v>( 15+15)x50/116*48/CM )</v>
          </cell>
          <cell r="F272" t="str">
            <v>T100%</v>
          </cell>
          <cell r="G272" t="str">
            <v>100% POLYESTER</v>
          </cell>
          <cell r="H272" t="str">
            <v>57/58</v>
          </cell>
          <cell r="I272">
            <v>85</v>
          </cell>
          <cell r="J272">
            <v>1.5</v>
          </cell>
          <cell r="K272">
            <v>1.8</v>
          </cell>
          <cell r="L272">
            <v>1.5</v>
          </cell>
          <cell r="M272">
            <v>1.8</v>
          </cell>
          <cell r="N272">
            <v>1.5750000000000002</v>
          </cell>
          <cell r="O272">
            <v>1.8900000000000001</v>
          </cell>
          <cell r="P272"/>
          <cell r="Q272"/>
          <cell r="R272">
            <v>1.6500000000000001</v>
          </cell>
          <cell r="S272">
            <v>1.9800000000000002</v>
          </cell>
          <cell r="T272"/>
          <cell r="U272"/>
          <cell r="V272">
            <v>15</v>
          </cell>
          <cell r="W272"/>
          <cell r="X272" t="str">
            <v>PANI</v>
          </cell>
          <cell r="Y272" t="str">
            <v>DMCARE-TRI-02</v>
          </cell>
          <cell r="Z272" t="str">
            <v>AMY 4/8/18</v>
          </cell>
          <cell r="AA272"/>
          <cell r="AB272">
            <v>43316</v>
          </cell>
          <cell r="AC272">
            <v>4422</v>
          </cell>
        </row>
        <row r="273">
          <cell r="B273">
            <v>4421</v>
          </cell>
          <cell r="C273" t="str">
            <v>WW-23409</v>
          </cell>
          <cell r="D273"/>
          <cell r="E273" t="str">
            <v>20+26*75</v>
          </cell>
          <cell r="F273" t="str">
            <v>T100%</v>
          </cell>
          <cell r="G273" t="str">
            <v>100% POLYESTER</v>
          </cell>
          <cell r="H273" t="str">
            <v>58/60</v>
          </cell>
          <cell r="I273" t="str">
            <v>105-110</v>
          </cell>
          <cell r="J273">
            <v>1.4</v>
          </cell>
          <cell r="K273">
            <v>1.7</v>
          </cell>
          <cell r="L273">
            <v>1.4</v>
          </cell>
          <cell r="M273">
            <v>1.7</v>
          </cell>
          <cell r="N273">
            <v>1.5225</v>
          </cell>
          <cell r="O273">
            <v>1.8374999999999999</v>
          </cell>
          <cell r="P273"/>
          <cell r="Q273"/>
          <cell r="R273">
            <v>1.595</v>
          </cell>
          <cell r="S273">
            <v>1.925</v>
          </cell>
          <cell r="T273"/>
          <cell r="U273"/>
          <cell r="V273">
            <v>15</v>
          </cell>
          <cell r="W273"/>
          <cell r="X273" t="str">
            <v>PANI</v>
          </cell>
          <cell r="Y273" t="str">
            <v>DMCARE-TRI-02</v>
          </cell>
          <cell r="Z273" t="str">
            <v>AMY 4/8/18</v>
          </cell>
          <cell r="AA273"/>
          <cell r="AB273">
            <v>43316</v>
          </cell>
          <cell r="AC273">
            <v>4421</v>
          </cell>
        </row>
        <row r="274">
          <cell r="B274">
            <v>4419</v>
          </cell>
          <cell r="C274" t="str">
            <v>40826-14</v>
          </cell>
          <cell r="D274"/>
          <cell r="E274" t="str">
            <v>75D*75D</v>
          </cell>
          <cell r="F274" t="str">
            <v>T100%</v>
          </cell>
          <cell r="G274" t="str">
            <v>100% POLYESTER</v>
          </cell>
          <cell r="H274" t="str">
            <v>56/57</v>
          </cell>
          <cell r="I274">
            <v>72</v>
          </cell>
          <cell r="J274">
            <v>0.95</v>
          </cell>
          <cell r="K274">
            <v>1.25</v>
          </cell>
          <cell r="L274">
            <v>0.95</v>
          </cell>
          <cell r="M274">
            <v>1.25</v>
          </cell>
          <cell r="N274">
            <v>0.99749999999999994</v>
          </cell>
          <cell r="O274">
            <v>1.3125</v>
          </cell>
          <cell r="P274"/>
          <cell r="Q274"/>
          <cell r="R274">
            <v>1.0449999999999999</v>
          </cell>
          <cell r="S274">
            <v>1.375</v>
          </cell>
          <cell r="T274"/>
          <cell r="U274"/>
          <cell r="V274">
            <v>15</v>
          </cell>
          <cell r="W274"/>
          <cell r="X274" t="str">
            <v>PANI</v>
          </cell>
          <cell r="Y274" t="str">
            <v>DMCARE-TRI-02</v>
          </cell>
          <cell r="Z274" t="str">
            <v>AMY 4/8/18</v>
          </cell>
          <cell r="AA274"/>
          <cell r="AB274">
            <v>43316</v>
          </cell>
          <cell r="AC274">
            <v>4419</v>
          </cell>
        </row>
        <row r="275">
          <cell r="B275">
            <v>3430</v>
          </cell>
          <cell r="C275" t="str">
            <v>HLT973</v>
          </cell>
          <cell r="D275" t="str">
            <v>CHIFFON</v>
          </cell>
          <cell r="E275"/>
          <cell r="F275" t="str">
            <v>T100%</v>
          </cell>
          <cell r="G275" t="str">
            <v xml:space="preserve">100%POLYESTER </v>
          </cell>
          <cell r="H275" t="str">
            <v>57/58</v>
          </cell>
          <cell r="I275">
            <v>74</v>
          </cell>
          <cell r="J275">
            <v>1.007607843137255</v>
          </cell>
          <cell r="K275">
            <v>1.1409411764705883</v>
          </cell>
          <cell r="L275">
            <v>1.007607843137255</v>
          </cell>
          <cell r="M275">
            <v>1.1909411764705884</v>
          </cell>
          <cell r="N275">
            <v>1.1076078431372551</v>
          </cell>
          <cell r="O275">
            <v>1.2909411764705885</v>
          </cell>
          <cell r="P275"/>
          <cell r="Q275"/>
          <cell r="R275">
            <v>1.3076078431372551</v>
          </cell>
          <cell r="S275">
            <v>1.4909411764705884</v>
          </cell>
          <cell r="T275"/>
          <cell r="U275"/>
          <cell r="V275">
            <v>15</v>
          </cell>
          <cell r="W275"/>
          <cell r="X275" t="str">
            <v>CANDY</v>
          </cell>
          <cell r="Y275" t="str">
            <v>DMCARE-TRI 03</v>
          </cell>
          <cell r="Z275" t="str">
            <v>CANDY 4/8/18</v>
          </cell>
          <cell r="AA275"/>
          <cell r="AB275">
            <v>43316</v>
          </cell>
          <cell r="AC275">
            <v>3430</v>
          </cell>
        </row>
        <row r="276">
          <cell r="B276">
            <v>3078</v>
          </cell>
          <cell r="C276" t="str">
            <v>WW-21436</v>
          </cell>
          <cell r="D276"/>
          <cell r="E276" t="str">
            <v>75*75</v>
          </cell>
          <cell r="F276" t="str">
            <v>T100%</v>
          </cell>
          <cell r="G276" t="str">
            <v>100% POLYESTER</v>
          </cell>
          <cell r="H276" t="str">
            <v>145CM</v>
          </cell>
          <cell r="I276">
            <v>115</v>
          </cell>
          <cell r="J276">
            <v>1.08</v>
          </cell>
          <cell r="K276">
            <v>1.28</v>
          </cell>
          <cell r="L276">
            <v>1.1299999999999999</v>
          </cell>
          <cell r="M276">
            <v>1.33</v>
          </cell>
          <cell r="N276">
            <v>1.18</v>
          </cell>
          <cell r="O276">
            <v>1.38</v>
          </cell>
          <cell r="P276"/>
          <cell r="Q276"/>
          <cell r="R276">
            <v>1.3</v>
          </cell>
          <cell r="S276">
            <v>1.5</v>
          </cell>
          <cell r="T276"/>
          <cell r="U276"/>
          <cell r="V276">
            <v>15</v>
          </cell>
          <cell r="W276"/>
          <cell r="X276" t="str">
            <v>PANI</v>
          </cell>
          <cell r="Y276" t="str">
            <v>DMCARE-TRI-02</v>
          </cell>
          <cell r="Z276" t="str">
            <v>AMY 4/8/18</v>
          </cell>
          <cell r="AA276"/>
          <cell r="AB276">
            <v>43316</v>
          </cell>
          <cell r="AC276">
            <v>3078</v>
          </cell>
        </row>
        <row r="277">
          <cell r="B277">
            <v>2919</v>
          </cell>
          <cell r="C277" t="str">
            <v>WW-21859-2</v>
          </cell>
          <cell r="D277"/>
          <cell r="E277" t="str">
            <v>50*75</v>
          </cell>
          <cell r="F277" t="str">
            <v>T100%</v>
          </cell>
          <cell r="G277" t="str">
            <v>100% POLYESTER</v>
          </cell>
          <cell r="H277" t="str">
            <v>57/58</v>
          </cell>
          <cell r="I277">
            <v>120</v>
          </cell>
          <cell r="J277">
            <v>1.4</v>
          </cell>
          <cell r="K277">
            <v>1.7</v>
          </cell>
          <cell r="L277">
            <v>1.4</v>
          </cell>
          <cell r="M277">
            <v>1.7</v>
          </cell>
          <cell r="N277">
            <v>1.47</v>
          </cell>
          <cell r="O277">
            <v>1.7849999999999999</v>
          </cell>
          <cell r="P277"/>
          <cell r="Q277"/>
          <cell r="R277">
            <v>1.54</v>
          </cell>
          <cell r="S277">
            <v>1.87</v>
          </cell>
          <cell r="T277"/>
          <cell r="U277"/>
          <cell r="V277">
            <v>15</v>
          </cell>
          <cell r="W277"/>
          <cell r="X277" t="str">
            <v>PANI</v>
          </cell>
          <cell r="Y277" t="str">
            <v>DMCARE-TRI-02</v>
          </cell>
          <cell r="Z277" t="str">
            <v>AMY 4/8/18</v>
          </cell>
          <cell r="AA277"/>
          <cell r="AB277">
            <v>43316</v>
          </cell>
          <cell r="AC277">
            <v>2919</v>
          </cell>
        </row>
        <row r="278">
          <cell r="B278">
            <v>2915</v>
          </cell>
          <cell r="C278" t="str">
            <v>WW-22223</v>
          </cell>
          <cell r="D278"/>
          <cell r="E278" t="str">
            <v>50D*75D</v>
          </cell>
          <cell r="F278" t="str">
            <v>T100%</v>
          </cell>
          <cell r="G278" t="str">
            <v>100% POLYESTER</v>
          </cell>
          <cell r="H278" t="str">
            <v>57/58</v>
          </cell>
          <cell r="I278">
            <v>160</v>
          </cell>
          <cell r="J278">
            <v>1.75</v>
          </cell>
          <cell r="K278">
            <v>2.0499999999999998</v>
          </cell>
          <cell r="L278">
            <v>1.75</v>
          </cell>
          <cell r="M278">
            <v>2.0499999999999998</v>
          </cell>
          <cell r="N278">
            <v>1.8375000000000001</v>
          </cell>
          <cell r="O278">
            <v>2.1524999999999999</v>
          </cell>
          <cell r="P278"/>
          <cell r="Q278"/>
          <cell r="R278">
            <v>1.9250000000000003</v>
          </cell>
          <cell r="S278">
            <v>2.2549999999999999</v>
          </cell>
          <cell r="T278"/>
          <cell r="U278"/>
          <cell r="V278">
            <v>15</v>
          </cell>
          <cell r="W278"/>
          <cell r="X278" t="str">
            <v>PANI</v>
          </cell>
          <cell r="Y278" t="str">
            <v>DMCARE-TRI-02</v>
          </cell>
          <cell r="Z278" t="str">
            <v>AMY 4/8/18</v>
          </cell>
          <cell r="AA278"/>
          <cell r="AB278">
            <v>43316</v>
          </cell>
          <cell r="AC278">
            <v>2915</v>
          </cell>
        </row>
        <row r="279">
          <cell r="B279">
            <v>2455</v>
          </cell>
          <cell r="C279" t="str">
            <v>HLT3216</v>
          </cell>
          <cell r="D279" t="str">
            <v>BUBBLE CREPE</v>
          </cell>
          <cell r="E279"/>
          <cell r="F279" t="str">
            <v>T/S 97/3</v>
          </cell>
          <cell r="G279" t="str">
            <v xml:space="preserve">97% POLYESTER  3% SPANDEX </v>
          </cell>
          <cell r="H279" t="str">
            <v>57/58</v>
          </cell>
          <cell r="I279">
            <v>125</v>
          </cell>
          <cell r="J279">
            <v>1.5849230769230767</v>
          </cell>
          <cell r="K279">
            <v>1.6382564102564101</v>
          </cell>
          <cell r="L279">
            <v>1.5849230769230767</v>
          </cell>
          <cell r="M279">
            <v>1.6882564102564102</v>
          </cell>
          <cell r="N279">
            <v>1.6849230769230767</v>
          </cell>
          <cell r="O279">
            <v>1.7882564102564102</v>
          </cell>
          <cell r="P279"/>
          <cell r="Q279"/>
          <cell r="R279">
            <v>1.8849230769230767</v>
          </cell>
          <cell r="S279">
            <v>1.9882564102564102</v>
          </cell>
          <cell r="T279"/>
          <cell r="U279"/>
          <cell r="V279">
            <v>15</v>
          </cell>
          <cell r="W279"/>
          <cell r="X279" t="str">
            <v>CANDY</v>
          </cell>
          <cell r="Y279" t="str">
            <v>DMCARE-TRI 03</v>
          </cell>
          <cell r="Z279" t="str">
            <v>CANDY 4/8/18</v>
          </cell>
          <cell r="AA279"/>
          <cell r="AB279">
            <v>43316</v>
          </cell>
          <cell r="AC279">
            <v>2455</v>
          </cell>
        </row>
        <row r="280">
          <cell r="B280">
            <v>2451</v>
          </cell>
          <cell r="C280" t="str">
            <v>HLT-3209</v>
          </cell>
          <cell r="D280" t="str">
            <v>CREPE ( LIKE 028)</v>
          </cell>
          <cell r="E280"/>
          <cell r="F280" t="str">
            <v>T100%</v>
          </cell>
          <cell r="G280" t="str">
            <v xml:space="preserve">100%POLYESTER </v>
          </cell>
          <cell r="H280" t="str">
            <v>57/58</v>
          </cell>
          <cell r="I280">
            <v>110</v>
          </cell>
          <cell r="J280">
            <v>1.4474871794871793</v>
          </cell>
          <cell r="K280">
            <v>1.5408205128205128</v>
          </cell>
          <cell r="L280">
            <v>1.4474871794871793</v>
          </cell>
          <cell r="M280">
            <v>1.5908205128205128</v>
          </cell>
          <cell r="N280">
            <v>1.5474871794871794</v>
          </cell>
          <cell r="O280">
            <v>1.6908205128205129</v>
          </cell>
          <cell r="P280"/>
          <cell r="Q280"/>
          <cell r="R280">
            <v>1.7474871794871794</v>
          </cell>
          <cell r="S280">
            <v>1.8908205128205129</v>
          </cell>
          <cell r="T280"/>
          <cell r="U280"/>
          <cell r="V280">
            <v>15</v>
          </cell>
          <cell r="W280"/>
          <cell r="X280" t="str">
            <v>CANDY</v>
          </cell>
          <cell r="Y280" t="str">
            <v>DMCARE-TRI 03</v>
          </cell>
          <cell r="Z280" t="str">
            <v>CANDY 4/8/18</v>
          </cell>
          <cell r="AA280"/>
          <cell r="AB280">
            <v>43316</v>
          </cell>
          <cell r="AC280">
            <v>2451</v>
          </cell>
        </row>
        <row r="281">
          <cell r="B281" t="str">
            <v>1895C</v>
          </cell>
          <cell r="C281" t="str">
            <v>TS-028C</v>
          </cell>
          <cell r="D281" t="str">
            <v>CREPE</v>
          </cell>
          <cell r="E281"/>
          <cell r="F281" t="str">
            <v>T100%</v>
          </cell>
          <cell r="G281" t="str">
            <v>100% POLYESTER</v>
          </cell>
          <cell r="H281" t="str">
            <v>57/58</v>
          </cell>
          <cell r="I281">
            <v>116</v>
          </cell>
          <cell r="J281">
            <v>1.1100000000000001</v>
          </cell>
          <cell r="K281">
            <v>1.29</v>
          </cell>
          <cell r="L281">
            <v>1.1299999999999999</v>
          </cell>
          <cell r="M281">
            <v>1.32</v>
          </cell>
          <cell r="N281">
            <v>1.1499999999999999</v>
          </cell>
          <cell r="O281">
            <v>1.35</v>
          </cell>
          <cell r="P281"/>
          <cell r="Q281"/>
          <cell r="R281">
            <v>1.3</v>
          </cell>
          <cell r="S281">
            <v>1.6</v>
          </cell>
          <cell r="T281"/>
          <cell r="U281"/>
          <cell r="V281">
            <v>15</v>
          </cell>
          <cell r="W281"/>
          <cell r="X281" t="str">
            <v>GAVIN</v>
          </cell>
          <cell r="Y281"/>
          <cell r="Z281" t="str">
            <v>GAVIN 3/8/18</v>
          </cell>
          <cell r="AA281"/>
          <cell r="AB281">
            <v>43315</v>
          </cell>
          <cell r="AC281" t="str">
            <v>1895C</v>
          </cell>
        </row>
        <row r="282">
          <cell r="B282">
            <v>4382</v>
          </cell>
          <cell r="C282" t="str">
            <v>T339</v>
          </cell>
          <cell r="D282" t="str">
            <v>POLY</v>
          </cell>
          <cell r="E282" t="str">
            <v>68+50</v>
          </cell>
          <cell r="F282"/>
          <cell r="G282" t="str">
            <v>100% POLYESTER</v>
          </cell>
          <cell r="H282" t="str">
            <v>57/58</v>
          </cell>
          <cell r="I282">
            <v>170</v>
          </cell>
          <cell r="J282">
            <v>1.86</v>
          </cell>
          <cell r="K282">
            <v>2.0499999999999998</v>
          </cell>
          <cell r="L282">
            <v>1.89</v>
          </cell>
          <cell r="M282">
            <v>2.12</v>
          </cell>
          <cell r="N282">
            <v>1.95</v>
          </cell>
          <cell r="O282">
            <v>2.17</v>
          </cell>
          <cell r="P282"/>
          <cell r="Q282"/>
          <cell r="R282">
            <v>2.02</v>
          </cell>
          <cell r="S282">
            <v>2.76</v>
          </cell>
          <cell r="T282"/>
          <cell r="U282"/>
          <cell r="V282">
            <v>15</v>
          </cell>
          <cell r="W282"/>
          <cell r="X282" t="str">
            <v>TERESA</v>
          </cell>
          <cell r="Y282" t="str">
            <v xml:space="preserve">DMCARE-TRI-02 </v>
          </cell>
          <cell r="Z282" t="str">
            <v>TERESA 3/8/18</v>
          </cell>
          <cell r="AA282"/>
          <cell r="AB282">
            <v>43315</v>
          </cell>
          <cell r="AC282">
            <v>4382</v>
          </cell>
        </row>
        <row r="283">
          <cell r="B283">
            <v>4381</v>
          </cell>
          <cell r="C283" t="str">
            <v>T338</v>
          </cell>
          <cell r="D283" t="str">
            <v>POLY</v>
          </cell>
          <cell r="E283" t="str">
            <v>20+26*60</v>
          </cell>
          <cell r="F283"/>
          <cell r="G283" t="str">
            <v>100% POLYESTER</v>
          </cell>
          <cell r="H283" t="str">
            <v>57/58</v>
          </cell>
          <cell r="I283">
            <v>88</v>
          </cell>
          <cell r="J283">
            <v>1.58</v>
          </cell>
          <cell r="K283">
            <v>1.78</v>
          </cell>
          <cell r="L283">
            <v>1.61</v>
          </cell>
          <cell r="M283">
            <v>1.86</v>
          </cell>
          <cell r="N283">
            <v>1.65</v>
          </cell>
          <cell r="O283">
            <v>1.91</v>
          </cell>
          <cell r="P283"/>
          <cell r="Q283"/>
          <cell r="R283">
            <v>1.75</v>
          </cell>
          <cell r="S283">
            <v>2.5</v>
          </cell>
          <cell r="T283"/>
          <cell r="U283"/>
          <cell r="V283">
            <v>15</v>
          </cell>
          <cell r="W283"/>
          <cell r="X283" t="str">
            <v>TERESA</v>
          </cell>
          <cell r="Y283" t="str">
            <v xml:space="preserve">DMCARE-TRI-02 </v>
          </cell>
          <cell r="Z283" t="str">
            <v>TERESA 3/8/18</v>
          </cell>
          <cell r="AA283"/>
          <cell r="AB283">
            <v>43315</v>
          </cell>
          <cell r="AC283">
            <v>4381</v>
          </cell>
        </row>
        <row r="284">
          <cell r="B284">
            <v>4380</v>
          </cell>
          <cell r="C284" t="str">
            <v>9586-7J</v>
          </cell>
          <cell r="D284" t="str">
            <v>DOBBY VISCOSE</v>
          </cell>
          <cell r="E284" t="str">
            <v>60*60 90*88</v>
          </cell>
          <cell r="F284"/>
          <cell r="G284" t="str">
            <v>100% RAYON JAC</v>
          </cell>
          <cell r="H284" t="str">
            <v>53/54</v>
          </cell>
          <cell r="I284">
            <v>80</v>
          </cell>
          <cell r="J284">
            <v>1.42</v>
          </cell>
          <cell r="K284">
            <v>1.59</v>
          </cell>
          <cell r="L284">
            <v>1.44</v>
          </cell>
          <cell r="M284">
            <v>1.67</v>
          </cell>
          <cell r="N284">
            <v>1.49</v>
          </cell>
          <cell r="O284">
            <v>1.71</v>
          </cell>
          <cell r="P284"/>
          <cell r="Q284"/>
          <cell r="R284">
            <v>1.57</v>
          </cell>
          <cell r="S284">
            <v>2.2000000000000002</v>
          </cell>
          <cell r="T284"/>
          <cell r="U284"/>
          <cell r="V284">
            <v>15</v>
          </cell>
          <cell r="W284"/>
          <cell r="X284" t="str">
            <v>TERESA</v>
          </cell>
          <cell r="Y284" t="str">
            <v xml:space="preserve">DMCARE-TRI-02 </v>
          </cell>
          <cell r="Z284" t="str">
            <v>TERESA 3/8/18</v>
          </cell>
          <cell r="AA284"/>
          <cell r="AB284">
            <v>43315</v>
          </cell>
          <cell r="AC284">
            <v>4380</v>
          </cell>
        </row>
        <row r="285">
          <cell r="B285">
            <v>3973</v>
          </cell>
          <cell r="C285">
            <v>9586</v>
          </cell>
          <cell r="D285" t="str">
            <v>DOBBY VISCOSE</v>
          </cell>
          <cell r="E285" t="str">
            <v>60*60 90*88</v>
          </cell>
          <cell r="F285"/>
          <cell r="G285" t="str">
            <v>100% RAYON JAC</v>
          </cell>
          <cell r="H285" t="str">
            <v>53/54</v>
          </cell>
          <cell r="I285">
            <v>76</v>
          </cell>
          <cell r="J285">
            <v>1.42</v>
          </cell>
          <cell r="K285">
            <v>1.59</v>
          </cell>
          <cell r="L285">
            <v>1.44</v>
          </cell>
          <cell r="M285">
            <v>1.67</v>
          </cell>
          <cell r="N285">
            <v>1.49</v>
          </cell>
          <cell r="O285">
            <v>1.71</v>
          </cell>
          <cell r="P285"/>
          <cell r="Q285"/>
          <cell r="R285">
            <v>1.57</v>
          </cell>
          <cell r="S285">
            <v>2.2000000000000002</v>
          </cell>
          <cell r="T285"/>
          <cell r="U285"/>
          <cell r="V285">
            <v>15</v>
          </cell>
          <cell r="W285"/>
          <cell r="X285" t="str">
            <v>TERESA</v>
          </cell>
          <cell r="Y285" t="str">
            <v xml:space="preserve">DMCARE-TRI-02 </v>
          </cell>
          <cell r="Z285" t="str">
            <v>TERESA 3/8/18</v>
          </cell>
          <cell r="AA285"/>
          <cell r="AB285">
            <v>43315</v>
          </cell>
          <cell r="AC285">
            <v>3973</v>
          </cell>
        </row>
        <row r="286">
          <cell r="B286">
            <v>3581</v>
          </cell>
          <cell r="C286" t="str">
            <v>T167</v>
          </cell>
          <cell r="D286" t="str">
            <v>SATEEN</v>
          </cell>
          <cell r="E286" t="str">
            <v>50D*75D</v>
          </cell>
          <cell r="F286"/>
          <cell r="G286" t="str">
            <v>100% POLYESTER</v>
          </cell>
          <cell r="H286" t="str">
            <v>57/58</v>
          </cell>
          <cell r="I286">
            <v>88</v>
          </cell>
          <cell r="J286">
            <v>1.35</v>
          </cell>
          <cell r="K286">
            <v>1.5</v>
          </cell>
          <cell r="L286">
            <v>1.37</v>
          </cell>
          <cell r="M286">
            <v>1.58</v>
          </cell>
          <cell r="N286">
            <v>1.42</v>
          </cell>
          <cell r="O286">
            <v>1.62</v>
          </cell>
          <cell r="P286"/>
          <cell r="Q286"/>
          <cell r="R286">
            <v>1.5</v>
          </cell>
          <cell r="S286">
            <v>2.11</v>
          </cell>
          <cell r="T286"/>
          <cell r="U286"/>
          <cell r="V286">
            <v>15</v>
          </cell>
          <cell r="W286"/>
          <cell r="X286" t="str">
            <v>TERESA</v>
          </cell>
          <cell r="Y286" t="str">
            <v xml:space="preserve">DMCARE-TRI-02 </v>
          </cell>
          <cell r="Z286" t="str">
            <v>TERESA 3/8/18</v>
          </cell>
          <cell r="AA286"/>
          <cell r="AB286">
            <v>43315</v>
          </cell>
          <cell r="AC286">
            <v>3581</v>
          </cell>
        </row>
        <row r="287">
          <cell r="B287">
            <v>3548</v>
          </cell>
          <cell r="C287" t="str">
            <v>TS-371</v>
          </cell>
          <cell r="D287" t="str">
            <v>STRETCH CREPE</v>
          </cell>
          <cell r="E287"/>
          <cell r="F287" t="str">
            <v>T/S 97/3</v>
          </cell>
          <cell r="G287" t="str">
            <v>97% POLYESTER 3% SPANDEX</v>
          </cell>
          <cell r="H287" t="str">
            <v>57/58</v>
          </cell>
          <cell r="I287">
            <v>130</v>
          </cell>
          <cell r="J287">
            <v>1.1100000000000001</v>
          </cell>
          <cell r="K287">
            <v>1.29</v>
          </cell>
          <cell r="L287">
            <v>1.1299999999999999</v>
          </cell>
          <cell r="M287">
            <v>1.32</v>
          </cell>
          <cell r="N287">
            <v>1.1499999999999999</v>
          </cell>
          <cell r="O287">
            <v>1.35</v>
          </cell>
          <cell r="P287"/>
          <cell r="Q287"/>
          <cell r="R287">
            <v>1.3</v>
          </cell>
          <cell r="S287">
            <v>1.6</v>
          </cell>
          <cell r="T287"/>
          <cell r="U287"/>
          <cell r="V287">
            <v>15</v>
          </cell>
          <cell r="W287"/>
          <cell r="X287" t="str">
            <v>GAVIN</v>
          </cell>
          <cell r="Y287"/>
          <cell r="Z287" t="str">
            <v>GAVIN 3/8/18</v>
          </cell>
          <cell r="AA287"/>
          <cell r="AB287">
            <v>43315</v>
          </cell>
          <cell r="AC287">
            <v>3548</v>
          </cell>
        </row>
        <row r="288">
          <cell r="B288">
            <v>3011</v>
          </cell>
          <cell r="C288" t="str">
            <v>T115</v>
          </cell>
          <cell r="D288" t="str">
            <v>POLY BOBBY</v>
          </cell>
          <cell r="E288"/>
          <cell r="F288" t="str">
            <v>T100%</v>
          </cell>
          <cell r="G288" t="str">
            <v xml:space="preserve">100%POLYESTER </v>
          </cell>
          <cell r="H288" t="str">
            <v>57/58</v>
          </cell>
          <cell r="I288">
            <v>97</v>
          </cell>
          <cell r="J288">
            <v>1.67</v>
          </cell>
          <cell r="K288">
            <v>1.88</v>
          </cell>
          <cell r="L288">
            <v>1.69</v>
          </cell>
          <cell r="M288">
            <v>1.93</v>
          </cell>
          <cell r="N288">
            <v>1.73</v>
          </cell>
          <cell r="O288">
            <v>1.97</v>
          </cell>
          <cell r="P288"/>
          <cell r="Q288"/>
          <cell r="R288">
            <v>1.82</v>
          </cell>
          <cell r="S288">
            <v>2.46</v>
          </cell>
          <cell r="T288"/>
          <cell r="U288"/>
          <cell r="V288">
            <v>15</v>
          </cell>
          <cell r="W288"/>
          <cell r="X288" t="str">
            <v>TERESA</v>
          </cell>
          <cell r="Y288"/>
          <cell r="Z288" t="str">
            <v>TEREAS 2/8/18</v>
          </cell>
          <cell r="AA288"/>
          <cell r="AB288">
            <v>43314</v>
          </cell>
          <cell r="AC288">
            <v>3011</v>
          </cell>
        </row>
        <row r="289">
          <cell r="B289">
            <v>4549</v>
          </cell>
          <cell r="C289" t="str">
            <v>xk2017-10-014D</v>
          </cell>
          <cell r="D289" t="str">
            <v>TENCEL</v>
          </cell>
          <cell r="E289"/>
          <cell r="F289" t="str">
            <v>TENCEL 100%</v>
          </cell>
          <cell r="G289" t="str">
            <v>100%TENCEL</v>
          </cell>
          <cell r="H289" t="str">
            <v>57/58</v>
          </cell>
          <cell r="I289">
            <v>295</v>
          </cell>
          <cell r="J289"/>
          <cell r="K289"/>
          <cell r="L289">
            <v>4.12</v>
          </cell>
          <cell r="M289">
            <v>4.6500000000000004</v>
          </cell>
          <cell r="N289">
            <v>4.45</v>
          </cell>
          <cell r="O289">
            <v>5</v>
          </cell>
          <cell r="P289"/>
          <cell r="Q289"/>
          <cell r="R289">
            <v>5.2</v>
          </cell>
          <cell r="S289">
            <v>5.85</v>
          </cell>
          <cell r="T289"/>
          <cell r="U289"/>
          <cell r="V289">
            <v>15</v>
          </cell>
          <cell r="W289"/>
          <cell r="X289" t="str">
            <v>DING ( D )</v>
          </cell>
          <cell r="Y289"/>
          <cell r="Z289" t="str">
            <v>DING 31/7/18</v>
          </cell>
          <cell r="AA289"/>
          <cell r="AB289">
            <v>43312</v>
          </cell>
          <cell r="AC289">
            <v>4549</v>
          </cell>
        </row>
        <row r="290">
          <cell r="B290">
            <v>4539</v>
          </cell>
          <cell r="C290" t="str">
            <v>BG4167</v>
          </cell>
          <cell r="D290" t="str">
            <v>ITY</v>
          </cell>
          <cell r="E290"/>
          <cell r="F290" t="str">
            <v>T/S 95/5</v>
          </cell>
          <cell r="G290" t="str">
            <v>95%POLYESTER  5%SPANDEX</v>
          </cell>
          <cell r="H290" t="str">
            <v>58/60</v>
          </cell>
          <cell r="I290">
            <v>170</v>
          </cell>
          <cell r="J290">
            <v>1.35</v>
          </cell>
          <cell r="K290">
            <v>1.6</v>
          </cell>
          <cell r="L290">
            <v>1.38</v>
          </cell>
          <cell r="M290">
            <v>1.65</v>
          </cell>
          <cell r="N290">
            <v>1.4</v>
          </cell>
          <cell r="O290">
            <v>1.7</v>
          </cell>
          <cell r="P290"/>
          <cell r="Q290"/>
          <cell r="R290">
            <v>1.65</v>
          </cell>
          <cell r="S290">
            <v>2.1</v>
          </cell>
          <cell r="T290"/>
          <cell r="U290"/>
          <cell r="V290">
            <v>15</v>
          </cell>
          <cell r="W290"/>
          <cell r="X290" t="str">
            <v>EDWIN</v>
          </cell>
          <cell r="Y290" t="str">
            <v>DMCARE-TRI-02</v>
          </cell>
          <cell r="Z290" t="str">
            <v>EDWIN 27/7/18</v>
          </cell>
          <cell r="AA290"/>
          <cell r="AB290">
            <v>43308</v>
          </cell>
          <cell r="AC290">
            <v>4539</v>
          </cell>
        </row>
        <row r="291">
          <cell r="B291">
            <v>4538</v>
          </cell>
          <cell r="C291" t="str">
            <v>YB-623</v>
          </cell>
          <cell r="D291" t="str">
            <v>CREPE ( SAME 4477 )</v>
          </cell>
          <cell r="E291"/>
          <cell r="F291" t="str">
            <v>T100%</v>
          </cell>
          <cell r="G291" t="str">
            <v>100% POLYESTER</v>
          </cell>
          <cell r="H291" t="str">
            <v>57/58</v>
          </cell>
          <cell r="I291">
            <v>120</v>
          </cell>
          <cell r="J291">
            <v>1.17</v>
          </cell>
          <cell r="K291">
            <v>1.37</v>
          </cell>
          <cell r="L291">
            <v>1.17</v>
          </cell>
          <cell r="M291">
            <v>1.37</v>
          </cell>
          <cell r="N291">
            <v>1.17</v>
          </cell>
          <cell r="O291">
            <v>1.37</v>
          </cell>
          <cell r="P291"/>
          <cell r="Q291"/>
          <cell r="R291">
            <v>1.4</v>
          </cell>
          <cell r="S291">
            <v>1.7</v>
          </cell>
          <cell r="T291"/>
          <cell r="U291"/>
          <cell r="V291">
            <v>15</v>
          </cell>
          <cell r="W291"/>
          <cell r="X291" t="str">
            <v>KHÔI</v>
          </cell>
          <cell r="Y291"/>
          <cell r="Z291" t="str">
            <v>KHÔI 27/7/18</v>
          </cell>
          <cell r="AA291"/>
          <cell r="AB291">
            <v>43308</v>
          </cell>
          <cell r="AC291">
            <v>4538</v>
          </cell>
        </row>
        <row r="292">
          <cell r="B292">
            <v>1942</v>
          </cell>
          <cell r="C292" t="str">
            <v>BG2573</v>
          </cell>
          <cell r="D292" t="str">
            <v>ITY</v>
          </cell>
          <cell r="E292"/>
          <cell r="F292" t="str">
            <v>T/S 95/5</v>
          </cell>
          <cell r="G292" t="str">
            <v>95%POLYESTER  5%SPANDEX</v>
          </cell>
          <cell r="H292" t="str">
            <v>58/60</v>
          </cell>
          <cell r="I292">
            <v>210</v>
          </cell>
          <cell r="J292">
            <v>1.67</v>
          </cell>
          <cell r="K292">
            <v>1.9</v>
          </cell>
          <cell r="L292">
            <v>1.7</v>
          </cell>
          <cell r="M292">
            <v>1.95</v>
          </cell>
          <cell r="N292">
            <v>1.72</v>
          </cell>
          <cell r="O292">
            <v>2</v>
          </cell>
          <cell r="P292"/>
          <cell r="Q292"/>
          <cell r="R292">
            <v>1.87</v>
          </cell>
          <cell r="S292">
            <v>2.4</v>
          </cell>
          <cell r="T292"/>
          <cell r="U292"/>
          <cell r="V292">
            <v>15</v>
          </cell>
          <cell r="W292"/>
          <cell r="X292" t="str">
            <v>EDWIN</v>
          </cell>
          <cell r="Y292" t="str">
            <v>DMCARE-TRI-02</v>
          </cell>
          <cell r="Z292" t="str">
            <v>EDWIN 27/7/18</v>
          </cell>
          <cell r="AA292"/>
          <cell r="AB292">
            <v>43308</v>
          </cell>
          <cell r="AC292">
            <v>1942</v>
          </cell>
        </row>
        <row r="293">
          <cell r="B293">
            <v>4537</v>
          </cell>
          <cell r="C293">
            <v>7579</v>
          </cell>
          <cell r="D293" t="str">
            <v>SATEEN*</v>
          </cell>
          <cell r="E293" t="str">
            <v>240*104</v>
          </cell>
          <cell r="F293" t="str">
            <v>T100%</v>
          </cell>
          <cell r="G293" t="str">
            <v>100% POLYESTER</v>
          </cell>
          <cell r="H293" t="str">
            <v>42/43</v>
          </cell>
          <cell r="I293" t="str">
            <v>95-100</v>
          </cell>
          <cell r="J293">
            <v>1.43</v>
          </cell>
          <cell r="K293">
            <v>1.56</v>
          </cell>
          <cell r="L293">
            <v>1.43</v>
          </cell>
          <cell r="M293">
            <v>1.57</v>
          </cell>
          <cell r="N293">
            <v>1.43</v>
          </cell>
          <cell r="O293">
            <v>1.57</v>
          </cell>
          <cell r="P293"/>
          <cell r="Q293"/>
          <cell r="R293">
            <v>1.58</v>
          </cell>
          <cell r="S293">
            <v>1.72</v>
          </cell>
          <cell r="T293"/>
          <cell r="U293"/>
          <cell r="V293">
            <v>15</v>
          </cell>
          <cell r="W293" t="str">
            <v xml:space="preserve">Seam slippage will be as per sample. </v>
          </cell>
          <cell r="X293" t="str">
            <v>KENJRIWAL (S)</v>
          </cell>
          <cell r="Y293"/>
          <cell r="Z293" t="str">
            <v>ANJALI 26/7/18</v>
          </cell>
          <cell r="AA293"/>
          <cell r="AB293">
            <v>43307</v>
          </cell>
          <cell r="AC293">
            <v>4537</v>
          </cell>
        </row>
        <row r="294">
          <cell r="B294">
            <v>4536</v>
          </cell>
          <cell r="C294" t="str">
            <v>H1142 AAF</v>
          </cell>
          <cell r="D294" t="str">
            <v>SATEEN*</v>
          </cell>
          <cell r="E294" t="str">
            <v>15D+15D*50D</v>
          </cell>
          <cell r="F294" t="str">
            <v>T100%</v>
          </cell>
          <cell r="G294" t="str">
            <v>100% POLYESTER</v>
          </cell>
          <cell r="H294" t="str">
            <v>57/58</v>
          </cell>
          <cell r="I294">
            <v>98</v>
          </cell>
          <cell r="J294">
            <v>1.62</v>
          </cell>
          <cell r="K294">
            <v>1.96</v>
          </cell>
          <cell r="L294">
            <v>1.65</v>
          </cell>
          <cell r="M294">
            <v>1.99</v>
          </cell>
          <cell r="N294">
            <v>1.67</v>
          </cell>
          <cell r="O294">
            <v>2.0099999999999998</v>
          </cell>
          <cell r="P294"/>
          <cell r="Q294"/>
          <cell r="R294">
            <v>1.72</v>
          </cell>
          <cell r="S294">
            <v>2.06</v>
          </cell>
          <cell r="T294"/>
          <cell r="U294"/>
          <cell r="V294">
            <v>15</v>
          </cell>
          <cell r="W294" t="str">
            <v>PRINT DON'T HAVE AIR FLOW EFFECT</v>
          </cell>
          <cell r="X294" t="str">
            <v>HAOMAIER (S)</v>
          </cell>
          <cell r="Y294" t="str">
            <v>MACHINE WASH WARM</v>
          </cell>
          <cell r="Z294" t="str">
            <v>FIONA 25/7/18</v>
          </cell>
          <cell r="AA294"/>
          <cell r="AB294">
            <v>43306</v>
          </cell>
          <cell r="AC294">
            <v>4536</v>
          </cell>
        </row>
        <row r="295">
          <cell r="B295">
            <v>4534</v>
          </cell>
          <cell r="C295">
            <v>8399</v>
          </cell>
          <cell r="D295" t="str">
            <v>*</v>
          </cell>
          <cell r="E295" t="str">
            <v>160*104</v>
          </cell>
          <cell r="F295" t="str">
            <v>T100%</v>
          </cell>
          <cell r="G295" t="str">
            <v>100% POLYESTER</v>
          </cell>
          <cell r="H295" t="str">
            <v>41/42</v>
          </cell>
          <cell r="I295" t="str">
            <v>105/107</v>
          </cell>
          <cell r="J295">
            <v>0.92</v>
          </cell>
          <cell r="K295">
            <v>1.05</v>
          </cell>
          <cell r="L295">
            <v>0.93</v>
          </cell>
          <cell r="M295">
            <v>1.06</v>
          </cell>
          <cell r="N295">
            <v>0.96</v>
          </cell>
          <cell r="O295">
            <v>1.08</v>
          </cell>
          <cell r="P295"/>
          <cell r="Q295"/>
          <cell r="R295">
            <v>1.08</v>
          </cell>
          <cell r="S295">
            <v>1.17</v>
          </cell>
          <cell r="T295"/>
          <cell r="U295"/>
          <cell r="V295">
            <v>15</v>
          </cell>
          <cell r="W295" t="str">
            <v xml:space="preserve">their will be a minor variation of bubble/crape effect in every lot. </v>
          </cell>
          <cell r="X295" t="str">
            <v>KENJRIWAL (S)</v>
          </cell>
          <cell r="Y295" t="str">
            <v>Normal to machine wash</v>
          </cell>
          <cell r="Z295" t="str">
            <v>ANJALI 23/7/18</v>
          </cell>
          <cell r="AA295"/>
          <cell r="AB295">
            <v>43304</v>
          </cell>
          <cell r="AC295">
            <v>4534</v>
          </cell>
        </row>
        <row r="296">
          <cell r="B296">
            <v>4535</v>
          </cell>
          <cell r="C296" t="str">
            <v>XYA-ZZ007</v>
          </cell>
          <cell r="D296" t="str">
            <v>LINEN CREPE</v>
          </cell>
          <cell r="E296" t="str">
            <v>30*30 68*68</v>
          </cell>
          <cell r="F296" t="str">
            <v>V/L 91/9</v>
          </cell>
          <cell r="G296" t="str">
            <v>91% Viscose 9% Linen</v>
          </cell>
          <cell r="H296" t="str">
            <v>122CM</v>
          </cell>
          <cell r="I296">
            <v>155</v>
          </cell>
          <cell r="J296" t="str">
            <v>2.75/M</v>
          </cell>
          <cell r="K296"/>
          <cell r="L296">
            <v>2.8</v>
          </cell>
          <cell r="M296"/>
          <cell r="N296">
            <v>2.8</v>
          </cell>
          <cell r="O296"/>
          <cell r="P296"/>
          <cell r="Q296"/>
          <cell r="R296">
            <v>3.36</v>
          </cell>
          <cell r="S296"/>
          <cell r="T296"/>
          <cell r="U296"/>
          <cell r="V296">
            <v>15</v>
          </cell>
          <cell r="W296"/>
          <cell r="X296" t="str">
            <v>XINYU</v>
          </cell>
          <cell r="Y296" t="str">
            <v>machine wash cold, tumble dry gentle, warm iron, non-chlorine bleach, wash with like colors</v>
          </cell>
          <cell r="Z296" t="str">
            <v>FENG 20/7/18</v>
          </cell>
          <cell r="AA296"/>
          <cell r="AB296">
            <v>43301</v>
          </cell>
          <cell r="AC296">
            <v>4535</v>
          </cell>
        </row>
        <row r="297">
          <cell r="B297">
            <v>4528</v>
          </cell>
          <cell r="C297" t="str">
            <v>JH90952</v>
          </cell>
          <cell r="D297" t="str">
            <v xml:space="preserve">POLY SATEEN JACQUARD </v>
          </cell>
          <cell r="E297" t="str">
            <v>50D*75D/236*107</v>
          </cell>
          <cell r="F297" t="str">
            <v>T100%</v>
          </cell>
          <cell r="G297" t="str">
            <v>100%POLYESTER</v>
          </cell>
          <cell r="H297">
            <v>56</v>
          </cell>
          <cell r="I297">
            <v>92</v>
          </cell>
          <cell r="J297">
            <v>2.66</v>
          </cell>
          <cell r="K297">
            <v>3.05</v>
          </cell>
          <cell r="L297">
            <v>2.71</v>
          </cell>
          <cell r="M297">
            <v>3.1</v>
          </cell>
          <cell r="N297">
            <v>2.76</v>
          </cell>
          <cell r="O297">
            <v>3.15</v>
          </cell>
          <cell r="P297"/>
          <cell r="Q297"/>
          <cell r="R297"/>
          <cell r="S297"/>
          <cell r="T297"/>
          <cell r="U297"/>
          <cell r="V297">
            <v>15</v>
          </cell>
          <cell r="W297"/>
          <cell r="X297" t="str">
            <v>JH INTERNATIONAL (S)</v>
          </cell>
          <cell r="Y297"/>
          <cell r="Z297" t="str">
            <v>DAISY 20/7/18 JINGHONG TEXTILE</v>
          </cell>
          <cell r="AA297"/>
          <cell r="AB297">
            <v>43301</v>
          </cell>
          <cell r="AC297">
            <v>4528</v>
          </cell>
        </row>
        <row r="298">
          <cell r="B298">
            <v>4526</v>
          </cell>
          <cell r="C298" t="str">
            <v>SJ171192B</v>
          </cell>
          <cell r="D298" t="str">
            <v>*</v>
          </cell>
          <cell r="E298" t="str">
            <v>75D*150D</v>
          </cell>
          <cell r="F298" t="str">
            <v>T100%</v>
          </cell>
          <cell r="G298" t="str">
            <v xml:space="preserve">100% POLYESTER </v>
          </cell>
          <cell r="H298" t="str">
            <v>57/58</v>
          </cell>
          <cell r="I298">
            <v>165</v>
          </cell>
          <cell r="J298">
            <v>2.17</v>
          </cell>
          <cell r="K298">
            <v>2.4700000000000002</v>
          </cell>
          <cell r="L298">
            <v>2.2000000000000002</v>
          </cell>
          <cell r="M298">
            <v>2.5</v>
          </cell>
          <cell r="N298">
            <v>2.23</v>
          </cell>
          <cell r="O298">
            <v>2.5499999999999998</v>
          </cell>
          <cell r="P298"/>
          <cell r="Q298"/>
          <cell r="R298">
            <v>2.4500000000000002</v>
          </cell>
          <cell r="S298"/>
          <cell r="T298"/>
          <cell r="U298"/>
          <cell r="V298">
            <v>15</v>
          </cell>
          <cell r="W298"/>
          <cell r="X298" t="str">
            <v>GLORIA (S)</v>
          </cell>
          <cell r="Y298"/>
          <cell r="Z298" t="str">
            <v>GLORIA 20/7/18</v>
          </cell>
          <cell r="AA298"/>
          <cell r="AB298">
            <v>43301</v>
          </cell>
          <cell r="AC298">
            <v>4526</v>
          </cell>
        </row>
        <row r="299">
          <cell r="B299">
            <v>4540</v>
          </cell>
          <cell r="C299" t="str">
            <v>OLP-SP00841</v>
          </cell>
          <cell r="D299" t="str">
            <v>CDC for DMC( same AMW261 )</v>
          </cell>
          <cell r="E299" t="str">
            <v>20+26*75</v>
          </cell>
          <cell r="F299" t="str">
            <v>T100%</v>
          </cell>
          <cell r="G299" t="str">
            <v xml:space="preserve">100% POLYESTER </v>
          </cell>
          <cell r="H299" t="str">
            <v>57/58</v>
          </cell>
          <cell r="I299">
            <v>83</v>
          </cell>
          <cell r="J299">
            <v>1.24</v>
          </cell>
          <cell r="K299">
            <v>1.48</v>
          </cell>
          <cell r="L299">
            <v>1.26</v>
          </cell>
          <cell r="M299">
            <v>1.5</v>
          </cell>
          <cell r="N299">
            <v>1.27</v>
          </cell>
          <cell r="O299">
            <v>1.52</v>
          </cell>
          <cell r="P299"/>
          <cell r="Q299"/>
          <cell r="R299">
            <v>1.6</v>
          </cell>
          <cell r="S299">
            <v>1.83</v>
          </cell>
          <cell r="T299"/>
          <cell r="U299"/>
          <cell r="V299">
            <v>15</v>
          </cell>
          <cell r="W299"/>
          <cell r="X299" t="str">
            <v>OWEN</v>
          </cell>
          <cell r="Y299" t="str">
            <v>DMCARE-TRI-02</v>
          </cell>
          <cell r="Z299" t="str">
            <v>JOAN 19/7/18</v>
          </cell>
          <cell r="AA299"/>
          <cell r="AB299">
            <v>43300</v>
          </cell>
          <cell r="AC299">
            <v>4540</v>
          </cell>
        </row>
        <row r="300">
          <cell r="B300">
            <v>4533</v>
          </cell>
          <cell r="C300" t="str">
            <v>HQ9738C</v>
          </cell>
          <cell r="D300" t="str">
            <v>TWILL RAYON/ POLY BLEND</v>
          </cell>
          <cell r="E300" t="str">
            <v>20D+26D*60S</v>
          </cell>
          <cell r="F300" t="str">
            <v>T/R 54/46</v>
          </cell>
          <cell r="G300" t="str">
            <v>54%POLYESTER 46%RAYON</v>
          </cell>
          <cell r="H300" t="str">
            <v>57/58</v>
          </cell>
          <cell r="I300">
            <v>89</v>
          </cell>
          <cell r="J300">
            <v>1.82</v>
          </cell>
          <cell r="K300"/>
          <cell r="L300">
            <v>1.85</v>
          </cell>
          <cell r="M300"/>
          <cell r="N300">
            <v>1.87</v>
          </cell>
          <cell r="O300"/>
          <cell r="P300"/>
          <cell r="Q300"/>
          <cell r="R300">
            <v>1.92</v>
          </cell>
          <cell r="S300"/>
          <cell r="T300"/>
          <cell r="U300"/>
          <cell r="V300">
            <v>15</v>
          </cell>
          <cell r="W300" t="str">
            <v>THIS ITEM CAN'T DO PRINT</v>
          </cell>
          <cell r="X300" t="str">
            <v>HAOMAIER (S)</v>
          </cell>
          <cell r="Y300" t="str">
            <v>MACHINE WASH COLD</v>
          </cell>
          <cell r="Z300" t="str">
            <v>FIONA 19/7/18</v>
          </cell>
          <cell r="AA300"/>
          <cell r="AB300">
            <v>43300</v>
          </cell>
          <cell r="AC300">
            <v>4533</v>
          </cell>
        </row>
        <row r="301">
          <cell r="B301">
            <v>4531</v>
          </cell>
          <cell r="C301" t="str">
            <v>H3182-1</v>
          </cell>
          <cell r="D301" t="str">
            <v>POLY FAILLE</v>
          </cell>
          <cell r="E301" t="str">
            <v>50D*150D</v>
          </cell>
          <cell r="F301" t="str">
            <v>T100%</v>
          </cell>
          <cell r="G301" t="str">
            <v>100%POLYESTER</v>
          </cell>
          <cell r="H301" t="str">
            <v>57/58</v>
          </cell>
          <cell r="I301">
            <v>118</v>
          </cell>
          <cell r="J301">
            <v>1.59</v>
          </cell>
          <cell r="K301">
            <v>1.92</v>
          </cell>
          <cell r="L301">
            <v>1.62</v>
          </cell>
          <cell r="M301">
            <v>1.95</v>
          </cell>
          <cell r="N301">
            <v>1.64</v>
          </cell>
          <cell r="O301">
            <v>1.97</v>
          </cell>
          <cell r="P301"/>
          <cell r="Q301"/>
          <cell r="R301">
            <v>1.69</v>
          </cell>
          <cell r="S301">
            <v>2.02</v>
          </cell>
          <cell r="T301"/>
          <cell r="U301"/>
          <cell r="V301">
            <v>15</v>
          </cell>
          <cell r="W301"/>
          <cell r="X301" t="str">
            <v>HAOMAIER (S)</v>
          </cell>
          <cell r="Y301" t="str">
            <v>MACHINE WASH WARM</v>
          </cell>
          <cell r="Z301" t="str">
            <v>FIONA 19/7/18</v>
          </cell>
          <cell r="AA301"/>
          <cell r="AB301">
            <v>43300</v>
          </cell>
          <cell r="AC301">
            <v>4531</v>
          </cell>
        </row>
        <row r="302">
          <cell r="B302">
            <v>4529</v>
          </cell>
          <cell r="C302" t="str">
            <v>HTT002</v>
          </cell>
          <cell r="D302" t="str">
            <v>POLY</v>
          </cell>
          <cell r="E302" t="str">
            <v>50D+50D*50D+50D*40D</v>
          </cell>
          <cell r="F302" t="str">
            <v>T/S 97/3</v>
          </cell>
          <cell r="G302" t="str">
            <v>97%POLYESTER 3%SPANDEX</v>
          </cell>
          <cell r="H302" t="str">
            <v>57/58</v>
          </cell>
          <cell r="I302">
            <v>178</v>
          </cell>
          <cell r="J302">
            <v>2.37</v>
          </cell>
          <cell r="K302">
            <v>2.71</v>
          </cell>
          <cell r="L302">
            <v>2.4</v>
          </cell>
          <cell r="M302">
            <v>2.74</v>
          </cell>
          <cell r="N302">
            <v>2.42</v>
          </cell>
          <cell r="O302">
            <v>2.76</v>
          </cell>
          <cell r="P302"/>
          <cell r="Q302"/>
          <cell r="R302">
            <v>2.4700000000000002</v>
          </cell>
          <cell r="S302">
            <v>2.81</v>
          </cell>
          <cell r="T302"/>
          <cell r="U302"/>
          <cell r="V302">
            <v>15</v>
          </cell>
          <cell r="W302"/>
          <cell r="X302" t="str">
            <v>HAOMAIER (S)</v>
          </cell>
          <cell r="Y302" t="str">
            <v>MACHINE WASH COLD</v>
          </cell>
          <cell r="Z302" t="str">
            <v>FIONA 19/7/18</v>
          </cell>
          <cell r="AA302"/>
          <cell r="AB302">
            <v>43300</v>
          </cell>
          <cell r="AC302">
            <v>4529</v>
          </cell>
        </row>
        <row r="303">
          <cell r="B303">
            <v>4527</v>
          </cell>
          <cell r="C303" t="str">
            <v>HH-17499</v>
          </cell>
          <cell r="D303" t="str">
            <v>TAILORING - CATONIC</v>
          </cell>
          <cell r="E303"/>
          <cell r="F303" t="str">
            <v>T/R/SP 88/8/4</v>
          </cell>
          <cell r="G303" t="str">
            <v>88%POLYESTER 8%RAYON 4%SPANDEX</v>
          </cell>
          <cell r="H303" t="str">
            <v>57/58</v>
          </cell>
          <cell r="I303">
            <v>210</v>
          </cell>
          <cell r="J303">
            <v>2.9</v>
          </cell>
          <cell r="K303"/>
          <cell r="L303">
            <v>2.92</v>
          </cell>
          <cell r="M303"/>
          <cell r="N303">
            <v>2.92</v>
          </cell>
          <cell r="O303"/>
          <cell r="P303">
            <v>3.05</v>
          </cell>
          <cell r="Q303"/>
          <cell r="R303">
            <v>3.05</v>
          </cell>
          <cell r="S303"/>
          <cell r="T303"/>
          <cell r="U303"/>
          <cell r="V303"/>
          <cell r="W303"/>
          <cell r="X303" t="str">
            <v>GAIL (S)</v>
          </cell>
          <cell r="Y303"/>
          <cell r="Z303" t="str">
            <v>GAIL 16/7/18 ( HONGHAO TEXTILE )</v>
          </cell>
          <cell r="AA303"/>
          <cell r="AB303">
            <v>43297</v>
          </cell>
          <cell r="AC303">
            <v>4527</v>
          </cell>
        </row>
        <row r="304">
          <cell r="B304">
            <v>4525</v>
          </cell>
          <cell r="C304" t="str">
            <v>D-1709</v>
          </cell>
          <cell r="D304" t="str">
            <v>*</v>
          </cell>
          <cell r="E304" t="str">
            <v>60S*60S</v>
          </cell>
          <cell r="F304" t="str">
            <v>T100%</v>
          </cell>
          <cell r="G304" t="str">
            <v>100% POLYESTER</v>
          </cell>
          <cell r="H304" t="str">
            <v>56/57</v>
          </cell>
          <cell r="I304">
            <v>85</v>
          </cell>
          <cell r="J304">
            <v>1.89</v>
          </cell>
          <cell r="K304">
            <v>2.2999999999999998</v>
          </cell>
          <cell r="L304">
            <v>1.92</v>
          </cell>
          <cell r="M304">
            <v>2.33</v>
          </cell>
          <cell r="N304">
            <v>1.94</v>
          </cell>
          <cell r="O304">
            <v>2.35</v>
          </cell>
          <cell r="P304"/>
          <cell r="Q304"/>
          <cell r="R304">
            <v>1.99</v>
          </cell>
          <cell r="S304">
            <v>2.4</v>
          </cell>
          <cell r="T304"/>
          <cell r="U304"/>
          <cell r="V304">
            <v>15</v>
          </cell>
          <cell r="W304" t="str">
            <v>HAND WASH COLD</v>
          </cell>
          <cell r="X304" t="str">
            <v>HAOMAIER (S)</v>
          </cell>
          <cell r="Y304"/>
          <cell r="Z304" t="str">
            <v>FIONA 14/7/18</v>
          </cell>
          <cell r="AA304"/>
          <cell r="AB304">
            <v>43295</v>
          </cell>
          <cell r="AC304">
            <v>4525</v>
          </cell>
        </row>
        <row r="305">
          <cell r="B305">
            <v>4524</v>
          </cell>
          <cell r="C305" t="str">
            <v>HZW151560</v>
          </cell>
          <cell r="D305" t="str">
            <v>*</v>
          </cell>
          <cell r="E305" t="str">
            <v>15D+15D*60S</v>
          </cell>
          <cell r="F305" t="str">
            <v>T100%</v>
          </cell>
          <cell r="G305" t="str">
            <v>100% POLYESTER</v>
          </cell>
          <cell r="H305" t="str">
            <v>57/58</v>
          </cell>
          <cell r="I305">
            <v>64</v>
          </cell>
          <cell r="J305">
            <v>1.84</v>
          </cell>
          <cell r="K305">
            <v>2.16</v>
          </cell>
          <cell r="L305">
            <v>1.87</v>
          </cell>
          <cell r="M305">
            <v>2.19</v>
          </cell>
          <cell r="N305">
            <v>1.89</v>
          </cell>
          <cell r="O305">
            <v>2.21</v>
          </cell>
          <cell r="P305"/>
          <cell r="Q305"/>
          <cell r="R305">
            <v>1.94</v>
          </cell>
          <cell r="S305">
            <v>2.2599999999999998</v>
          </cell>
          <cell r="T305"/>
          <cell r="U305"/>
          <cell r="V305">
            <v>15</v>
          </cell>
          <cell r="W305" t="str">
            <v>HAND WASH WARM</v>
          </cell>
          <cell r="X305" t="str">
            <v>HAOMAIER (S)</v>
          </cell>
          <cell r="Y305"/>
          <cell r="Z305" t="str">
            <v>FIONA 14/7/18</v>
          </cell>
          <cell r="AA305"/>
          <cell r="AB305">
            <v>43295</v>
          </cell>
          <cell r="AC305">
            <v>4524</v>
          </cell>
        </row>
        <row r="306">
          <cell r="B306">
            <v>4523</v>
          </cell>
          <cell r="C306" t="str">
            <v>CS0492</v>
          </cell>
          <cell r="D306" t="str">
            <v>COTTON SATEEN *</v>
          </cell>
          <cell r="E306" t="str">
            <v>32X32+40D/190X80</v>
          </cell>
          <cell r="F306" t="str">
            <v>C/S 97/3</v>
          </cell>
          <cell r="G306" t="str">
            <v>97%COTTON3%SPANDEX</v>
          </cell>
          <cell r="H306" t="str">
            <v>57/58</v>
          </cell>
          <cell r="I306" t="str">
            <v>200GSM</v>
          </cell>
          <cell r="J306">
            <v>2.2999999999999998</v>
          </cell>
          <cell r="K306">
            <v>2.56</v>
          </cell>
          <cell r="L306">
            <v>2.35</v>
          </cell>
          <cell r="M306">
            <v>2.7</v>
          </cell>
          <cell r="N306">
            <v>2.41</v>
          </cell>
          <cell r="O306">
            <v>2.93</v>
          </cell>
          <cell r="P306"/>
          <cell r="Q306"/>
          <cell r="R306">
            <v>2.82</v>
          </cell>
          <cell r="S306">
            <v>3.86</v>
          </cell>
          <cell r="T306"/>
          <cell r="U306"/>
          <cell r="V306">
            <v>15</v>
          </cell>
          <cell r="W306"/>
          <cell r="X306" t="str">
            <v>SONG LI</v>
          </cell>
          <cell r="Y306"/>
          <cell r="Z306" t="str">
            <v>SONG 14/7</v>
          </cell>
          <cell r="AA306"/>
          <cell r="AB306">
            <v>43295</v>
          </cell>
          <cell r="AC306">
            <v>4523</v>
          </cell>
        </row>
        <row r="307">
          <cell r="B307">
            <v>4522</v>
          </cell>
          <cell r="C307" t="str">
            <v>CS1820</v>
          </cell>
          <cell r="D307" t="str">
            <v>COTTON SATEEN *</v>
          </cell>
          <cell r="E307" t="str">
            <v>32X32+40D/190X70</v>
          </cell>
          <cell r="F307" t="str">
            <v>C/S 97/3</v>
          </cell>
          <cell r="G307" t="str">
            <v>97%COTTON3%SPANDEX</v>
          </cell>
          <cell r="H307" t="str">
            <v>57/58</v>
          </cell>
          <cell r="I307" t="str">
            <v>190GSM</v>
          </cell>
          <cell r="J307">
            <v>2.16</v>
          </cell>
          <cell r="K307">
            <v>2.42</v>
          </cell>
          <cell r="L307">
            <v>2.2200000000000002</v>
          </cell>
          <cell r="M307">
            <v>255</v>
          </cell>
          <cell r="N307">
            <v>2.27</v>
          </cell>
          <cell r="O307">
            <v>2.78</v>
          </cell>
          <cell r="P307"/>
          <cell r="Q307"/>
          <cell r="R307">
            <v>2.68</v>
          </cell>
          <cell r="S307">
            <v>3.75</v>
          </cell>
          <cell r="T307"/>
          <cell r="U307"/>
          <cell r="V307">
            <v>15</v>
          </cell>
          <cell r="W307"/>
          <cell r="X307" t="str">
            <v>SONG LI</v>
          </cell>
          <cell r="Y307"/>
          <cell r="Z307" t="str">
            <v>SONG 14/7</v>
          </cell>
          <cell r="AA307"/>
          <cell r="AB307">
            <v>43295</v>
          </cell>
          <cell r="AC307">
            <v>4522</v>
          </cell>
        </row>
        <row r="308">
          <cell r="B308">
            <v>4521</v>
          </cell>
          <cell r="C308" t="str">
            <v>CS1819</v>
          </cell>
          <cell r="D308" t="str">
            <v>COTTON SATEEN *</v>
          </cell>
          <cell r="E308" t="str">
            <v>32X32+40D/173X74</v>
          </cell>
          <cell r="F308" t="str">
            <v>C/S 97/3</v>
          </cell>
          <cell r="G308" t="str">
            <v xml:space="preserve">97%COTTON3%SPANDEX </v>
          </cell>
          <cell r="H308" t="str">
            <v>57/58</v>
          </cell>
          <cell r="I308" t="str">
            <v>165GSM</v>
          </cell>
          <cell r="J308">
            <v>2.0499999999999998</v>
          </cell>
          <cell r="K308">
            <v>2.3199999999999998</v>
          </cell>
          <cell r="L308">
            <v>2.11</v>
          </cell>
          <cell r="M308">
            <v>2.4500000000000002</v>
          </cell>
          <cell r="N308">
            <v>2.16</v>
          </cell>
          <cell r="O308">
            <v>2.68</v>
          </cell>
          <cell r="P308"/>
          <cell r="Q308"/>
          <cell r="R308">
            <v>2.58</v>
          </cell>
          <cell r="S308">
            <v>3.62</v>
          </cell>
          <cell r="T308"/>
          <cell r="U308"/>
          <cell r="V308">
            <v>15</v>
          </cell>
          <cell r="W308"/>
          <cell r="X308" t="str">
            <v>SONG LI</v>
          </cell>
          <cell r="Y308"/>
          <cell r="Z308" t="str">
            <v>SONG 14/7</v>
          </cell>
          <cell r="AA308"/>
          <cell r="AB308">
            <v>43295</v>
          </cell>
          <cell r="AC308">
            <v>4521</v>
          </cell>
        </row>
        <row r="309">
          <cell r="B309">
            <v>3694</v>
          </cell>
          <cell r="C309" t="str">
            <v>CS1522</v>
          </cell>
          <cell r="D309" t="str">
            <v>COTTON SATEEN</v>
          </cell>
          <cell r="E309" t="str">
            <v xml:space="preserve">32X16+70D/130X60 </v>
          </cell>
          <cell r="F309" t="str">
            <v>C/S 97/3</v>
          </cell>
          <cell r="G309" t="str">
            <v xml:space="preserve">97%COTTON3%SPANDEX </v>
          </cell>
          <cell r="H309" t="str">
            <v>57/58</v>
          </cell>
          <cell r="I309" t="str">
            <v xml:space="preserve">235GSM </v>
          </cell>
          <cell r="J309">
            <v>2.36</v>
          </cell>
          <cell r="K309">
            <v>2.62</v>
          </cell>
          <cell r="L309">
            <v>2.41</v>
          </cell>
          <cell r="M309">
            <v>2.75</v>
          </cell>
          <cell r="N309">
            <v>2.46</v>
          </cell>
          <cell r="O309">
            <v>2.98</v>
          </cell>
          <cell r="P309"/>
          <cell r="Q309"/>
          <cell r="R309">
            <v>2.88</v>
          </cell>
          <cell r="S309">
            <v>3.92</v>
          </cell>
          <cell r="T309"/>
          <cell r="U309"/>
          <cell r="V309">
            <v>15</v>
          </cell>
          <cell r="W309"/>
          <cell r="X309" t="str">
            <v>SONG LI</v>
          </cell>
          <cell r="Y309"/>
          <cell r="Z309" t="str">
            <v>SONG 14/7</v>
          </cell>
          <cell r="AA309"/>
          <cell r="AB309">
            <v>43295</v>
          </cell>
          <cell r="AC309">
            <v>3694</v>
          </cell>
        </row>
        <row r="310">
          <cell r="B310">
            <v>3353</v>
          </cell>
          <cell r="C310" t="str">
            <v>XP116</v>
          </cell>
          <cell r="D310" t="str">
            <v>CHEMICAL LACE</v>
          </cell>
          <cell r="E310"/>
          <cell r="F310" t="str">
            <v>T100%</v>
          </cell>
          <cell r="G310" t="str">
            <v>100% POLYESTER</v>
          </cell>
          <cell r="H310" t="str">
            <v>120CM</v>
          </cell>
          <cell r="I310">
            <v>252</v>
          </cell>
          <cell r="J310">
            <v>5.6</v>
          </cell>
          <cell r="K310"/>
          <cell r="L310">
            <v>5.6</v>
          </cell>
          <cell r="M310"/>
          <cell r="N310">
            <v>5.7</v>
          </cell>
          <cell r="O310"/>
          <cell r="P310"/>
          <cell r="Q310"/>
          <cell r="R310">
            <v>5.7</v>
          </cell>
          <cell r="S310"/>
          <cell r="T310"/>
          <cell r="U310"/>
          <cell r="V310"/>
          <cell r="W310"/>
          <cell r="X310" t="str">
            <v>ANGELA</v>
          </cell>
          <cell r="Y310"/>
          <cell r="Z310" t="str">
            <v>ANGELA 11/7/18</v>
          </cell>
          <cell r="AA310"/>
          <cell r="AB310">
            <v>43292</v>
          </cell>
          <cell r="AC310">
            <v>3353</v>
          </cell>
        </row>
        <row r="311">
          <cell r="B311">
            <v>4609</v>
          </cell>
          <cell r="C311" t="str">
            <v>ST-W8092</v>
          </cell>
          <cell r="D311" t="str">
            <v>HEAVY CREPE</v>
          </cell>
          <cell r="E311" t="str">
            <v>（68+50）*（68+50）</v>
          </cell>
          <cell r="F311" t="str">
            <v>T100%</v>
          </cell>
          <cell r="G311" t="str">
            <v>100% POLYESTER</v>
          </cell>
          <cell r="H311" t="str">
            <v>57/58</v>
          </cell>
          <cell r="I311">
            <v>146</v>
          </cell>
          <cell r="J311">
            <v>1.31</v>
          </cell>
          <cell r="K311">
            <v>1.56</v>
          </cell>
          <cell r="L311">
            <v>1.32</v>
          </cell>
          <cell r="M311">
            <v>1.57</v>
          </cell>
          <cell r="N311">
            <v>1.33</v>
          </cell>
          <cell r="O311">
            <v>1.58</v>
          </cell>
          <cell r="P311">
            <v>1.45</v>
          </cell>
          <cell r="Q311">
            <v>1.7</v>
          </cell>
          <cell r="R311"/>
          <cell r="S311"/>
          <cell r="T311"/>
          <cell r="U311"/>
          <cell r="V311"/>
          <cell r="W311"/>
          <cell r="X311" t="str">
            <v>SIGER</v>
          </cell>
          <cell r="Y311"/>
          <cell r="Z311" t="str">
            <v>CARA 9/7/18</v>
          </cell>
          <cell r="AA311"/>
          <cell r="AB311">
            <v>43290</v>
          </cell>
          <cell r="AC311">
            <v>4609</v>
          </cell>
        </row>
        <row r="312">
          <cell r="B312">
            <v>4519</v>
          </cell>
          <cell r="C312" t="str">
            <v xml:space="preserve">GMXS7345  </v>
          </cell>
          <cell r="D312" t="str">
            <v>STRETCH W/ DOBBLY - TAILORING</v>
          </cell>
          <cell r="E312" t="str">
            <v xml:space="preserve">70D+40DX13+150D127X81 </v>
          </cell>
          <cell r="F312" t="str">
            <v>R/N/S/T 61/30/5/4</v>
          </cell>
          <cell r="G312" t="str">
            <v>61% RAYON 30% NYLON 5% SPANDEX 4% POLY</v>
          </cell>
          <cell r="H312" t="str">
            <v xml:space="preserve"> 55CW</v>
          </cell>
          <cell r="I312" t="str">
            <v>225gsm</v>
          </cell>
          <cell r="J312">
            <v>2.81</v>
          </cell>
          <cell r="K312"/>
          <cell r="L312">
            <v>2.83</v>
          </cell>
          <cell r="M312"/>
          <cell r="N312">
            <v>2.83</v>
          </cell>
          <cell r="O312"/>
          <cell r="P312"/>
          <cell r="Q312"/>
          <cell r="R312">
            <v>3.08</v>
          </cell>
          <cell r="S312"/>
          <cell r="T312"/>
          <cell r="U312"/>
          <cell r="V312"/>
          <cell r="W312" t="str">
            <v>bulk lead time is 45days</v>
          </cell>
          <cell r="X312" t="str">
            <v>CAROL  (S)</v>
          </cell>
          <cell r="Y312"/>
          <cell r="Z312" t="str">
            <v>CAROL 9/7/18</v>
          </cell>
          <cell r="AA312"/>
          <cell r="AB312">
            <v>43290</v>
          </cell>
          <cell r="AC312">
            <v>4519</v>
          </cell>
        </row>
        <row r="313">
          <cell r="B313">
            <v>4516</v>
          </cell>
          <cell r="C313" t="str">
            <v>OLP-SP00755</v>
          </cell>
          <cell r="D313" t="str">
            <v>CDC for SEARS</v>
          </cell>
          <cell r="E313" t="str">
            <v>20+26*75</v>
          </cell>
          <cell r="F313" t="str">
            <v>T100%</v>
          </cell>
          <cell r="G313" t="str">
            <v xml:space="preserve">100% POLYESTER </v>
          </cell>
          <cell r="H313" t="str">
            <v>57/58</v>
          </cell>
          <cell r="I313">
            <v>83</v>
          </cell>
          <cell r="J313">
            <v>1</v>
          </cell>
          <cell r="K313">
            <v>1.2</v>
          </cell>
          <cell r="L313">
            <v>1</v>
          </cell>
          <cell r="M313">
            <v>1.2</v>
          </cell>
          <cell r="N313">
            <v>1</v>
          </cell>
          <cell r="O313">
            <v>1.2</v>
          </cell>
          <cell r="P313"/>
          <cell r="Q313"/>
          <cell r="R313">
            <v>1.2</v>
          </cell>
          <cell r="S313">
            <v>1.65</v>
          </cell>
          <cell r="T313"/>
          <cell r="U313"/>
          <cell r="V313">
            <v>15</v>
          </cell>
          <cell r="W313" t="str">
            <v>THIS PRICE IS FOR KMART AND SEAR AUSTRALIA ONLY</v>
          </cell>
          <cell r="X313" t="str">
            <v>OWEN</v>
          </cell>
          <cell r="Y313" t="str">
            <v>DMCARE-TRI-02</v>
          </cell>
          <cell r="Z313" t="str">
            <v>JOAN 6/7/18</v>
          </cell>
          <cell r="AA313"/>
          <cell r="AB313">
            <v>43287</v>
          </cell>
          <cell r="AC313">
            <v>4516</v>
          </cell>
        </row>
        <row r="314">
          <cell r="B314">
            <v>4515</v>
          </cell>
          <cell r="C314" t="str">
            <v>BG3015</v>
          </cell>
          <cell r="D314" t="str">
            <v>COTTON VOILE</v>
          </cell>
          <cell r="E314" t="str">
            <v>80S*80S/90*88</v>
          </cell>
          <cell r="F314" t="str">
            <v>C100%</v>
          </cell>
          <cell r="G314" t="str">
            <v>100% COTTON</v>
          </cell>
          <cell r="H314" t="str">
            <v>53/54</v>
          </cell>
          <cell r="I314">
            <v>55</v>
          </cell>
          <cell r="J314" t="str">
            <v>$1.57</v>
          </cell>
          <cell r="K314">
            <v>1.85</v>
          </cell>
          <cell r="L314">
            <v>1.59</v>
          </cell>
          <cell r="M314">
            <v>1.9</v>
          </cell>
          <cell r="N314">
            <v>1.6</v>
          </cell>
          <cell r="O314">
            <v>1.95</v>
          </cell>
          <cell r="P314"/>
          <cell r="Q314"/>
          <cell r="R314">
            <v>2.0499999999999998</v>
          </cell>
          <cell r="S314">
            <v>2.65</v>
          </cell>
          <cell r="T314"/>
          <cell r="U314"/>
          <cell r="V314">
            <v>15</v>
          </cell>
          <cell r="W314"/>
          <cell r="X314" t="str">
            <v>EDWIN</v>
          </cell>
          <cell r="Y314"/>
          <cell r="Z314" t="str">
            <v>EDWIN 4/7/18 BY WECHAT</v>
          </cell>
          <cell r="AA314"/>
          <cell r="AB314">
            <v>43285</v>
          </cell>
          <cell r="AC314">
            <v>4332</v>
          </cell>
        </row>
        <row r="315">
          <cell r="B315">
            <v>4514</v>
          </cell>
          <cell r="C315" t="str">
            <v>BG3953</v>
          </cell>
          <cell r="D315" t="str">
            <v>COTTON VOILE</v>
          </cell>
          <cell r="E315" t="str">
            <v>60S*60S/90*88</v>
          </cell>
          <cell r="F315" t="str">
            <v>C100%</v>
          </cell>
          <cell r="G315" t="str">
            <v>100% COTTON</v>
          </cell>
          <cell r="H315" t="str">
            <v>53/54</v>
          </cell>
          <cell r="I315">
            <v>72</v>
          </cell>
          <cell r="J315" t="str">
            <v>$1.53</v>
          </cell>
          <cell r="K315">
            <v>1.8</v>
          </cell>
          <cell r="L315">
            <v>1.54</v>
          </cell>
          <cell r="M315">
            <v>1.85</v>
          </cell>
          <cell r="N315">
            <v>1.55</v>
          </cell>
          <cell r="O315">
            <v>1.9</v>
          </cell>
          <cell r="P315"/>
          <cell r="Q315"/>
          <cell r="R315">
            <v>2</v>
          </cell>
          <cell r="S315">
            <v>2.6</v>
          </cell>
          <cell r="T315"/>
          <cell r="U315"/>
          <cell r="V315">
            <v>15</v>
          </cell>
          <cell r="W315"/>
          <cell r="X315" t="str">
            <v>EDWIN</v>
          </cell>
          <cell r="Y315"/>
          <cell r="Z315" t="str">
            <v>EDWIN 4/7/18 BY WECHAT</v>
          </cell>
          <cell r="AA315"/>
          <cell r="AB315">
            <v>43285</v>
          </cell>
          <cell r="AC315">
            <v>4331</v>
          </cell>
        </row>
        <row r="316">
          <cell r="B316">
            <v>4513</v>
          </cell>
          <cell r="C316" t="str">
            <v>BG1272</v>
          </cell>
          <cell r="D316" t="str">
            <v>COTTON VOILE</v>
          </cell>
          <cell r="E316" t="str">
            <v>60S*60S/90*88</v>
          </cell>
          <cell r="F316" t="str">
            <v>C100%</v>
          </cell>
          <cell r="G316" t="str">
            <v>100% COTTON</v>
          </cell>
          <cell r="H316" t="str">
            <v>53/54</v>
          </cell>
          <cell r="I316">
            <v>70</v>
          </cell>
          <cell r="J316" t="str">
            <v>$1.17</v>
          </cell>
          <cell r="K316" t="str">
            <v>$1.45</v>
          </cell>
          <cell r="L316" t="str">
            <v>$1.19</v>
          </cell>
          <cell r="M316" t="str">
            <v>$1.50</v>
          </cell>
          <cell r="N316" t="str">
            <v>$1.20</v>
          </cell>
          <cell r="O316" t="str">
            <v>$1.55</v>
          </cell>
          <cell r="P316"/>
          <cell r="Q316"/>
          <cell r="R316" t="str">
            <v>$1.40</v>
          </cell>
          <cell r="S316" t="str">
            <v>$2.00</v>
          </cell>
          <cell r="T316"/>
          <cell r="U316"/>
          <cell r="V316">
            <v>15</v>
          </cell>
          <cell r="W316"/>
          <cell r="X316" t="str">
            <v>EDWIN</v>
          </cell>
          <cell r="Y316"/>
          <cell r="Z316" t="str">
            <v>EDWIN 4/7/18 BY WECHAT</v>
          </cell>
          <cell r="AA316"/>
          <cell r="AB316">
            <v>43285</v>
          </cell>
          <cell r="AC316">
            <v>4334</v>
          </cell>
        </row>
        <row r="317">
          <cell r="B317">
            <v>4512</v>
          </cell>
          <cell r="C317" t="str">
            <v>BG3525</v>
          </cell>
          <cell r="D317" t="str">
            <v>COTTON VOILE</v>
          </cell>
          <cell r="E317" t="str">
            <v>60S*60S/70*70</v>
          </cell>
          <cell r="F317" t="str">
            <v>C100%</v>
          </cell>
          <cell r="G317" t="str">
            <v>100% COTTON</v>
          </cell>
          <cell r="H317" t="str">
            <v>53/54</v>
          </cell>
          <cell r="I317">
            <v>60</v>
          </cell>
          <cell r="J317" t="str">
            <v>$1.12</v>
          </cell>
          <cell r="K317" t="str">
            <v>$1.40</v>
          </cell>
          <cell r="L317" t="str">
            <v>$1.14</v>
          </cell>
          <cell r="M317" t="str">
            <v>$1.45</v>
          </cell>
          <cell r="N317" t="str">
            <v>$1.15</v>
          </cell>
          <cell r="O317" t="str">
            <v>$1.50</v>
          </cell>
          <cell r="P317"/>
          <cell r="Q317"/>
          <cell r="R317" t="str">
            <v>$1.35</v>
          </cell>
          <cell r="S317" t="str">
            <v>$1.95</v>
          </cell>
          <cell r="T317"/>
          <cell r="U317"/>
          <cell r="V317">
            <v>15</v>
          </cell>
          <cell r="W317"/>
          <cell r="X317" t="str">
            <v>EDWIN</v>
          </cell>
          <cell r="Y317"/>
          <cell r="Z317" t="str">
            <v>EDWIN 4/7/18 BY WECHAT</v>
          </cell>
          <cell r="AA317"/>
          <cell r="AB317">
            <v>43285</v>
          </cell>
          <cell r="AC317">
            <v>4333</v>
          </cell>
        </row>
        <row r="318">
          <cell r="B318">
            <v>4328</v>
          </cell>
          <cell r="C318" t="str">
            <v>TPS09009</v>
          </cell>
          <cell r="D318" t="str">
            <v>PLEATED CREPE</v>
          </cell>
          <cell r="E318" t="str">
            <v>75Dx75D</v>
          </cell>
          <cell r="F318" t="str">
            <v>T100%</v>
          </cell>
          <cell r="G318" t="str">
            <v>100% POLYESTER</v>
          </cell>
          <cell r="H318" t="str">
            <v>57/58</v>
          </cell>
          <cell r="I318" t="str">
            <v>105GSM before pleating</v>
          </cell>
          <cell r="J318">
            <v>3.8</v>
          </cell>
          <cell r="K318">
            <v>4.45</v>
          </cell>
          <cell r="L318">
            <v>3.83</v>
          </cell>
          <cell r="M318">
            <v>4.5</v>
          </cell>
          <cell r="N318">
            <v>3.85</v>
          </cell>
          <cell r="O318">
            <v>4.5599999999999996</v>
          </cell>
          <cell r="P318"/>
          <cell r="Q318">
            <v>4</v>
          </cell>
          <cell r="R318">
            <v>4</v>
          </cell>
          <cell r="S318">
            <v>5.2</v>
          </cell>
          <cell r="T318"/>
          <cell r="U318"/>
          <cell r="V318">
            <v>15</v>
          </cell>
          <cell r="W318"/>
          <cell r="X318" t="str">
            <v>JERREY</v>
          </cell>
          <cell r="Y318"/>
          <cell r="Z318" t="str">
            <v>JEFFREY 4/7/18</v>
          </cell>
          <cell r="AA318"/>
          <cell r="AB318">
            <v>43285</v>
          </cell>
          <cell r="AC318">
            <v>4328</v>
          </cell>
        </row>
        <row r="319">
          <cell r="B319">
            <v>3457</v>
          </cell>
          <cell r="C319" t="str">
            <v>FY-569</v>
          </cell>
          <cell r="D319" t="str">
            <v>LINEN</v>
          </cell>
          <cell r="E319"/>
          <cell r="F319" t="str">
            <v>R/LINEN 70/30</v>
          </cell>
          <cell r="G319" t="str">
            <v>70% RAYON 30% LINEN  WASHED</v>
          </cell>
          <cell r="H319" t="str">
            <v>51/52</v>
          </cell>
          <cell r="I319" t="str">
            <v>205GSM</v>
          </cell>
          <cell r="J319">
            <v>2.61</v>
          </cell>
          <cell r="K319">
            <v>3.2</v>
          </cell>
          <cell r="L319">
            <v>2.68</v>
          </cell>
          <cell r="M319">
            <v>3.25</v>
          </cell>
          <cell r="N319">
            <v>2.68</v>
          </cell>
          <cell r="O319">
            <v>3.25</v>
          </cell>
          <cell r="P319"/>
          <cell r="Q319"/>
          <cell r="R319">
            <v>3.03</v>
          </cell>
          <cell r="S319">
            <v>3.65</v>
          </cell>
          <cell r="T319"/>
          <cell r="U319"/>
          <cell r="V319">
            <v>15</v>
          </cell>
          <cell r="W319" t="str">
            <v>price in print price column  is for y/d</v>
          </cell>
          <cell r="X319" t="str">
            <v>LIVALTEX</v>
          </cell>
          <cell r="Y319"/>
          <cell r="Z319" t="str">
            <v>CANDY 4/7/18</v>
          </cell>
          <cell r="AA319"/>
          <cell r="AB319">
            <v>43285</v>
          </cell>
          <cell r="AC319">
            <v>4329</v>
          </cell>
        </row>
        <row r="320">
          <cell r="B320">
            <v>934</v>
          </cell>
          <cell r="C320" t="str">
            <v>R011</v>
          </cell>
          <cell r="D320" t="str">
            <v>CRINKLE RAYON</v>
          </cell>
          <cell r="E320" t="str">
            <v>30*24</v>
          </cell>
          <cell r="F320" t="str">
            <v>R100%</v>
          </cell>
          <cell r="G320" t="str">
            <v>100%RAYON</v>
          </cell>
          <cell r="H320" t="str">
            <v>50/51</v>
          </cell>
          <cell r="I320">
            <v>135</v>
          </cell>
          <cell r="J320">
            <v>1.3</v>
          </cell>
          <cell r="K320">
            <v>1.57</v>
          </cell>
          <cell r="L320">
            <v>1.32</v>
          </cell>
          <cell r="M320">
            <v>1.65</v>
          </cell>
          <cell r="N320">
            <v>1.37</v>
          </cell>
          <cell r="O320">
            <v>1.69</v>
          </cell>
          <cell r="P320"/>
          <cell r="Q320"/>
          <cell r="R320">
            <v>1.45</v>
          </cell>
          <cell r="S320">
            <v>2.1800000000000002</v>
          </cell>
          <cell r="T320"/>
          <cell r="U320"/>
          <cell r="V320">
            <v>15</v>
          </cell>
          <cell r="W320"/>
          <cell r="X320" t="str">
            <v>TERESA</v>
          </cell>
          <cell r="Y320"/>
          <cell r="Z320" t="str">
            <v>TERESA 4/7/18</v>
          </cell>
          <cell r="AA320"/>
          <cell r="AB320">
            <v>43285</v>
          </cell>
          <cell r="AC320">
            <v>4330</v>
          </cell>
        </row>
        <row r="321">
          <cell r="B321">
            <v>4510</v>
          </cell>
          <cell r="C321" t="str">
            <v>OLP-SP00630</v>
          </cell>
          <cell r="D321" t="str">
            <v>TWILL - TAILORING</v>
          </cell>
          <cell r="E321" t="str">
            <v>32*21</v>
          </cell>
          <cell r="F321" t="str">
            <v>C/R 53/47</v>
          </cell>
          <cell r="G321" t="str">
            <v>53% COTTON 47% RAYON</v>
          </cell>
          <cell r="H321" t="str">
            <v>55/56</v>
          </cell>
          <cell r="I321">
            <v>180</v>
          </cell>
          <cell r="J321">
            <v>2.34</v>
          </cell>
          <cell r="K321">
            <v>2.6</v>
          </cell>
          <cell r="L321">
            <v>2.39</v>
          </cell>
          <cell r="M321">
            <v>2.65</v>
          </cell>
          <cell r="N321">
            <v>2.44</v>
          </cell>
          <cell r="O321">
            <v>2.7</v>
          </cell>
          <cell r="P321"/>
          <cell r="Q321"/>
          <cell r="R321">
            <v>2.8</v>
          </cell>
          <cell r="S321">
            <v>3.1</v>
          </cell>
          <cell r="T321"/>
          <cell r="U321"/>
          <cell r="V321"/>
          <cell r="W321"/>
          <cell r="X321" t="str">
            <v>OWEN</v>
          </cell>
          <cell r="Y321"/>
          <cell r="Z321" t="str">
            <v>JOAN 3/7/18</v>
          </cell>
          <cell r="AA321"/>
          <cell r="AB321">
            <v>43284</v>
          </cell>
          <cell r="AC321">
            <v>4338</v>
          </cell>
        </row>
        <row r="322">
          <cell r="B322">
            <v>4509</v>
          </cell>
          <cell r="C322" t="str">
            <v>OLP-SP00741</v>
          </cell>
          <cell r="D322" t="str">
            <v>POLY</v>
          </cell>
          <cell r="E322"/>
          <cell r="F322" t="str">
            <v>T100%</v>
          </cell>
          <cell r="G322" t="str">
            <v>100% POLYESTER</v>
          </cell>
          <cell r="H322" t="str">
            <v>57/58</v>
          </cell>
          <cell r="I322">
            <v>260</v>
          </cell>
          <cell r="J322">
            <v>2.04</v>
          </cell>
          <cell r="K322">
            <v>2.37</v>
          </cell>
          <cell r="L322">
            <v>2.08</v>
          </cell>
          <cell r="M322">
            <v>2.42</v>
          </cell>
          <cell r="N322">
            <v>2.14</v>
          </cell>
          <cell r="O322">
            <v>2.4900000000000002</v>
          </cell>
          <cell r="P322"/>
          <cell r="Q322"/>
          <cell r="R322">
            <v>2.2799999999999998</v>
          </cell>
          <cell r="S322">
            <v>2.87</v>
          </cell>
          <cell r="T322"/>
          <cell r="U322"/>
          <cell r="V322">
            <v>15</v>
          </cell>
          <cell r="W322"/>
          <cell r="X322" t="str">
            <v>OWEN</v>
          </cell>
          <cell r="Y322"/>
          <cell r="Z322" t="str">
            <v>JOAN 3/7/18</v>
          </cell>
          <cell r="AA322"/>
          <cell r="AB322">
            <v>43284</v>
          </cell>
          <cell r="AC322">
            <v>4340</v>
          </cell>
        </row>
        <row r="323">
          <cell r="B323">
            <v>4508</v>
          </cell>
          <cell r="C323" t="str">
            <v>OLP-SP00730</v>
          </cell>
          <cell r="D323" t="str">
            <v xml:space="preserve">DOBBY POLY - TAILORING </v>
          </cell>
          <cell r="E323"/>
          <cell r="F323" t="str">
            <v>T100%</v>
          </cell>
          <cell r="G323" t="str">
            <v>100% POLYESTER</v>
          </cell>
          <cell r="H323" t="str">
            <v>57/58</v>
          </cell>
          <cell r="I323">
            <v>220</v>
          </cell>
          <cell r="J323">
            <v>2.4300000000000002</v>
          </cell>
          <cell r="K323">
            <v>2.77</v>
          </cell>
          <cell r="L323">
            <v>2.48</v>
          </cell>
          <cell r="M323">
            <v>2.83</v>
          </cell>
          <cell r="N323">
            <v>2.52</v>
          </cell>
          <cell r="O323">
            <v>2.79</v>
          </cell>
          <cell r="P323"/>
          <cell r="Q323"/>
          <cell r="R323">
            <v>2.68</v>
          </cell>
          <cell r="S323">
            <v>3.28</v>
          </cell>
          <cell r="T323"/>
          <cell r="U323"/>
          <cell r="V323">
            <v>15</v>
          </cell>
          <cell r="W323"/>
          <cell r="X323" t="str">
            <v>OWEN</v>
          </cell>
          <cell r="Y323"/>
          <cell r="Z323" t="str">
            <v>JOAN 3/7/18</v>
          </cell>
          <cell r="AA323"/>
          <cell r="AB323">
            <v>43284</v>
          </cell>
          <cell r="AC323">
            <v>4339</v>
          </cell>
        </row>
        <row r="324">
          <cell r="B324">
            <v>4507</v>
          </cell>
          <cell r="C324" t="str">
            <v>BG4102</v>
          </cell>
          <cell r="D324" t="str">
            <v>POLY TWILL</v>
          </cell>
          <cell r="E324" t="str">
            <v>100+40D*100+40D</v>
          </cell>
          <cell r="F324" t="str">
            <v>T/S 96/4</v>
          </cell>
          <cell r="G324" t="str">
            <v>96% POLYESTER 4% SPANDEX</v>
          </cell>
          <cell r="H324" t="str">
            <v>57/58</v>
          </cell>
          <cell r="I324">
            <v>178</v>
          </cell>
          <cell r="J324">
            <v>2.44</v>
          </cell>
          <cell r="K324">
            <v>2.7</v>
          </cell>
          <cell r="L324">
            <v>2.46</v>
          </cell>
          <cell r="M324">
            <v>2.75</v>
          </cell>
          <cell r="N324">
            <v>2.4700000000000002</v>
          </cell>
          <cell r="O324">
            <v>2.8</v>
          </cell>
          <cell r="P324"/>
          <cell r="Q324"/>
          <cell r="R324">
            <v>2.8</v>
          </cell>
          <cell r="S324">
            <v>3.2</v>
          </cell>
          <cell r="T324"/>
          <cell r="U324"/>
          <cell r="V324">
            <v>15</v>
          </cell>
          <cell r="W324"/>
          <cell r="X324" t="str">
            <v>EDWIN</v>
          </cell>
          <cell r="Y324"/>
          <cell r="Z324" t="str">
            <v>EDWIN 3/7/18</v>
          </cell>
          <cell r="AA324"/>
          <cell r="AB324">
            <v>43284</v>
          </cell>
          <cell r="AC324">
            <v>4337</v>
          </cell>
        </row>
        <row r="325">
          <cell r="B325">
            <v>4506</v>
          </cell>
          <cell r="C325" t="str">
            <v>BG4103</v>
          </cell>
          <cell r="D325" t="str">
            <v>POLY TWILL</v>
          </cell>
          <cell r="E325" t="str">
            <v>80D * 80D</v>
          </cell>
          <cell r="F325" t="str">
            <v>T100%</v>
          </cell>
          <cell r="G325" t="str">
            <v>100% POLYESTER</v>
          </cell>
          <cell r="H325" t="str">
            <v>57/58</v>
          </cell>
          <cell r="I325">
            <v>153</v>
          </cell>
          <cell r="J325">
            <v>2.33</v>
          </cell>
          <cell r="K325">
            <v>2.5499999999999998</v>
          </cell>
          <cell r="L325">
            <v>2.35</v>
          </cell>
          <cell r="M325">
            <v>2.6</v>
          </cell>
          <cell r="N325">
            <v>2.36</v>
          </cell>
          <cell r="O325">
            <v>2.65</v>
          </cell>
          <cell r="P325"/>
          <cell r="Q325"/>
          <cell r="R325">
            <v>2.6</v>
          </cell>
          <cell r="S325">
            <v>3</v>
          </cell>
          <cell r="T325"/>
          <cell r="U325"/>
          <cell r="V325">
            <v>15</v>
          </cell>
          <cell r="W325"/>
          <cell r="X325" t="str">
            <v>EDWIN</v>
          </cell>
          <cell r="Y325"/>
          <cell r="Z325" t="str">
            <v>EDWIN 3/7/18</v>
          </cell>
          <cell r="AA325"/>
          <cell r="AB325">
            <v>43284</v>
          </cell>
          <cell r="AC325">
            <v>4336</v>
          </cell>
        </row>
        <row r="326">
          <cell r="B326">
            <v>4505</v>
          </cell>
          <cell r="C326" t="str">
            <v>BG3287</v>
          </cell>
          <cell r="D326" t="str">
            <v>TAILORING</v>
          </cell>
          <cell r="E326" t="str">
            <v>160D X 100D</v>
          </cell>
          <cell r="F326" t="str">
            <v>T100%</v>
          </cell>
          <cell r="G326" t="str">
            <v>100% POLYESTER</v>
          </cell>
          <cell r="H326" t="str">
            <v>57/58</v>
          </cell>
          <cell r="I326">
            <v>230</v>
          </cell>
          <cell r="J326">
            <v>2.4</v>
          </cell>
          <cell r="K326">
            <v>2.6</v>
          </cell>
          <cell r="L326">
            <v>2.42</v>
          </cell>
          <cell r="M326">
            <v>2.65</v>
          </cell>
          <cell r="N326" t="str">
            <v>2.43/M</v>
          </cell>
          <cell r="O326">
            <v>2.7</v>
          </cell>
          <cell r="P326"/>
          <cell r="Q326"/>
          <cell r="R326">
            <v>2.6</v>
          </cell>
          <cell r="S326">
            <v>3</v>
          </cell>
          <cell r="T326"/>
          <cell r="U326"/>
          <cell r="V326">
            <v>15</v>
          </cell>
          <cell r="W326"/>
          <cell r="X326" t="str">
            <v>EDWIN</v>
          </cell>
          <cell r="Y326"/>
          <cell r="Z326" t="str">
            <v>EDWIN 3/7/18</v>
          </cell>
          <cell r="AA326"/>
          <cell r="AB326">
            <v>43284</v>
          </cell>
          <cell r="AC326">
            <v>4335</v>
          </cell>
        </row>
        <row r="327">
          <cell r="B327">
            <v>4518</v>
          </cell>
          <cell r="C327" t="str">
            <v xml:space="preserve">ST-78327 </v>
          </cell>
          <cell r="D327" t="str">
            <v>MILANO CREPE</v>
          </cell>
          <cell r="E327" t="str">
            <v>50+68*50+68</v>
          </cell>
          <cell r="F327" t="str">
            <v>T100%</v>
          </cell>
          <cell r="G327" t="str">
            <v>100%POLYESTER</v>
          </cell>
          <cell r="H327" t="str">
            <v>57/58</v>
          </cell>
          <cell r="I327">
            <v>140</v>
          </cell>
          <cell r="J327">
            <v>1.36</v>
          </cell>
          <cell r="K327">
            <v>1.53</v>
          </cell>
          <cell r="L327">
            <v>1.37</v>
          </cell>
          <cell r="M327">
            <v>1.55</v>
          </cell>
          <cell r="N327">
            <v>1.38</v>
          </cell>
          <cell r="O327">
            <v>1.56</v>
          </cell>
          <cell r="P327">
            <v>1.46</v>
          </cell>
          <cell r="Q327">
            <v>1.76</v>
          </cell>
          <cell r="R327">
            <v>1.46</v>
          </cell>
          <cell r="S327">
            <v>1.76</v>
          </cell>
          <cell r="T327"/>
          <cell r="U327"/>
          <cell r="V327">
            <v>15</v>
          </cell>
          <cell r="W327"/>
          <cell r="X327" t="str">
            <v>SIGER</v>
          </cell>
          <cell r="Y327" t="str">
            <v>DMCARE-TRI-03</v>
          </cell>
          <cell r="Z327" t="str">
            <v>CARA 2/7/18</v>
          </cell>
          <cell r="AA327"/>
          <cell r="AB327">
            <v>43283</v>
          </cell>
          <cell r="AC327">
            <v>4342</v>
          </cell>
        </row>
        <row r="328">
          <cell r="B328">
            <v>4517</v>
          </cell>
          <cell r="C328" t="str">
            <v>ST-78327-1</v>
          </cell>
          <cell r="D328" t="str">
            <v>MILANO CREPE</v>
          </cell>
          <cell r="E328" t="str">
            <v>50+68*50+68</v>
          </cell>
          <cell r="F328" t="str">
            <v>T100%</v>
          </cell>
          <cell r="G328" t="str">
            <v>100%POLYESTER</v>
          </cell>
          <cell r="H328" t="str">
            <v>57/58</v>
          </cell>
          <cell r="I328">
            <v>160</v>
          </cell>
          <cell r="J328">
            <v>1.34</v>
          </cell>
          <cell r="K328">
            <v>1.51</v>
          </cell>
          <cell r="L328">
            <v>1.35</v>
          </cell>
          <cell r="M328">
            <v>1.53</v>
          </cell>
          <cell r="N328">
            <v>1.36</v>
          </cell>
          <cell r="O328">
            <v>1.54</v>
          </cell>
          <cell r="P328">
            <v>1.44</v>
          </cell>
          <cell r="Q328">
            <v>1.74</v>
          </cell>
          <cell r="R328">
            <v>1.44</v>
          </cell>
          <cell r="S328">
            <v>1.74</v>
          </cell>
          <cell r="T328"/>
          <cell r="U328"/>
          <cell r="V328">
            <v>15</v>
          </cell>
          <cell r="W328"/>
          <cell r="X328" t="str">
            <v>SIGER</v>
          </cell>
          <cell r="Y328" t="str">
            <v>DMCARE-TRI-03</v>
          </cell>
          <cell r="Z328" t="str">
            <v>CARA 2/7/18</v>
          </cell>
          <cell r="AA328"/>
          <cell r="AB328">
            <v>43283</v>
          </cell>
          <cell r="AC328">
            <v>4341</v>
          </cell>
        </row>
        <row r="329">
          <cell r="B329">
            <v>3401</v>
          </cell>
          <cell r="C329" t="str">
            <v>M-1050-1</v>
          </cell>
          <cell r="D329" t="str">
            <v>CDC</v>
          </cell>
          <cell r="E329"/>
          <cell r="F329" t="str">
            <v>T100%</v>
          </cell>
          <cell r="G329" t="str">
            <v>100% POLYESTER</v>
          </cell>
          <cell r="H329" t="str">
            <v>150CM</v>
          </cell>
          <cell r="I329">
            <v>78</v>
          </cell>
          <cell r="J329">
            <v>1.1000000000000001</v>
          </cell>
          <cell r="K329">
            <v>1.35</v>
          </cell>
          <cell r="L329">
            <v>1.1000000000000001</v>
          </cell>
          <cell r="M329">
            <v>1.35</v>
          </cell>
          <cell r="N329">
            <v>1.1499999999999999</v>
          </cell>
          <cell r="O329">
            <v>1.45</v>
          </cell>
          <cell r="P329"/>
          <cell r="Q329"/>
          <cell r="R329">
            <v>1.2</v>
          </cell>
          <cell r="S329">
            <v>2.35</v>
          </cell>
          <cell r="T329"/>
          <cell r="U329"/>
          <cell r="V329"/>
          <cell r="W329"/>
          <cell r="X329" t="str">
            <v>M-TEX</v>
          </cell>
          <cell r="Y329"/>
          <cell r="Z329" t="str">
            <v>LINDA 30/6/18 BY WECHAT</v>
          </cell>
          <cell r="AA329"/>
          <cell r="AB329">
            <v>43281</v>
          </cell>
          <cell r="AC329">
            <v>4343</v>
          </cell>
        </row>
        <row r="330">
          <cell r="B330">
            <v>4504</v>
          </cell>
          <cell r="C330" t="str">
            <v>OLP-SP00735</v>
          </cell>
          <cell r="D330" t="str">
            <v>CHIFFON W/ FOIL</v>
          </cell>
          <cell r="E330" t="str">
            <v>75D</v>
          </cell>
          <cell r="F330" t="str">
            <v>T100%</v>
          </cell>
          <cell r="G330" t="str">
            <v>100%POLYESTER</v>
          </cell>
          <cell r="H330" t="str">
            <v>57/58</v>
          </cell>
          <cell r="I330">
            <v>90</v>
          </cell>
          <cell r="J330">
            <v>1.94</v>
          </cell>
          <cell r="K330"/>
          <cell r="L330">
            <v>1.98</v>
          </cell>
          <cell r="M330"/>
          <cell r="N330">
            <v>2.04</v>
          </cell>
          <cell r="O330"/>
          <cell r="P330">
            <v>2.19</v>
          </cell>
          <cell r="Q330"/>
          <cell r="R330">
            <v>2.19</v>
          </cell>
          <cell r="S330"/>
          <cell r="T330"/>
          <cell r="U330"/>
          <cell r="V330">
            <v>15</v>
          </cell>
          <cell r="W330"/>
          <cell r="X330" t="str">
            <v>OWEN</v>
          </cell>
          <cell r="Y330" t="str">
            <v>DMCARE-TRI-01</v>
          </cell>
          <cell r="Z330" t="str">
            <v>JOAN 28/6/18</v>
          </cell>
          <cell r="AA330"/>
          <cell r="AB330">
            <v>43279</v>
          </cell>
          <cell r="AC330">
            <v>4371</v>
          </cell>
        </row>
        <row r="331">
          <cell r="B331">
            <v>4503</v>
          </cell>
          <cell r="C331" t="str">
            <v>OLP-SP00707</v>
          </cell>
          <cell r="D331" t="str">
            <v>TWILL POLY</v>
          </cell>
          <cell r="E331" t="str">
            <v>50+20*2</v>
          </cell>
          <cell r="F331" t="str">
            <v>T100%</v>
          </cell>
          <cell r="G331" t="str">
            <v>100%POLYESTER</v>
          </cell>
          <cell r="H331" t="str">
            <v>57/58</v>
          </cell>
          <cell r="I331">
            <v>130</v>
          </cell>
          <cell r="J331">
            <v>2.0099999999999998</v>
          </cell>
          <cell r="K331">
            <v>2.4900000000000002</v>
          </cell>
          <cell r="L331">
            <v>2.0499999999999998</v>
          </cell>
          <cell r="M331">
            <v>2.5499999999999998</v>
          </cell>
          <cell r="N331">
            <v>2.12</v>
          </cell>
          <cell r="O331">
            <v>2.62</v>
          </cell>
          <cell r="P331">
            <v>2.2599999999999998</v>
          </cell>
          <cell r="Q331">
            <v>3</v>
          </cell>
          <cell r="R331">
            <v>2.2599999999999998</v>
          </cell>
          <cell r="S331">
            <v>3</v>
          </cell>
          <cell r="T331"/>
          <cell r="U331"/>
          <cell r="V331">
            <v>15</v>
          </cell>
          <cell r="W331"/>
          <cell r="X331" t="str">
            <v>OWEN</v>
          </cell>
          <cell r="Y331" t="str">
            <v>DMCARE-TRI-03</v>
          </cell>
          <cell r="Z331" t="str">
            <v>JOAN 28/6/18</v>
          </cell>
          <cell r="AA331"/>
          <cell r="AB331">
            <v>43279</v>
          </cell>
          <cell r="AC331">
            <v>4359</v>
          </cell>
        </row>
        <row r="332">
          <cell r="B332">
            <v>4502</v>
          </cell>
          <cell r="C332" t="str">
            <v>OLP-SP00700</v>
          </cell>
          <cell r="D332" t="str">
            <v>POLY DOBBY</v>
          </cell>
          <cell r="E332" t="str">
            <v>100+50*2</v>
          </cell>
          <cell r="F332" t="str">
            <v>T100%</v>
          </cell>
          <cell r="G332" t="str">
            <v>100%POLYESTER</v>
          </cell>
          <cell r="H332" t="str">
            <v>57/58</v>
          </cell>
          <cell r="I332">
            <v>180</v>
          </cell>
          <cell r="J332">
            <v>1.89</v>
          </cell>
          <cell r="K332">
            <v>2.38</v>
          </cell>
          <cell r="L332">
            <v>1.93</v>
          </cell>
          <cell r="M332">
            <v>2.4300000000000002</v>
          </cell>
          <cell r="N332">
            <v>1.99</v>
          </cell>
          <cell r="O332">
            <v>2.5</v>
          </cell>
          <cell r="P332">
            <v>2.14</v>
          </cell>
          <cell r="Q332">
            <v>2.88</v>
          </cell>
          <cell r="R332">
            <v>2.14</v>
          </cell>
          <cell r="S332">
            <v>2.88</v>
          </cell>
          <cell r="T332"/>
          <cell r="U332"/>
          <cell r="V332">
            <v>15</v>
          </cell>
          <cell r="W332"/>
          <cell r="X332" t="str">
            <v>OWEN</v>
          </cell>
          <cell r="Y332" t="str">
            <v>DMCARE-TRI-02</v>
          </cell>
          <cell r="Z332" t="str">
            <v>JOAN 28/6/18</v>
          </cell>
          <cell r="AA332"/>
          <cell r="AB332">
            <v>43279</v>
          </cell>
          <cell r="AC332">
            <v>4357</v>
          </cell>
        </row>
        <row r="333">
          <cell r="B333">
            <v>4501</v>
          </cell>
          <cell r="C333" t="str">
            <v>OLP-SP00704</v>
          </cell>
          <cell r="D333" t="str">
            <v>POLY DOBBY</v>
          </cell>
          <cell r="E333" t="str">
            <v>80*80 SPH</v>
          </cell>
          <cell r="F333" t="str">
            <v>T100%</v>
          </cell>
          <cell r="G333" t="str">
            <v>100%POLYESTER</v>
          </cell>
          <cell r="H333" t="str">
            <v>57/58</v>
          </cell>
          <cell r="I333">
            <v>120</v>
          </cell>
          <cell r="J333">
            <v>2.34</v>
          </cell>
          <cell r="K333">
            <v>2.79</v>
          </cell>
          <cell r="L333">
            <v>2.39</v>
          </cell>
          <cell r="M333">
            <v>2.84</v>
          </cell>
          <cell r="N333">
            <v>2.46</v>
          </cell>
          <cell r="O333">
            <v>2.93</v>
          </cell>
          <cell r="P333">
            <v>2.59</v>
          </cell>
          <cell r="Q333">
            <v>3.3</v>
          </cell>
          <cell r="R333">
            <v>2.59</v>
          </cell>
          <cell r="S333">
            <v>3.3</v>
          </cell>
          <cell r="T333"/>
          <cell r="U333"/>
          <cell r="V333">
            <v>15</v>
          </cell>
          <cell r="W333"/>
          <cell r="X333" t="str">
            <v>OWEN</v>
          </cell>
          <cell r="Y333" t="str">
            <v>DMCARE-TRI-02</v>
          </cell>
          <cell r="Z333" t="str">
            <v>JOAN 28/6/18</v>
          </cell>
          <cell r="AA333"/>
          <cell r="AB333">
            <v>43279</v>
          </cell>
          <cell r="AC333">
            <v>4358</v>
          </cell>
        </row>
        <row r="334">
          <cell r="B334">
            <v>4500</v>
          </cell>
          <cell r="C334" t="str">
            <v>OLP-SP00708</v>
          </cell>
          <cell r="D334" t="str">
            <v>SATEEN</v>
          </cell>
          <cell r="E334" t="str">
            <v>50*60</v>
          </cell>
          <cell r="F334" t="str">
            <v>T100%</v>
          </cell>
          <cell r="G334" t="str">
            <v>100%POLYESTER</v>
          </cell>
          <cell r="H334" t="str">
            <v>50/60</v>
          </cell>
          <cell r="I334">
            <v>98</v>
          </cell>
          <cell r="J334">
            <v>1.66</v>
          </cell>
          <cell r="K334">
            <v>2.12</v>
          </cell>
          <cell r="L334">
            <v>1.7</v>
          </cell>
          <cell r="M334">
            <v>2.16</v>
          </cell>
          <cell r="N334">
            <v>1.75</v>
          </cell>
          <cell r="O334">
            <v>2.23</v>
          </cell>
          <cell r="P334">
            <v>1.9</v>
          </cell>
          <cell r="Q334">
            <v>2.62</v>
          </cell>
          <cell r="R334">
            <v>1.9</v>
          </cell>
          <cell r="S334">
            <v>2.62</v>
          </cell>
          <cell r="T334"/>
          <cell r="U334"/>
          <cell r="V334">
            <v>15</v>
          </cell>
          <cell r="W334"/>
          <cell r="X334" t="str">
            <v>OWEN</v>
          </cell>
          <cell r="Y334" t="str">
            <v>DMCARE-TRI-03</v>
          </cell>
          <cell r="Z334" t="str">
            <v>JOAN 28/6/18</v>
          </cell>
          <cell r="AA334"/>
          <cell r="AB334">
            <v>43279</v>
          </cell>
          <cell r="AC334">
            <v>4360</v>
          </cell>
        </row>
        <row r="335">
          <cell r="B335">
            <v>4499</v>
          </cell>
          <cell r="C335" t="str">
            <v>OLP-SP00710</v>
          </cell>
          <cell r="D335" t="str">
            <v>CREPE</v>
          </cell>
          <cell r="E335" t="str">
            <v>50+50*2</v>
          </cell>
          <cell r="F335" t="str">
            <v>T100%</v>
          </cell>
          <cell r="G335" t="str">
            <v>100%POLYESTER</v>
          </cell>
          <cell r="H335" t="str">
            <v>57/58</v>
          </cell>
          <cell r="I335">
            <v>105</v>
          </cell>
          <cell r="J335">
            <v>1.34</v>
          </cell>
          <cell r="K335">
            <v>1.81</v>
          </cell>
          <cell r="L335">
            <v>1.37</v>
          </cell>
          <cell r="M335">
            <v>1.85</v>
          </cell>
          <cell r="N335">
            <v>1.41</v>
          </cell>
          <cell r="O335">
            <v>1.91</v>
          </cell>
          <cell r="P335">
            <v>1.58</v>
          </cell>
          <cell r="Q335">
            <v>2.2999999999999998</v>
          </cell>
          <cell r="R335">
            <v>1.58</v>
          </cell>
          <cell r="S335">
            <v>2.2999999999999998</v>
          </cell>
          <cell r="T335"/>
          <cell r="U335"/>
          <cell r="V335">
            <v>15</v>
          </cell>
          <cell r="W335"/>
          <cell r="X335" t="str">
            <v>OWEN</v>
          </cell>
          <cell r="Y335" t="str">
            <v>DMCARE-TRI-03</v>
          </cell>
          <cell r="Z335" t="str">
            <v>JOAN 28/6/18</v>
          </cell>
          <cell r="AA335"/>
          <cell r="AB335">
            <v>43279</v>
          </cell>
          <cell r="AC335">
            <v>4361</v>
          </cell>
        </row>
        <row r="336">
          <cell r="B336">
            <v>4498</v>
          </cell>
          <cell r="C336" t="str">
            <v>OLP-SP00711</v>
          </cell>
          <cell r="D336" t="str">
            <v>POLY DOBBY</v>
          </cell>
          <cell r="E336" t="str">
            <v>150+40*2</v>
          </cell>
          <cell r="F336" t="str">
            <v>T100%</v>
          </cell>
          <cell r="G336" t="str">
            <v>100%POLYESTER</v>
          </cell>
          <cell r="H336" t="str">
            <v>57/58</v>
          </cell>
          <cell r="I336">
            <v>185</v>
          </cell>
          <cell r="J336">
            <v>1.99</v>
          </cell>
          <cell r="K336">
            <v>2.4900000000000002</v>
          </cell>
          <cell r="L336">
            <v>2.0299999999999998</v>
          </cell>
          <cell r="M336">
            <v>2.54</v>
          </cell>
          <cell r="N336">
            <v>2.09</v>
          </cell>
          <cell r="O336">
            <v>2.61</v>
          </cell>
          <cell r="P336">
            <v>2.23</v>
          </cell>
          <cell r="Q336">
            <v>2.99</v>
          </cell>
          <cell r="R336">
            <v>2.23</v>
          </cell>
          <cell r="S336">
            <v>2.99</v>
          </cell>
          <cell r="T336"/>
          <cell r="U336"/>
          <cell r="V336">
            <v>15</v>
          </cell>
          <cell r="W336"/>
          <cell r="X336" t="str">
            <v>OWEN</v>
          </cell>
          <cell r="Y336" t="str">
            <v>DMCARE-TRI-02</v>
          </cell>
          <cell r="Z336" t="str">
            <v>JOAN 28/6/18</v>
          </cell>
          <cell r="AA336"/>
          <cell r="AB336">
            <v>43279</v>
          </cell>
          <cell r="AC336">
            <v>4362</v>
          </cell>
        </row>
        <row r="337">
          <cell r="B337">
            <v>4497</v>
          </cell>
          <cell r="C337" t="str">
            <v>OLP-SP00718</v>
          </cell>
          <cell r="D337" t="str">
            <v>POLY DOBBY</v>
          </cell>
          <cell r="E337" t="str">
            <v>100+50*2</v>
          </cell>
          <cell r="F337" t="str">
            <v>T100%</v>
          </cell>
          <cell r="G337" t="str">
            <v>100%POLYESTER</v>
          </cell>
          <cell r="H337" t="str">
            <v>57/58</v>
          </cell>
          <cell r="I337">
            <v>220</v>
          </cell>
          <cell r="J337">
            <v>3.01</v>
          </cell>
          <cell r="K337">
            <v>3.48</v>
          </cell>
          <cell r="L337">
            <v>3.07</v>
          </cell>
          <cell r="M337">
            <v>3.55</v>
          </cell>
          <cell r="N337">
            <v>3.16</v>
          </cell>
          <cell r="O337">
            <v>3.66</v>
          </cell>
          <cell r="P337">
            <v>3.27</v>
          </cell>
          <cell r="Q337">
            <v>4</v>
          </cell>
          <cell r="R337">
            <v>3.27</v>
          </cell>
          <cell r="S337">
            <v>4</v>
          </cell>
          <cell r="T337"/>
          <cell r="U337"/>
          <cell r="V337">
            <v>15</v>
          </cell>
          <cell r="W337"/>
          <cell r="X337" t="str">
            <v>OWEN</v>
          </cell>
          <cell r="Y337" t="str">
            <v>DMCARE-TRI-03</v>
          </cell>
          <cell r="Z337" t="str">
            <v>JOAN 28/6/18</v>
          </cell>
          <cell r="AA337"/>
          <cell r="AB337">
            <v>43279</v>
          </cell>
          <cell r="AC337">
            <v>4363</v>
          </cell>
        </row>
        <row r="338">
          <cell r="B338">
            <v>4496</v>
          </cell>
          <cell r="C338" t="str">
            <v>OLP-SP00720</v>
          </cell>
          <cell r="D338" t="str">
            <v>CHIFFON W/ LUREX JAC</v>
          </cell>
          <cell r="E338"/>
          <cell r="F338" t="str">
            <v>T100%</v>
          </cell>
          <cell r="G338" t="str">
            <v>100%POLYESTER</v>
          </cell>
          <cell r="H338" t="str">
            <v>57/58</v>
          </cell>
          <cell r="I338">
            <v>56</v>
          </cell>
          <cell r="J338">
            <v>2.63</v>
          </cell>
          <cell r="K338">
            <v>3.14</v>
          </cell>
          <cell r="L338">
            <v>2.69</v>
          </cell>
          <cell r="M338">
            <v>3.21</v>
          </cell>
          <cell r="N338">
            <v>2.77</v>
          </cell>
          <cell r="O338">
            <v>3.3</v>
          </cell>
          <cell r="P338">
            <v>2.89</v>
          </cell>
          <cell r="Q338">
            <v>3.66</v>
          </cell>
          <cell r="R338">
            <v>2.89</v>
          </cell>
          <cell r="S338">
            <v>3.66</v>
          </cell>
          <cell r="T338"/>
          <cell r="U338"/>
          <cell r="V338">
            <v>15</v>
          </cell>
          <cell r="W338"/>
          <cell r="X338" t="str">
            <v>OWEN</v>
          </cell>
          <cell r="Y338" t="str">
            <v>DMCARE-TRI-03</v>
          </cell>
          <cell r="Z338" t="str">
            <v>JOAN 28/6/18</v>
          </cell>
          <cell r="AA338"/>
          <cell r="AB338">
            <v>43279</v>
          </cell>
          <cell r="AC338">
            <v>4365</v>
          </cell>
        </row>
        <row r="339">
          <cell r="B339">
            <v>4495</v>
          </cell>
          <cell r="C339" t="str">
            <v>OLP-SP00719</v>
          </cell>
          <cell r="D339" t="str">
            <v>CHIFFON W/DOT JAC</v>
          </cell>
          <cell r="E339"/>
          <cell r="F339" t="str">
            <v>T100%</v>
          </cell>
          <cell r="G339" t="str">
            <v>100%POLYESTER</v>
          </cell>
          <cell r="H339" t="str">
            <v>57/58</v>
          </cell>
          <cell r="I339">
            <v>85</v>
          </cell>
          <cell r="J339">
            <v>1.67</v>
          </cell>
          <cell r="K339">
            <v>2.11</v>
          </cell>
          <cell r="L339">
            <v>1.7</v>
          </cell>
          <cell r="M339">
            <v>2.16</v>
          </cell>
          <cell r="N339">
            <v>1.75</v>
          </cell>
          <cell r="O339">
            <v>2.2200000000000002</v>
          </cell>
          <cell r="P339">
            <v>1.91</v>
          </cell>
          <cell r="Q339">
            <v>2.61</v>
          </cell>
          <cell r="R339">
            <v>1.91</v>
          </cell>
          <cell r="S339">
            <v>2.61</v>
          </cell>
          <cell r="T339"/>
          <cell r="U339"/>
          <cell r="V339">
            <v>15</v>
          </cell>
          <cell r="W339"/>
          <cell r="X339" t="str">
            <v>OWEN</v>
          </cell>
          <cell r="Y339" t="str">
            <v>DMCARE-TRI-03</v>
          </cell>
          <cell r="Z339" t="str">
            <v>JOAN 28/6/18</v>
          </cell>
          <cell r="AA339"/>
          <cell r="AB339">
            <v>43279</v>
          </cell>
          <cell r="AC339">
            <v>4364</v>
          </cell>
        </row>
        <row r="340">
          <cell r="B340">
            <v>4494</v>
          </cell>
          <cell r="C340" t="str">
            <v>OLP-SP00722</v>
          </cell>
          <cell r="D340" t="str">
            <v>JAC CHIFFON</v>
          </cell>
          <cell r="E340" t="str">
            <v>75D+75D*75D</v>
          </cell>
          <cell r="F340" t="str">
            <v>T100%</v>
          </cell>
          <cell r="G340" t="str">
            <v>100%POLYESTER</v>
          </cell>
          <cell r="H340" t="str">
            <v>57/58</v>
          </cell>
          <cell r="I340">
            <v>77</v>
          </cell>
          <cell r="J340">
            <v>1.67</v>
          </cell>
          <cell r="K340">
            <v>2.11</v>
          </cell>
          <cell r="L340">
            <v>1.7</v>
          </cell>
          <cell r="M340">
            <v>2.16</v>
          </cell>
          <cell r="N340">
            <v>1.75</v>
          </cell>
          <cell r="O340">
            <v>2.2200000000000002</v>
          </cell>
          <cell r="P340">
            <v>1.91</v>
          </cell>
          <cell r="Q340">
            <v>2.61</v>
          </cell>
          <cell r="R340">
            <v>1.91</v>
          </cell>
          <cell r="S340">
            <v>2.61</v>
          </cell>
          <cell r="T340"/>
          <cell r="U340"/>
          <cell r="V340">
            <v>15</v>
          </cell>
          <cell r="W340"/>
          <cell r="X340" t="str">
            <v>OWEN</v>
          </cell>
          <cell r="Y340" t="str">
            <v>DMCARE-TRI-03</v>
          </cell>
          <cell r="Z340" t="str">
            <v>JOAN 28/6/18</v>
          </cell>
          <cell r="AA340"/>
          <cell r="AB340">
            <v>43279</v>
          </cell>
          <cell r="AC340">
            <v>4366</v>
          </cell>
        </row>
        <row r="341">
          <cell r="B341">
            <v>4493</v>
          </cell>
          <cell r="C341" t="str">
            <v>OLP-SP00724</v>
          </cell>
          <cell r="D341" t="str">
            <v>Y/D POLY</v>
          </cell>
          <cell r="E341" t="str">
            <v>50+63+150*80</v>
          </cell>
          <cell r="F341" t="str">
            <v>T100%</v>
          </cell>
          <cell r="G341" t="str">
            <v>100%POLYESTER</v>
          </cell>
          <cell r="H341" t="str">
            <v>57/58</v>
          </cell>
          <cell r="I341">
            <v>60</v>
          </cell>
          <cell r="J341">
            <v>1.43</v>
          </cell>
          <cell r="K341">
            <v>1.88</v>
          </cell>
          <cell r="L341">
            <v>1.46</v>
          </cell>
          <cell r="M341">
            <v>1.92</v>
          </cell>
          <cell r="N341">
            <v>1.51</v>
          </cell>
          <cell r="O341">
            <v>1.98</v>
          </cell>
          <cell r="P341">
            <v>1.67</v>
          </cell>
          <cell r="Q341">
            <v>2.38</v>
          </cell>
          <cell r="R341">
            <v>1.67</v>
          </cell>
          <cell r="S341">
            <v>2.38</v>
          </cell>
          <cell r="T341"/>
          <cell r="U341"/>
          <cell r="V341">
            <v>15</v>
          </cell>
          <cell r="W341"/>
          <cell r="X341" t="str">
            <v>OWEN</v>
          </cell>
          <cell r="Y341" t="str">
            <v>DMCARE-TRI-03</v>
          </cell>
          <cell r="Z341" t="str">
            <v>JOAN 28/6/18</v>
          </cell>
          <cell r="AA341"/>
          <cell r="AB341">
            <v>43279</v>
          </cell>
          <cell r="AC341">
            <v>4368</v>
          </cell>
        </row>
        <row r="342">
          <cell r="B342">
            <v>4492</v>
          </cell>
          <cell r="C342" t="str">
            <v>OLP-YP00664</v>
          </cell>
          <cell r="D342" t="str">
            <v>Y/D COTTON BLEND</v>
          </cell>
          <cell r="E342" t="str">
            <v>45+45/2*45</v>
          </cell>
          <cell r="F342" t="str">
            <v>T/C 65/35</v>
          </cell>
          <cell r="G342" t="str">
            <v>65% POLYESTER 35% COTTON</v>
          </cell>
          <cell r="H342" t="str">
            <v>142 CM</v>
          </cell>
          <cell r="I342">
            <v>110</v>
          </cell>
          <cell r="J342">
            <v>1.99</v>
          </cell>
          <cell r="K342"/>
          <cell r="L342">
            <v>2.0299999999999998</v>
          </cell>
          <cell r="M342"/>
          <cell r="N342">
            <v>2.09</v>
          </cell>
          <cell r="O342"/>
          <cell r="P342">
            <v>2.2400000000000002</v>
          </cell>
          <cell r="Q342"/>
          <cell r="R342">
            <v>2.2400000000000002</v>
          </cell>
          <cell r="S342"/>
          <cell r="T342"/>
          <cell r="U342"/>
          <cell r="V342">
            <v>15</v>
          </cell>
          <cell r="W342"/>
          <cell r="X342" t="str">
            <v>OWEN</v>
          </cell>
          <cell r="Y342" t="str">
            <v>DMCARE-TRI-02</v>
          </cell>
          <cell r="Z342" t="str">
            <v>JOAN 28/6/18</v>
          </cell>
          <cell r="AA342"/>
          <cell r="AB342">
            <v>43279</v>
          </cell>
          <cell r="AC342">
            <v>4373</v>
          </cell>
        </row>
        <row r="343">
          <cell r="B343">
            <v>4491</v>
          </cell>
          <cell r="C343" t="str">
            <v>OLP-PC00128</v>
          </cell>
          <cell r="D343" t="str">
            <v>COTTON</v>
          </cell>
          <cell r="E343" t="str">
            <v>60*60</v>
          </cell>
          <cell r="F343" t="str">
            <v>C100%</v>
          </cell>
          <cell r="G343" t="str">
            <v>100% COTTON</v>
          </cell>
          <cell r="H343">
            <v>51</v>
          </cell>
          <cell r="I343">
            <v>63</v>
          </cell>
          <cell r="J343">
            <v>1.64</v>
          </cell>
          <cell r="K343">
            <v>2.2000000000000002</v>
          </cell>
          <cell r="L343">
            <v>1.67</v>
          </cell>
          <cell r="M343">
            <v>2.2400000000000002</v>
          </cell>
          <cell r="N343">
            <v>1.72</v>
          </cell>
          <cell r="O343">
            <v>2.31</v>
          </cell>
          <cell r="P343">
            <v>1.88</v>
          </cell>
          <cell r="Q343">
            <v>2.69</v>
          </cell>
          <cell r="R343">
            <v>1.88</v>
          </cell>
          <cell r="S343">
            <v>2.69</v>
          </cell>
          <cell r="T343"/>
          <cell r="U343"/>
          <cell r="V343">
            <v>15</v>
          </cell>
          <cell r="W343"/>
          <cell r="X343" t="str">
            <v>OWEN</v>
          </cell>
          <cell r="Y343" t="str">
            <v>DMCARE-TRI-03</v>
          </cell>
          <cell r="Z343" t="str">
            <v>JOAN 28/6/18</v>
          </cell>
          <cell r="AA343"/>
          <cell r="AB343">
            <v>43279</v>
          </cell>
          <cell r="AC343">
            <v>4372</v>
          </cell>
        </row>
        <row r="344">
          <cell r="B344">
            <v>4490</v>
          </cell>
          <cell r="C344" t="str">
            <v>OLP-SR00097</v>
          </cell>
          <cell r="D344" t="str">
            <v xml:space="preserve">DOBBY </v>
          </cell>
          <cell r="E344"/>
          <cell r="F344" t="str">
            <v>C/R 64/36</v>
          </cell>
          <cell r="G344" t="str">
            <v>64%COTTON 36%RAYON</v>
          </cell>
          <cell r="H344" t="str">
            <v>56/57</v>
          </cell>
          <cell r="I344">
            <v>165</v>
          </cell>
          <cell r="J344">
            <v>2.58</v>
          </cell>
          <cell r="K344">
            <v>3.07</v>
          </cell>
          <cell r="L344">
            <v>2.63</v>
          </cell>
          <cell r="M344">
            <v>3.13</v>
          </cell>
          <cell r="N344">
            <v>2.71</v>
          </cell>
          <cell r="O344">
            <v>3.22</v>
          </cell>
          <cell r="P344" t="str">
            <v>can not do</v>
          </cell>
          <cell r="Q344"/>
          <cell r="R344" t="str">
            <v>can not do</v>
          </cell>
          <cell r="S344"/>
          <cell r="T344"/>
          <cell r="U344"/>
          <cell r="V344">
            <v>15</v>
          </cell>
          <cell r="W344"/>
          <cell r="X344" t="str">
            <v>OWEN</v>
          </cell>
          <cell r="Y344" t="str">
            <v>DMCARE-TRI-03</v>
          </cell>
          <cell r="Z344" t="str">
            <v>JOAN 28/6/18</v>
          </cell>
          <cell r="AA344"/>
          <cell r="AB344">
            <v>43279</v>
          </cell>
          <cell r="AC344">
            <v>4350</v>
          </cell>
        </row>
        <row r="345">
          <cell r="B345">
            <v>4489</v>
          </cell>
          <cell r="C345" t="str">
            <v>OLP-SR00100</v>
          </cell>
          <cell r="D345" t="str">
            <v>DOBBY VISCOSE</v>
          </cell>
          <cell r="E345"/>
          <cell r="F345" t="str">
            <v>R/V 80/20</v>
          </cell>
          <cell r="G345" t="str">
            <v>80%RAYON 20% VISCOSE</v>
          </cell>
          <cell r="H345" t="str">
            <v>54/55</v>
          </cell>
          <cell r="I345">
            <v>120</v>
          </cell>
          <cell r="J345">
            <v>2.63</v>
          </cell>
          <cell r="K345">
            <v>3.48</v>
          </cell>
          <cell r="L345">
            <v>2.68</v>
          </cell>
          <cell r="M345">
            <v>3.55</v>
          </cell>
          <cell r="N345">
            <v>2.76</v>
          </cell>
          <cell r="O345">
            <v>3.65</v>
          </cell>
          <cell r="P345" t="str">
            <v>can not do</v>
          </cell>
          <cell r="Q345"/>
          <cell r="R345" t="str">
            <v>can not do</v>
          </cell>
          <cell r="S345"/>
          <cell r="T345"/>
          <cell r="U345"/>
          <cell r="V345">
            <v>15</v>
          </cell>
          <cell r="W345"/>
          <cell r="X345" t="str">
            <v>OWEN</v>
          </cell>
          <cell r="Y345" t="str">
            <v>DMCARE-TRI-03</v>
          </cell>
          <cell r="Z345" t="str">
            <v>JOAN 28/6/18</v>
          </cell>
          <cell r="AA345"/>
          <cell r="AB345">
            <v>43279</v>
          </cell>
          <cell r="AC345">
            <v>4351</v>
          </cell>
        </row>
        <row r="346">
          <cell r="B346">
            <v>4488</v>
          </cell>
          <cell r="C346" t="str">
            <v>OLP-YR00013</v>
          </cell>
          <cell r="D346" t="str">
            <v xml:space="preserve">Y/D </v>
          </cell>
          <cell r="E346" t="str">
            <v>60*60</v>
          </cell>
          <cell r="F346" t="str">
            <v>V100%</v>
          </cell>
          <cell r="G346" t="str">
            <v>100%VISCOSE</v>
          </cell>
          <cell r="H346" t="str">
            <v>57/58</v>
          </cell>
          <cell r="I346">
            <v>95</v>
          </cell>
          <cell r="J346">
            <v>1.77</v>
          </cell>
          <cell r="K346"/>
          <cell r="L346">
            <v>1.81</v>
          </cell>
          <cell r="M346"/>
          <cell r="N346">
            <v>1.86</v>
          </cell>
          <cell r="O346"/>
          <cell r="P346">
            <v>2.02</v>
          </cell>
          <cell r="Q346"/>
          <cell r="R346">
            <v>2.02</v>
          </cell>
          <cell r="S346"/>
          <cell r="T346"/>
          <cell r="U346"/>
          <cell r="V346">
            <v>15</v>
          </cell>
          <cell r="W346"/>
          <cell r="X346" t="str">
            <v>OWEN</v>
          </cell>
          <cell r="Y346" t="str">
            <v>DMCARE-TRI-02</v>
          </cell>
          <cell r="Z346" t="str">
            <v>JOAN 28/6/18</v>
          </cell>
          <cell r="AA346"/>
          <cell r="AB346">
            <v>43279</v>
          </cell>
          <cell r="AC346">
            <v>4349</v>
          </cell>
        </row>
        <row r="347">
          <cell r="B347">
            <v>4487</v>
          </cell>
          <cell r="C347" t="str">
            <v>OLP-SR00302</v>
          </cell>
          <cell r="D347" t="str">
            <v>JAC VISCOSE</v>
          </cell>
          <cell r="E347" t="str">
            <v>60*60</v>
          </cell>
          <cell r="F347" t="str">
            <v>V100%</v>
          </cell>
          <cell r="G347" t="str">
            <v>100%VISCOSE</v>
          </cell>
          <cell r="H347" t="str">
            <v>53/54</v>
          </cell>
          <cell r="I347">
            <v>85</v>
          </cell>
          <cell r="J347">
            <v>1.76</v>
          </cell>
          <cell r="K347">
            <v>2.2000000000000002</v>
          </cell>
          <cell r="L347">
            <v>1.8</v>
          </cell>
          <cell r="M347">
            <v>2.2400000000000002</v>
          </cell>
          <cell r="N347">
            <v>1.85</v>
          </cell>
          <cell r="O347">
            <v>2.31</v>
          </cell>
          <cell r="P347">
            <v>2.0099999999999998</v>
          </cell>
          <cell r="Q347">
            <v>2.69</v>
          </cell>
          <cell r="R347">
            <v>2.0099999999999998</v>
          </cell>
          <cell r="S347">
            <v>2.69</v>
          </cell>
          <cell r="T347"/>
          <cell r="U347"/>
          <cell r="V347">
            <v>15</v>
          </cell>
          <cell r="W347"/>
          <cell r="X347" t="str">
            <v>OWEN</v>
          </cell>
          <cell r="Y347" t="str">
            <v>DMCARE-TRI-03</v>
          </cell>
          <cell r="Z347" t="str">
            <v>JOAN 28/6/18</v>
          </cell>
          <cell r="AA347"/>
          <cell r="AB347">
            <v>43279</v>
          </cell>
          <cell r="AC347">
            <v>4355</v>
          </cell>
        </row>
        <row r="348">
          <cell r="B348">
            <v>4485</v>
          </cell>
          <cell r="C348" t="str">
            <v>OLP-SP00156</v>
          </cell>
          <cell r="D348" t="str">
            <v>POLY / RAYON</v>
          </cell>
          <cell r="E348"/>
          <cell r="F348" t="str">
            <v>T/R 97/3</v>
          </cell>
          <cell r="G348" t="str">
            <v>97%POLYESTER 3%RAYON</v>
          </cell>
          <cell r="H348" t="str">
            <v>57/58</v>
          </cell>
          <cell r="I348">
            <v>112</v>
          </cell>
          <cell r="J348">
            <v>2.37</v>
          </cell>
          <cell r="K348"/>
          <cell r="L348">
            <v>2.41</v>
          </cell>
          <cell r="M348"/>
          <cell r="N348">
            <v>2.4900000000000002</v>
          </cell>
          <cell r="O348"/>
          <cell r="P348" t="str">
            <v>can not do</v>
          </cell>
          <cell r="Q348"/>
          <cell r="R348" t="str">
            <v>can not do</v>
          </cell>
          <cell r="S348"/>
          <cell r="T348"/>
          <cell r="U348"/>
          <cell r="V348">
            <v>15</v>
          </cell>
          <cell r="W348"/>
          <cell r="X348" t="str">
            <v>OWEN</v>
          </cell>
          <cell r="Y348" t="str">
            <v>DMCARE-TRI-03</v>
          </cell>
          <cell r="Z348" t="str">
            <v>JOAN 28/6/18</v>
          </cell>
          <cell r="AA348"/>
          <cell r="AB348">
            <v>43279</v>
          </cell>
          <cell r="AC348">
            <v>4374</v>
          </cell>
        </row>
        <row r="349">
          <cell r="B349">
            <v>4484</v>
          </cell>
          <cell r="C349" t="str">
            <v>OLP-SR00249</v>
          </cell>
          <cell r="D349" t="str">
            <v>POLY TWILL</v>
          </cell>
          <cell r="E349" t="str">
            <v>50+50*50+50</v>
          </cell>
          <cell r="F349" t="str">
            <v>T100%</v>
          </cell>
          <cell r="G349" t="str">
            <v>100%POLYESTER</v>
          </cell>
          <cell r="H349" t="str">
            <v>57/58</v>
          </cell>
          <cell r="I349">
            <v>176</v>
          </cell>
          <cell r="J349">
            <v>1.99</v>
          </cell>
          <cell r="K349">
            <v>2.4</v>
          </cell>
          <cell r="L349">
            <v>2.0299999999999998</v>
          </cell>
          <cell r="M349">
            <v>2.4500000000000002</v>
          </cell>
          <cell r="N349">
            <v>2.09</v>
          </cell>
          <cell r="O349">
            <v>2.52</v>
          </cell>
          <cell r="P349">
            <v>2.2400000000000002</v>
          </cell>
          <cell r="Q349">
            <v>2.9</v>
          </cell>
          <cell r="R349">
            <v>2.2400000000000002</v>
          </cell>
          <cell r="S349">
            <v>2.9</v>
          </cell>
          <cell r="T349"/>
          <cell r="U349"/>
          <cell r="V349">
            <v>15</v>
          </cell>
          <cell r="W349"/>
          <cell r="X349" t="str">
            <v>OWEN</v>
          </cell>
          <cell r="Y349" t="str">
            <v>DMCARE-TRI-03</v>
          </cell>
          <cell r="Z349" t="str">
            <v>JOAN 28/6/18</v>
          </cell>
          <cell r="AA349"/>
          <cell r="AB349">
            <v>43279</v>
          </cell>
          <cell r="AC349">
            <v>4354</v>
          </cell>
        </row>
        <row r="350">
          <cell r="B350">
            <v>4483</v>
          </cell>
          <cell r="C350" t="str">
            <v>OLP-PP00043</v>
          </cell>
          <cell r="D350" t="str">
            <v>JAC CHIFFON</v>
          </cell>
          <cell r="E350" t="str">
            <v>75D*75D+150D</v>
          </cell>
          <cell r="F350" t="str">
            <v>T100%</v>
          </cell>
          <cell r="G350" t="str">
            <v>100%POLYESTER</v>
          </cell>
          <cell r="H350" t="str">
            <v>57/58</v>
          </cell>
          <cell r="I350">
            <v>80</v>
          </cell>
          <cell r="J350">
            <v>1.9</v>
          </cell>
          <cell r="K350">
            <v>2.37</v>
          </cell>
          <cell r="L350">
            <v>1.94</v>
          </cell>
          <cell r="M350">
            <v>2.42</v>
          </cell>
          <cell r="N350">
            <v>2</v>
          </cell>
          <cell r="O350">
            <v>2.4900000000000002</v>
          </cell>
          <cell r="P350">
            <v>2.15</v>
          </cell>
          <cell r="Q350">
            <v>2.87</v>
          </cell>
          <cell r="R350">
            <v>2.15</v>
          </cell>
          <cell r="S350">
            <v>2.87</v>
          </cell>
          <cell r="T350"/>
          <cell r="U350"/>
          <cell r="V350">
            <v>15</v>
          </cell>
          <cell r="W350"/>
          <cell r="X350" t="str">
            <v>OWEN</v>
          </cell>
          <cell r="Y350" t="str">
            <v>DMCARE-TRI-03</v>
          </cell>
          <cell r="Z350" t="str">
            <v>JOAN 28/6/18</v>
          </cell>
          <cell r="AA350"/>
          <cell r="AB350">
            <v>43279</v>
          </cell>
          <cell r="AC350">
            <v>4369</v>
          </cell>
        </row>
        <row r="351">
          <cell r="B351">
            <v>4482</v>
          </cell>
          <cell r="C351" t="str">
            <v>OLP-SR00109</v>
          </cell>
          <cell r="D351" t="str">
            <v>JAC VISCOSE</v>
          </cell>
          <cell r="E351"/>
          <cell r="F351" t="str">
            <v>R/V 57/43</v>
          </cell>
          <cell r="G351" t="str">
            <v>57%RAYON 43%VISCOSE</v>
          </cell>
          <cell r="H351" t="str">
            <v>52/53</v>
          </cell>
          <cell r="I351">
            <v>115</v>
          </cell>
          <cell r="J351">
            <v>3.96</v>
          </cell>
          <cell r="K351"/>
          <cell r="L351">
            <v>4.04</v>
          </cell>
          <cell r="M351"/>
          <cell r="N351">
            <v>4.16</v>
          </cell>
          <cell r="O351"/>
          <cell r="P351" t="str">
            <v>can not do</v>
          </cell>
          <cell r="Q351"/>
          <cell r="R351" t="str">
            <v>can not do</v>
          </cell>
          <cell r="S351"/>
          <cell r="T351"/>
          <cell r="U351"/>
          <cell r="V351">
            <v>15</v>
          </cell>
          <cell r="W351"/>
          <cell r="X351" t="str">
            <v>OWEN</v>
          </cell>
          <cell r="Y351" t="str">
            <v>DMCARE-TRI-03</v>
          </cell>
          <cell r="Z351" t="str">
            <v>JOAN 28/6/18</v>
          </cell>
          <cell r="AA351"/>
          <cell r="AB351">
            <v>43279</v>
          </cell>
          <cell r="AC351">
            <v>4352</v>
          </cell>
        </row>
        <row r="352">
          <cell r="B352">
            <v>4481</v>
          </cell>
          <cell r="C352" t="str">
            <v>OLP-SR00117</v>
          </cell>
          <cell r="D352" t="str">
            <v>SATEEN</v>
          </cell>
          <cell r="E352"/>
          <cell r="F352" t="str">
            <v>V100%</v>
          </cell>
          <cell r="G352" t="str">
            <v>100%VISCOSE</v>
          </cell>
          <cell r="H352" t="str">
            <v>56/57</v>
          </cell>
          <cell r="I352">
            <v>162</v>
          </cell>
          <cell r="J352">
            <v>3.63</v>
          </cell>
          <cell r="K352">
            <v>4.7</v>
          </cell>
          <cell r="L352">
            <v>3.73</v>
          </cell>
          <cell r="M352">
            <v>4.79</v>
          </cell>
          <cell r="N352">
            <v>3.82</v>
          </cell>
          <cell r="O352">
            <v>4.9400000000000004</v>
          </cell>
          <cell r="P352">
            <v>3.94</v>
          </cell>
          <cell r="Q352">
            <v>5.24</v>
          </cell>
          <cell r="R352">
            <v>3.94</v>
          </cell>
          <cell r="S352">
            <v>5.24</v>
          </cell>
          <cell r="T352"/>
          <cell r="U352"/>
          <cell r="V352">
            <v>15</v>
          </cell>
          <cell r="W352"/>
          <cell r="X352" t="str">
            <v>OWEN</v>
          </cell>
          <cell r="Y352" t="str">
            <v>DMCARE-TRI-03</v>
          </cell>
          <cell r="Z352" t="str">
            <v>JOAN 28/6/18</v>
          </cell>
          <cell r="AA352"/>
          <cell r="AB352">
            <v>43279</v>
          </cell>
          <cell r="AC352">
            <v>4353</v>
          </cell>
        </row>
        <row r="353">
          <cell r="B353">
            <v>4480</v>
          </cell>
          <cell r="C353" t="str">
            <v>OLP-YC00031</v>
          </cell>
          <cell r="D353" t="str">
            <v xml:space="preserve">Y/D </v>
          </cell>
          <cell r="E353"/>
          <cell r="F353" t="str">
            <v>C/R 85/15</v>
          </cell>
          <cell r="G353" t="str">
            <v>85%COTTON 15%RAYON</v>
          </cell>
          <cell r="H353" t="str">
            <v>57/58</v>
          </cell>
          <cell r="I353">
            <v>112</v>
          </cell>
          <cell r="J353">
            <v>1.7</v>
          </cell>
          <cell r="K353"/>
          <cell r="L353">
            <v>1.73</v>
          </cell>
          <cell r="M353"/>
          <cell r="N353">
            <v>1.78</v>
          </cell>
          <cell r="O353"/>
          <cell r="P353">
            <v>1.94</v>
          </cell>
          <cell r="Q353"/>
          <cell r="R353">
            <v>1.94</v>
          </cell>
          <cell r="S353"/>
          <cell r="T353"/>
          <cell r="U353"/>
          <cell r="V353">
            <v>15</v>
          </cell>
          <cell r="W353"/>
          <cell r="X353" t="str">
            <v>OWEN</v>
          </cell>
          <cell r="Y353" t="str">
            <v>DMCARE-TRI-02</v>
          </cell>
          <cell r="Z353" t="str">
            <v>JOAN 28/6/18</v>
          </cell>
          <cell r="AA353"/>
          <cell r="AB353">
            <v>43279</v>
          </cell>
          <cell r="AC353">
            <v>4348</v>
          </cell>
        </row>
        <row r="354">
          <cell r="B354">
            <v>4479</v>
          </cell>
          <cell r="C354" t="str">
            <v>OLP-PR00080</v>
          </cell>
          <cell r="D354" t="str">
            <v>VISCOSE</v>
          </cell>
          <cell r="E354"/>
          <cell r="F354" t="str">
            <v>V100%</v>
          </cell>
          <cell r="G354" t="str">
            <v>100%VISCOSE</v>
          </cell>
          <cell r="H354" t="str">
            <v>53/54</v>
          </cell>
          <cell r="I354">
            <v>75</v>
          </cell>
          <cell r="J354">
            <v>1.54</v>
          </cell>
          <cell r="K354">
            <v>1.88</v>
          </cell>
          <cell r="L354">
            <v>1.57</v>
          </cell>
          <cell r="M354">
            <v>1.92</v>
          </cell>
          <cell r="N354">
            <v>1.62</v>
          </cell>
          <cell r="O354">
            <v>1.98</v>
          </cell>
          <cell r="P354">
            <v>1.77</v>
          </cell>
          <cell r="Q354">
            <v>2.37</v>
          </cell>
          <cell r="R354">
            <v>1.77</v>
          </cell>
          <cell r="S354">
            <v>2.37</v>
          </cell>
          <cell r="T354"/>
          <cell r="U354"/>
          <cell r="V354">
            <v>15</v>
          </cell>
          <cell r="W354"/>
          <cell r="X354" t="str">
            <v>OWEN</v>
          </cell>
          <cell r="Y354" t="str">
            <v>DMCARE-TRI-03</v>
          </cell>
          <cell r="Z354" t="str">
            <v>JOAN 28/6/18</v>
          </cell>
          <cell r="AA354"/>
          <cell r="AB354">
            <v>43279</v>
          </cell>
          <cell r="AC354">
            <v>4370</v>
          </cell>
        </row>
        <row r="355">
          <cell r="B355">
            <v>4478</v>
          </cell>
          <cell r="C355" t="str">
            <v>OLP-SP00723</v>
          </cell>
          <cell r="D355" t="str">
            <v>JAC CHIFFON</v>
          </cell>
          <cell r="E355"/>
          <cell r="F355" t="str">
            <v>T100%</v>
          </cell>
          <cell r="G355" t="str">
            <v>100%POLYESTER</v>
          </cell>
          <cell r="H355" t="str">
            <v>57/58</v>
          </cell>
          <cell r="I355">
            <v>56</v>
          </cell>
          <cell r="J355">
            <v>1.74</v>
          </cell>
          <cell r="K355">
            <v>2.2200000000000002</v>
          </cell>
          <cell r="L355">
            <v>1.78</v>
          </cell>
          <cell r="M355">
            <v>2.2599999999999998</v>
          </cell>
          <cell r="N355">
            <v>1.83</v>
          </cell>
          <cell r="O355">
            <v>2.33</v>
          </cell>
          <cell r="P355">
            <v>1.98</v>
          </cell>
          <cell r="Q355">
            <v>2.72</v>
          </cell>
          <cell r="R355">
            <v>1.98</v>
          </cell>
          <cell r="S355">
            <v>2.72</v>
          </cell>
          <cell r="T355"/>
          <cell r="U355"/>
          <cell r="V355">
            <v>15</v>
          </cell>
          <cell r="W355"/>
          <cell r="X355" t="str">
            <v>OWEN</v>
          </cell>
          <cell r="Y355" t="str">
            <v>DMCARE-TRI-03</v>
          </cell>
          <cell r="Z355" t="str">
            <v>JOAN 28/6/18</v>
          </cell>
          <cell r="AA355"/>
          <cell r="AB355">
            <v>43279</v>
          </cell>
          <cell r="AC355">
            <v>4367</v>
          </cell>
        </row>
        <row r="356">
          <cell r="B356">
            <v>4476</v>
          </cell>
          <cell r="C356" t="str">
            <v>M-1776</v>
          </cell>
          <cell r="D356"/>
          <cell r="E356"/>
          <cell r="F356" t="str">
            <v>T100%</v>
          </cell>
          <cell r="G356" t="str">
            <v>100%POLYESTER</v>
          </cell>
          <cell r="H356" t="str">
            <v>148CM</v>
          </cell>
          <cell r="I356">
            <v>202</v>
          </cell>
          <cell r="J356">
            <v>1.85</v>
          </cell>
          <cell r="K356">
            <v>2.0699999999999998</v>
          </cell>
          <cell r="L356">
            <v>1.85</v>
          </cell>
          <cell r="M356">
            <v>2.0699999999999998</v>
          </cell>
          <cell r="N356">
            <v>1.9</v>
          </cell>
          <cell r="O356">
            <v>2.15</v>
          </cell>
          <cell r="P356"/>
          <cell r="Q356"/>
          <cell r="R356">
            <v>2</v>
          </cell>
          <cell r="S356">
            <v>2.27</v>
          </cell>
          <cell r="T356"/>
          <cell r="U356"/>
          <cell r="V356">
            <v>15</v>
          </cell>
          <cell r="W356"/>
          <cell r="X356" t="str">
            <v>LINDA</v>
          </cell>
          <cell r="Y356"/>
          <cell r="Z356" t="str">
            <v>LINDA 28/6/18</v>
          </cell>
          <cell r="AA356"/>
          <cell r="AB356">
            <v>43279</v>
          </cell>
          <cell r="AC356">
            <v>4347</v>
          </cell>
        </row>
        <row r="357">
          <cell r="B357">
            <v>4475</v>
          </cell>
          <cell r="C357" t="str">
            <v>SJ151617B</v>
          </cell>
          <cell r="D357" t="str">
            <v>SATEEN</v>
          </cell>
          <cell r="E357" t="str">
            <v>68D+50D</v>
          </cell>
          <cell r="F357" t="str">
            <v>T100%</v>
          </cell>
          <cell r="G357" t="str">
            <v xml:space="preserve">100% POLYSTER </v>
          </cell>
          <cell r="H357" t="str">
            <v>56/57</v>
          </cell>
          <cell r="I357">
            <v>160</v>
          </cell>
          <cell r="J357">
            <v>2.1800000000000002</v>
          </cell>
          <cell r="K357">
            <v>2.48</v>
          </cell>
          <cell r="L357">
            <v>2.2000000000000002</v>
          </cell>
          <cell r="M357">
            <v>2.5</v>
          </cell>
          <cell r="N357">
            <v>2.2000000000000002</v>
          </cell>
          <cell r="O357">
            <v>2.5</v>
          </cell>
          <cell r="P357"/>
          <cell r="Q357"/>
          <cell r="R357">
            <v>2.4</v>
          </cell>
          <cell r="S357"/>
          <cell r="T357"/>
          <cell r="U357"/>
          <cell r="V357">
            <v>15</v>
          </cell>
          <cell r="W357" t="str">
            <v>based on actual print</v>
          </cell>
          <cell r="X357" t="str">
            <v>GLORIA (S)</v>
          </cell>
          <cell r="Y357"/>
          <cell r="Z357" t="str">
            <v>GLORIA 28/6/18</v>
          </cell>
          <cell r="AA357"/>
          <cell r="AB357">
            <v>43279</v>
          </cell>
          <cell r="AC357">
            <v>4346</v>
          </cell>
        </row>
        <row r="358">
          <cell r="B358">
            <v>4474</v>
          </cell>
          <cell r="C358" t="str">
            <v>SJ16838C</v>
          </cell>
          <cell r="D358" t="str">
            <v>SATEEN</v>
          </cell>
          <cell r="E358" t="str">
            <v>50D+68D</v>
          </cell>
          <cell r="F358" t="str">
            <v>T100%</v>
          </cell>
          <cell r="G358" t="str">
            <v xml:space="preserve">100% POLYSTER </v>
          </cell>
          <cell r="H358" t="str">
            <v>56/57</v>
          </cell>
          <cell r="I358">
            <v>160</v>
          </cell>
          <cell r="J358">
            <v>2.1800000000000002</v>
          </cell>
          <cell r="K358">
            <v>2.48</v>
          </cell>
          <cell r="L358">
            <v>2.2000000000000002</v>
          </cell>
          <cell r="M358">
            <v>2.5</v>
          </cell>
          <cell r="N358">
            <v>2.2000000000000002</v>
          </cell>
          <cell r="O358">
            <v>2.5</v>
          </cell>
          <cell r="P358"/>
          <cell r="Q358"/>
          <cell r="R358">
            <v>2.4</v>
          </cell>
          <cell r="S358"/>
          <cell r="T358"/>
          <cell r="U358"/>
          <cell r="V358">
            <v>15</v>
          </cell>
          <cell r="W358" t="str">
            <v>based on actual print</v>
          </cell>
          <cell r="X358" t="str">
            <v>GLORIA (S)</v>
          </cell>
          <cell r="Y358"/>
          <cell r="Z358" t="str">
            <v>GLORIA 28/6/18</v>
          </cell>
          <cell r="AA358"/>
          <cell r="AB358">
            <v>43279</v>
          </cell>
          <cell r="AC358">
            <v>4345</v>
          </cell>
        </row>
        <row r="359">
          <cell r="B359">
            <v>4124</v>
          </cell>
          <cell r="C359" t="str">
            <v>BG3850</v>
          </cell>
          <cell r="D359" t="str">
            <v>VISCOSE W/ DOT JAC</v>
          </cell>
          <cell r="E359" t="str">
            <v>R60*60   90*88</v>
          </cell>
          <cell r="F359" t="str">
            <v>R100%</v>
          </cell>
          <cell r="G359" t="str">
            <v>100% RAYON</v>
          </cell>
          <cell r="H359" t="str">
            <v>53/54</v>
          </cell>
          <cell r="I359">
            <v>82</v>
          </cell>
          <cell r="J359">
            <v>1.64</v>
          </cell>
          <cell r="K359">
            <v>1.95</v>
          </cell>
          <cell r="L359">
            <v>1.66</v>
          </cell>
          <cell r="M359">
            <v>2</v>
          </cell>
          <cell r="N359">
            <v>1.67</v>
          </cell>
          <cell r="O359">
            <v>2.0499999999999998</v>
          </cell>
          <cell r="P359"/>
          <cell r="Q359"/>
          <cell r="R359">
            <v>1.8</v>
          </cell>
          <cell r="S359">
            <v>2.4</v>
          </cell>
          <cell r="T359"/>
          <cell r="U359"/>
          <cell r="V359" t="str">
            <v>15</v>
          </cell>
          <cell r="W359"/>
          <cell r="X359" t="str">
            <v>EDWIN</v>
          </cell>
          <cell r="Y359" t="str">
            <v>DMCARE-TRI-01</v>
          </cell>
          <cell r="Z359" t="str">
            <v>EDWIN 28/6/18</v>
          </cell>
          <cell r="AA359"/>
          <cell r="AB359">
            <v>43279</v>
          </cell>
          <cell r="AC359">
            <v>4344</v>
          </cell>
        </row>
        <row r="360">
          <cell r="B360">
            <v>4473</v>
          </cell>
          <cell r="C360" t="str">
            <v>R135</v>
          </cell>
          <cell r="D360" t="str">
            <v>RAYON W/ DOTS</v>
          </cell>
          <cell r="E360" t="str">
            <v>45S*45S+21S/2 73*83</v>
          </cell>
          <cell r="F360" t="str">
            <v>R100%</v>
          </cell>
          <cell r="G360" t="str">
            <v>100% RAYON JAC</v>
          </cell>
          <cell r="H360" t="str">
            <v>53/54</v>
          </cell>
          <cell r="I360">
            <v>85</v>
          </cell>
          <cell r="J360">
            <v>1.89</v>
          </cell>
          <cell r="K360">
            <v>2.11</v>
          </cell>
          <cell r="L360">
            <v>1.92</v>
          </cell>
          <cell r="M360">
            <v>2.19</v>
          </cell>
          <cell r="N360">
            <v>2</v>
          </cell>
          <cell r="O360">
            <v>2.27</v>
          </cell>
          <cell r="P360"/>
          <cell r="Q360"/>
          <cell r="R360"/>
          <cell r="S360"/>
          <cell r="T360"/>
          <cell r="U360"/>
          <cell r="V360" t="str">
            <v>15</v>
          </cell>
          <cell r="W360" t="str">
            <v>Can't proceed 1000M . NEED WEAVE GREIGE</v>
          </cell>
          <cell r="X360" t="str">
            <v>TERESA</v>
          </cell>
          <cell r="Y360" t="str">
            <v xml:space="preserve">DMCARE-TRI-02 </v>
          </cell>
          <cell r="Z360" t="str">
            <v>TERESA 23/6</v>
          </cell>
          <cell r="AA360"/>
          <cell r="AB360">
            <v>43274</v>
          </cell>
          <cell r="AC360">
            <v>4376</v>
          </cell>
        </row>
        <row r="361">
          <cell r="B361">
            <v>4472</v>
          </cell>
          <cell r="C361" t="str">
            <v>R116</v>
          </cell>
          <cell r="D361" t="str">
            <v>RAYON W/ DOTS</v>
          </cell>
          <cell r="E361" t="str">
            <v>45S*45S+21S/2 73*83</v>
          </cell>
          <cell r="F361" t="str">
            <v>R100%</v>
          </cell>
          <cell r="G361" t="str">
            <v>100% RAYON JAC</v>
          </cell>
          <cell r="H361" t="str">
            <v>53/54</v>
          </cell>
          <cell r="I361">
            <v>112</v>
          </cell>
          <cell r="J361">
            <v>1.93</v>
          </cell>
          <cell r="K361">
            <v>2.13</v>
          </cell>
          <cell r="L361">
            <v>1.96</v>
          </cell>
          <cell r="M361">
            <v>2.21</v>
          </cell>
          <cell r="N361">
            <v>2.04</v>
          </cell>
          <cell r="O361">
            <v>2.29</v>
          </cell>
          <cell r="P361"/>
          <cell r="Q361"/>
          <cell r="R361"/>
          <cell r="S361"/>
          <cell r="T361"/>
          <cell r="U361"/>
          <cell r="V361" t="str">
            <v>15</v>
          </cell>
          <cell r="W361" t="str">
            <v>Can't proceed 1000M . NEED WEAVE GREIGE</v>
          </cell>
          <cell r="X361" t="str">
            <v>TERESA</v>
          </cell>
          <cell r="Y361" t="str">
            <v>DMCARE-TRI-02</v>
          </cell>
          <cell r="Z361" t="str">
            <v>TERESA 23/6</v>
          </cell>
          <cell r="AA361"/>
          <cell r="AB361">
            <v>43274</v>
          </cell>
          <cell r="AC361">
            <v>4377</v>
          </cell>
        </row>
        <row r="362">
          <cell r="B362">
            <v>4471</v>
          </cell>
          <cell r="C362" t="str">
            <v>R169</v>
          </cell>
          <cell r="D362" t="str">
            <v>RAYON W/ DOTS</v>
          </cell>
          <cell r="E362" t="str">
            <v>60D*60S</v>
          </cell>
          <cell r="F362" t="str">
            <v>R100%</v>
          </cell>
          <cell r="G362" t="str">
            <v xml:space="preserve">100% RAYON </v>
          </cell>
          <cell r="H362" t="str">
            <v>57/58</v>
          </cell>
          <cell r="I362">
            <v>76</v>
          </cell>
          <cell r="J362">
            <v>1.71</v>
          </cell>
          <cell r="K362">
            <v>1.92</v>
          </cell>
          <cell r="L362">
            <v>1.74</v>
          </cell>
          <cell r="M362">
            <v>2</v>
          </cell>
          <cell r="N362">
            <v>1.82</v>
          </cell>
          <cell r="O362">
            <v>2.08</v>
          </cell>
          <cell r="P362"/>
          <cell r="Q362"/>
          <cell r="R362"/>
          <cell r="S362"/>
          <cell r="T362"/>
          <cell r="U362"/>
          <cell r="V362" t="str">
            <v>15</v>
          </cell>
          <cell r="W362" t="str">
            <v>Can't proceed 1000M . NEED WEAVE GREIGE</v>
          </cell>
          <cell r="X362" t="str">
            <v>TERESA</v>
          </cell>
          <cell r="Y362" t="str">
            <v>DMCARE-TRI-02</v>
          </cell>
          <cell r="Z362" t="str">
            <v>TERESA 23/6</v>
          </cell>
          <cell r="AA362"/>
          <cell r="AB362">
            <v>43274</v>
          </cell>
          <cell r="AC362">
            <v>4378</v>
          </cell>
        </row>
        <row r="363">
          <cell r="B363">
            <v>4470</v>
          </cell>
          <cell r="C363" t="str">
            <v>T349-1</v>
          </cell>
          <cell r="D363" t="str">
            <v>CRINKLE SATEEN</v>
          </cell>
          <cell r="E363" t="str">
            <v>50+75</v>
          </cell>
          <cell r="F363" t="str">
            <v>T100%</v>
          </cell>
          <cell r="G363" t="str">
            <v xml:space="preserve">100% POLYESTER </v>
          </cell>
          <cell r="H363" t="str">
            <v>57/58</v>
          </cell>
          <cell r="I363">
            <v>102</v>
          </cell>
          <cell r="J363">
            <v>1.59</v>
          </cell>
          <cell r="K363">
            <v>1.79</v>
          </cell>
          <cell r="L363">
            <v>1.62</v>
          </cell>
          <cell r="M363">
            <v>1.87</v>
          </cell>
          <cell r="N363">
            <v>1.67</v>
          </cell>
          <cell r="O363">
            <v>1.92</v>
          </cell>
          <cell r="P363"/>
          <cell r="Q363"/>
          <cell r="R363">
            <v>1.77</v>
          </cell>
          <cell r="S363">
            <v>2.5099999999999998</v>
          </cell>
          <cell r="T363"/>
          <cell r="U363"/>
          <cell r="V363" t="str">
            <v>15</v>
          </cell>
          <cell r="W363"/>
          <cell r="X363" t="str">
            <v>TERESA</v>
          </cell>
          <cell r="Y363" t="str">
            <v xml:space="preserve">DMCARE-TRI-02 </v>
          </cell>
          <cell r="Z363" t="str">
            <v>TERESA 23/6</v>
          </cell>
          <cell r="AA363"/>
          <cell r="AB363">
            <v>43274</v>
          </cell>
          <cell r="AC363">
            <v>4375</v>
          </cell>
        </row>
        <row r="364">
          <cell r="B364">
            <v>4465</v>
          </cell>
          <cell r="C364" t="str">
            <v>HQ9738</v>
          </cell>
          <cell r="D364"/>
          <cell r="E364" t="str">
            <v>20D+26D*60S</v>
          </cell>
          <cell r="F364" t="str">
            <v>T/R 55/45</v>
          </cell>
          <cell r="G364" t="str">
            <v>55%POLYESTER 45%RAYON</v>
          </cell>
          <cell r="H364" t="str">
            <v>57/58</v>
          </cell>
          <cell r="I364">
            <v>90</v>
          </cell>
          <cell r="J364">
            <v>1.76</v>
          </cell>
          <cell r="K364">
            <v>2.46</v>
          </cell>
          <cell r="L364">
            <v>1.77</v>
          </cell>
          <cell r="M364">
            <v>2.4700000000000002</v>
          </cell>
          <cell r="N364">
            <v>1.78</v>
          </cell>
          <cell r="O364">
            <v>2.48</v>
          </cell>
          <cell r="P364"/>
          <cell r="Q364"/>
          <cell r="R364">
            <v>1.8</v>
          </cell>
          <cell r="S364">
            <v>2.5</v>
          </cell>
          <cell r="T364"/>
          <cell r="U364"/>
          <cell r="V364">
            <v>15</v>
          </cell>
          <cell r="W364" t="str">
            <v>pigment print   
revised the weight is 90gsm now. Fiona by wechat</v>
          </cell>
          <cell r="X364" t="str">
            <v>HAOMAIER (S)</v>
          </cell>
          <cell r="Y364"/>
          <cell r="Z364" t="str">
            <v>FIONA 22/6/18</v>
          </cell>
          <cell r="AA364"/>
          <cell r="AB364">
            <v>43273</v>
          </cell>
          <cell r="AC364">
            <v>4382</v>
          </cell>
        </row>
        <row r="365">
          <cell r="B365">
            <v>4464</v>
          </cell>
          <cell r="C365" t="str">
            <v>MRT1-261-18</v>
          </cell>
          <cell r="D365"/>
          <cell r="E365" t="str">
            <v>100D+75D+40D+150D*100D+75D+40D</v>
          </cell>
          <cell r="F365" t="str">
            <v>T/S 95/5</v>
          </cell>
          <cell r="G365" t="str">
            <v>95%POLYESTER 5%SPANDEX</v>
          </cell>
          <cell r="H365" t="str">
            <v>57/58</v>
          </cell>
          <cell r="I365">
            <v>218</v>
          </cell>
          <cell r="J365">
            <v>3.12</v>
          </cell>
          <cell r="K365">
            <v>3.44</v>
          </cell>
          <cell r="L365">
            <v>3.14</v>
          </cell>
          <cell r="M365">
            <v>3.46</v>
          </cell>
          <cell r="N365">
            <v>3.17</v>
          </cell>
          <cell r="O365">
            <v>3.49</v>
          </cell>
          <cell r="P365"/>
          <cell r="Q365"/>
          <cell r="R365">
            <v>3.22</v>
          </cell>
          <cell r="S365">
            <v>3.6</v>
          </cell>
          <cell r="T365"/>
          <cell r="U365"/>
          <cell r="V365">
            <v>15</v>
          </cell>
          <cell r="W365"/>
          <cell r="X365" t="str">
            <v>HAOMAIER (S)</v>
          </cell>
          <cell r="Y365"/>
          <cell r="Z365" t="str">
            <v>FIONA 22/6/18</v>
          </cell>
          <cell r="AA365"/>
          <cell r="AB365">
            <v>43273</v>
          </cell>
          <cell r="AC365">
            <v>4379</v>
          </cell>
        </row>
        <row r="366">
          <cell r="B366">
            <v>3518</v>
          </cell>
          <cell r="C366" t="str">
            <v>KC11003</v>
          </cell>
          <cell r="D366"/>
          <cell r="E366"/>
          <cell r="F366" t="str">
            <v>T/V/ELASTANE 77/18/5</v>
          </cell>
          <cell r="G366" t="str">
            <v>77% POLYESTER 18% VISCOSE 5% ELASTANE</v>
          </cell>
          <cell r="H366">
            <v>56</v>
          </cell>
          <cell r="I366">
            <v>200</v>
          </cell>
          <cell r="J366">
            <v>2.08</v>
          </cell>
          <cell r="K366"/>
          <cell r="L366">
            <v>2.15</v>
          </cell>
          <cell r="M366"/>
          <cell r="N366">
            <v>2.2000000000000002</v>
          </cell>
          <cell r="O366"/>
          <cell r="P366"/>
          <cell r="Q366"/>
          <cell r="R366">
            <v>2.5</v>
          </cell>
          <cell r="S366"/>
          <cell r="T366"/>
          <cell r="U366"/>
          <cell r="V366">
            <v>15</v>
          </cell>
          <cell r="W366"/>
          <cell r="X366" t="str">
            <v>PANI</v>
          </cell>
          <cell r="Y366"/>
          <cell r="Z366" t="str">
            <v>KAIMING 22/6/18</v>
          </cell>
          <cell r="AA366"/>
          <cell r="AB366">
            <v>43273</v>
          </cell>
          <cell r="AC366">
            <v>4380</v>
          </cell>
        </row>
        <row r="367">
          <cell r="B367">
            <v>3240</v>
          </cell>
          <cell r="C367" t="str">
            <v>TS-343</v>
          </cell>
          <cell r="D367"/>
          <cell r="E367"/>
          <cell r="F367" t="str">
            <v>T/S 92/8</v>
          </cell>
          <cell r="G367" t="str">
            <v xml:space="preserve">92% POLYESTER 8% SPANDEX </v>
          </cell>
          <cell r="H367" t="str">
            <v>57/58</v>
          </cell>
          <cell r="I367">
            <v>215</v>
          </cell>
          <cell r="J367">
            <v>1.88</v>
          </cell>
          <cell r="K367">
            <v>2.04</v>
          </cell>
          <cell r="L367">
            <v>1.9</v>
          </cell>
          <cell r="M367">
            <v>2.0699999999999998</v>
          </cell>
          <cell r="N367">
            <v>1.92</v>
          </cell>
          <cell r="O367">
            <v>2.1</v>
          </cell>
          <cell r="P367"/>
          <cell r="Q367"/>
          <cell r="R367">
            <v>2.0699999999999998</v>
          </cell>
          <cell r="S367">
            <v>2.35</v>
          </cell>
          <cell r="T367"/>
          <cell r="U367"/>
          <cell r="V367">
            <v>15</v>
          </cell>
          <cell r="W367"/>
          <cell r="X367" t="str">
            <v>GAVIN</v>
          </cell>
          <cell r="Y367"/>
          <cell r="Z367" t="str">
            <v>GAVIN 22/6/18</v>
          </cell>
          <cell r="AA367"/>
          <cell r="AB367">
            <v>43273</v>
          </cell>
          <cell r="AC367">
            <v>4381</v>
          </cell>
        </row>
        <row r="368">
          <cell r="B368">
            <v>4469</v>
          </cell>
          <cell r="C368" t="str">
            <v>CT1104135-1</v>
          </cell>
          <cell r="D368" t="str">
            <v>CDC</v>
          </cell>
          <cell r="E368"/>
          <cell r="F368" t="str">
            <v>T100%</v>
          </cell>
          <cell r="G368" t="str">
            <v>100% POLYESTER</v>
          </cell>
          <cell r="H368" t="str">
            <v>57/58”</v>
          </cell>
          <cell r="I368">
            <v>80</v>
          </cell>
          <cell r="J368">
            <v>0.86</v>
          </cell>
          <cell r="K368">
            <v>1.1299999999999999</v>
          </cell>
          <cell r="L368">
            <v>0.86</v>
          </cell>
          <cell r="M368">
            <v>1.1299999999999999</v>
          </cell>
          <cell r="N368">
            <v>0.86</v>
          </cell>
          <cell r="O368">
            <v>1.1299999999999999</v>
          </cell>
          <cell r="P368"/>
          <cell r="Q368"/>
          <cell r="R368">
            <v>1.01</v>
          </cell>
          <cell r="S368">
            <v>1.48</v>
          </cell>
          <cell r="T368"/>
          <cell r="U368"/>
          <cell r="V368" t="str">
            <v>15</v>
          </cell>
          <cell r="W368"/>
          <cell r="X368" t="str">
            <v>BONNIE</v>
          </cell>
          <cell r="Y368"/>
          <cell r="Z368" t="str">
            <v>BONNIE 21/6/18</v>
          </cell>
          <cell r="AA368"/>
          <cell r="AB368">
            <v>43272</v>
          </cell>
          <cell r="AC368">
            <v>4383</v>
          </cell>
        </row>
        <row r="369">
          <cell r="B369">
            <v>4252</v>
          </cell>
          <cell r="C369" t="str">
            <v>ST-E006</v>
          </cell>
          <cell r="D369" t="str">
            <v>CREPE</v>
          </cell>
          <cell r="E369"/>
          <cell r="F369" t="str">
            <v>T100%</v>
          </cell>
          <cell r="G369" t="str">
            <v xml:space="preserve">100% POLYESTER </v>
          </cell>
          <cell r="H369" t="str">
            <v>57/58</v>
          </cell>
          <cell r="I369">
            <v>120</v>
          </cell>
          <cell r="J369">
            <v>1.2</v>
          </cell>
          <cell r="K369">
            <v>1.4</v>
          </cell>
          <cell r="L369">
            <v>1.2</v>
          </cell>
          <cell r="M369">
            <v>1.4</v>
          </cell>
          <cell r="N369">
            <v>1.25</v>
          </cell>
          <cell r="O369">
            <v>1.45</v>
          </cell>
          <cell r="P369"/>
          <cell r="Q369"/>
          <cell r="R369">
            <v>1.29</v>
          </cell>
          <cell r="S369">
            <v>1.49</v>
          </cell>
          <cell r="T369"/>
          <cell r="U369"/>
          <cell r="V369">
            <v>15</v>
          </cell>
          <cell r="W369"/>
          <cell r="X369" t="str">
            <v>LILY</v>
          </cell>
          <cell r="Y369"/>
          <cell r="Z369" t="str">
            <v>LILY 21/6/18</v>
          </cell>
          <cell r="AA369"/>
          <cell r="AB369">
            <v>43272</v>
          </cell>
          <cell r="AC369">
            <v>4384</v>
          </cell>
        </row>
        <row r="370">
          <cell r="B370">
            <v>4245</v>
          </cell>
          <cell r="C370" t="str">
            <v>ST-WV2036</v>
          </cell>
          <cell r="D370" t="str">
            <v>BUBBLE CREPE</v>
          </cell>
          <cell r="E370"/>
          <cell r="F370" t="str">
            <v>T/S 97/3</v>
          </cell>
          <cell r="G370" t="str">
            <v>97% POLYESTER  3% SPANDEX</v>
          </cell>
          <cell r="H370" t="str">
            <v>57</v>
          </cell>
          <cell r="I370">
            <v>125</v>
          </cell>
          <cell r="J370">
            <v>1.26</v>
          </cell>
          <cell r="K370">
            <v>1.46</v>
          </cell>
          <cell r="L370">
            <v>1.3</v>
          </cell>
          <cell r="M370">
            <v>1.5</v>
          </cell>
          <cell r="N370">
            <v>1.34</v>
          </cell>
          <cell r="O370">
            <v>1.54</v>
          </cell>
          <cell r="P370"/>
          <cell r="Q370"/>
          <cell r="R370">
            <v>1.38</v>
          </cell>
          <cell r="S370">
            <v>1.58</v>
          </cell>
          <cell r="T370"/>
          <cell r="U370"/>
          <cell r="V370">
            <v>15</v>
          </cell>
          <cell r="W370"/>
          <cell r="X370" t="str">
            <v>LILY</v>
          </cell>
          <cell r="Y370"/>
          <cell r="Z370" t="str">
            <v>LILY 21/6/18</v>
          </cell>
          <cell r="AA370"/>
          <cell r="AB370">
            <v>43272</v>
          </cell>
          <cell r="AC370">
            <v>4385</v>
          </cell>
        </row>
        <row r="371">
          <cell r="B371">
            <v>1133</v>
          </cell>
          <cell r="C371" t="str">
            <v>R039</v>
          </cell>
          <cell r="D371" t="str">
            <v>VISCOSE</v>
          </cell>
          <cell r="E371" t="str">
            <v>30S*30S</v>
          </cell>
          <cell r="F371" t="str">
            <v>R100%</v>
          </cell>
          <cell r="G371" t="str">
            <v>100%RAYON</v>
          </cell>
          <cell r="H371" t="str">
            <v>50/51</v>
          </cell>
          <cell r="I371">
            <v>125</v>
          </cell>
          <cell r="J371">
            <v>1.61</v>
          </cell>
          <cell r="K371">
            <v>1.95</v>
          </cell>
          <cell r="L371">
            <v>1.63</v>
          </cell>
          <cell r="M371">
            <v>2.0299999999999998</v>
          </cell>
          <cell r="N371">
            <v>1.68</v>
          </cell>
          <cell r="O371">
            <v>2.0699999999999998</v>
          </cell>
          <cell r="P371"/>
          <cell r="Q371"/>
          <cell r="R371">
            <v>1.76</v>
          </cell>
          <cell r="S371">
            <v>2.56</v>
          </cell>
          <cell r="T371"/>
          <cell r="U371"/>
          <cell r="V371">
            <v>15</v>
          </cell>
          <cell r="W371"/>
          <cell r="X371" t="str">
            <v>TERESA</v>
          </cell>
          <cell r="Y371" t="str">
            <v xml:space="preserve">DMCARE-TRI-02 </v>
          </cell>
          <cell r="Z371" t="str">
            <v>TERESA 20/6/18</v>
          </cell>
          <cell r="AA371"/>
          <cell r="AB371">
            <v>43271</v>
          </cell>
          <cell r="AC371">
            <v>4387</v>
          </cell>
        </row>
        <row r="372">
          <cell r="B372">
            <v>981</v>
          </cell>
          <cell r="C372" t="str">
            <v>R056</v>
          </cell>
          <cell r="D372" t="str">
            <v>VISCOSE</v>
          </cell>
          <cell r="E372" t="str">
            <v>40S*40S</v>
          </cell>
          <cell r="F372" t="str">
            <v>R100%</v>
          </cell>
          <cell r="G372" t="str">
            <v>100%RAYON</v>
          </cell>
          <cell r="H372" t="str">
            <v>53/54</v>
          </cell>
          <cell r="I372">
            <v>130</v>
          </cell>
          <cell r="J372">
            <v>1.53</v>
          </cell>
          <cell r="K372">
            <v>1.65</v>
          </cell>
          <cell r="L372">
            <v>1.55</v>
          </cell>
          <cell r="M372">
            <v>1.73</v>
          </cell>
          <cell r="N372">
            <v>1.6</v>
          </cell>
          <cell r="O372">
            <v>1.78</v>
          </cell>
          <cell r="P372"/>
          <cell r="Q372"/>
          <cell r="R372">
            <v>1.7</v>
          </cell>
          <cell r="S372">
            <v>2.37</v>
          </cell>
          <cell r="T372"/>
          <cell r="U372"/>
          <cell r="V372">
            <v>15</v>
          </cell>
          <cell r="W372"/>
          <cell r="X372" t="str">
            <v>TERESA</v>
          </cell>
          <cell r="Y372" t="str">
            <v xml:space="preserve">DMCARE-TRI-02 </v>
          </cell>
          <cell r="Z372" t="str">
            <v>TERESA 20/6/18</v>
          </cell>
          <cell r="AA372"/>
          <cell r="AB372">
            <v>43271</v>
          </cell>
          <cell r="AC372">
            <v>4386</v>
          </cell>
        </row>
        <row r="373">
          <cell r="B373">
            <v>4477</v>
          </cell>
          <cell r="C373" t="str">
            <v>WW-21436</v>
          </cell>
          <cell r="D373" t="str">
            <v>CREPE ( SAME 1895C )</v>
          </cell>
          <cell r="E373"/>
          <cell r="F373" t="str">
            <v>T100%</v>
          </cell>
          <cell r="G373" t="str">
            <v>100% POLYESTER</v>
          </cell>
          <cell r="H373" t="str">
            <v>57/58</v>
          </cell>
          <cell r="I373">
            <v>120</v>
          </cell>
          <cell r="J373">
            <v>1.17</v>
          </cell>
          <cell r="K373">
            <v>1.37</v>
          </cell>
          <cell r="L373">
            <v>1.17</v>
          </cell>
          <cell r="M373">
            <v>1.37</v>
          </cell>
          <cell r="N373">
            <v>1.17</v>
          </cell>
          <cell r="O373">
            <v>1.37</v>
          </cell>
          <cell r="P373"/>
          <cell r="Q373"/>
          <cell r="R373">
            <v>1.4</v>
          </cell>
          <cell r="S373">
            <v>1.7</v>
          </cell>
          <cell r="T373"/>
          <cell r="U373"/>
          <cell r="V373">
            <v>15</v>
          </cell>
          <cell r="W373"/>
          <cell r="X373" t="str">
            <v>KHÔI</v>
          </cell>
          <cell r="Y373"/>
          <cell r="Z373" t="str">
            <v>KHÔI 19/6/18</v>
          </cell>
          <cell r="AA373"/>
          <cell r="AB373">
            <v>43270</v>
          </cell>
          <cell r="AC373">
            <v>4395</v>
          </cell>
        </row>
        <row r="374">
          <cell r="B374">
            <v>4463</v>
          </cell>
          <cell r="C374" t="str">
            <v>T188</v>
          </cell>
          <cell r="D374" t="str">
            <v>SATEEN  W/ AIR FLOW</v>
          </cell>
          <cell r="E374" t="str">
            <v>50D*(20D+26D)+75D</v>
          </cell>
          <cell r="F374" t="str">
            <v>T100%</v>
          </cell>
          <cell r="G374" t="str">
            <v xml:space="preserve">100% POLYESTER </v>
          </cell>
          <cell r="H374" t="str">
            <v>57/58</v>
          </cell>
          <cell r="I374">
            <v>105</v>
          </cell>
          <cell r="J374">
            <v>1.6</v>
          </cell>
          <cell r="K374">
            <v>1.74</v>
          </cell>
          <cell r="L374">
            <v>1.63</v>
          </cell>
          <cell r="M374">
            <v>1.82</v>
          </cell>
          <cell r="N374">
            <v>1.67</v>
          </cell>
          <cell r="O374">
            <v>1.87</v>
          </cell>
          <cell r="P374"/>
          <cell r="Q374"/>
          <cell r="R374">
            <v>1.77</v>
          </cell>
          <cell r="S374">
            <v>2.46</v>
          </cell>
          <cell r="T374"/>
          <cell r="U374"/>
          <cell r="V374">
            <v>15</v>
          </cell>
          <cell r="W374"/>
          <cell r="X374" t="str">
            <v>TERESA</v>
          </cell>
          <cell r="Y374" t="str">
            <v xml:space="preserve">DMCARE-TRI-02 </v>
          </cell>
          <cell r="Z374" t="str">
            <v>TERESA 19/6/18</v>
          </cell>
          <cell r="AA374"/>
          <cell r="AB374">
            <v>43270</v>
          </cell>
          <cell r="AC374">
            <v>4394</v>
          </cell>
        </row>
        <row r="375">
          <cell r="B375">
            <v>4462</v>
          </cell>
          <cell r="C375" t="str">
            <v>FQ-F106</v>
          </cell>
          <cell r="D375" t="str">
            <v>SATEEN W/ AIR FLOW</v>
          </cell>
          <cell r="E375" t="str">
            <v>50D*20D+26D+75D</v>
          </cell>
          <cell r="F375" t="str">
            <v>T100%</v>
          </cell>
          <cell r="G375" t="str">
            <v>100%POLYESTER</v>
          </cell>
          <cell r="H375">
            <v>58</v>
          </cell>
          <cell r="I375">
            <v>99</v>
          </cell>
          <cell r="J375">
            <v>1.93</v>
          </cell>
          <cell r="K375">
            <v>2.2599999999999998</v>
          </cell>
          <cell r="L375">
            <v>1.95</v>
          </cell>
          <cell r="M375">
            <v>2.29</v>
          </cell>
          <cell r="N375">
            <v>1.97</v>
          </cell>
          <cell r="O375">
            <v>2.3199999999999998</v>
          </cell>
          <cell r="P375"/>
          <cell r="Q375"/>
          <cell r="R375">
            <v>2.0299999999999998</v>
          </cell>
          <cell r="S375">
            <v>2.37</v>
          </cell>
          <cell r="T375"/>
          <cell r="U375"/>
          <cell r="V375">
            <v>15</v>
          </cell>
          <cell r="W375"/>
          <cell r="X375" t="str">
            <v>ADEN</v>
          </cell>
          <cell r="Y375"/>
          <cell r="Z375" t="str">
            <v>ADEN 19/6/18</v>
          </cell>
          <cell r="AA375"/>
          <cell r="AB375">
            <v>43270</v>
          </cell>
          <cell r="AC375">
            <v>4391</v>
          </cell>
        </row>
        <row r="376">
          <cell r="B376">
            <v>4461</v>
          </cell>
          <cell r="C376" t="str">
            <v>FQ-1014-FM</v>
          </cell>
          <cell r="D376" t="str">
            <v>POLY</v>
          </cell>
          <cell r="E376" t="str">
            <v>50D+68D*50D+68D</v>
          </cell>
          <cell r="F376" t="str">
            <v>T100%</v>
          </cell>
          <cell r="G376" t="str">
            <v>100%POLYESTER</v>
          </cell>
          <cell r="H376">
            <v>58</v>
          </cell>
          <cell r="I376">
            <v>160</v>
          </cell>
          <cell r="J376">
            <v>1.95</v>
          </cell>
          <cell r="K376">
            <v>2.2999999999999998</v>
          </cell>
          <cell r="L376">
            <v>1.97</v>
          </cell>
          <cell r="M376">
            <v>2.3199999999999998</v>
          </cell>
          <cell r="N376">
            <v>1.99</v>
          </cell>
          <cell r="O376">
            <v>2.35</v>
          </cell>
          <cell r="P376"/>
          <cell r="Q376"/>
          <cell r="R376">
            <v>2.0499999999999998</v>
          </cell>
          <cell r="S376">
            <v>2.4</v>
          </cell>
          <cell r="T376"/>
          <cell r="U376"/>
          <cell r="V376">
            <v>15</v>
          </cell>
          <cell r="W376"/>
          <cell r="X376" t="str">
            <v>ADEN</v>
          </cell>
          <cell r="Y376"/>
          <cell r="Z376" t="str">
            <v>ADEN 19/6/18</v>
          </cell>
          <cell r="AA376"/>
          <cell r="AB376">
            <v>43270</v>
          </cell>
          <cell r="AC376">
            <v>4390</v>
          </cell>
        </row>
        <row r="377">
          <cell r="B377">
            <v>4460</v>
          </cell>
          <cell r="C377" t="str">
            <v xml:space="preserve">HQ9738H </v>
          </cell>
          <cell r="D377"/>
          <cell r="E377" t="str">
            <v>20D+26D*32S</v>
          </cell>
          <cell r="F377" t="str">
            <v>R/T 65/35</v>
          </cell>
          <cell r="G377" t="str">
            <v>65% RAYON 35%POLYESER</v>
          </cell>
          <cell r="H377" t="str">
            <v>57/58</v>
          </cell>
          <cell r="I377">
            <v>120</v>
          </cell>
          <cell r="J377">
            <v>2.15</v>
          </cell>
          <cell r="K377">
            <v>2.7</v>
          </cell>
          <cell r="L377">
            <v>2.17</v>
          </cell>
          <cell r="M377">
            <v>2.7199999999999998</v>
          </cell>
          <cell r="N377">
            <v>2.2000000000000002</v>
          </cell>
          <cell r="O377">
            <v>2.75</v>
          </cell>
          <cell r="P377"/>
          <cell r="Q377"/>
          <cell r="R377">
            <v>2.25</v>
          </cell>
          <cell r="S377">
            <v>2.8</v>
          </cell>
          <cell r="T377"/>
          <cell r="U377"/>
          <cell r="V377">
            <v>15</v>
          </cell>
          <cell r="W377" t="str">
            <v>print price is for pigment print, can  not do print from dye</v>
          </cell>
          <cell r="X377" t="str">
            <v>HAOMAIER (S)</v>
          </cell>
          <cell r="Y377"/>
          <cell r="Z377" t="str">
            <v>FIONA 19/6/18</v>
          </cell>
          <cell r="AA377"/>
          <cell r="AB377">
            <v>43270</v>
          </cell>
          <cell r="AC377">
            <v>4388</v>
          </cell>
        </row>
        <row r="378">
          <cell r="B378">
            <v>4448</v>
          </cell>
          <cell r="C378" t="str">
            <v>T342</v>
          </cell>
          <cell r="D378"/>
          <cell r="E378" t="str">
            <v>150*(68+50)*75+75</v>
          </cell>
          <cell r="F378" t="str">
            <v>T100%</v>
          </cell>
          <cell r="G378" t="str">
            <v xml:space="preserve">100% POLYESTER </v>
          </cell>
          <cell r="H378" t="str">
            <v>57/58</v>
          </cell>
          <cell r="I378">
            <v>215</v>
          </cell>
          <cell r="J378">
            <v>2.0499999999999998</v>
          </cell>
          <cell r="K378">
            <v>2.19</v>
          </cell>
          <cell r="L378">
            <v>2.0699999999999998</v>
          </cell>
          <cell r="M378">
            <v>2.29</v>
          </cell>
          <cell r="N378">
            <v>2.12</v>
          </cell>
          <cell r="O378">
            <v>2.34</v>
          </cell>
          <cell r="P378"/>
          <cell r="Q378"/>
          <cell r="R378">
            <v>2.2200000000000002</v>
          </cell>
          <cell r="S378">
            <v>2.93</v>
          </cell>
          <cell r="T378"/>
          <cell r="U378"/>
          <cell r="V378">
            <v>15</v>
          </cell>
          <cell r="W378"/>
          <cell r="X378" t="str">
            <v>TERESA</v>
          </cell>
          <cell r="Y378" t="str">
            <v xml:space="preserve">DMCARE-TRI-02 </v>
          </cell>
          <cell r="Z378" t="str">
            <v>TERESA 19/6/18</v>
          </cell>
          <cell r="AA378"/>
          <cell r="AB378">
            <v>43270</v>
          </cell>
          <cell r="AC378">
            <v>4393</v>
          </cell>
        </row>
        <row r="379">
          <cell r="B379">
            <v>4423</v>
          </cell>
          <cell r="C379" t="str">
            <v>WW-23618-1</v>
          </cell>
          <cell r="D379" t="str">
            <v>Richly crepe</v>
          </cell>
          <cell r="E379"/>
          <cell r="F379" t="str">
            <v>T100%</v>
          </cell>
          <cell r="G379" t="str">
            <v xml:space="preserve">100%POLYESTER </v>
          </cell>
          <cell r="H379" t="str">
            <v>145CM</v>
          </cell>
          <cell r="I379">
            <v>120</v>
          </cell>
          <cell r="J379">
            <v>1.4</v>
          </cell>
          <cell r="K379">
            <v>1.7</v>
          </cell>
          <cell r="L379">
            <v>1.4</v>
          </cell>
          <cell r="M379">
            <v>1.7</v>
          </cell>
          <cell r="N379">
            <v>1.5</v>
          </cell>
          <cell r="O379">
            <v>1.8</v>
          </cell>
          <cell r="P379"/>
          <cell r="Q379"/>
          <cell r="R379">
            <v>1.6</v>
          </cell>
          <cell r="S379">
            <v>1.9</v>
          </cell>
          <cell r="T379"/>
          <cell r="U379"/>
          <cell r="V379" t="str">
            <v>YES</v>
          </cell>
          <cell r="W379"/>
          <cell r="X379" t="str">
            <v>KAIMING</v>
          </cell>
          <cell r="Y379" t="str">
            <v>DMCARE-TRI-02</v>
          </cell>
          <cell r="Z379" t="str">
            <v>NICOLE 19/6/18</v>
          </cell>
          <cell r="AA379"/>
          <cell r="AB379">
            <v>43270</v>
          </cell>
          <cell r="AC379">
            <v>4389</v>
          </cell>
        </row>
        <row r="380">
          <cell r="B380">
            <v>2986</v>
          </cell>
          <cell r="C380" t="str">
            <v>TS-335</v>
          </cell>
          <cell r="D380"/>
          <cell r="E380"/>
          <cell r="F380" t="str">
            <v>T100%</v>
          </cell>
          <cell r="G380" t="str">
            <v xml:space="preserve">100% POLYESTER </v>
          </cell>
          <cell r="H380" t="str">
            <v>57/58</v>
          </cell>
          <cell r="I380">
            <v>127</v>
          </cell>
          <cell r="J380">
            <v>1.36</v>
          </cell>
          <cell r="K380">
            <v>1.34</v>
          </cell>
          <cell r="L380">
            <v>1.38</v>
          </cell>
          <cell r="M380">
            <v>1.37</v>
          </cell>
          <cell r="N380">
            <v>1.2</v>
          </cell>
          <cell r="O380">
            <v>1.4</v>
          </cell>
          <cell r="P380"/>
          <cell r="Q380"/>
          <cell r="R380">
            <v>1.35</v>
          </cell>
          <cell r="S380">
            <v>1.65</v>
          </cell>
          <cell r="T380"/>
          <cell r="U380"/>
          <cell r="V380">
            <v>15</v>
          </cell>
          <cell r="W380"/>
          <cell r="X380" t="str">
            <v>GAVIN</v>
          </cell>
          <cell r="Y380"/>
          <cell r="Z380" t="str">
            <v>GAVIN 19/6/18</v>
          </cell>
          <cell r="AA380"/>
          <cell r="AB380">
            <v>43270</v>
          </cell>
          <cell r="AC380">
            <v>4392</v>
          </cell>
        </row>
        <row r="381">
          <cell r="B381">
            <v>4459</v>
          </cell>
          <cell r="C381" t="str">
            <v>PF11024</v>
          </cell>
          <cell r="D381" t="str">
            <v>CHIFFON</v>
          </cell>
          <cell r="E381" t="str">
            <v>20D + 26D x 20D + 26D</v>
          </cell>
          <cell r="F381" t="str">
            <v>T100%</v>
          </cell>
          <cell r="G381" t="str">
            <v>100% POLYESTER</v>
          </cell>
          <cell r="H381" t="str">
            <v>150CM</v>
          </cell>
          <cell r="I381">
            <v>77</v>
          </cell>
          <cell r="J381">
            <v>1.21</v>
          </cell>
          <cell r="K381">
            <v>1.46</v>
          </cell>
          <cell r="L381">
            <v>1.21</v>
          </cell>
          <cell r="M381">
            <v>1.46</v>
          </cell>
          <cell r="N381">
            <v>1.24</v>
          </cell>
          <cell r="O381">
            <v>1.49</v>
          </cell>
          <cell r="P381"/>
          <cell r="Q381"/>
          <cell r="R381">
            <v>1.44</v>
          </cell>
          <cell r="S381">
            <v>1.69</v>
          </cell>
          <cell r="T381"/>
          <cell r="U381"/>
          <cell r="V381">
            <v>15</v>
          </cell>
          <cell r="W381"/>
          <cell r="X381" t="str">
            <v>KHOI</v>
          </cell>
          <cell r="Y381"/>
          <cell r="Z381" t="str">
            <v>KHOI 16/6/18</v>
          </cell>
          <cell r="AA381"/>
          <cell r="AB381">
            <v>43267</v>
          </cell>
          <cell r="AC381">
            <v>4399</v>
          </cell>
        </row>
        <row r="382">
          <cell r="B382">
            <v>4458</v>
          </cell>
          <cell r="C382" t="str">
            <v>YB1006</v>
          </cell>
          <cell r="D382" t="str">
            <v>SATEEN W/ AIR FLOW</v>
          </cell>
          <cell r="E382" t="str">
            <v>50Dx75D + 20D + 26D</v>
          </cell>
          <cell r="F382" t="str">
            <v>T100%</v>
          </cell>
          <cell r="G382" t="str">
            <v>100% POLYESTER</v>
          </cell>
          <cell r="H382" t="str">
            <v>150CM</v>
          </cell>
          <cell r="I382">
            <v>105</v>
          </cell>
          <cell r="J382">
            <v>1.54</v>
          </cell>
          <cell r="K382">
            <v>1.8</v>
          </cell>
          <cell r="L382">
            <v>1.54</v>
          </cell>
          <cell r="M382">
            <v>1.8</v>
          </cell>
          <cell r="N382">
            <v>1.57</v>
          </cell>
          <cell r="O382">
            <v>1.83</v>
          </cell>
          <cell r="P382"/>
          <cell r="Q382"/>
          <cell r="R382">
            <v>1.77</v>
          </cell>
          <cell r="S382">
            <v>2.23</v>
          </cell>
          <cell r="T382"/>
          <cell r="U382"/>
          <cell r="V382">
            <v>15</v>
          </cell>
          <cell r="W382"/>
          <cell r="X382" t="str">
            <v>KHOI</v>
          </cell>
          <cell r="Y382"/>
          <cell r="Z382" t="str">
            <v>KHOI 16/6/18</v>
          </cell>
          <cell r="AA382"/>
          <cell r="AB382">
            <v>43267</v>
          </cell>
          <cell r="AC382">
            <v>4398</v>
          </cell>
        </row>
        <row r="383">
          <cell r="B383">
            <v>4447</v>
          </cell>
          <cell r="C383" t="str">
            <v>BG3269</v>
          </cell>
          <cell r="D383" t="str">
            <v>SATEEN</v>
          </cell>
          <cell r="E383" t="str">
            <v>50D*75D</v>
          </cell>
          <cell r="F383" t="str">
            <v>T100%</v>
          </cell>
          <cell r="G383" t="str">
            <v xml:space="preserve">100% POLYESTER </v>
          </cell>
          <cell r="H383" t="str">
            <v>57/58</v>
          </cell>
          <cell r="I383">
            <v>90</v>
          </cell>
          <cell r="J383">
            <v>1.26</v>
          </cell>
          <cell r="K383">
            <v>1.6</v>
          </cell>
          <cell r="L383">
            <v>1.27</v>
          </cell>
          <cell r="M383">
            <v>1.65</v>
          </cell>
          <cell r="N383">
            <v>1.27</v>
          </cell>
          <cell r="O383">
            <v>1.7</v>
          </cell>
          <cell r="P383"/>
          <cell r="Q383"/>
          <cell r="R383">
            <v>1.5</v>
          </cell>
          <cell r="S383">
            <v>2.1</v>
          </cell>
          <cell r="T383"/>
          <cell r="U383"/>
          <cell r="V383">
            <v>15</v>
          </cell>
          <cell r="W383"/>
          <cell r="X383" t="str">
            <v>EDWIN</v>
          </cell>
          <cell r="Y383" t="str">
            <v>DMCARE-TRI-02</v>
          </cell>
          <cell r="Z383" t="str">
            <v>EDWIN 16/6/18</v>
          </cell>
          <cell r="AA383"/>
          <cell r="AB383">
            <v>43267</v>
          </cell>
          <cell r="AC383">
            <v>4397</v>
          </cell>
        </row>
        <row r="384">
          <cell r="B384">
            <v>4444</v>
          </cell>
          <cell r="C384" t="str">
            <v>BG3825</v>
          </cell>
          <cell r="D384" t="str">
            <v>SATEEN</v>
          </cell>
          <cell r="E384" t="str">
            <v>150D+50+68*50+68</v>
          </cell>
          <cell r="F384" t="str">
            <v>T100%</v>
          </cell>
          <cell r="G384" t="str">
            <v xml:space="preserve">100% POLYESTER </v>
          </cell>
          <cell r="H384" t="str">
            <v>58/59</v>
          </cell>
          <cell r="I384">
            <v>212</v>
          </cell>
          <cell r="J384">
            <v>2.15</v>
          </cell>
          <cell r="K384">
            <v>2.4500000000000002</v>
          </cell>
          <cell r="L384">
            <v>2.16</v>
          </cell>
          <cell r="M384">
            <v>2.5</v>
          </cell>
          <cell r="N384">
            <v>2.16</v>
          </cell>
          <cell r="O384">
            <v>2.5499999999999998</v>
          </cell>
          <cell r="P384"/>
          <cell r="Q384"/>
          <cell r="R384">
            <v>2.2999999999999998</v>
          </cell>
          <cell r="S384">
            <v>2.9</v>
          </cell>
          <cell r="T384"/>
          <cell r="U384"/>
          <cell r="V384">
            <v>15</v>
          </cell>
          <cell r="W384"/>
          <cell r="X384" t="str">
            <v>EDWIN</v>
          </cell>
          <cell r="Y384" t="str">
            <v>DMCARE-TRI-02</v>
          </cell>
          <cell r="Z384" t="str">
            <v>EDWIN 16/6/18</v>
          </cell>
          <cell r="AA384"/>
          <cell r="AB384">
            <v>43267</v>
          </cell>
          <cell r="AC384">
            <v>4396</v>
          </cell>
        </row>
        <row r="385">
          <cell r="B385">
            <v>3771</v>
          </cell>
          <cell r="C385" t="str">
            <v>TS-488</v>
          </cell>
          <cell r="D385" t="str">
            <v>CDC</v>
          </cell>
          <cell r="E385" t="str">
            <v>(20+26)x2</v>
          </cell>
          <cell r="F385" t="str">
            <v>T100%</v>
          </cell>
          <cell r="G385" t="str">
            <v xml:space="preserve">100% POLYESTER </v>
          </cell>
          <cell r="H385" t="str">
            <v>57/58</v>
          </cell>
          <cell r="I385" t="str">
            <v>80(+-5)</v>
          </cell>
          <cell r="J385">
            <v>0.94</v>
          </cell>
          <cell r="K385">
            <v>1.1200000000000001</v>
          </cell>
          <cell r="L385">
            <v>0.96</v>
          </cell>
          <cell r="M385">
            <v>1.1499999999999999</v>
          </cell>
          <cell r="N385">
            <v>0.98</v>
          </cell>
          <cell r="O385">
            <v>1.18</v>
          </cell>
          <cell r="P385"/>
          <cell r="Q385"/>
          <cell r="R385">
            <v>1.1299999999999999</v>
          </cell>
          <cell r="S385">
            <v>1.43</v>
          </cell>
          <cell r="T385"/>
          <cell r="U385"/>
          <cell r="V385">
            <v>15</v>
          </cell>
          <cell r="W385"/>
          <cell r="X385" t="str">
            <v>GAVIN</v>
          </cell>
          <cell r="Y385"/>
          <cell r="Z385" t="str">
            <v>GAVIN 15/6/18</v>
          </cell>
          <cell r="AA385"/>
          <cell r="AB385">
            <v>43266</v>
          </cell>
          <cell r="AC385">
            <v>4400</v>
          </cell>
        </row>
        <row r="386">
          <cell r="B386">
            <v>2932</v>
          </cell>
          <cell r="C386" t="str">
            <v>TS-333</v>
          </cell>
          <cell r="D386"/>
          <cell r="E386" t="str">
            <v>POLY 4-WAY SPANDEX</v>
          </cell>
          <cell r="F386" t="str">
            <v>T/S 93/7</v>
          </cell>
          <cell r="G386" t="str">
            <v>93%  POLYESTER 7% SPANDEX</v>
          </cell>
          <cell r="H386" t="str">
            <v>57/58</v>
          </cell>
          <cell r="I386" t="str">
            <v>160(+-5)</v>
          </cell>
          <cell r="J386">
            <v>1.36</v>
          </cell>
          <cell r="K386">
            <v>1.54</v>
          </cell>
          <cell r="L386">
            <v>1.38</v>
          </cell>
          <cell r="M386">
            <v>1.57</v>
          </cell>
          <cell r="N386">
            <v>1.4</v>
          </cell>
          <cell r="O386">
            <v>1.6</v>
          </cell>
          <cell r="P386"/>
          <cell r="Q386"/>
          <cell r="R386">
            <v>1.55</v>
          </cell>
          <cell r="S386">
            <v>1.85</v>
          </cell>
          <cell r="T386"/>
          <cell r="U386"/>
          <cell r="V386">
            <v>15</v>
          </cell>
          <cell r="W386"/>
          <cell r="X386" t="str">
            <v>GAVIN</v>
          </cell>
          <cell r="Y386"/>
          <cell r="Z386" t="str">
            <v>GAVIN 15/6/18</v>
          </cell>
          <cell r="AA386"/>
          <cell r="AB386">
            <v>43266</v>
          </cell>
          <cell r="AC386">
            <v>4401</v>
          </cell>
        </row>
        <row r="387">
          <cell r="B387">
            <v>3377</v>
          </cell>
          <cell r="C387" t="str">
            <v>BG3778</v>
          </cell>
          <cell r="D387"/>
          <cell r="E387" t="str">
            <v>50S*50S</v>
          </cell>
          <cell r="F387" t="str">
            <v>T100%</v>
          </cell>
          <cell r="G387" t="str">
            <v>100% POLYESTER</v>
          </cell>
          <cell r="H387" t="str">
            <v>57/58</v>
          </cell>
          <cell r="I387">
            <v>100</v>
          </cell>
          <cell r="J387">
            <v>1.3</v>
          </cell>
          <cell r="K387">
            <v>1.6</v>
          </cell>
          <cell r="L387">
            <v>1.32</v>
          </cell>
          <cell r="M387">
            <v>1.65</v>
          </cell>
          <cell r="N387">
            <v>1.33</v>
          </cell>
          <cell r="O387">
            <v>1.7</v>
          </cell>
          <cell r="P387"/>
          <cell r="Q387"/>
          <cell r="R387">
            <v>1.5</v>
          </cell>
          <cell r="S387">
            <v>2.1</v>
          </cell>
          <cell r="T387"/>
          <cell r="U387"/>
          <cell r="V387">
            <v>15</v>
          </cell>
          <cell r="W387"/>
          <cell r="X387" t="str">
            <v>EDWIN</v>
          </cell>
          <cell r="Y387" t="str">
            <v>DMCARE-TRI-02</v>
          </cell>
          <cell r="Z387" t="str">
            <v>EDWIN 13/6/18</v>
          </cell>
          <cell r="AA387"/>
          <cell r="AB387">
            <v>43265</v>
          </cell>
          <cell r="AC387">
            <v>4402</v>
          </cell>
        </row>
        <row r="388">
          <cell r="B388">
            <v>4360</v>
          </cell>
          <cell r="C388" t="str">
            <v>WH4969</v>
          </cell>
          <cell r="D388"/>
          <cell r="E388" t="str">
            <v>40/2+70D*40/2+70D 74*51</v>
          </cell>
          <cell r="F388" t="str">
            <v>C/R/S 52/41/7</v>
          </cell>
          <cell r="G388" t="str">
            <v>52% COTTON 41% RAYON 7% SPANDEX</v>
          </cell>
          <cell r="H388" t="str">
            <v>51CW</v>
          </cell>
          <cell r="I388">
            <v>292</v>
          </cell>
          <cell r="J388">
            <v>4.38</v>
          </cell>
          <cell r="K388"/>
          <cell r="L388">
            <v>4.38</v>
          </cell>
          <cell r="M388"/>
          <cell r="N388">
            <v>4.4000000000000004</v>
          </cell>
          <cell r="O388"/>
          <cell r="P388"/>
          <cell r="Q388"/>
          <cell r="R388">
            <v>4.5199999999999996</v>
          </cell>
          <cell r="S388"/>
          <cell r="T388"/>
          <cell r="U388"/>
          <cell r="V388"/>
          <cell r="W388"/>
          <cell r="X388" t="str">
            <v>CAROL  (S)</v>
          </cell>
          <cell r="Y388"/>
          <cell r="Z388" t="str">
            <v>CAROL 13/6/18</v>
          </cell>
          <cell r="AA388"/>
          <cell r="AB388">
            <v>43264</v>
          </cell>
          <cell r="AC388">
            <v>4403</v>
          </cell>
        </row>
        <row r="389">
          <cell r="B389">
            <v>4451</v>
          </cell>
          <cell r="C389" t="str">
            <v>GMXS1488</v>
          </cell>
          <cell r="D389" t="str">
            <v>TAILORING STRETCH</v>
          </cell>
          <cell r="E389" t="str">
            <v>70D+40DX10 110X80</v>
          </cell>
          <cell r="F389" t="str">
            <v>R/N/S 79/18/3</v>
          </cell>
          <cell r="G389" t="str">
            <v>79% RAYON 18% NYLON 3% SPANDEX</v>
          </cell>
          <cell r="H389" t="str">
            <v>56CW</v>
          </cell>
          <cell r="I389" t="str">
            <v>260GSM</v>
          </cell>
          <cell r="J389">
            <v>2.42</v>
          </cell>
          <cell r="K389">
            <v>3.06</v>
          </cell>
          <cell r="L389">
            <v>2.44</v>
          </cell>
          <cell r="M389">
            <v>3.08</v>
          </cell>
          <cell r="N389">
            <v>2.44</v>
          </cell>
          <cell r="O389">
            <v>3.08</v>
          </cell>
          <cell r="P389"/>
          <cell r="Q389"/>
          <cell r="R389"/>
          <cell r="S389"/>
          <cell r="T389"/>
          <cell r="U389"/>
          <cell r="V389"/>
          <cell r="W389" t="str">
            <v>suggest pigment print</v>
          </cell>
          <cell r="X389" t="str">
            <v>CAROL  (S)</v>
          </cell>
          <cell r="Y389"/>
          <cell r="Z389" t="str">
            <v>CAROL 12/6/18</v>
          </cell>
          <cell r="AA389"/>
          <cell r="AB389">
            <v>43263</v>
          </cell>
          <cell r="AC389">
            <v>4406</v>
          </cell>
        </row>
        <row r="390">
          <cell r="B390">
            <v>4450</v>
          </cell>
          <cell r="C390" t="str">
            <v>GMXS4280-1</v>
          </cell>
          <cell r="D390" t="str">
            <v>TAILORING STRETCH</v>
          </cell>
          <cell r="E390" t="str">
            <v>70D+40DX10 106X88</v>
          </cell>
          <cell r="F390" t="str">
            <v>R/N/S 76/21/3</v>
          </cell>
          <cell r="G390" t="str">
            <v>76% RAYON 21% NYLON 3% SPANDEX</v>
          </cell>
          <cell r="H390" t="str">
            <v>56CW</v>
          </cell>
          <cell r="I390" t="str">
            <v>280GSM</v>
          </cell>
          <cell r="J390">
            <v>2.76</v>
          </cell>
          <cell r="K390">
            <v>3.51</v>
          </cell>
          <cell r="L390">
            <v>2.78</v>
          </cell>
          <cell r="M390">
            <v>3.53</v>
          </cell>
          <cell r="N390">
            <v>2.78</v>
          </cell>
          <cell r="O390">
            <v>3.53</v>
          </cell>
          <cell r="P390"/>
          <cell r="Q390"/>
          <cell r="R390"/>
          <cell r="S390"/>
          <cell r="T390"/>
          <cell r="U390"/>
          <cell r="V390"/>
          <cell r="W390" t="str">
            <v>suggest pigment print</v>
          </cell>
          <cell r="X390" t="str">
            <v>CAROL  (S)</v>
          </cell>
          <cell r="Y390"/>
          <cell r="Z390" t="str">
            <v>CAROL 12/6/18</v>
          </cell>
          <cell r="AA390"/>
          <cell r="AB390">
            <v>43263</v>
          </cell>
          <cell r="AC390">
            <v>4405</v>
          </cell>
        </row>
        <row r="391">
          <cell r="B391">
            <v>4449</v>
          </cell>
          <cell r="C391" t="str">
            <v>GMXS5585</v>
          </cell>
          <cell r="D391" t="str">
            <v>KNIT</v>
          </cell>
          <cell r="E391" t="str">
            <v>40+40D+40D</v>
          </cell>
          <cell r="F391" t="str">
            <v>R/N/S 89/9/2</v>
          </cell>
          <cell r="G391" t="str">
            <v>89% RAYON 9% NYLON 2% SPANDEX</v>
          </cell>
          <cell r="H391" t="str">
            <v>52CW</v>
          </cell>
          <cell r="I391" t="str">
            <v>245GSM</v>
          </cell>
          <cell r="J391">
            <v>2.72</v>
          </cell>
          <cell r="K391">
            <v>3.25</v>
          </cell>
          <cell r="L391">
            <v>2.74</v>
          </cell>
          <cell r="M391">
            <v>3.27</v>
          </cell>
          <cell r="N391">
            <v>2.74</v>
          </cell>
          <cell r="O391">
            <v>3.27</v>
          </cell>
          <cell r="P391"/>
          <cell r="Q391"/>
          <cell r="R391"/>
          <cell r="S391"/>
          <cell r="T391"/>
          <cell r="U391"/>
          <cell r="V391"/>
          <cell r="W391"/>
          <cell r="X391" t="str">
            <v>CAROL  (S)</v>
          </cell>
          <cell r="Y391"/>
          <cell r="Z391" t="str">
            <v>CAROL 12/6/18</v>
          </cell>
          <cell r="AA391"/>
          <cell r="AB391">
            <v>43263</v>
          </cell>
          <cell r="AC391">
            <v>4407</v>
          </cell>
        </row>
        <row r="392">
          <cell r="B392">
            <v>4443</v>
          </cell>
          <cell r="C392" t="str">
            <v>M-1711</v>
          </cell>
          <cell r="D392" t="str">
            <v>SATEEN</v>
          </cell>
          <cell r="E392" t="str">
            <v>50D*75D</v>
          </cell>
          <cell r="F392" t="str">
            <v>T100%</v>
          </cell>
          <cell r="G392" t="str">
            <v xml:space="preserve">100% POLYESTER </v>
          </cell>
          <cell r="H392" t="str">
            <v>148CM</v>
          </cell>
          <cell r="I392">
            <v>95</v>
          </cell>
          <cell r="J392">
            <v>1.3</v>
          </cell>
          <cell r="K392">
            <v>1.5</v>
          </cell>
          <cell r="L392">
            <v>1.35</v>
          </cell>
          <cell r="M392">
            <v>1.55</v>
          </cell>
          <cell r="N392">
            <v>1.35</v>
          </cell>
          <cell r="O392">
            <v>1.45</v>
          </cell>
          <cell r="P392"/>
          <cell r="Q392"/>
          <cell r="R392">
            <v>1.45</v>
          </cell>
          <cell r="S392">
            <v>2.5</v>
          </cell>
          <cell r="T392"/>
          <cell r="U392"/>
          <cell r="V392">
            <v>15</v>
          </cell>
          <cell r="W392"/>
          <cell r="X392" t="str">
            <v>M-TEX</v>
          </cell>
          <cell r="Y392"/>
          <cell r="Z392" t="str">
            <v>LINDA 12/6/18</v>
          </cell>
          <cell r="AA392"/>
          <cell r="AB392">
            <v>43263</v>
          </cell>
          <cell r="AC392">
            <v>4404</v>
          </cell>
        </row>
        <row r="393">
          <cell r="B393">
            <v>4457</v>
          </cell>
          <cell r="C393" t="str">
            <v>BG3772</v>
          </cell>
          <cell r="D393" t="str">
            <v>RAYON FAGOTTING</v>
          </cell>
          <cell r="E393" t="str">
            <v>32S*32S</v>
          </cell>
          <cell r="F393" t="str">
            <v>R100%</v>
          </cell>
          <cell r="G393" t="str">
            <v xml:space="preserve">100% RAYON </v>
          </cell>
          <cell r="H393" t="str">
            <v>53/54</v>
          </cell>
          <cell r="I393">
            <v>87</v>
          </cell>
          <cell r="J393">
            <v>1.7</v>
          </cell>
          <cell r="K393">
            <v>2.2000000000000002</v>
          </cell>
          <cell r="L393">
            <v>1.72</v>
          </cell>
          <cell r="M393">
            <v>2.0499999999999998</v>
          </cell>
          <cell r="N393">
            <v>1.73</v>
          </cell>
          <cell r="O393">
            <v>2.1</v>
          </cell>
          <cell r="P393"/>
          <cell r="Q393"/>
          <cell r="R393">
            <v>2</v>
          </cell>
          <cell r="S393">
            <v>2.6</v>
          </cell>
          <cell r="T393"/>
          <cell r="U393"/>
          <cell r="V393">
            <v>15</v>
          </cell>
          <cell r="W393"/>
          <cell r="X393"/>
          <cell r="Y393" t="str">
            <v>DMCARE-TRI-01</v>
          </cell>
          <cell r="Z393"/>
          <cell r="AA393"/>
          <cell r="AB393">
            <v>43262</v>
          </cell>
          <cell r="AC393">
            <v>4415</v>
          </cell>
        </row>
        <row r="394">
          <cell r="B394">
            <v>4456</v>
          </cell>
          <cell r="C394" t="str">
            <v>BG3751</v>
          </cell>
          <cell r="D394" t="str">
            <v>RAYON FAGOTTING</v>
          </cell>
          <cell r="E394" t="str">
            <v>32S*32S</v>
          </cell>
          <cell r="F394" t="str">
            <v>R100%</v>
          </cell>
          <cell r="G394" t="str">
            <v xml:space="preserve">100% RAYON </v>
          </cell>
          <cell r="H394" t="str">
            <v>53/54</v>
          </cell>
          <cell r="I394">
            <v>80</v>
          </cell>
          <cell r="J394">
            <v>1.7</v>
          </cell>
          <cell r="K394">
            <v>2.2000000000000002</v>
          </cell>
          <cell r="L394">
            <v>1.72</v>
          </cell>
          <cell r="M394">
            <v>2.0499999999999998</v>
          </cell>
          <cell r="N394">
            <v>1.73</v>
          </cell>
          <cell r="O394">
            <v>2.1</v>
          </cell>
          <cell r="P394"/>
          <cell r="Q394"/>
          <cell r="R394">
            <v>2</v>
          </cell>
          <cell r="S394">
            <v>2.6</v>
          </cell>
          <cell r="T394"/>
          <cell r="U394"/>
          <cell r="V394">
            <v>15</v>
          </cell>
          <cell r="W394"/>
          <cell r="X394"/>
          <cell r="Y394" t="str">
            <v>DMCARE-TRI-01</v>
          </cell>
          <cell r="Z394"/>
          <cell r="AA394"/>
          <cell r="AB394">
            <v>43262</v>
          </cell>
          <cell r="AC394">
            <v>4414</v>
          </cell>
        </row>
        <row r="395">
          <cell r="B395">
            <v>4455</v>
          </cell>
          <cell r="C395" t="str">
            <v>BG2500</v>
          </cell>
          <cell r="D395" t="str">
            <v>LINEN</v>
          </cell>
          <cell r="E395" t="str">
            <v>17S*17S</v>
          </cell>
          <cell r="F395" t="str">
            <v>L100%</v>
          </cell>
          <cell r="G395" t="str">
            <v>100% LINEN</v>
          </cell>
          <cell r="H395" t="str">
            <v>53/54</v>
          </cell>
          <cell r="I395">
            <v>135</v>
          </cell>
          <cell r="J395">
            <v>4.05</v>
          </cell>
          <cell r="K395">
            <v>4.4000000000000004</v>
          </cell>
          <cell r="L395">
            <v>4.08</v>
          </cell>
          <cell r="M395">
            <v>4.45</v>
          </cell>
          <cell r="N395">
            <v>4.0999999999999996</v>
          </cell>
          <cell r="O395">
            <v>4.5</v>
          </cell>
          <cell r="P395"/>
          <cell r="Q395"/>
          <cell r="R395">
            <v>4.3</v>
          </cell>
          <cell r="S395">
            <v>4.9000000000000004</v>
          </cell>
          <cell r="T395"/>
          <cell r="U395"/>
          <cell r="V395">
            <v>15</v>
          </cell>
          <cell r="W395"/>
          <cell r="X395"/>
          <cell r="Y395" t="str">
            <v>DMCARE-TRI-01</v>
          </cell>
          <cell r="Z395"/>
          <cell r="AA395"/>
          <cell r="AB395">
            <v>43262</v>
          </cell>
          <cell r="AC395">
            <v>4416</v>
          </cell>
        </row>
        <row r="396">
          <cell r="B396">
            <v>4454</v>
          </cell>
          <cell r="C396" t="str">
            <v>BG1215</v>
          </cell>
          <cell r="D396" t="str">
            <v>LINEN</v>
          </cell>
          <cell r="E396" t="str">
            <v>32S*14L 78*50</v>
          </cell>
          <cell r="F396" t="str">
            <v>L/C 55/45</v>
          </cell>
          <cell r="G396" t="str">
            <v xml:space="preserve">55% LINEN  45% COTTON </v>
          </cell>
          <cell r="H396" t="str">
            <v>54/55</v>
          </cell>
          <cell r="I396">
            <v>130</v>
          </cell>
          <cell r="J396">
            <v>2.8</v>
          </cell>
          <cell r="K396">
            <v>3.2</v>
          </cell>
          <cell r="L396">
            <v>2.83</v>
          </cell>
          <cell r="M396">
            <v>3.25</v>
          </cell>
          <cell r="N396">
            <v>2.85</v>
          </cell>
          <cell r="O396">
            <v>3.3</v>
          </cell>
          <cell r="P396"/>
          <cell r="Q396"/>
          <cell r="R396">
            <v>3.1</v>
          </cell>
          <cell r="S396">
            <v>3.7</v>
          </cell>
          <cell r="T396"/>
          <cell r="U396"/>
          <cell r="V396">
            <v>15</v>
          </cell>
          <cell r="W396"/>
          <cell r="X396"/>
          <cell r="Y396" t="str">
            <v>DMCARE-TRI-01</v>
          </cell>
          <cell r="Z396"/>
          <cell r="AA396"/>
          <cell r="AB396">
            <v>43262</v>
          </cell>
          <cell r="AC396">
            <v>4413</v>
          </cell>
        </row>
        <row r="397">
          <cell r="B397">
            <v>4453</v>
          </cell>
          <cell r="C397" t="str">
            <v>BG4096</v>
          </cell>
          <cell r="D397" t="str">
            <v>LINEN</v>
          </cell>
          <cell r="E397" t="str">
            <v>20S*20S+40D</v>
          </cell>
          <cell r="F397" t="str">
            <v>R/L/S 70/27/3</v>
          </cell>
          <cell r="G397" t="str">
            <v>70% RAYON  27% LINEN  3% SPANDEX</v>
          </cell>
          <cell r="H397" t="str">
            <v>50/51</v>
          </cell>
          <cell r="I397">
            <v>167</v>
          </cell>
          <cell r="J397">
            <v>2.85</v>
          </cell>
          <cell r="K397">
            <v>3.2</v>
          </cell>
          <cell r="L397">
            <v>2.88</v>
          </cell>
          <cell r="M397">
            <v>3.25</v>
          </cell>
          <cell r="N397">
            <v>2.9</v>
          </cell>
          <cell r="O397">
            <v>3.3</v>
          </cell>
          <cell r="P397"/>
          <cell r="Q397"/>
          <cell r="R397">
            <v>3.1</v>
          </cell>
          <cell r="S397">
            <v>3.7</v>
          </cell>
          <cell r="T397"/>
          <cell r="U397"/>
          <cell r="V397">
            <v>15</v>
          </cell>
          <cell r="W397"/>
          <cell r="X397"/>
          <cell r="Y397" t="str">
            <v>DMCARE-TRI-01</v>
          </cell>
          <cell r="Z397"/>
          <cell r="AA397"/>
          <cell r="AB397">
            <v>43262</v>
          </cell>
          <cell r="AC397">
            <v>4412</v>
          </cell>
        </row>
        <row r="398">
          <cell r="B398">
            <v>4452</v>
          </cell>
          <cell r="C398" t="str">
            <v>TS-516</v>
          </cell>
          <cell r="D398" t="str">
            <v>SATEEN W/ AIR FLOW</v>
          </cell>
          <cell r="E398"/>
          <cell r="F398" t="str">
            <v>T100%</v>
          </cell>
          <cell r="G398" t="str">
            <v xml:space="preserve">100% POLYESTER </v>
          </cell>
          <cell r="H398" t="str">
            <v>57/58</v>
          </cell>
          <cell r="I398">
            <v>99</v>
          </cell>
          <cell r="J398">
            <v>1.28</v>
          </cell>
          <cell r="K398">
            <v>1.46</v>
          </cell>
          <cell r="L398">
            <v>1.3</v>
          </cell>
          <cell r="M398">
            <v>1.49</v>
          </cell>
          <cell r="N398">
            <v>1.32</v>
          </cell>
          <cell r="O398">
            <v>1.52</v>
          </cell>
          <cell r="P398"/>
          <cell r="Q398"/>
          <cell r="R398">
            <v>1.47</v>
          </cell>
          <cell r="S398">
            <v>1.77</v>
          </cell>
          <cell r="T398"/>
          <cell r="U398"/>
          <cell r="V398">
            <v>15</v>
          </cell>
          <cell r="W398"/>
          <cell r="X398" t="str">
            <v>GAVIN</v>
          </cell>
          <cell r="Y398"/>
          <cell r="Z398" t="str">
            <v>GAVIN 11/6/18</v>
          </cell>
          <cell r="AA398"/>
          <cell r="AB398">
            <v>43262</v>
          </cell>
          <cell r="AC398">
            <v>4411</v>
          </cell>
        </row>
        <row r="399">
          <cell r="B399">
            <v>4446</v>
          </cell>
          <cell r="C399" t="str">
            <v>M17791</v>
          </cell>
          <cell r="D399" t="str">
            <v>SATEEN BACK CREPE</v>
          </cell>
          <cell r="E399"/>
          <cell r="F399" t="str">
            <v>T100%</v>
          </cell>
          <cell r="G399" t="str">
            <v>100%POLYESTER</v>
          </cell>
          <cell r="H399">
            <v>58</v>
          </cell>
          <cell r="I399" t="str">
            <v>230-238</v>
          </cell>
          <cell r="J399">
            <v>1.82</v>
          </cell>
          <cell r="K399"/>
          <cell r="L399">
            <v>1.86</v>
          </cell>
          <cell r="M399"/>
          <cell r="N399">
            <v>1.92</v>
          </cell>
          <cell r="O399"/>
          <cell r="P399"/>
          <cell r="Q399"/>
          <cell r="R399">
            <v>2.2000000000000002</v>
          </cell>
          <cell r="S399"/>
          <cell r="T399"/>
          <cell r="U399"/>
          <cell r="V399">
            <v>15</v>
          </cell>
          <cell r="W399"/>
          <cell r="X399" t="str">
            <v>MARY</v>
          </cell>
          <cell r="Y399"/>
          <cell r="Z399" t="str">
            <v>MARY 11/6/18</v>
          </cell>
          <cell r="AA399"/>
          <cell r="AB399">
            <v>43262</v>
          </cell>
          <cell r="AC399">
            <v>4410</v>
          </cell>
        </row>
        <row r="400">
          <cell r="B400">
            <v>4445</v>
          </cell>
          <cell r="C400" t="str">
            <v>M17790</v>
          </cell>
          <cell r="D400" t="str">
            <v>SATEEN BACK CREPE</v>
          </cell>
          <cell r="E400"/>
          <cell r="F400" t="str">
            <v>T100%</v>
          </cell>
          <cell r="G400" t="str">
            <v>100%POLYESTER</v>
          </cell>
          <cell r="H400">
            <v>58</v>
          </cell>
          <cell r="I400">
            <v>190</v>
          </cell>
          <cell r="J400">
            <v>1.76</v>
          </cell>
          <cell r="K400"/>
          <cell r="L400">
            <v>1.8</v>
          </cell>
          <cell r="M400"/>
          <cell r="N400">
            <v>1.86</v>
          </cell>
          <cell r="O400"/>
          <cell r="P400"/>
          <cell r="Q400"/>
          <cell r="R400">
            <v>2.1</v>
          </cell>
          <cell r="S400"/>
          <cell r="T400"/>
          <cell r="U400"/>
          <cell r="V400">
            <v>15</v>
          </cell>
          <cell r="W400"/>
          <cell r="X400" t="str">
            <v>MARY</v>
          </cell>
          <cell r="Y400"/>
          <cell r="Z400" t="str">
            <v>MARY 11/6/18</v>
          </cell>
          <cell r="AA400"/>
          <cell r="AB400">
            <v>43262</v>
          </cell>
          <cell r="AC400">
            <v>4409</v>
          </cell>
        </row>
        <row r="401">
          <cell r="B401">
            <v>3775</v>
          </cell>
          <cell r="C401" t="str">
            <v>TS-485</v>
          </cell>
          <cell r="D401" t="str">
            <v>CRINKLE CHIFFON W/ LUREX STRIPE</v>
          </cell>
          <cell r="E401"/>
          <cell r="F401" t="str">
            <v>T/LUREX 98/2</v>
          </cell>
          <cell r="G401" t="str">
            <v>98% POLYESTER  2% LUREX</v>
          </cell>
          <cell r="H401" t="str">
            <v>57/58</v>
          </cell>
          <cell r="I401">
            <v>73</v>
          </cell>
          <cell r="J401">
            <v>1.2</v>
          </cell>
          <cell r="K401">
            <v>1.4</v>
          </cell>
          <cell r="L401">
            <v>1.22</v>
          </cell>
          <cell r="M401">
            <v>1.43</v>
          </cell>
          <cell r="N401">
            <v>1.24</v>
          </cell>
          <cell r="O401">
            <v>1.46</v>
          </cell>
          <cell r="P401"/>
          <cell r="Q401"/>
          <cell r="R401">
            <v>1.39</v>
          </cell>
          <cell r="S401">
            <v>1.71</v>
          </cell>
          <cell r="T401"/>
          <cell r="U401"/>
          <cell r="V401">
            <v>15</v>
          </cell>
          <cell r="W401"/>
          <cell r="X401" t="str">
            <v>GAVIN</v>
          </cell>
          <cell r="Y401"/>
          <cell r="Z401" t="str">
            <v>GAVIN 9/6/18</v>
          </cell>
          <cell r="AA401"/>
          <cell r="AB401">
            <v>43260</v>
          </cell>
          <cell r="AC401">
            <v>4418</v>
          </cell>
        </row>
        <row r="402">
          <cell r="B402">
            <v>490</v>
          </cell>
          <cell r="C402" t="str">
            <v xml:space="preserve">TS-105 </v>
          </cell>
          <cell r="D402" t="str">
            <v>CRINKLE</v>
          </cell>
          <cell r="E402"/>
          <cell r="F402" t="str">
            <v>T100%</v>
          </cell>
          <cell r="G402" t="str">
            <v>100% Polyester</v>
          </cell>
          <cell r="H402" t="str">
            <v>57/58</v>
          </cell>
          <cell r="I402">
            <v>95</v>
          </cell>
          <cell r="J402">
            <v>1.1599999999999999</v>
          </cell>
          <cell r="K402">
            <v>1.32</v>
          </cell>
          <cell r="L402">
            <v>1.18</v>
          </cell>
          <cell r="M402">
            <v>1.35</v>
          </cell>
          <cell r="N402">
            <v>1.2</v>
          </cell>
          <cell r="O402">
            <v>1.38</v>
          </cell>
          <cell r="P402"/>
          <cell r="Q402"/>
          <cell r="R402">
            <v>1.35</v>
          </cell>
          <cell r="S402">
            <v>1.63</v>
          </cell>
          <cell r="T402"/>
          <cell r="U402"/>
          <cell r="V402">
            <v>15</v>
          </cell>
          <cell r="W402"/>
          <cell r="X402" t="str">
            <v>GAVIN</v>
          </cell>
          <cell r="Y402"/>
          <cell r="Z402" t="str">
            <v>GAVIN 9/6/18</v>
          </cell>
          <cell r="AA402"/>
          <cell r="AB402">
            <v>43260</v>
          </cell>
          <cell r="AC402">
            <v>4417</v>
          </cell>
        </row>
        <row r="403">
          <cell r="B403">
            <v>4442</v>
          </cell>
          <cell r="C403" t="str">
            <v>SJ15243C</v>
          </cell>
          <cell r="D403" t="str">
            <v>BUBBLE CREPE</v>
          </cell>
          <cell r="E403" t="str">
            <v>(75D+40D)*2</v>
          </cell>
          <cell r="F403" t="str">
            <v>T/S 98/2</v>
          </cell>
          <cell r="G403" t="str">
            <v xml:space="preserve">98% POLYESTER  2%SPANDEX </v>
          </cell>
          <cell r="H403" t="str">
            <v>57/58</v>
          </cell>
          <cell r="I403">
            <v>120</v>
          </cell>
          <cell r="J403">
            <v>1.7</v>
          </cell>
          <cell r="K403">
            <v>2</v>
          </cell>
          <cell r="L403">
            <v>1.73</v>
          </cell>
          <cell r="M403">
            <v>2.0499999999999998</v>
          </cell>
          <cell r="N403">
            <v>1.73</v>
          </cell>
          <cell r="O403">
            <v>2.08</v>
          </cell>
          <cell r="P403"/>
          <cell r="Q403"/>
          <cell r="R403">
            <v>1.8</v>
          </cell>
          <cell r="S403"/>
          <cell r="T403"/>
          <cell r="U403"/>
          <cell r="V403">
            <v>15</v>
          </cell>
          <cell r="W403"/>
          <cell r="X403" t="str">
            <v>GLORIA (S)</v>
          </cell>
          <cell r="Y403"/>
          <cell r="Z403" t="str">
            <v>GLORIA 6/6/18</v>
          </cell>
          <cell r="AA403"/>
          <cell r="AB403">
            <v>43257</v>
          </cell>
          <cell r="AC403">
            <v>4422</v>
          </cell>
        </row>
        <row r="404">
          <cell r="B404">
            <v>4441</v>
          </cell>
          <cell r="C404" t="str">
            <v>SJ12081</v>
          </cell>
          <cell r="D404" t="str">
            <v>CREPE</v>
          </cell>
          <cell r="E404" t="str">
            <v>75D*75D</v>
          </cell>
          <cell r="F404" t="str">
            <v>T100%</v>
          </cell>
          <cell r="G404" t="str">
            <v>100% POLYESTER</v>
          </cell>
          <cell r="H404" t="str">
            <v>57/58</v>
          </cell>
          <cell r="I404">
            <v>115</v>
          </cell>
          <cell r="J404">
            <v>1.55</v>
          </cell>
          <cell r="K404">
            <v>1.8</v>
          </cell>
          <cell r="L404">
            <v>1.58</v>
          </cell>
          <cell r="M404">
            <v>1.85</v>
          </cell>
          <cell r="N404">
            <v>1.58</v>
          </cell>
          <cell r="O404">
            <v>1.88</v>
          </cell>
          <cell r="P404"/>
          <cell r="Q404"/>
          <cell r="R404">
            <v>1.65</v>
          </cell>
          <cell r="S404"/>
          <cell r="T404"/>
          <cell r="U404"/>
          <cell r="V404">
            <v>15</v>
          </cell>
          <cell r="W404"/>
          <cell r="X404" t="str">
            <v>GLORIA (S)</v>
          </cell>
          <cell r="Y404"/>
          <cell r="Z404" t="str">
            <v>GLORIA 6/6/18</v>
          </cell>
          <cell r="AA404"/>
          <cell r="AB404">
            <v>43257</v>
          </cell>
          <cell r="AC404">
            <v>4419</v>
          </cell>
        </row>
        <row r="405">
          <cell r="B405">
            <v>4440</v>
          </cell>
          <cell r="C405" t="str">
            <v>SJ16647C</v>
          </cell>
          <cell r="D405" t="str">
            <v>POLY</v>
          </cell>
          <cell r="E405" t="str">
            <v>50D+50D*2</v>
          </cell>
          <cell r="F405" t="str">
            <v>T100%</v>
          </cell>
          <cell r="G405" t="str">
            <v>100% POLYESTER</v>
          </cell>
          <cell r="H405" t="str">
            <v>57/58</v>
          </cell>
          <cell r="I405">
            <v>190</v>
          </cell>
          <cell r="J405">
            <v>2.2999999999999998</v>
          </cell>
          <cell r="K405">
            <v>2.6</v>
          </cell>
          <cell r="L405">
            <v>2.35</v>
          </cell>
          <cell r="M405">
            <v>2.65</v>
          </cell>
          <cell r="N405">
            <v>2.5499999999999998</v>
          </cell>
          <cell r="O405">
            <v>2.7</v>
          </cell>
          <cell r="P405"/>
          <cell r="Q405"/>
          <cell r="R405">
            <v>2.65</v>
          </cell>
          <cell r="S405"/>
          <cell r="T405"/>
          <cell r="U405"/>
          <cell r="V405">
            <v>15</v>
          </cell>
          <cell r="W405"/>
          <cell r="X405" t="str">
            <v>GLORIA (S)</v>
          </cell>
          <cell r="Y405"/>
          <cell r="Z405" t="str">
            <v>GLORIA 6/6/18</v>
          </cell>
          <cell r="AA405"/>
          <cell r="AB405">
            <v>43257</v>
          </cell>
          <cell r="AC405">
            <v>4420</v>
          </cell>
        </row>
        <row r="406">
          <cell r="B406">
            <v>4439</v>
          </cell>
          <cell r="C406" t="str">
            <v>SJ02005T-5</v>
          </cell>
          <cell r="D406" t="str">
            <v>CHIIFFON W/ FOIL</v>
          </cell>
          <cell r="E406" t="str">
            <v>75D*75D</v>
          </cell>
          <cell r="F406" t="str">
            <v>T100%</v>
          </cell>
          <cell r="G406" t="str">
            <v>100% POLYESTER</v>
          </cell>
          <cell r="H406" t="str">
            <v>57/58</v>
          </cell>
          <cell r="I406">
            <v>60</v>
          </cell>
          <cell r="J406">
            <v>1.86</v>
          </cell>
          <cell r="K406"/>
          <cell r="L406">
            <v>1.9</v>
          </cell>
          <cell r="M406"/>
          <cell r="N406">
            <v>1.9</v>
          </cell>
          <cell r="O406"/>
          <cell r="P406"/>
          <cell r="Q406"/>
          <cell r="R406">
            <v>2.15</v>
          </cell>
          <cell r="S406"/>
          <cell r="T406"/>
          <cell r="U406"/>
          <cell r="V406">
            <v>15</v>
          </cell>
          <cell r="W406"/>
          <cell r="X406" t="str">
            <v>GLORIA (S)</v>
          </cell>
          <cell r="Y406"/>
          <cell r="Z406" t="str">
            <v>GLORIA 6/6/18</v>
          </cell>
          <cell r="AA406"/>
          <cell r="AB406">
            <v>43257</v>
          </cell>
          <cell r="AC406">
            <v>4421</v>
          </cell>
        </row>
        <row r="407">
          <cell r="B407">
            <v>4189</v>
          </cell>
          <cell r="C407" t="str">
            <v>M-2015054</v>
          </cell>
          <cell r="D407" t="str">
            <v>WOOL CREPE</v>
          </cell>
          <cell r="E407" t="str">
            <v>(68DFDY + 50DPOY)*(68DFDY + 50DPOY)/54*32  1400T</v>
          </cell>
          <cell r="F407" t="str">
            <v>T100%</v>
          </cell>
          <cell r="G407" t="str">
            <v xml:space="preserve">100% POLYESTER </v>
          </cell>
          <cell r="H407" t="str">
            <v>148CM</v>
          </cell>
          <cell r="I407">
            <v>150</v>
          </cell>
          <cell r="J407">
            <v>1.27</v>
          </cell>
          <cell r="K407">
            <v>1.47</v>
          </cell>
          <cell r="L407">
            <v>1.3</v>
          </cell>
          <cell r="M407">
            <v>1.55</v>
          </cell>
          <cell r="N407">
            <v>1.33</v>
          </cell>
          <cell r="O407">
            <v>1.63</v>
          </cell>
          <cell r="P407"/>
          <cell r="Q407"/>
          <cell r="R407">
            <v>1.5</v>
          </cell>
          <cell r="S407">
            <v>2.4700000000000002</v>
          </cell>
          <cell r="T407"/>
          <cell r="U407"/>
          <cell r="V407">
            <v>15</v>
          </cell>
          <cell r="W407"/>
          <cell r="X407" t="str">
            <v>M-TEX</v>
          </cell>
          <cell r="Y407"/>
          <cell r="Z407" t="str">
            <v>LINDA 6/6/18</v>
          </cell>
          <cell r="AA407"/>
          <cell r="AB407">
            <v>43257</v>
          </cell>
          <cell r="AC407">
            <v>4423</v>
          </cell>
        </row>
        <row r="408">
          <cell r="B408">
            <v>4438</v>
          </cell>
          <cell r="C408" t="str">
            <v>SL000254</v>
          </cell>
          <cell r="D408" t="str">
            <v>RAYON</v>
          </cell>
          <cell r="E408" t="str">
            <v>30'Sx30'S</v>
          </cell>
          <cell r="F408" t="str">
            <v>R100%</v>
          </cell>
          <cell r="G408" t="str">
            <v xml:space="preserve">100% RAYON  </v>
          </cell>
          <cell r="H408" t="str">
            <v>54/55</v>
          </cell>
          <cell r="I408" t="str">
            <v xml:space="preserve">120GSM </v>
          </cell>
          <cell r="J408">
            <v>1.32</v>
          </cell>
          <cell r="K408">
            <v>1.43</v>
          </cell>
          <cell r="L408">
            <v>1.34</v>
          </cell>
          <cell r="M408">
            <v>1.46</v>
          </cell>
          <cell r="N408">
            <v>1.36</v>
          </cell>
          <cell r="O408">
            <v>1.49</v>
          </cell>
          <cell r="P408"/>
          <cell r="Q408"/>
          <cell r="R408">
            <v>1.51</v>
          </cell>
          <cell r="S408">
            <v>1.74</v>
          </cell>
          <cell r="T408"/>
          <cell r="U408"/>
          <cell r="V408">
            <v>15</v>
          </cell>
          <cell r="W408"/>
          <cell r="X408" t="str">
            <v>GAVIN</v>
          </cell>
          <cell r="Y408"/>
          <cell r="Z408" t="str">
            <v>GAVIN 5/6/18</v>
          </cell>
          <cell r="AA408"/>
          <cell r="AB408">
            <v>43256</v>
          </cell>
          <cell r="AC408">
            <v>4430</v>
          </cell>
        </row>
        <row r="409">
          <cell r="B409">
            <v>4437</v>
          </cell>
          <cell r="C409" t="str">
            <v>SL000373</v>
          </cell>
          <cell r="D409" t="str">
            <v>TWILL RAYON</v>
          </cell>
          <cell r="E409" t="str">
            <v>20'SX20'S</v>
          </cell>
          <cell r="F409" t="str">
            <v>R100%</v>
          </cell>
          <cell r="G409" t="str">
            <v>100% RAYON</v>
          </cell>
          <cell r="H409" t="str">
            <v>54/55</v>
          </cell>
          <cell r="I409" t="str">
            <v xml:space="preserve">223GSM </v>
          </cell>
          <cell r="J409">
            <v>2.11</v>
          </cell>
          <cell r="K409">
            <v>2.2200000000000002</v>
          </cell>
          <cell r="L409">
            <v>2.13</v>
          </cell>
          <cell r="M409">
            <v>2.25</v>
          </cell>
          <cell r="N409">
            <v>2.15</v>
          </cell>
          <cell r="O409">
            <v>2.2799999999999998</v>
          </cell>
          <cell r="P409"/>
          <cell r="Q409"/>
          <cell r="R409">
            <v>2.2999999999999998</v>
          </cell>
          <cell r="S409">
            <v>2.5299999999999998</v>
          </cell>
          <cell r="T409"/>
          <cell r="U409"/>
          <cell r="V409">
            <v>15</v>
          </cell>
          <cell r="W409"/>
          <cell r="X409" t="str">
            <v>GAVIN</v>
          </cell>
          <cell r="Y409"/>
          <cell r="Z409" t="str">
            <v>GAVIN 5/6/18</v>
          </cell>
          <cell r="AA409"/>
          <cell r="AB409">
            <v>43256</v>
          </cell>
          <cell r="AC409">
            <v>4429</v>
          </cell>
        </row>
        <row r="410">
          <cell r="B410">
            <v>4436</v>
          </cell>
          <cell r="C410" t="str">
            <v>SL000374</v>
          </cell>
          <cell r="D410" t="str">
            <v>MILANO CREPE</v>
          </cell>
          <cell r="E410" t="str">
            <v>(50+68)x(50+68)</v>
          </cell>
          <cell r="F410" t="str">
            <v>T100%</v>
          </cell>
          <cell r="G410" t="str">
            <v xml:space="preserve">100% POLYESTER </v>
          </cell>
          <cell r="H410" t="str">
            <v>57/58</v>
          </cell>
          <cell r="I410">
            <v>160</v>
          </cell>
          <cell r="J410">
            <v>1.56</v>
          </cell>
          <cell r="K410">
            <v>1.72</v>
          </cell>
          <cell r="L410">
            <v>1.58</v>
          </cell>
          <cell r="M410">
            <v>1.75</v>
          </cell>
          <cell r="N410">
            <v>1.6</v>
          </cell>
          <cell r="O410">
            <v>1.78</v>
          </cell>
          <cell r="P410"/>
          <cell r="Q410"/>
          <cell r="R410">
            <v>1.75</v>
          </cell>
          <cell r="S410">
            <v>2.0299999999999998</v>
          </cell>
          <cell r="T410"/>
          <cell r="U410"/>
          <cell r="V410">
            <v>15</v>
          </cell>
          <cell r="W410"/>
          <cell r="X410" t="str">
            <v>GAVIN</v>
          </cell>
          <cell r="Y410"/>
          <cell r="Z410" t="str">
            <v>GAVIN 5/6/18</v>
          </cell>
          <cell r="AA410"/>
          <cell r="AB410">
            <v>43256</v>
          </cell>
          <cell r="AC410">
            <v>4432</v>
          </cell>
        </row>
        <row r="411">
          <cell r="B411">
            <v>4435</v>
          </cell>
          <cell r="C411" t="str">
            <v>SL000368</v>
          </cell>
          <cell r="D411" t="str">
            <v>RAYON</v>
          </cell>
          <cell r="E411" t="str">
            <v>40'Sx40'S+40D</v>
          </cell>
          <cell r="F411" t="str">
            <v>R/S 97/3</v>
          </cell>
          <cell r="G411" t="str">
            <v>97% RAYON 3%SPAN</v>
          </cell>
          <cell r="H411" t="str">
            <v>54/55</v>
          </cell>
          <cell r="I411">
            <v>142</v>
          </cell>
          <cell r="J411">
            <v>1.71</v>
          </cell>
          <cell r="K411">
            <v>1.82</v>
          </cell>
          <cell r="L411">
            <v>1.73</v>
          </cell>
          <cell r="M411">
            <v>1.85</v>
          </cell>
          <cell r="N411">
            <v>1.75</v>
          </cell>
          <cell r="O411">
            <v>1.88</v>
          </cell>
          <cell r="P411"/>
          <cell r="Q411"/>
          <cell r="R411">
            <v>1.9</v>
          </cell>
          <cell r="S411">
            <v>2.13</v>
          </cell>
          <cell r="T411"/>
          <cell r="U411"/>
          <cell r="V411">
            <v>15</v>
          </cell>
          <cell r="W411"/>
          <cell r="X411" t="str">
            <v>GAVIN</v>
          </cell>
          <cell r="Y411"/>
          <cell r="Z411" t="str">
            <v>GAVIN 5/6/18</v>
          </cell>
          <cell r="AA411"/>
          <cell r="AB411">
            <v>43256</v>
          </cell>
          <cell r="AC411">
            <v>4428</v>
          </cell>
        </row>
        <row r="412">
          <cell r="B412">
            <v>4434</v>
          </cell>
          <cell r="C412" t="str">
            <v>SL000371</v>
          </cell>
          <cell r="D412" t="str">
            <v>RAYON</v>
          </cell>
          <cell r="E412" t="str">
            <v>60'Sx60'S+20D</v>
          </cell>
          <cell r="F412" t="str">
            <v>R/S 97/3</v>
          </cell>
          <cell r="G412" t="str">
            <v>97% RAYON 3%SPAN</v>
          </cell>
          <cell r="H412" t="str">
            <v>54/55</v>
          </cell>
          <cell r="I412">
            <v>84</v>
          </cell>
          <cell r="J412">
            <v>1.62</v>
          </cell>
          <cell r="K412">
            <v>1.73</v>
          </cell>
          <cell r="L412">
            <v>1.64</v>
          </cell>
          <cell r="M412">
            <v>1.76</v>
          </cell>
          <cell r="N412">
            <v>1.66</v>
          </cell>
          <cell r="O412">
            <v>1.79</v>
          </cell>
          <cell r="P412"/>
          <cell r="Q412"/>
          <cell r="R412">
            <v>1.81</v>
          </cell>
          <cell r="S412">
            <v>2.04</v>
          </cell>
          <cell r="T412"/>
          <cell r="U412"/>
          <cell r="V412">
            <v>15</v>
          </cell>
          <cell r="W412"/>
          <cell r="X412" t="str">
            <v>GAVIN</v>
          </cell>
          <cell r="Y412"/>
          <cell r="Z412" t="str">
            <v>GAVIN 5/6/18</v>
          </cell>
          <cell r="AA412"/>
          <cell r="AB412">
            <v>43256</v>
          </cell>
          <cell r="AC412">
            <v>4427</v>
          </cell>
        </row>
        <row r="413">
          <cell r="B413">
            <v>4433</v>
          </cell>
          <cell r="C413" t="str">
            <v>SL000372</v>
          </cell>
          <cell r="D413" t="str">
            <v>SATEEN RAYON</v>
          </cell>
          <cell r="E413" t="str">
            <v>60'Sx60'S+20D</v>
          </cell>
          <cell r="F413" t="str">
            <v>R/S 97/3</v>
          </cell>
          <cell r="G413" t="str">
            <v>97% RAYON 3%SPAN</v>
          </cell>
          <cell r="H413" t="str">
            <v>54/55</v>
          </cell>
          <cell r="I413">
            <v>107</v>
          </cell>
          <cell r="J413">
            <v>1.86</v>
          </cell>
          <cell r="K413">
            <v>1.97</v>
          </cell>
          <cell r="L413">
            <v>1.88</v>
          </cell>
          <cell r="M413">
            <v>2</v>
          </cell>
          <cell r="N413">
            <v>1.9</v>
          </cell>
          <cell r="O413">
            <v>2.0299999999999998</v>
          </cell>
          <cell r="P413"/>
          <cell r="Q413"/>
          <cell r="R413">
            <v>2.0499999999999998</v>
          </cell>
          <cell r="S413">
            <v>2.2799999999999998</v>
          </cell>
          <cell r="T413"/>
          <cell r="U413"/>
          <cell r="V413">
            <v>15</v>
          </cell>
          <cell r="W413"/>
          <cell r="X413" t="str">
            <v>GAVIN</v>
          </cell>
          <cell r="Y413"/>
          <cell r="Z413" t="str">
            <v>GAVIN 5/6/18</v>
          </cell>
          <cell r="AA413"/>
          <cell r="AB413">
            <v>43256</v>
          </cell>
          <cell r="AC413">
            <v>4426</v>
          </cell>
        </row>
        <row r="414">
          <cell r="B414">
            <v>4432</v>
          </cell>
          <cell r="C414" t="str">
            <v>SL000370</v>
          </cell>
          <cell r="D414" t="str">
            <v>TWILL RAYON</v>
          </cell>
          <cell r="E414" t="str">
            <v>30'Sx30'S+40D</v>
          </cell>
          <cell r="F414" t="str">
            <v>R/S 97/3</v>
          </cell>
          <cell r="G414" t="str">
            <v>97% RAYON 3%SPAN</v>
          </cell>
          <cell r="H414" t="str">
            <v>54/55</v>
          </cell>
          <cell r="I414">
            <v>192</v>
          </cell>
          <cell r="J414">
            <v>1.98</v>
          </cell>
          <cell r="K414">
            <v>2.09</v>
          </cell>
          <cell r="L414">
            <v>2</v>
          </cell>
          <cell r="M414">
            <v>2.12</v>
          </cell>
          <cell r="N414">
            <v>2.02</v>
          </cell>
          <cell r="O414">
            <v>2.15</v>
          </cell>
          <cell r="P414"/>
          <cell r="Q414"/>
          <cell r="R414">
            <v>2.2999999999999998</v>
          </cell>
          <cell r="S414">
            <v>2.4</v>
          </cell>
          <cell r="T414"/>
          <cell r="U414"/>
          <cell r="V414">
            <v>15</v>
          </cell>
          <cell r="W414"/>
          <cell r="X414" t="str">
            <v>GAVIN</v>
          </cell>
          <cell r="Y414"/>
          <cell r="Z414" t="str">
            <v>GAVIN 5/6/18</v>
          </cell>
          <cell r="AA414"/>
          <cell r="AB414">
            <v>43256</v>
          </cell>
          <cell r="AC414">
            <v>4425</v>
          </cell>
        </row>
        <row r="415">
          <cell r="B415">
            <v>4431</v>
          </cell>
          <cell r="C415" t="str">
            <v>SL000369</v>
          </cell>
          <cell r="D415" t="str">
            <v>TWILL RAYON</v>
          </cell>
          <cell r="E415" t="str">
            <v>40'Sx40'S+40D</v>
          </cell>
          <cell r="F415" t="str">
            <v>R/S 97/3</v>
          </cell>
          <cell r="G415" t="str">
            <v>97% RAYON 3%SPAN</v>
          </cell>
          <cell r="H415" t="str">
            <v>54/55</v>
          </cell>
          <cell r="I415">
            <v>152</v>
          </cell>
          <cell r="J415">
            <v>1.8</v>
          </cell>
          <cell r="K415">
            <v>1.91</v>
          </cell>
          <cell r="L415">
            <v>1.82</v>
          </cell>
          <cell r="M415">
            <v>1.94</v>
          </cell>
          <cell r="N415">
            <v>1.84</v>
          </cell>
          <cell r="O415">
            <v>1.97</v>
          </cell>
          <cell r="P415"/>
          <cell r="Q415"/>
          <cell r="R415">
            <v>1.99</v>
          </cell>
          <cell r="S415">
            <v>2.2200000000000002</v>
          </cell>
          <cell r="T415"/>
          <cell r="U415"/>
          <cell r="V415">
            <v>15</v>
          </cell>
          <cell r="W415"/>
          <cell r="X415" t="str">
            <v>GAVIN</v>
          </cell>
          <cell r="Y415"/>
          <cell r="Z415" t="str">
            <v>GAVIN 5/6/18</v>
          </cell>
          <cell r="AA415"/>
          <cell r="AB415">
            <v>43256</v>
          </cell>
          <cell r="AC415">
            <v>4424</v>
          </cell>
        </row>
        <row r="416">
          <cell r="B416">
            <v>4430</v>
          </cell>
          <cell r="C416" t="str">
            <v>SL000259</v>
          </cell>
          <cell r="D416" t="str">
            <v>RAYON</v>
          </cell>
          <cell r="E416" t="str">
            <v>60'Sx60'S</v>
          </cell>
          <cell r="F416" t="str">
            <v>R100%</v>
          </cell>
          <cell r="G416" t="str">
            <v xml:space="preserve">100% RAYON  </v>
          </cell>
          <cell r="H416" t="str">
            <v>54/55</v>
          </cell>
          <cell r="I416">
            <v>85</v>
          </cell>
          <cell r="J416">
            <v>1.34</v>
          </cell>
          <cell r="K416">
            <v>1.45</v>
          </cell>
          <cell r="L416">
            <v>1.36</v>
          </cell>
          <cell r="M416">
            <v>1.48</v>
          </cell>
          <cell r="N416">
            <v>1.38</v>
          </cell>
          <cell r="O416">
            <v>1.51</v>
          </cell>
          <cell r="P416"/>
          <cell r="Q416"/>
          <cell r="R416">
            <v>1.53</v>
          </cell>
          <cell r="S416">
            <v>1.76</v>
          </cell>
          <cell r="T416"/>
          <cell r="U416"/>
          <cell r="V416">
            <v>15</v>
          </cell>
          <cell r="W416"/>
          <cell r="X416" t="str">
            <v>GAVIN</v>
          </cell>
          <cell r="Y416"/>
          <cell r="Z416" t="str">
            <v>GAVIN 5/6/18</v>
          </cell>
          <cell r="AA416"/>
          <cell r="AB416">
            <v>43256</v>
          </cell>
          <cell r="AC416">
            <v>4431</v>
          </cell>
        </row>
        <row r="417">
          <cell r="B417">
            <v>4383</v>
          </cell>
          <cell r="C417" t="str">
            <v>M-J1030</v>
          </cell>
          <cell r="D417" t="str">
            <v>CRINKLE CHIFFON WITH METAL DOTS</v>
          </cell>
          <cell r="E417"/>
          <cell r="F417" t="str">
            <v>T/ METAL 98/2</v>
          </cell>
          <cell r="G417" t="str">
            <v>100% POLYESTER WITH METAL</v>
          </cell>
          <cell r="H417" t="str">
            <v>148cm</v>
          </cell>
          <cell r="I417">
            <v>75</v>
          </cell>
          <cell r="J417">
            <v>1.65</v>
          </cell>
          <cell r="K417">
            <v>1.85</v>
          </cell>
          <cell r="L417">
            <v>1.68</v>
          </cell>
          <cell r="M417">
            <v>1.88</v>
          </cell>
          <cell r="N417">
            <v>1.7</v>
          </cell>
          <cell r="O417">
            <v>1.95</v>
          </cell>
          <cell r="P417"/>
          <cell r="Q417"/>
          <cell r="R417">
            <v>1.8</v>
          </cell>
          <cell r="S417">
            <v>2.85</v>
          </cell>
          <cell r="T417"/>
          <cell r="U417"/>
          <cell r="V417">
            <v>15</v>
          </cell>
          <cell r="W417"/>
          <cell r="X417" t="str">
            <v>M-TEX</v>
          </cell>
          <cell r="Y417"/>
          <cell r="Z417" t="str">
            <v>LINDA 4/6/18</v>
          </cell>
          <cell r="AA417"/>
          <cell r="AB417">
            <v>43255</v>
          </cell>
          <cell r="AC417">
            <v>4433</v>
          </cell>
        </row>
        <row r="418">
          <cell r="B418">
            <v>4413</v>
          </cell>
          <cell r="C418" t="str">
            <v>BG3228</v>
          </cell>
          <cell r="D418" t="str">
            <v>COTTON STRIPE</v>
          </cell>
          <cell r="E418" t="str">
            <v>60s*60s</v>
          </cell>
          <cell r="F418" t="str">
            <v>C100%</v>
          </cell>
          <cell r="G418" t="str">
            <v>100%COTTON</v>
          </cell>
          <cell r="H418" t="str">
            <v>53/54</v>
          </cell>
          <cell r="I418">
            <v>55</v>
          </cell>
          <cell r="J418">
            <v>1.96</v>
          </cell>
          <cell r="K418">
            <v>2.2999999999999998</v>
          </cell>
          <cell r="L418">
            <v>1.98</v>
          </cell>
          <cell r="M418">
            <v>2.35</v>
          </cell>
          <cell r="N418">
            <v>1.98</v>
          </cell>
          <cell r="O418">
            <v>2.4</v>
          </cell>
          <cell r="P418"/>
          <cell r="Q418"/>
          <cell r="R418">
            <v>2.2999999999999998</v>
          </cell>
          <cell r="S418">
            <v>2.9</v>
          </cell>
          <cell r="T418"/>
          <cell r="U418"/>
          <cell r="V418">
            <v>15</v>
          </cell>
          <cell r="W418"/>
          <cell r="X418" t="str">
            <v>EDWIN</v>
          </cell>
          <cell r="Y418" t="str">
            <v>DMCARE-TRI-02</v>
          </cell>
          <cell r="Z418" t="str">
            <v>EDWIN 2/6/18</v>
          </cell>
          <cell r="AA418"/>
          <cell r="AB418">
            <v>43253</v>
          </cell>
          <cell r="AC418">
            <v>4456</v>
          </cell>
        </row>
        <row r="419">
          <cell r="B419">
            <v>4412</v>
          </cell>
          <cell r="C419" t="str">
            <v>BG3702</v>
          </cell>
          <cell r="D419" t="str">
            <v xml:space="preserve">SEERSUCKER </v>
          </cell>
          <cell r="E419" t="str">
            <v>40s+21s*40s</v>
          </cell>
          <cell r="F419" t="str">
            <v>C100%</v>
          </cell>
          <cell r="G419" t="str">
            <v>100%COTTON</v>
          </cell>
          <cell r="H419" t="str">
            <v>57/58</v>
          </cell>
          <cell r="I419">
            <v>115</v>
          </cell>
          <cell r="J419">
            <v>2.35</v>
          </cell>
          <cell r="K419"/>
          <cell r="L419">
            <v>2.38</v>
          </cell>
          <cell r="M419"/>
          <cell r="N419">
            <v>2.4</v>
          </cell>
          <cell r="O419"/>
          <cell r="P419"/>
          <cell r="Q419"/>
          <cell r="R419">
            <v>2.7</v>
          </cell>
          <cell r="S419"/>
          <cell r="T419"/>
          <cell r="U419"/>
          <cell r="V419">
            <v>15</v>
          </cell>
          <cell r="W419"/>
          <cell r="X419" t="str">
            <v>EDWIN</v>
          </cell>
          <cell r="Y419" t="str">
            <v>DMCARE-TRI-02</v>
          </cell>
          <cell r="Z419" t="str">
            <v>EDWIN 2/6/18</v>
          </cell>
          <cell r="AA419"/>
          <cell r="AB419">
            <v>43253</v>
          </cell>
          <cell r="AC419">
            <v>4464</v>
          </cell>
        </row>
        <row r="420">
          <cell r="B420">
            <v>4411</v>
          </cell>
          <cell r="C420" t="str">
            <v>BG3681</v>
          </cell>
          <cell r="D420" t="str">
            <v>Y/D COTTON  STRIPE</v>
          </cell>
          <cell r="E420" t="str">
            <v>40S*50S+40S+40D</v>
          </cell>
          <cell r="F420" t="str">
            <v>C/S 99.5/0.5</v>
          </cell>
          <cell r="G420" t="str">
            <v>99.5%COTTON 0.5% SPANDEX</v>
          </cell>
          <cell r="H420" t="str">
            <v>53/54</v>
          </cell>
          <cell r="I420">
            <v>80</v>
          </cell>
          <cell r="J420">
            <v>2.35</v>
          </cell>
          <cell r="K420"/>
          <cell r="L420">
            <v>2.38</v>
          </cell>
          <cell r="M420"/>
          <cell r="N420">
            <v>2.4</v>
          </cell>
          <cell r="O420"/>
          <cell r="P420"/>
          <cell r="Q420"/>
          <cell r="R420">
            <v>2.7</v>
          </cell>
          <cell r="S420"/>
          <cell r="T420"/>
          <cell r="U420"/>
          <cell r="V420">
            <v>15</v>
          </cell>
          <cell r="W420"/>
          <cell r="X420" t="str">
            <v>EDWIN</v>
          </cell>
          <cell r="Y420" t="str">
            <v>DMCARE-TRI-02</v>
          </cell>
          <cell r="Z420" t="str">
            <v>EDWIN 2/6/18</v>
          </cell>
          <cell r="AA420"/>
          <cell r="AB420">
            <v>43253</v>
          </cell>
          <cell r="AC420">
            <v>4449</v>
          </cell>
        </row>
        <row r="421">
          <cell r="B421">
            <v>4410</v>
          </cell>
          <cell r="C421" t="str">
            <v>BG3180</v>
          </cell>
          <cell r="D421" t="str">
            <v>Y/D TWILL RAYON</v>
          </cell>
          <cell r="E421" t="str">
            <v>45S*45S</v>
          </cell>
          <cell r="F421" t="str">
            <v>R100%</v>
          </cell>
          <cell r="G421" t="str">
            <v>100% RAYON</v>
          </cell>
          <cell r="H421" t="str">
            <v>53/54</v>
          </cell>
          <cell r="I421">
            <v>110</v>
          </cell>
          <cell r="J421">
            <v>1.8</v>
          </cell>
          <cell r="K421"/>
          <cell r="L421">
            <v>1.82</v>
          </cell>
          <cell r="M421"/>
          <cell r="N421">
            <v>1.83</v>
          </cell>
          <cell r="O421"/>
          <cell r="P421"/>
          <cell r="Q421"/>
          <cell r="R421">
            <v>2.1</v>
          </cell>
          <cell r="S421"/>
          <cell r="T421"/>
          <cell r="U421"/>
          <cell r="V421">
            <v>15</v>
          </cell>
          <cell r="W421"/>
          <cell r="X421" t="str">
            <v>EDWIN</v>
          </cell>
          <cell r="Y421" t="str">
            <v>DMCARE-TRI-01</v>
          </cell>
          <cell r="Z421" t="str">
            <v>EDWIN 2/6/18</v>
          </cell>
          <cell r="AA421"/>
          <cell r="AB421">
            <v>43253</v>
          </cell>
          <cell r="AC421">
            <v>4436</v>
          </cell>
        </row>
        <row r="422">
          <cell r="B422">
            <v>4409</v>
          </cell>
          <cell r="C422" t="str">
            <v>BG3603</v>
          </cell>
          <cell r="D422" t="str">
            <v>POLY</v>
          </cell>
          <cell r="E422" t="str">
            <v>50D+50D*150D</v>
          </cell>
          <cell r="F422" t="str">
            <v>T100%</v>
          </cell>
          <cell r="G422" t="str">
            <v>100% POLY</v>
          </cell>
          <cell r="H422" t="str">
            <v>57/58</v>
          </cell>
          <cell r="I422">
            <v>130</v>
          </cell>
          <cell r="J422">
            <v>1.52</v>
          </cell>
          <cell r="K422">
            <v>1.85</v>
          </cell>
          <cell r="L422">
            <v>1.55</v>
          </cell>
          <cell r="M422">
            <v>1.9</v>
          </cell>
          <cell r="N422">
            <v>1.57</v>
          </cell>
          <cell r="O422">
            <v>1.95</v>
          </cell>
          <cell r="P422"/>
          <cell r="Q422"/>
          <cell r="R422">
            <v>1.85</v>
          </cell>
          <cell r="S422">
            <v>2.2999999999999998</v>
          </cell>
          <cell r="T422"/>
          <cell r="U422"/>
          <cell r="V422">
            <v>15</v>
          </cell>
          <cell r="W422"/>
          <cell r="X422" t="str">
            <v>EDWIN</v>
          </cell>
          <cell r="Y422" t="str">
            <v>DMCARE-TRI-02</v>
          </cell>
          <cell r="Z422" t="str">
            <v>EDWIN 2/6/18</v>
          </cell>
          <cell r="AA422"/>
          <cell r="AB422">
            <v>43253</v>
          </cell>
          <cell r="AC422">
            <v>4446</v>
          </cell>
        </row>
        <row r="423">
          <cell r="B423">
            <v>4408</v>
          </cell>
          <cell r="C423" t="str">
            <v>BG1990</v>
          </cell>
          <cell r="D423" t="str">
            <v>SLUB COTTON STRIPE</v>
          </cell>
          <cell r="E423" t="str">
            <v>60S+21S/S*60S</v>
          </cell>
          <cell r="F423" t="str">
            <v>C100%</v>
          </cell>
          <cell r="G423" t="str">
            <v>100%COTTON</v>
          </cell>
          <cell r="H423" t="str">
            <v>55/56</v>
          </cell>
          <cell r="I423">
            <v>102</v>
          </cell>
          <cell r="J423">
            <v>1.96</v>
          </cell>
          <cell r="K423">
            <v>2.2999999999999998</v>
          </cell>
          <cell r="L423">
            <v>1.97</v>
          </cell>
          <cell r="M423">
            <v>2.35</v>
          </cell>
          <cell r="N423">
            <v>1.98</v>
          </cell>
          <cell r="O423">
            <v>2.4</v>
          </cell>
          <cell r="P423"/>
          <cell r="Q423"/>
          <cell r="R423">
            <v>2.2999999999999998</v>
          </cell>
          <cell r="S423">
            <v>2.9</v>
          </cell>
          <cell r="T423"/>
          <cell r="U423"/>
          <cell r="V423">
            <v>15</v>
          </cell>
          <cell r="W423"/>
          <cell r="X423" t="str">
            <v>EDWIN</v>
          </cell>
          <cell r="Y423" t="str">
            <v>DMCARE-TRI-02</v>
          </cell>
          <cell r="Z423" t="str">
            <v>EDWIN 2/6/18</v>
          </cell>
          <cell r="AA423"/>
          <cell r="AB423">
            <v>43253</v>
          </cell>
          <cell r="AC423">
            <v>4455</v>
          </cell>
        </row>
        <row r="424">
          <cell r="B424">
            <v>4407</v>
          </cell>
          <cell r="C424" t="str">
            <v>BG3724</v>
          </cell>
          <cell r="D424" t="str">
            <v>JAC COTTON STRIPE</v>
          </cell>
          <cell r="E424" t="str">
            <v>40s*40s</v>
          </cell>
          <cell r="F424" t="str">
            <v>C100%</v>
          </cell>
          <cell r="G424" t="str">
            <v>100%COTTON</v>
          </cell>
          <cell r="H424" t="str">
            <v>55/56</v>
          </cell>
          <cell r="I424">
            <v>97</v>
          </cell>
          <cell r="J424">
            <v>2.15</v>
          </cell>
          <cell r="K424">
            <v>2.5</v>
          </cell>
          <cell r="L424">
            <v>2.08</v>
          </cell>
          <cell r="M424">
            <v>2.5499999999999998</v>
          </cell>
          <cell r="N424">
            <v>2.2000000000000002</v>
          </cell>
          <cell r="O424">
            <v>2.6</v>
          </cell>
          <cell r="P424"/>
          <cell r="Q424"/>
          <cell r="R424">
            <v>2.5</v>
          </cell>
          <cell r="S424">
            <v>3.1</v>
          </cell>
          <cell r="T424"/>
          <cell r="U424"/>
          <cell r="V424">
            <v>15</v>
          </cell>
          <cell r="W424"/>
          <cell r="X424" t="str">
            <v>EDWIN</v>
          </cell>
          <cell r="Y424" t="str">
            <v>DMCARE-TRI-02</v>
          </cell>
          <cell r="Z424" t="str">
            <v>EDWIN 2/6/18</v>
          </cell>
          <cell r="AA424"/>
          <cell r="AB424">
            <v>43253</v>
          </cell>
          <cell r="AC424">
            <v>4461</v>
          </cell>
        </row>
        <row r="425">
          <cell r="B425">
            <v>4406</v>
          </cell>
          <cell r="C425" t="str">
            <v>BG2271</v>
          </cell>
          <cell r="D425" t="str">
            <v>SLUB COTTON STRIPE</v>
          </cell>
          <cell r="E425" t="str">
            <v>60s*60s+16s</v>
          </cell>
          <cell r="F425" t="str">
            <v>C100%</v>
          </cell>
          <cell r="G425" t="str">
            <v>100%COTTON</v>
          </cell>
          <cell r="H425" t="str">
            <v>55/56</v>
          </cell>
          <cell r="I425">
            <v>77</v>
          </cell>
          <cell r="J425">
            <v>1.88</v>
          </cell>
          <cell r="K425">
            <v>2.2000000000000002</v>
          </cell>
          <cell r="L425">
            <v>1.9</v>
          </cell>
          <cell r="M425">
            <v>2.25</v>
          </cell>
          <cell r="N425">
            <v>1.9</v>
          </cell>
          <cell r="O425">
            <v>2.2999999999999998</v>
          </cell>
          <cell r="P425"/>
          <cell r="Q425"/>
          <cell r="R425">
            <v>2.2000000000000002</v>
          </cell>
          <cell r="S425">
            <v>2.8</v>
          </cell>
          <cell r="T425"/>
          <cell r="U425"/>
          <cell r="V425">
            <v>15</v>
          </cell>
          <cell r="W425"/>
          <cell r="X425" t="str">
            <v>EDWIN</v>
          </cell>
          <cell r="Y425" t="str">
            <v>DMCARE-TRI-02</v>
          </cell>
          <cell r="Z425" t="str">
            <v>EDWIN 2/6/18</v>
          </cell>
          <cell r="AA425"/>
          <cell r="AB425">
            <v>43253</v>
          </cell>
          <cell r="AC425">
            <v>4454</v>
          </cell>
        </row>
        <row r="426">
          <cell r="B426">
            <v>4405</v>
          </cell>
          <cell r="C426" t="str">
            <v>BG2013</v>
          </cell>
          <cell r="D426" t="str">
            <v xml:space="preserve">SEERSUCKER </v>
          </cell>
          <cell r="E426" t="str">
            <v>100d*32s</v>
          </cell>
          <cell r="F426" t="str">
            <v>T/C 60/40</v>
          </cell>
          <cell r="G426" t="str">
            <v>60%POLY+40%COTTON</v>
          </cell>
          <cell r="H426" t="str">
            <v>57/58</v>
          </cell>
          <cell r="I426">
            <v>102</v>
          </cell>
          <cell r="J426">
            <v>1.88</v>
          </cell>
          <cell r="K426">
            <v>2.2000000000000002</v>
          </cell>
          <cell r="L426">
            <v>1.9</v>
          </cell>
          <cell r="M426">
            <v>2.25</v>
          </cell>
          <cell r="N426">
            <v>1.9</v>
          </cell>
          <cell r="O426">
            <v>2.2999999999999998</v>
          </cell>
          <cell r="P426"/>
          <cell r="Q426"/>
          <cell r="R426">
            <v>2.1</v>
          </cell>
          <cell r="S426">
            <v>2.7</v>
          </cell>
          <cell r="T426"/>
          <cell r="U426"/>
          <cell r="V426">
            <v>15</v>
          </cell>
          <cell r="W426"/>
          <cell r="X426" t="str">
            <v>EDWIN</v>
          </cell>
          <cell r="Y426" t="str">
            <v>DMCARE-TRI-02</v>
          </cell>
          <cell r="Z426" t="str">
            <v>EDWIN 2/6/18</v>
          </cell>
          <cell r="AA426"/>
          <cell r="AB426">
            <v>43253</v>
          </cell>
          <cell r="AC426">
            <v>4452</v>
          </cell>
        </row>
        <row r="427">
          <cell r="B427">
            <v>4404</v>
          </cell>
          <cell r="C427" t="str">
            <v xml:space="preserve"> BG2067 </v>
          </cell>
          <cell r="D427" t="str">
            <v>COTTON STRIPE</v>
          </cell>
          <cell r="E427" t="str">
            <v>60S*60S+21S</v>
          </cell>
          <cell r="F427" t="str">
            <v>C100%</v>
          </cell>
          <cell r="G427" t="str">
            <v>100%COTTON</v>
          </cell>
          <cell r="H427" t="str">
            <v>56/57</v>
          </cell>
          <cell r="I427">
            <v>91</v>
          </cell>
          <cell r="J427">
            <v>2.25</v>
          </cell>
          <cell r="K427">
            <v>2.6</v>
          </cell>
          <cell r="L427">
            <v>2.27</v>
          </cell>
          <cell r="M427">
            <v>2.65</v>
          </cell>
          <cell r="N427">
            <v>2.2799999999999998</v>
          </cell>
          <cell r="O427">
            <v>2.7</v>
          </cell>
          <cell r="P427"/>
          <cell r="Q427"/>
          <cell r="R427">
            <v>2.6</v>
          </cell>
          <cell r="S427">
            <v>3.2</v>
          </cell>
          <cell r="T427"/>
          <cell r="U427"/>
          <cell r="V427">
            <v>15</v>
          </cell>
          <cell r="W427"/>
          <cell r="X427" t="str">
            <v>EDWIN</v>
          </cell>
          <cell r="Y427" t="str">
            <v>DMCARE-TRI-02</v>
          </cell>
          <cell r="Z427" t="str">
            <v>EDWIN 2/6/18</v>
          </cell>
          <cell r="AA427"/>
          <cell r="AB427">
            <v>43253</v>
          </cell>
          <cell r="AC427">
            <v>4462</v>
          </cell>
        </row>
        <row r="428">
          <cell r="B428">
            <v>4403</v>
          </cell>
          <cell r="C428" t="str">
            <v>BG3359</v>
          </cell>
          <cell r="D428" t="str">
            <v>CRINKLE RAYON</v>
          </cell>
          <cell r="E428" t="str">
            <v>30S*24S</v>
          </cell>
          <cell r="F428" t="str">
            <v>R100%</v>
          </cell>
          <cell r="G428" t="str">
            <v>100% RAYON</v>
          </cell>
          <cell r="H428" t="str">
            <v>50/51</v>
          </cell>
          <cell r="I428">
            <v>135</v>
          </cell>
          <cell r="J428">
            <v>1.45</v>
          </cell>
          <cell r="K428">
            <v>1.75</v>
          </cell>
          <cell r="L428">
            <v>1.46</v>
          </cell>
          <cell r="M428">
            <v>1.8</v>
          </cell>
          <cell r="N428">
            <v>1.47</v>
          </cell>
          <cell r="O428">
            <v>1.85</v>
          </cell>
          <cell r="P428"/>
          <cell r="Q428"/>
          <cell r="R428">
            <v>1.65</v>
          </cell>
          <cell r="S428">
            <v>2.2999999999999998</v>
          </cell>
          <cell r="T428"/>
          <cell r="U428"/>
          <cell r="V428">
            <v>15</v>
          </cell>
          <cell r="W428"/>
          <cell r="X428" t="str">
            <v>EDWIN</v>
          </cell>
          <cell r="Y428" t="str">
            <v>DMCARE-TRI-01</v>
          </cell>
          <cell r="Z428" t="str">
            <v>EDWIN 2/6/18</v>
          </cell>
          <cell r="AA428"/>
          <cell r="AB428">
            <v>43253</v>
          </cell>
          <cell r="AC428">
            <v>4437</v>
          </cell>
        </row>
        <row r="429">
          <cell r="B429">
            <v>4402</v>
          </cell>
          <cell r="C429" t="str">
            <v>BG4087</v>
          </cell>
          <cell r="D429" t="str">
            <v>Y/D CHECK RAYON</v>
          </cell>
          <cell r="E429" t="str">
            <v>21S*21S</v>
          </cell>
          <cell r="F429" t="str">
            <v>R100%</v>
          </cell>
          <cell r="G429" t="str">
            <v>100% RAYON</v>
          </cell>
          <cell r="H429" t="str">
            <v>53/54</v>
          </cell>
          <cell r="I429">
            <v>117</v>
          </cell>
          <cell r="J429">
            <v>2.13</v>
          </cell>
          <cell r="K429"/>
          <cell r="L429">
            <v>2.14</v>
          </cell>
          <cell r="M429"/>
          <cell r="N429">
            <v>2.15</v>
          </cell>
          <cell r="O429"/>
          <cell r="P429"/>
          <cell r="Q429"/>
          <cell r="R429">
            <v>2.5</v>
          </cell>
          <cell r="S429"/>
          <cell r="T429"/>
          <cell r="U429"/>
          <cell r="V429">
            <v>15</v>
          </cell>
          <cell r="W429"/>
          <cell r="X429" t="str">
            <v>EDWIN</v>
          </cell>
          <cell r="Y429" t="str">
            <v>DMCARE-TRI-01</v>
          </cell>
          <cell r="Z429" t="str">
            <v>EDWIN 2/6/18</v>
          </cell>
          <cell r="AA429"/>
          <cell r="AB429">
            <v>43253</v>
          </cell>
          <cell r="AC429">
            <v>4443</v>
          </cell>
        </row>
        <row r="430">
          <cell r="B430">
            <v>4401</v>
          </cell>
          <cell r="C430" t="str">
            <v>BG4093</v>
          </cell>
          <cell r="D430" t="str">
            <v>Y/D TWILL RAYON</v>
          </cell>
          <cell r="E430" t="str">
            <v>32S*32S</v>
          </cell>
          <cell r="F430" t="str">
            <v>R100%</v>
          </cell>
          <cell r="G430" t="str">
            <v>100% RAYON</v>
          </cell>
          <cell r="H430" t="str">
            <v>53/54</v>
          </cell>
          <cell r="I430">
            <v>167</v>
          </cell>
          <cell r="J430">
            <v>2.57</v>
          </cell>
          <cell r="K430"/>
          <cell r="L430">
            <v>2.59</v>
          </cell>
          <cell r="M430"/>
          <cell r="N430">
            <v>2.6</v>
          </cell>
          <cell r="O430"/>
          <cell r="P430"/>
          <cell r="Q430"/>
          <cell r="R430">
            <v>2.9</v>
          </cell>
          <cell r="S430"/>
          <cell r="T430"/>
          <cell r="U430"/>
          <cell r="V430">
            <v>15</v>
          </cell>
          <cell r="W430"/>
          <cell r="X430" t="str">
            <v>EDWIN</v>
          </cell>
          <cell r="Y430" t="str">
            <v>DMCARE-TRI-01</v>
          </cell>
          <cell r="Z430" t="str">
            <v>EDWIN 2/6/18</v>
          </cell>
          <cell r="AA430"/>
          <cell r="AB430">
            <v>43253</v>
          </cell>
          <cell r="AC430">
            <v>4444</v>
          </cell>
        </row>
        <row r="431">
          <cell r="B431">
            <v>4400</v>
          </cell>
          <cell r="C431" t="str">
            <v>BG4067</v>
          </cell>
          <cell r="D431" t="str">
            <v>RAYON</v>
          </cell>
          <cell r="E431" t="str">
            <v>60S*60S</v>
          </cell>
          <cell r="F431" t="str">
            <v>R100%</v>
          </cell>
          <cell r="G431" t="str">
            <v>100% RAYON</v>
          </cell>
          <cell r="H431" t="str">
            <v>53/54</v>
          </cell>
          <cell r="I431">
            <v>92</v>
          </cell>
          <cell r="J431">
            <v>1.56</v>
          </cell>
          <cell r="K431">
            <v>1.8</v>
          </cell>
          <cell r="L431">
            <v>1.57</v>
          </cell>
          <cell r="M431">
            <v>1.85</v>
          </cell>
          <cell r="N431">
            <v>1.58</v>
          </cell>
          <cell r="O431">
            <v>1.9</v>
          </cell>
          <cell r="P431"/>
          <cell r="Q431"/>
          <cell r="R431">
            <v>1.8</v>
          </cell>
          <cell r="S431">
            <v>2.4</v>
          </cell>
          <cell r="T431"/>
          <cell r="U431"/>
          <cell r="V431">
            <v>15</v>
          </cell>
          <cell r="W431"/>
          <cell r="X431" t="str">
            <v>EDWIN</v>
          </cell>
          <cell r="Y431" t="str">
            <v>DMCARE-TRI-01</v>
          </cell>
          <cell r="Z431" t="str">
            <v>EDWIN 2/6/18</v>
          </cell>
          <cell r="AA431"/>
          <cell r="AB431">
            <v>43253</v>
          </cell>
          <cell r="AC431">
            <v>4442</v>
          </cell>
        </row>
        <row r="432">
          <cell r="B432">
            <v>4399</v>
          </cell>
          <cell r="C432" t="str">
            <v>BG4058</v>
          </cell>
          <cell r="D432" t="str">
            <v>SLUB RAYON</v>
          </cell>
          <cell r="E432" t="str">
            <v>60S*60S</v>
          </cell>
          <cell r="F432" t="str">
            <v>R100%</v>
          </cell>
          <cell r="G432" t="str">
            <v>100% RAYON</v>
          </cell>
          <cell r="H432" t="str">
            <v>53/54</v>
          </cell>
          <cell r="I432">
            <v>117</v>
          </cell>
          <cell r="J432">
            <v>1.5</v>
          </cell>
          <cell r="K432">
            <v>1.85</v>
          </cell>
          <cell r="L432">
            <v>1.52</v>
          </cell>
          <cell r="M432">
            <v>1.9</v>
          </cell>
          <cell r="N432">
            <v>1.53</v>
          </cell>
          <cell r="O432">
            <v>1.95</v>
          </cell>
          <cell r="P432"/>
          <cell r="Q432"/>
          <cell r="R432">
            <v>1.7</v>
          </cell>
          <cell r="S432">
            <v>2.4</v>
          </cell>
          <cell r="T432"/>
          <cell r="U432"/>
          <cell r="V432">
            <v>15</v>
          </cell>
          <cell r="W432"/>
          <cell r="X432" t="str">
            <v>EDWIN</v>
          </cell>
          <cell r="Y432" t="str">
            <v>DMCARE-TRI-01</v>
          </cell>
          <cell r="Z432" t="str">
            <v>EDWIN 2/6/18</v>
          </cell>
          <cell r="AA432"/>
          <cell r="AB432">
            <v>43253</v>
          </cell>
          <cell r="AC432">
            <v>4441</v>
          </cell>
        </row>
        <row r="433">
          <cell r="B433">
            <v>4398</v>
          </cell>
          <cell r="C433" t="str">
            <v>BG2396</v>
          </cell>
          <cell r="D433" t="str">
            <v>SLIGHT SATEEN</v>
          </cell>
          <cell r="E433" t="str">
            <v>50D*50D</v>
          </cell>
          <cell r="F433" t="str">
            <v>T100%</v>
          </cell>
          <cell r="G433" t="str">
            <v>100% POLY</v>
          </cell>
          <cell r="H433" t="str">
            <v>57/58</v>
          </cell>
          <cell r="I433">
            <v>73</v>
          </cell>
          <cell r="J433">
            <v>1.35</v>
          </cell>
          <cell r="K433">
            <v>1.7</v>
          </cell>
          <cell r="L433">
            <v>1.36</v>
          </cell>
          <cell r="M433">
            <v>1.75</v>
          </cell>
          <cell r="N433">
            <v>1.37</v>
          </cell>
          <cell r="O433">
            <v>1.8</v>
          </cell>
          <cell r="P433"/>
          <cell r="Q433"/>
          <cell r="R433">
            <v>1.6</v>
          </cell>
          <cell r="S433">
            <v>2.2000000000000002</v>
          </cell>
          <cell r="T433"/>
          <cell r="U433"/>
          <cell r="V433">
            <v>15</v>
          </cell>
          <cell r="W433"/>
          <cell r="X433" t="str">
            <v>EDWIN</v>
          </cell>
          <cell r="Y433" t="str">
            <v>DMCARE-TRI-02</v>
          </cell>
          <cell r="Z433" t="str">
            <v>EDWIN 2/6/18</v>
          </cell>
          <cell r="AA433"/>
          <cell r="AB433">
            <v>43253</v>
          </cell>
          <cell r="AC433">
            <v>4445</v>
          </cell>
        </row>
        <row r="434">
          <cell r="B434">
            <v>4397</v>
          </cell>
          <cell r="C434" t="str">
            <v>BG2909</v>
          </cell>
          <cell r="D434" t="str">
            <v xml:space="preserve">RAYON </v>
          </cell>
          <cell r="E434" t="str">
            <v>45S*45S</v>
          </cell>
          <cell r="F434" t="str">
            <v>R100%</v>
          </cell>
          <cell r="G434" t="str">
            <v>100% RAYON</v>
          </cell>
          <cell r="H434" t="str">
            <v>53/54</v>
          </cell>
          <cell r="I434">
            <v>110</v>
          </cell>
          <cell r="J434">
            <v>1.34</v>
          </cell>
          <cell r="K434">
            <v>1.7</v>
          </cell>
          <cell r="L434">
            <v>1.35</v>
          </cell>
          <cell r="M434">
            <v>1.75</v>
          </cell>
          <cell r="N434">
            <v>1.36</v>
          </cell>
          <cell r="O434">
            <v>1.8</v>
          </cell>
          <cell r="P434"/>
          <cell r="Q434"/>
          <cell r="R434">
            <v>1.6</v>
          </cell>
          <cell r="S434">
            <v>2.2000000000000002</v>
          </cell>
          <cell r="T434"/>
          <cell r="U434"/>
          <cell r="V434">
            <v>15</v>
          </cell>
          <cell r="W434"/>
          <cell r="X434" t="str">
            <v>EDWIN</v>
          </cell>
          <cell r="Y434" t="str">
            <v>DMCARE-TRI-01</v>
          </cell>
          <cell r="Z434" t="str">
            <v>EDWIN 2/6/18</v>
          </cell>
          <cell r="AA434"/>
          <cell r="AB434">
            <v>43253</v>
          </cell>
          <cell r="AC434">
            <v>4435</v>
          </cell>
        </row>
        <row r="435">
          <cell r="B435">
            <v>4396</v>
          </cell>
          <cell r="C435" t="str">
            <v>BG3498</v>
          </cell>
          <cell r="D435" t="str">
            <v>RAYON</v>
          </cell>
          <cell r="E435" t="str">
            <v>45S*45S</v>
          </cell>
          <cell r="F435" t="str">
            <v>R100%</v>
          </cell>
          <cell r="G435" t="str">
            <v>100% RAYON</v>
          </cell>
          <cell r="H435" t="str">
            <v>53/54</v>
          </cell>
          <cell r="I435">
            <v>110</v>
          </cell>
          <cell r="J435">
            <v>1.34</v>
          </cell>
          <cell r="K435">
            <v>1.7</v>
          </cell>
          <cell r="L435">
            <v>1.35</v>
          </cell>
          <cell r="M435">
            <v>1.75</v>
          </cell>
          <cell r="N435">
            <v>1.36</v>
          </cell>
          <cell r="O435">
            <v>1.8</v>
          </cell>
          <cell r="P435"/>
          <cell r="Q435"/>
          <cell r="R435">
            <v>1.5</v>
          </cell>
          <cell r="S435">
            <v>2.2000000000000002</v>
          </cell>
          <cell r="T435"/>
          <cell r="U435"/>
          <cell r="V435">
            <v>15</v>
          </cell>
          <cell r="W435"/>
          <cell r="X435" t="str">
            <v>EDWIN</v>
          </cell>
          <cell r="Y435" t="str">
            <v>DMCARE-TRI-01</v>
          </cell>
          <cell r="Z435" t="str">
            <v>EDWIN 2/6/18</v>
          </cell>
          <cell r="AA435"/>
          <cell r="AB435">
            <v>43253</v>
          </cell>
          <cell r="AC435">
            <v>4438</v>
          </cell>
        </row>
        <row r="436">
          <cell r="B436">
            <v>4395</v>
          </cell>
          <cell r="C436" t="str">
            <v>BG3760</v>
          </cell>
          <cell r="D436" t="str">
            <v>CRINKLE RAYON</v>
          </cell>
          <cell r="E436" t="str">
            <v>30S*24S</v>
          </cell>
          <cell r="F436" t="str">
            <v>R100%</v>
          </cell>
          <cell r="G436" t="str">
            <v>100% RAYON</v>
          </cell>
          <cell r="H436" t="str">
            <v>50/51</v>
          </cell>
          <cell r="I436">
            <v>135</v>
          </cell>
          <cell r="J436">
            <v>1.45</v>
          </cell>
          <cell r="K436">
            <v>1.75</v>
          </cell>
          <cell r="L436">
            <v>1.46</v>
          </cell>
          <cell r="M436">
            <v>1.8</v>
          </cell>
          <cell r="N436">
            <v>1.47</v>
          </cell>
          <cell r="O436">
            <v>1.85</v>
          </cell>
          <cell r="P436"/>
          <cell r="Q436"/>
          <cell r="R436">
            <v>1.65</v>
          </cell>
          <cell r="S436">
            <v>2.2999999999999998</v>
          </cell>
          <cell r="T436"/>
          <cell r="U436"/>
          <cell r="V436">
            <v>15</v>
          </cell>
          <cell r="W436"/>
          <cell r="X436" t="str">
            <v>EDWIN</v>
          </cell>
          <cell r="Y436" t="str">
            <v>DMCARE-TRI-01</v>
          </cell>
          <cell r="Z436" t="str">
            <v>EDWIN 2/6/18</v>
          </cell>
          <cell r="AA436"/>
          <cell r="AB436">
            <v>43253</v>
          </cell>
          <cell r="AC436">
            <v>4440</v>
          </cell>
        </row>
        <row r="437">
          <cell r="B437">
            <v>4394</v>
          </cell>
          <cell r="C437" t="str">
            <v>BG3255</v>
          </cell>
          <cell r="D437" t="str">
            <v>CRINKLE RAYON CREPE</v>
          </cell>
          <cell r="E437" t="str">
            <v>30S*24S</v>
          </cell>
          <cell r="F437" t="str">
            <v>R100%</v>
          </cell>
          <cell r="G437" t="str">
            <v>100% RAYON</v>
          </cell>
          <cell r="H437" t="str">
            <v>47/48</v>
          </cell>
          <cell r="I437">
            <v>147</v>
          </cell>
          <cell r="J437">
            <v>2.1</v>
          </cell>
          <cell r="K437"/>
          <cell r="L437">
            <v>2.15</v>
          </cell>
          <cell r="M437"/>
          <cell r="N437">
            <v>2.2000000000000002</v>
          </cell>
          <cell r="O437"/>
          <cell r="P437"/>
          <cell r="Q437"/>
          <cell r="R437">
            <v>2.4</v>
          </cell>
          <cell r="S437"/>
          <cell r="T437"/>
          <cell r="U437"/>
          <cell r="V437">
            <v>15</v>
          </cell>
          <cell r="W437"/>
          <cell r="X437" t="str">
            <v>EDWIN</v>
          </cell>
          <cell r="Y437" t="str">
            <v>DMCARE-TRI-01</v>
          </cell>
          <cell r="Z437" t="str">
            <v>EDWIN 2/6/18</v>
          </cell>
          <cell r="AA437"/>
          <cell r="AB437">
            <v>43253</v>
          </cell>
          <cell r="AC437">
            <v>4465</v>
          </cell>
        </row>
        <row r="438">
          <cell r="B438">
            <v>4393</v>
          </cell>
          <cell r="C438" t="str">
            <v xml:space="preserve"> BG3504 </v>
          </cell>
          <cell r="D438" t="str">
            <v>CRINKLE RAYON CREPE</v>
          </cell>
          <cell r="E438" t="str">
            <v>30S*24S</v>
          </cell>
          <cell r="F438" t="str">
            <v>R100%</v>
          </cell>
          <cell r="G438" t="str">
            <v>100% RAYON</v>
          </cell>
          <cell r="H438" t="str">
            <v>50/51</v>
          </cell>
          <cell r="I438">
            <v>135</v>
          </cell>
          <cell r="J438">
            <v>1.45</v>
          </cell>
          <cell r="K438">
            <v>1.75</v>
          </cell>
          <cell r="L438">
            <v>1.46</v>
          </cell>
          <cell r="M438">
            <v>1.8</v>
          </cell>
          <cell r="N438">
            <v>1.47</v>
          </cell>
          <cell r="O438">
            <v>1.85</v>
          </cell>
          <cell r="P438"/>
          <cell r="Q438"/>
          <cell r="R438">
            <v>1.65</v>
          </cell>
          <cell r="S438">
            <v>2.2999999999999998</v>
          </cell>
          <cell r="T438"/>
          <cell r="U438"/>
          <cell r="V438">
            <v>15</v>
          </cell>
          <cell r="W438"/>
          <cell r="X438" t="str">
            <v>EDWIN</v>
          </cell>
          <cell r="Y438" t="str">
            <v>DMCARE-TRI-01</v>
          </cell>
          <cell r="Z438" t="str">
            <v>EDWIN 2/6/18</v>
          </cell>
          <cell r="AA438"/>
          <cell r="AB438">
            <v>43253</v>
          </cell>
          <cell r="AC438">
            <v>4439</v>
          </cell>
        </row>
        <row r="439">
          <cell r="B439">
            <v>4392</v>
          </cell>
          <cell r="C439" t="str">
            <v>BG2461-2</v>
          </cell>
          <cell r="D439" t="str">
            <v>COTTON CREPE</v>
          </cell>
          <cell r="E439" t="str">
            <v>21S*21S</v>
          </cell>
          <cell r="F439" t="str">
            <v>C100%</v>
          </cell>
          <cell r="G439" t="str">
            <v>100%COTTON</v>
          </cell>
          <cell r="H439" t="str">
            <v>53/54</v>
          </cell>
          <cell r="I439">
            <v>155</v>
          </cell>
          <cell r="J439">
            <v>1.88</v>
          </cell>
          <cell r="K439">
            <v>2.4</v>
          </cell>
          <cell r="L439">
            <v>1.9</v>
          </cell>
          <cell r="M439">
            <v>2.4500000000000002</v>
          </cell>
          <cell r="N439">
            <v>1.9</v>
          </cell>
          <cell r="O439">
            <v>2.5</v>
          </cell>
          <cell r="P439"/>
          <cell r="Q439"/>
          <cell r="R439">
            <v>2.1</v>
          </cell>
          <cell r="S439">
            <v>3</v>
          </cell>
          <cell r="T439"/>
          <cell r="U439"/>
          <cell r="V439">
            <v>15</v>
          </cell>
          <cell r="W439"/>
          <cell r="X439" t="str">
            <v>EDWIN</v>
          </cell>
          <cell r="Y439" t="str">
            <v>DMCARE-TRI-02</v>
          </cell>
          <cell r="Z439" t="str">
            <v>EDWIN 2/6/18</v>
          </cell>
          <cell r="AA439"/>
          <cell r="AB439">
            <v>43253</v>
          </cell>
          <cell r="AC439">
            <v>4459</v>
          </cell>
        </row>
        <row r="440">
          <cell r="B440">
            <v>4391</v>
          </cell>
          <cell r="C440" t="str">
            <v>BG1435</v>
          </cell>
          <cell r="D440" t="str">
            <v>SLUB COTTON CREPE</v>
          </cell>
          <cell r="E440" t="str">
            <v>20S*20S</v>
          </cell>
          <cell r="F440" t="str">
            <v>C100%</v>
          </cell>
          <cell r="G440" t="str">
            <v>100%COTTON</v>
          </cell>
          <cell r="H440" t="str">
            <v>55/56</v>
          </cell>
          <cell r="I440">
            <v>170</v>
          </cell>
          <cell r="J440">
            <v>1.88</v>
          </cell>
          <cell r="K440">
            <v>2.4</v>
          </cell>
          <cell r="L440">
            <v>1.9</v>
          </cell>
          <cell r="M440">
            <v>2.4500000000000002</v>
          </cell>
          <cell r="N440">
            <v>1.9</v>
          </cell>
          <cell r="O440">
            <v>2.5</v>
          </cell>
          <cell r="P440"/>
          <cell r="Q440"/>
          <cell r="R440">
            <v>2.1</v>
          </cell>
          <cell r="S440">
            <v>3</v>
          </cell>
          <cell r="T440"/>
          <cell r="U440"/>
          <cell r="V440">
            <v>15</v>
          </cell>
          <cell r="W440"/>
          <cell r="X440" t="str">
            <v>EDWIN</v>
          </cell>
          <cell r="Y440" t="str">
            <v>DMCARE-TRI-02</v>
          </cell>
          <cell r="Z440" t="str">
            <v>EDWIN 2/6/18</v>
          </cell>
          <cell r="AA440"/>
          <cell r="AB440">
            <v>43253</v>
          </cell>
          <cell r="AC440">
            <v>4458</v>
          </cell>
        </row>
        <row r="441">
          <cell r="B441">
            <v>4390</v>
          </cell>
          <cell r="C441" t="str">
            <v>BG3734</v>
          </cell>
          <cell r="D441" t="str">
            <v>JAC C/L/V</v>
          </cell>
          <cell r="E441" t="str">
            <v>60S+60S*15S</v>
          </cell>
          <cell r="F441" t="str">
            <v>C/L/V 60/21/19</v>
          </cell>
          <cell r="G441" t="str">
            <v>60%COTTON+21%LINEN+19%VISCOSE</v>
          </cell>
          <cell r="H441">
            <v>53</v>
          </cell>
          <cell r="I441">
            <v>156</v>
          </cell>
          <cell r="J441">
            <v>3.05</v>
          </cell>
          <cell r="K441">
            <v>3.4</v>
          </cell>
          <cell r="L441">
            <v>3.08</v>
          </cell>
          <cell r="M441">
            <v>3.45</v>
          </cell>
          <cell r="N441">
            <v>3.1</v>
          </cell>
          <cell r="O441">
            <v>3.5</v>
          </cell>
          <cell r="P441"/>
          <cell r="Q441"/>
          <cell r="R441">
            <v>3.4</v>
          </cell>
          <cell r="S441">
            <v>4</v>
          </cell>
          <cell r="T441"/>
          <cell r="U441"/>
          <cell r="V441">
            <v>15</v>
          </cell>
          <cell r="W441"/>
          <cell r="X441" t="str">
            <v>EDWIN</v>
          </cell>
          <cell r="Y441" t="str">
            <v>DMCARE-TRI-02</v>
          </cell>
          <cell r="Z441" t="str">
            <v>EDWIN 2/6/18</v>
          </cell>
          <cell r="AA441"/>
          <cell r="AB441">
            <v>43253</v>
          </cell>
          <cell r="AC441">
            <v>4468</v>
          </cell>
        </row>
        <row r="442">
          <cell r="B442">
            <v>4389</v>
          </cell>
          <cell r="C442" t="str">
            <v>BG3591</v>
          </cell>
          <cell r="D442" t="str">
            <v>LINEN</v>
          </cell>
          <cell r="E442" t="str">
            <v>2S1*21S</v>
          </cell>
          <cell r="F442" t="str">
            <v>L100%</v>
          </cell>
          <cell r="G442" t="str">
            <v>100%LINEN</v>
          </cell>
          <cell r="H442" t="str">
            <v>53/54</v>
          </cell>
          <cell r="I442">
            <v>98</v>
          </cell>
          <cell r="J442">
            <v>4.08</v>
          </cell>
          <cell r="K442">
            <v>4.3</v>
          </cell>
          <cell r="L442">
            <v>4.0999999999999996</v>
          </cell>
          <cell r="M442">
            <v>4.3499999999999996</v>
          </cell>
          <cell r="N442">
            <v>4.0999999999999996</v>
          </cell>
          <cell r="O442">
            <v>4.5</v>
          </cell>
          <cell r="P442"/>
          <cell r="Q442"/>
          <cell r="R442">
            <v>4.3</v>
          </cell>
          <cell r="S442">
            <v>4.9000000000000004</v>
          </cell>
          <cell r="T442"/>
          <cell r="U442"/>
          <cell r="V442">
            <v>15</v>
          </cell>
          <cell r="W442"/>
          <cell r="X442" t="str">
            <v>EDWIN</v>
          </cell>
          <cell r="Y442" t="str">
            <v>DMCARE-TRI-02</v>
          </cell>
          <cell r="Z442" t="str">
            <v>EDWIN 2/6/18</v>
          </cell>
          <cell r="AA442"/>
          <cell r="AB442">
            <v>43253</v>
          </cell>
          <cell r="AC442">
            <v>4469</v>
          </cell>
        </row>
        <row r="443">
          <cell r="B443">
            <v>4388</v>
          </cell>
          <cell r="C443" t="str">
            <v>BG3165</v>
          </cell>
          <cell r="D443" t="str">
            <v>CRINKLE COTTON</v>
          </cell>
          <cell r="E443" t="str">
            <v>60s*60s</v>
          </cell>
          <cell r="F443" t="str">
            <v>C100%</v>
          </cell>
          <cell r="G443" t="str">
            <v>100%COTTON</v>
          </cell>
          <cell r="H443" t="str">
            <v>45/46</v>
          </cell>
          <cell r="I443">
            <v>72</v>
          </cell>
          <cell r="J443">
            <v>1.66</v>
          </cell>
          <cell r="K443">
            <v>2.1</v>
          </cell>
          <cell r="L443">
            <v>1.68</v>
          </cell>
          <cell r="M443">
            <v>2.15</v>
          </cell>
          <cell r="N443">
            <v>1.68</v>
          </cell>
          <cell r="O443">
            <v>2.2000000000000002</v>
          </cell>
          <cell r="P443"/>
          <cell r="Q443"/>
          <cell r="R443">
            <v>1.9</v>
          </cell>
          <cell r="S443">
            <v>2.6</v>
          </cell>
          <cell r="T443"/>
          <cell r="U443"/>
          <cell r="V443">
            <v>15</v>
          </cell>
          <cell r="W443"/>
          <cell r="X443" t="str">
            <v>EDWIN</v>
          </cell>
          <cell r="Y443" t="str">
            <v>DMCARE-TRI-02</v>
          </cell>
          <cell r="Z443" t="str">
            <v>EDWIN 2/6/18</v>
          </cell>
          <cell r="AA443"/>
          <cell r="AB443">
            <v>43253</v>
          </cell>
          <cell r="AC443">
            <v>4450</v>
          </cell>
        </row>
        <row r="444">
          <cell r="B444">
            <v>4387</v>
          </cell>
          <cell r="C444" t="str">
            <v>BG2197</v>
          </cell>
          <cell r="D444" t="str">
            <v>COTTON CREPE</v>
          </cell>
          <cell r="E444" t="str">
            <v>80s*80s</v>
          </cell>
          <cell r="F444" t="str">
            <v>C100%</v>
          </cell>
          <cell r="G444" t="str">
            <v>100%COTTON</v>
          </cell>
          <cell r="H444" t="str">
            <v>50/51</v>
          </cell>
          <cell r="I444">
            <v>75</v>
          </cell>
          <cell r="J444">
            <v>2.58</v>
          </cell>
          <cell r="K444">
            <v>3.1</v>
          </cell>
          <cell r="L444">
            <v>2.6</v>
          </cell>
          <cell r="M444">
            <v>3.15</v>
          </cell>
          <cell r="N444">
            <v>2.6</v>
          </cell>
          <cell r="O444">
            <v>3.2</v>
          </cell>
          <cell r="P444"/>
          <cell r="Q444"/>
          <cell r="R444">
            <v>2.9</v>
          </cell>
          <cell r="S444">
            <v>3.8</v>
          </cell>
          <cell r="T444"/>
          <cell r="U444"/>
          <cell r="V444">
            <v>15</v>
          </cell>
          <cell r="W444"/>
          <cell r="X444" t="str">
            <v>EDWIN</v>
          </cell>
          <cell r="Y444" t="str">
            <v>DMCARE-TRI-02</v>
          </cell>
          <cell r="Z444" t="str">
            <v>EDWIN 2/6/18</v>
          </cell>
          <cell r="AA444"/>
          <cell r="AB444">
            <v>43253</v>
          </cell>
          <cell r="AC444">
            <v>4466</v>
          </cell>
        </row>
        <row r="445">
          <cell r="B445">
            <v>4386</v>
          </cell>
          <cell r="C445" t="str">
            <v>BG2805-1</v>
          </cell>
          <cell r="D445" t="str">
            <v xml:space="preserve">COTTON </v>
          </cell>
          <cell r="E445" t="str">
            <v>30s*30s</v>
          </cell>
          <cell r="F445" t="str">
            <v>C/S 99/1</v>
          </cell>
          <cell r="G445" t="str">
            <v>99%COTTON+1%SP</v>
          </cell>
          <cell r="H445" t="str">
            <v>47/48</v>
          </cell>
          <cell r="I445">
            <v>104</v>
          </cell>
          <cell r="J445">
            <v>2.08</v>
          </cell>
          <cell r="K445">
            <v>2.4</v>
          </cell>
          <cell r="L445">
            <v>2.1</v>
          </cell>
          <cell r="M445">
            <v>2.4500000000000002</v>
          </cell>
          <cell r="N445">
            <v>2.1</v>
          </cell>
          <cell r="O445">
            <v>2.5</v>
          </cell>
          <cell r="P445"/>
          <cell r="Q445"/>
          <cell r="R445">
            <v>2.4</v>
          </cell>
          <cell r="S445">
            <v>3</v>
          </cell>
          <cell r="T445"/>
          <cell r="U445"/>
          <cell r="V445">
            <v>15</v>
          </cell>
          <cell r="W445"/>
          <cell r="X445" t="str">
            <v>EDWIN</v>
          </cell>
          <cell r="Y445" t="str">
            <v>DMCARE-TRI-02</v>
          </cell>
          <cell r="Z445" t="str">
            <v>EDWIN 2/6/18</v>
          </cell>
          <cell r="AA445"/>
          <cell r="AB445">
            <v>43253</v>
          </cell>
          <cell r="AC445">
            <v>4447</v>
          </cell>
        </row>
        <row r="446">
          <cell r="B446">
            <v>4385</v>
          </cell>
          <cell r="C446" t="str">
            <v>BG3594</v>
          </cell>
          <cell r="D446" t="str">
            <v>COTTON W/ STRIPE</v>
          </cell>
          <cell r="E446"/>
          <cell r="F446" t="str">
            <v>C100%</v>
          </cell>
          <cell r="G446" t="str">
            <v>100%COTTON</v>
          </cell>
          <cell r="H446" t="str">
            <v>55/56</v>
          </cell>
          <cell r="I446">
            <v>86</v>
          </cell>
          <cell r="J446">
            <v>1.8</v>
          </cell>
          <cell r="K446">
            <v>2.1</v>
          </cell>
          <cell r="L446">
            <v>1.82</v>
          </cell>
          <cell r="M446">
            <v>2.15</v>
          </cell>
          <cell r="N446">
            <v>1.83</v>
          </cell>
          <cell r="O446">
            <v>2.2000000000000002</v>
          </cell>
          <cell r="P446"/>
          <cell r="Q446"/>
          <cell r="R446">
            <v>2.2000000000000002</v>
          </cell>
          <cell r="S446">
            <v>2.8</v>
          </cell>
          <cell r="T446"/>
          <cell r="U446"/>
          <cell r="V446">
            <v>15</v>
          </cell>
          <cell r="W446"/>
          <cell r="X446" t="str">
            <v>EDWIN</v>
          </cell>
          <cell r="Y446" t="str">
            <v>DMCARE-TRI-02</v>
          </cell>
          <cell r="Z446" t="str">
            <v>EDWIN 2/6/18</v>
          </cell>
          <cell r="AA446"/>
          <cell r="AB446">
            <v>43253</v>
          </cell>
          <cell r="AC446">
            <v>4451</v>
          </cell>
        </row>
        <row r="447">
          <cell r="B447">
            <v>4384</v>
          </cell>
          <cell r="C447" t="str">
            <v>BG3246</v>
          </cell>
          <cell r="D447" t="str">
            <v>SLUB COTTON/ VISCOSE</v>
          </cell>
          <cell r="E447" t="str">
            <v>16s+16s*16s+16s</v>
          </cell>
          <cell r="F447" t="str">
            <v>C/R 87/13</v>
          </cell>
          <cell r="G447" t="str">
            <v>87%COTTON+13% RAYON</v>
          </cell>
          <cell r="H447" t="str">
            <v>48/50</v>
          </cell>
          <cell r="I447">
            <v>110</v>
          </cell>
          <cell r="J447">
            <v>1.88</v>
          </cell>
          <cell r="K447">
            <v>2.2000000000000002</v>
          </cell>
          <cell r="L447">
            <v>1.9</v>
          </cell>
          <cell r="M447">
            <v>2.25</v>
          </cell>
          <cell r="N447">
            <v>1.9</v>
          </cell>
          <cell r="O447">
            <v>2.2999999999999998</v>
          </cell>
          <cell r="P447"/>
          <cell r="Q447"/>
          <cell r="R447">
            <v>2.2000000000000002</v>
          </cell>
          <cell r="S447">
            <v>2.8</v>
          </cell>
          <cell r="T447"/>
          <cell r="U447"/>
          <cell r="V447">
            <v>15</v>
          </cell>
          <cell r="W447"/>
          <cell r="X447" t="str">
            <v>EDWIN</v>
          </cell>
          <cell r="Y447" t="str">
            <v>DMCARE-TRI-02</v>
          </cell>
          <cell r="Z447" t="str">
            <v>EDWIN 2/6/18</v>
          </cell>
          <cell r="AA447"/>
          <cell r="AB447">
            <v>43253</v>
          </cell>
          <cell r="AC447">
            <v>4448</v>
          </cell>
        </row>
        <row r="448">
          <cell r="B448">
            <v>4281</v>
          </cell>
          <cell r="C448" t="str">
            <v>BG2053</v>
          </cell>
          <cell r="D448" t="str">
            <v>CHAMBRAY COTTON</v>
          </cell>
          <cell r="E448" t="str">
            <v>40S*40S</v>
          </cell>
          <cell r="F448" t="str">
            <v>C100%</v>
          </cell>
          <cell r="G448" t="str">
            <v>100%COTTON</v>
          </cell>
          <cell r="H448" t="str">
            <v>57/58</v>
          </cell>
          <cell r="I448">
            <v>87</v>
          </cell>
          <cell r="J448">
            <v>2.15</v>
          </cell>
          <cell r="K448"/>
          <cell r="L448">
            <v>2.1800000000000002</v>
          </cell>
          <cell r="M448"/>
          <cell r="N448">
            <v>2.2000000000000002</v>
          </cell>
          <cell r="O448"/>
          <cell r="P448"/>
          <cell r="Q448"/>
          <cell r="R448">
            <v>2.5</v>
          </cell>
          <cell r="S448"/>
          <cell r="T448"/>
          <cell r="U448"/>
          <cell r="V448">
            <v>15</v>
          </cell>
          <cell r="W448"/>
          <cell r="X448" t="str">
            <v>EDWIN</v>
          </cell>
          <cell r="Y448" t="str">
            <v>DMCARE-TRI-02</v>
          </cell>
          <cell r="Z448" t="str">
            <v>EDWIN 2/6/18</v>
          </cell>
          <cell r="AA448"/>
          <cell r="AB448">
            <v>43253</v>
          </cell>
          <cell r="AC448">
            <v>4460</v>
          </cell>
        </row>
        <row r="449">
          <cell r="B449">
            <v>3364</v>
          </cell>
          <cell r="C449" t="str">
            <v>BG3703</v>
          </cell>
          <cell r="D449" t="str">
            <v>Y/D CHECK COTTON</v>
          </cell>
          <cell r="E449" t="str">
            <v>50S*50S</v>
          </cell>
          <cell r="F449" t="str">
            <v>C100%</v>
          </cell>
          <cell r="G449" t="str">
            <v>100%COTTON</v>
          </cell>
          <cell r="H449" t="str">
            <v>57/58</v>
          </cell>
          <cell r="I449">
            <v>106</v>
          </cell>
          <cell r="J449">
            <v>2.75</v>
          </cell>
          <cell r="K449"/>
          <cell r="L449">
            <v>2.78</v>
          </cell>
          <cell r="M449"/>
          <cell r="N449">
            <v>2.8</v>
          </cell>
          <cell r="O449"/>
          <cell r="P449"/>
          <cell r="Q449"/>
          <cell r="R449">
            <v>3.1</v>
          </cell>
          <cell r="S449"/>
          <cell r="T449"/>
          <cell r="U449"/>
          <cell r="V449">
            <v>15</v>
          </cell>
          <cell r="W449"/>
          <cell r="X449" t="str">
            <v>EDWIN</v>
          </cell>
          <cell r="Y449" t="str">
            <v>DMCARE-TRI-02</v>
          </cell>
          <cell r="Z449" t="str">
            <v>EDWIN 2/6/18</v>
          </cell>
          <cell r="AA449"/>
          <cell r="AB449">
            <v>43253</v>
          </cell>
          <cell r="AC449">
            <v>4467</v>
          </cell>
        </row>
        <row r="450">
          <cell r="B450">
            <v>2801</v>
          </cell>
          <cell r="C450" t="str">
            <v>BG2718P</v>
          </cell>
          <cell r="D450" t="str">
            <v>COTTON CREPE</v>
          </cell>
          <cell r="E450" t="str">
            <v>60s*60s</v>
          </cell>
          <cell r="F450" t="str">
            <v>C100%</v>
          </cell>
          <cell r="G450" t="str">
            <v>100%COTTON</v>
          </cell>
          <cell r="H450" t="str">
            <v>50/51</v>
          </cell>
          <cell r="I450">
            <v>86</v>
          </cell>
          <cell r="J450">
            <v>2.2799999999999998</v>
          </cell>
          <cell r="K450">
            <v>2.8</v>
          </cell>
          <cell r="L450">
            <v>2.2999999999999998</v>
          </cell>
          <cell r="M450">
            <v>2.85</v>
          </cell>
          <cell r="N450">
            <v>2.2999999999999998</v>
          </cell>
          <cell r="O450">
            <v>2.9</v>
          </cell>
          <cell r="P450"/>
          <cell r="Q450"/>
          <cell r="R450">
            <v>2.5</v>
          </cell>
          <cell r="S450">
            <v>3.4</v>
          </cell>
          <cell r="T450"/>
          <cell r="U450"/>
          <cell r="V450">
            <v>15</v>
          </cell>
          <cell r="W450"/>
          <cell r="X450" t="str">
            <v>EDWIN</v>
          </cell>
          <cell r="Y450" t="str">
            <v>DMCARE-TRI-02</v>
          </cell>
          <cell r="Z450" t="str">
            <v>EDWIN 2/6/18</v>
          </cell>
          <cell r="AA450"/>
          <cell r="AB450">
            <v>43253</v>
          </cell>
          <cell r="AC450">
            <v>4463</v>
          </cell>
        </row>
        <row r="451">
          <cell r="B451">
            <v>2797</v>
          </cell>
          <cell r="C451" t="str">
            <v>BG2853</v>
          </cell>
          <cell r="D451" t="str">
            <v>SLUB COTTON/ RAYON</v>
          </cell>
          <cell r="E451" t="str">
            <v>60S*60S+40S/2</v>
          </cell>
          <cell r="F451" t="str">
            <v>C/R 70/30</v>
          </cell>
          <cell r="G451" t="str">
            <v>70%COTTON+30%RAYON</v>
          </cell>
          <cell r="H451" t="str">
            <v>53/54</v>
          </cell>
          <cell r="I451">
            <v>75</v>
          </cell>
          <cell r="J451">
            <v>2.08</v>
          </cell>
          <cell r="K451">
            <v>2.4</v>
          </cell>
          <cell r="L451">
            <v>2.1</v>
          </cell>
          <cell r="M451">
            <v>2.4500000000000002</v>
          </cell>
          <cell r="N451">
            <v>2.1</v>
          </cell>
          <cell r="O451">
            <v>2.5</v>
          </cell>
          <cell r="P451"/>
          <cell r="Q451"/>
          <cell r="R451">
            <v>2.4</v>
          </cell>
          <cell r="S451">
            <v>3</v>
          </cell>
          <cell r="T451"/>
          <cell r="U451"/>
          <cell r="V451">
            <v>15</v>
          </cell>
          <cell r="W451"/>
          <cell r="X451" t="str">
            <v>EDWIN</v>
          </cell>
          <cell r="Y451" t="str">
            <v>DMCARE-TRI-02</v>
          </cell>
          <cell r="Z451" t="str">
            <v>EDWIN 2/6/18</v>
          </cell>
          <cell r="AA451"/>
          <cell r="AB451">
            <v>43253</v>
          </cell>
          <cell r="AC451">
            <v>4457</v>
          </cell>
        </row>
        <row r="452">
          <cell r="B452">
            <v>1953</v>
          </cell>
          <cell r="C452" t="str">
            <v>BG2195</v>
          </cell>
          <cell r="D452" t="str">
            <v>COTTON CREPE</v>
          </cell>
          <cell r="E452" t="str">
            <v>20s*16s</v>
          </cell>
          <cell r="F452" t="str">
            <v>C100%</v>
          </cell>
          <cell r="G452" t="str">
            <v>100%COTTON</v>
          </cell>
          <cell r="H452" t="str">
            <v>54/55</v>
          </cell>
          <cell r="I452">
            <v>128</v>
          </cell>
          <cell r="J452">
            <v>1.88</v>
          </cell>
          <cell r="K452">
            <v>2.4</v>
          </cell>
          <cell r="L452">
            <v>1.9</v>
          </cell>
          <cell r="M452">
            <v>2.4500000000000002</v>
          </cell>
          <cell r="N452">
            <v>1.9</v>
          </cell>
          <cell r="O452">
            <v>2.5</v>
          </cell>
          <cell r="P452"/>
          <cell r="Q452"/>
          <cell r="R452">
            <v>2.2000000000000002</v>
          </cell>
          <cell r="S452">
            <v>2.8</v>
          </cell>
          <cell r="T452"/>
          <cell r="U452"/>
          <cell r="V452">
            <v>15</v>
          </cell>
          <cell r="W452"/>
          <cell r="X452" t="str">
            <v>EDWIN</v>
          </cell>
          <cell r="Y452" t="str">
            <v>DMCARE-TRI-02</v>
          </cell>
          <cell r="Z452" t="str">
            <v>EDWIN 2/6/18</v>
          </cell>
          <cell r="AA452"/>
          <cell r="AB452">
            <v>43253</v>
          </cell>
          <cell r="AC452">
            <v>4453</v>
          </cell>
        </row>
        <row r="453">
          <cell r="B453">
            <v>3429</v>
          </cell>
          <cell r="C453" t="str">
            <v>M-2015023</v>
          </cell>
          <cell r="D453" t="str">
            <v>BUBBLE CREPE</v>
          </cell>
          <cell r="E453"/>
          <cell r="F453" t="str">
            <v>T/S 97/3</v>
          </cell>
          <cell r="G453" t="str">
            <v>97% POLYESTER 3% SPANDEX</v>
          </cell>
          <cell r="H453" t="str">
            <v>150CM</v>
          </cell>
          <cell r="I453" t="str">
            <v>120-130</v>
          </cell>
          <cell r="J453">
            <v>1.4</v>
          </cell>
          <cell r="K453">
            <v>1.5</v>
          </cell>
          <cell r="L453">
            <v>1.4</v>
          </cell>
          <cell r="M453">
            <v>1.55</v>
          </cell>
          <cell r="N453">
            <v>1.45</v>
          </cell>
          <cell r="O453">
            <v>1.6</v>
          </cell>
          <cell r="P453"/>
          <cell r="Q453"/>
          <cell r="R453">
            <v>1.65</v>
          </cell>
          <cell r="S453">
            <v>2.65</v>
          </cell>
          <cell r="T453"/>
          <cell r="U453"/>
          <cell r="V453">
            <v>15</v>
          </cell>
          <cell r="W453"/>
          <cell r="X453" t="str">
            <v>M-TEX</v>
          </cell>
          <cell r="Y453"/>
          <cell r="Z453" t="str">
            <v>LINDA 1/6/18</v>
          </cell>
          <cell r="AA453"/>
          <cell r="AB453">
            <v>43252</v>
          </cell>
          <cell r="AC453">
            <v>4470</v>
          </cell>
        </row>
        <row r="454">
          <cell r="B454">
            <v>2982</v>
          </cell>
          <cell r="C454" t="str">
            <v>WW-21069</v>
          </cell>
          <cell r="D454" t="str">
            <v>CDC</v>
          </cell>
          <cell r="E454"/>
          <cell r="F454" t="str">
            <v>T100%</v>
          </cell>
          <cell r="G454" t="str">
            <v>100% POLYESTER</v>
          </cell>
          <cell r="H454" t="str">
            <v>57/58</v>
          </cell>
          <cell r="I454">
            <v>72</v>
          </cell>
          <cell r="J454">
            <v>1.05</v>
          </cell>
          <cell r="K454">
            <v>1.35</v>
          </cell>
          <cell r="L454">
            <v>1.05</v>
          </cell>
          <cell r="M454">
            <v>1.35</v>
          </cell>
          <cell r="N454">
            <v>1.1025</v>
          </cell>
          <cell r="O454">
            <v>1.4175000000000002</v>
          </cell>
          <cell r="P454"/>
          <cell r="Q454"/>
          <cell r="R454">
            <v>1.1550000000000002</v>
          </cell>
          <cell r="S454">
            <v>1.4850000000000003</v>
          </cell>
          <cell r="T454"/>
          <cell r="U454"/>
          <cell r="V454">
            <v>15</v>
          </cell>
          <cell r="W454"/>
          <cell r="X454" t="str">
            <v>PANI</v>
          </cell>
          <cell r="Y454" t="str">
            <v>DMCARE-TRI-02</v>
          </cell>
          <cell r="Z454" t="str">
            <v>AMY 1/6/18</v>
          </cell>
          <cell r="AA454"/>
          <cell r="AB454">
            <v>43252</v>
          </cell>
          <cell r="AC454">
            <v>4471</v>
          </cell>
        </row>
        <row r="455">
          <cell r="B455">
            <v>4428</v>
          </cell>
          <cell r="C455" t="str">
            <v>WW-22026</v>
          </cell>
          <cell r="D455" t="str">
            <v xml:space="preserve">FAILLE </v>
          </cell>
          <cell r="E455" t="str">
            <v>75DFDY*150D DTY</v>
          </cell>
          <cell r="F455" t="str">
            <v>T100%</v>
          </cell>
          <cell r="G455" t="str">
            <v>100% POLYESTER</v>
          </cell>
          <cell r="H455" t="str">
            <v>57/58</v>
          </cell>
          <cell r="I455">
            <v>125</v>
          </cell>
          <cell r="J455">
            <v>1.35</v>
          </cell>
          <cell r="K455">
            <v>1.75</v>
          </cell>
          <cell r="L455">
            <v>1.35</v>
          </cell>
          <cell r="M455">
            <v>1.75</v>
          </cell>
          <cell r="N455">
            <v>1.4175000000000002</v>
          </cell>
          <cell r="O455">
            <v>1.8375000000000001</v>
          </cell>
          <cell r="P455"/>
          <cell r="Q455"/>
          <cell r="R455">
            <v>1.4850000000000003</v>
          </cell>
          <cell r="S455">
            <v>1.9250000000000003</v>
          </cell>
          <cell r="T455"/>
          <cell r="U455"/>
          <cell r="V455">
            <v>15</v>
          </cell>
          <cell r="W455"/>
          <cell r="X455" t="str">
            <v>PANI</v>
          </cell>
          <cell r="Y455" t="str">
            <v>DMCARE-TRI-02</v>
          </cell>
          <cell r="Z455" t="str">
            <v>NICOLE 31/5/18</v>
          </cell>
          <cell r="AA455"/>
          <cell r="AB455">
            <v>43251</v>
          </cell>
          <cell r="AC455">
            <v>4482</v>
          </cell>
        </row>
        <row r="456">
          <cell r="B456">
            <v>4427</v>
          </cell>
          <cell r="C456" t="str">
            <v>SH1130</v>
          </cell>
          <cell r="D456" t="str">
            <v>TWILL POLY</v>
          </cell>
          <cell r="E456" t="str">
            <v>50*75</v>
          </cell>
          <cell r="F456" t="str">
            <v>T100%</v>
          </cell>
          <cell r="G456" t="str">
            <v>100% POLYESTER</v>
          </cell>
          <cell r="H456" t="str">
            <v>57/58</v>
          </cell>
          <cell r="I456">
            <v>100</v>
          </cell>
          <cell r="J456">
            <v>1.25</v>
          </cell>
          <cell r="K456">
            <v>1.55</v>
          </cell>
          <cell r="L456">
            <v>1.25</v>
          </cell>
          <cell r="M456">
            <v>1.55</v>
          </cell>
          <cell r="N456">
            <v>1.3125</v>
          </cell>
          <cell r="O456">
            <v>1.6275000000000002</v>
          </cell>
          <cell r="P456"/>
          <cell r="Q456"/>
          <cell r="R456">
            <v>1.375</v>
          </cell>
          <cell r="S456">
            <v>1.7050000000000003</v>
          </cell>
          <cell r="T456"/>
          <cell r="U456"/>
          <cell r="V456">
            <v>15</v>
          </cell>
          <cell r="W456"/>
          <cell r="X456" t="str">
            <v>PANI</v>
          </cell>
          <cell r="Y456" t="str">
            <v>DMCARE-TRI-02</v>
          </cell>
          <cell r="Z456" t="str">
            <v>NICOLE 31/5/18</v>
          </cell>
          <cell r="AA456"/>
          <cell r="AB456">
            <v>43251</v>
          </cell>
          <cell r="AC456">
            <v>4484</v>
          </cell>
        </row>
        <row r="457">
          <cell r="B457">
            <v>4426</v>
          </cell>
          <cell r="C457" t="str">
            <v>WW-20581-1</v>
          </cell>
          <cell r="D457" t="str">
            <v xml:space="preserve"> SATEEN W/ AIR FLOW</v>
          </cell>
          <cell r="E457" t="str">
            <v>(20+26)*(20+26)</v>
          </cell>
          <cell r="F457" t="str">
            <v>T100%</v>
          </cell>
          <cell r="G457" t="str">
            <v>100% POLYESTER</v>
          </cell>
          <cell r="H457" t="str">
            <v>57/58</v>
          </cell>
          <cell r="I457">
            <v>105</v>
          </cell>
          <cell r="J457">
            <v>1.25</v>
          </cell>
          <cell r="K457">
            <v>1.55</v>
          </cell>
          <cell r="L457">
            <v>1.25</v>
          </cell>
          <cell r="M457">
            <v>1.55</v>
          </cell>
          <cell r="N457">
            <v>1.3125</v>
          </cell>
          <cell r="O457">
            <v>1.6275000000000002</v>
          </cell>
          <cell r="P457"/>
          <cell r="Q457"/>
          <cell r="R457">
            <v>1.375</v>
          </cell>
          <cell r="S457">
            <v>1.7050000000000003</v>
          </cell>
          <cell r="T457"/>
          <cell r="U457"/>
          <cell r="V457">
            <v>15</v>
          </cell>
          <cell r="W457"/>
          <cell r="X457" t="str">
            <v>PANI</v>
          </cell>
          <cell r="Y457" t="str">
            <v>DMCARE-TRI-02</v>
          </cell>
          <cell r="Z457" t="str">
            <v>NICOLE 31/5/18</v>
          </cell>
          <cell r="AA457"/>
          <cell r="AB457">
            <v>43251</v>
          </cell>
          <cell r="AC457">
            <v>4485</v>
          </cell>
        </row>
        <row r="458">
          <cell r="B458">
            <v>4425</v>
          </cell>
          <cell r="C458" t="str">
            <v>WW-21527-1</v>
          </cell>
          <cell r="D458" t="str">
            <v>POLY</v>
          </cell>
          <cell r="E458"/>
          <cell r="F458" t="str">
            <v>T100%</v>
          </cell>
          <cell r="G458" t="str">
            <v>100% POLYESTER</v>
          </cell>
          <cell r="H458" t="str">
            <v>160CM</v>
          </cell>
          <cell r="I458">
            <v>120</v>
          </cell>
          <cell r="J458">
            <v>1.35</v>
          </cell>
          <cell r="K458">
            <v>1.65</v>
          </cell>
          <cell r="L458">
            <v>1.35</v>
          </cell>
          <cell r="M458">
            <v>1.65</v>
          </cell>
          <cell r="N458">
            <v>1.4175000000000002</v>
          </cell>
          <cell r="O458">
            <v>1.7324999999999999</v>
          </cell>
          <cell r="P458"/>
          <cell r="Q458"/>
          <cell r="R458">
            <v>1.4850000000000003</v>
          </cell>
          <cell r="S458">
            <v>1.8149999999999999</v>
          </cell>
          <cell r="T458"/>
          <cell r="U458"/>
          <cell r="V458">
            <v>15</v>
          </cell>
          <cell r="W458"/>
          <cell r="X458" t="str">
            <v>PANI</v>
          </cell>
          <cell r="Y458" t="str">
            <v>DMCARE-TRI-02</v>
          </cell>
          <cell r="Z458" t="str">
            <v>NICOLE 31/5/18</v>
          </cell>
          <cell r="AA458"/>
          <cell r="AB458">
            <v>43251</v>
          </cell>
          <cell r="AC458">
            <v>4479</v>
          </cell>
        </row>
        <row r="459">
          <cell r="B459">
            <v>4424</v>
          </cell>
          <cell r="C459" t="str">
            <v>WW-23198</v>
          </cell>
          <cell r="D459" t="str">
            <v>CRINKLE POLY</v>
          </cell>
          <cell r="E459"/>
          <cell r="F459" t="str">
            <v>R/N 82/18</v>
          </cell>
          <cell r="G459" t="str">
            <v>82% RAYON  18% NYLON</v>
          </cell>
          <cell r="H459" t="str">
            <v>57/58</v>
          </cell>
          <cell r="I459">
            <v>100</v>
          </cell>
          <cell r="J459">
            <v>1.5</v>
          </cell>
          <cell r="K459">
            <v>1.8</v>
          </cell>
          <cell r="L459">
            <v>1.5</v>
          </cell>
          <cell r="M459">
            <v>1.8</v>
          </cell>
          <cell r="N459">
            <v>1.5750000000000002</v>
          </cell>
          <cell r="O459">
            <v>1.8900000000000001</v>
          </cell>
          <cell r="P459"/>
          <cell r="Q459"/>
          <cell r="R459">
            <v>1.6500000000000001</v>
          </cell>
          <cell r="S459">
            <v>1.9800000000000002</v>
          </cell>
          <cell r="T459"/>
          <cell r="U459"/>
          <cell r="V459">
            <v>15</v>
          </cell>
          <cell r="W459"/>
          <cell r="X459" t="str">
            <v>PANI</v>
          </cell>
          <cell r="Y459" t="str">
            <v>DMCARE-TRI-02</v>
          </cell>
          <cell r="Z459" t="str">
            <v>NICOLE 31/5/18</v>
          </cell>
          <cell r="AA459"/>
          <cell r="AB459">
            <v>43251</v>
          </cell>
          <cell r="AC459">
            <v>4489</v>
          </cell>
        </row>
        <row r="460">
          <cell r="B460">
            <v>4423</v>
          </cell>
          <cell r="C460" t="str">
            <v>WW-23618-1</v>
          </cell>
          <cell r="D460" t="str">
            <v>Richly crepe</v>
          </cell>
          <cell r="E460"/>
          <cell r="F460" t="str">
            <v>T100%</v>
          </cell>
          <cell r="G460" t="str">
            <v>100% POLYESTER</v>
          </cell>
          <cell r="H460" t="str">
            <v>57/58</v>
          </cell>
          <cell r="I460">
            <v>125</v>
          </cell>
          <cell r="J460">
            <v>1.4</v>
          </cell>
          <cell r="K460">
            <v>1.7</v>
          </cell>
          <cell r="L460">
            <v>1.4</v>
          </cell>
          <cell r="M460">
            <v>1.7</v>
          </cell>
          <cell r="N460">
            <v>1.47</v>
          </cell>
          <cell r="O460">
            <v>1.7849999999999999</v>
          </cell>
          <cell r="P460"/>
          <cell r="Q460"/>
          <cell r="R460">
            <v>1.54</v>
          </cell>
          <cell r="S460">
            <v>1.87</v>
          </cell>
          <cell r="T460"/>
          <cell r="U460"/>
          <cell r="V460">
            <v>15</v>
          </cell>
          <cell r="W460"/>
          <cell r="X460" t="str">
            <v>PANI</v>
          </cell>
          <cell r="Y460" t="str">
            <v>DMCARE-TRI-02</v>
          </cell>
          <cell r="Z460" t="str">
            <v>NICOLE 31/5/18</v>
          </cell>
          <cell r="AA460"/>
          <cell r="AB460">
            <v>43251</v>
          </cell>
          <cell r="AC460">
            <v>4478</v>
          </cell>
        </row>
        <row r="461">
          <cell r="B461">
            <v>4422</v>
          </cell>
          <cell r="C461" t="str">
            <v>WW-20460</v>
          </cell>
          <cell r="D461" t="str">
            <v>SATEEN DULL</v>
          </cell>
          <cell r="E461" t="str">
            <v>( 15+15)x50/116*48/CM )</v>
          </cell>
          <cell r="F461" t="str">
            <v>T100%</v>
          </cell>
          <cell r="G461" t="str">
            <v>100% POLYESTER</v>
          </cell>
          <cell r="H461" t="str">
            <v>57/58</v>
          </cell>
          <cell r="I461">
            <v>85</v>
          </cell>
          <cell r="J461">
            <v>1.55</v>
          </cell>
          <cell r="K461">
            <v>1.85</v>
          </cell>
          <cell r="L461">
            <v>1.55</v>
          </cell>
          <cell r="M461">
            <v>1.85</v>
          </cell>
          <cell r="N461">
            <v>1.6275000000000002</v>
          </cell>
          <cell r="O461">
            <v>1.9425000000000001</v>
          </cell>
          <cell r="P461"/>
          <cell r="Q461"/>
          <cell r="R461">
            <v>1.7050000000000003</v>
          </cell>
          <cell r="S461">
            <v>2.0350000000000001</v>
          </cell>
          <cell r="T461"/>
          <cell r="U461"/>
          <cell r="V461">
            <v>15</v>
          </cell>
          <cell r="W461"/>
          <cell r="X461" t="str">
            <v>PANI</v>
          </cell>
          <cell r="Y461" t="str">
            <v>DMCARE-TRI-02</v>
          </cell>
          <cell r="Z461" t="str">
            <v>NICOLE 31/5/18</v>
          </cell>
          <cell r="AA461"/>
          <cell r="AB461">
            <v>43251</v>
          </cell>
          <cell r="AC461">
            <v>4476</v>
          </cell>
        </row>
        <row r="462">
          <cell r="B462">
            <v>4421</v>
          </cell>
          <cell r="C462" t="str">
            <v>WW-23409</v>
          </cell>
          <cell r="D462" t="str">
            <v>SATEEN</v>
          </cell>
          <cell r="E462"/>
          <cell r="F462" t="str">
            <v>T100%</v>
          </cell>
          <cell r="G462" t="str">
            <v>100% POLYESTER</v>
          </cell>
          <cell r="H462" t="str">
            <v>58/60</v>
          </cell>
          <cell r="I462" t="str">
            <v>105-110</v>
          </cell>
          <cell r="J462">
            <v>1.45</v>
          </cell>
          <cell r="K462">
            <v>1.75</v>
          </cell>
          <cell r="L462">
            <v>1.45</v>
          </cell>
          <cell r="M462">
            <v>1.75</v>
          </cell>
          <cell r="N462">
            <v>1.5225</v>
          </cell>
          <cell r="O462">
            <v>1.8375000000000001</v>
          </cell>
          <cell r="P462"/>
          <cell r="Q462"/>
          <cell r="R462">
            <v>1.595</v>
          </cell>
          <cell r="S462">
            <v>1.9250000000000003</v>
          </cell>
          <cell r="T462"/>
          <cell r="U462"/>
          <cell r="V462">
            <v>15</v>
          </cell>
          <cell r="W462"/>
          <cell r="X462" t="str">
            <v>PANI</v>
          </cell>
          <cell r="Y462" t="str">
            <v>DMCARE-TRI-02</v>
          </cell>
          <cell r="Z462" t="str">
            <v>NICOLE 31/5/18</v>
          </cell>
          <cell r="AA462"/>
          <cell r="AB462">
            <v>43251</v>
          </cell>
          <cell r="AC462">
            <v>4473</v>
          </cell>
        </row>
        <row r="463">
          <cell r="B463">
            <v>4420</v>
          </cell>
          <cell r="C463" t="str">
            <v>WW-21579</v>
          </cell>
          <cell r="D463" t="str">
            <v>POLY</v>
          </cell>
          <cell r="E463" t="str">
            <v>68D/12FFDY+50D/48FPOY*100DFDY+50DPOY</v>
          </cell>
          <cell r="F463" t="str">
            <v>T100%</v>
          </cell>
          <cell r="G463" t="str">
            <v>100% POLYESTER</v>
          </cell>
          <cell r="H463" t="str">
            <v>57/58</v>
          </cell>
          <cell r="I463">
            <v>200</v>
          </cell>
          <cell r="J463">
            <v>2</v>
          </cell>
          <cell r="K463">
            <v>2.2999999999999998</v>
          </cell>
          <cell r="L463">
            <v>2</v>
          </cell>
          <cell r="M463">
            <v>2.2999999999999998</v>
          </cell>
          <cell r="N463">
            <v>2.1</v>
          </cell>
          <cell r="O463">
            <v>2.415</v>
          </cell>
          <cell r="P463"/>
          <cell r="Q463"/>
          <cell r="R463">
            <v>2.2000000000000002</v>
          </cell>
          <cell r="S463">
            <v>2.5299999999999998</v>
          </cell>
          <cell r="T463"/>
          <cell r="U463"/>
          <cell r="V463">
            <v>15</v>
          </cell>
          <cell r="W463"/>
          <cell r="X463" t="str">
            <v>PANI</v>
          </cell>
          <cell r="Y463" t="str">
            <v>DMCARE-TRI-02</v>
          </cell>
          <cell r="Z463" t="str">
            <v>NICOLE 31/5/18</v>
          </cell>
          <cell r="AA463"/>
          <cell r="AB463">
            <v>43251</v>
          </cell>
          <cell r="AC463">
            <v>4488</v>
          </cell>
        </row>
        <row r="464">
          <cell r="B464">
            <v>4419</v>
          </cell>
          <cell r="C464" t="str">
            <v>40826-14</v>
          </cell>
          <cell r="D464" t="str">
            <v>CRINKLE CHIIFFON</v>
          </cell>
          <cell r="E464" t="str">
            <v>75D*75D</v>
          </cell>
          <cell r="F464" t="str">
            <v>T100%</v>
          </cell>
          <cell r="G464" t="str">
            <v>100% POLYESTER</v>
          </cell>
          <cell r="H464" t="str">
            <v>56/57</v>
          </cell>
          <cell r="I464">
            <v>72</v>
          </cell>
          <cell r="J464">
            <v>0.98</v>
          </cell>
          <cell r="K464">
            <v>1.28</v>
          </cell>
          <cell r="L464">
            <v>0.98</v>
          </cell>
          <cell r="M464">
            <v>1.28</v>
          </cell>
          <cell r="N464">
            <v>1.0289999999999999</v>
          </cell>
          <cell r="O464">
            <v>1.3440000000000001</v>
          </cell>
          <cell r="P464"/>
          <cell r="Q464"/>
          <cell r="R464">
            <v>1.0780000000000001</v>
          </cell>
          <cell r="S464">
            <v>1.4080000000000001</v>
          </cell>
          <cell r="T464"/>
          <cell r="U464"/>
          <cell r="V464">
            <v>15</v>
          </cell>
          <cell r="W464"/>
          <cell r="X464" t="str">
            <v>PANI</v>
          </cell>
          <cell r="Y464" t="str">
            <v>DMCARE-TRI-02</v>
          </cell>
          <cell r="Z464" t="str">
            <v>NICOLE 31/5/18</v>
          </cell>
          <cell r="AA464"/>
          <cell r="AB464">
            <v>43251</v>
          </cell>
          <cell r="AC464">
            <v>4472</v>
          </cell>
        </row>
        <row r="465">
          <cell r="B465">
            <v>4418</v>
          </cell>
          <cell r="C465" t="str">
            <v>Z-6483</v>
          </cell>
          <cell r="D465" t="str">
            <v>HEAVY CREPE</v>
          </cell>
          <cell r="E465"/>
          <cell r="F465" t="str">
            <v>T100%</v>
          </cell>
          <cell r="G465" t="str">
            <v>100% POLYESTER</v>
          </cell>
          <cell r="H465" t="str">
            <v>57/58</v>
          </cell>
          <cell r="I465">
            <v>170</v>
          </cell>
          <cell r="J465">
            <v>1.7</v>
          </cell>
          <cell r="K465">
            <v>2</v>
          </cell>
          <cell r="L465">
            <v>1.7</v>
          </cell>
          <cell r="M465">
            <v>2</v>
          </cell>
          <cell r="N465">
            <v>1.7849999999999999</v>
          </cell>
          <cell r="O465">
            <v>2.1</v>
          </cell>
          <cell r="P465"/>
          <cell r="Q465"/>
          <cell r="R465">
            <v>1.87</v>
          </cell>
          <cell r="S465">
            <v>2.2000000000000002</v>
          </cell>
          <cell r="T465"/>
          <cell r="U465"/>
          <cell r="V465">
            <v>15</v>
          </cell>
          <cell r="W465"/>
          <cell r="X465" t="str">
            <v>PANI</v>
          </cell>
          <cell r="Y465" t="str">
            <v>DMCARE-TRI-02</v>
          </cell>
          <cell r="Z465" t="str">
            <v>NICOLE 31/5/18</v>
          </cell>
          <cell r="AA465"/>
          <cell r="AB465">
            <v>43251</v>
          </cell>
          <cell r="AC465">
            <v>4490</v>
          </cell>
        </row>
        <row r="466">
          <cell r="B466">
            <v>4333</v>
          </cell>
          <cell r="C466" t="str">
            <v>WW-22316-1</v>
          </cell>
          <cell r="D466" t="str">
            <v>`CHIFFON STRIPE</v>
          </cell>
          <cell r="E466"/>
          <cell r="F466" t="str">
            <v>T100%</v>
          </cell>
          <cell r="G466" t="str">
            <v>100% POLYESTER</v>
          </cell>
          <cell r="H466" t="str">
            <v>57/58</v>
          </cell>
          <cell r="I466">
            <v>80</v>
          </cell>
          <cell r="J466">
            <v>1.38</v>
          </cell>
          <cell r="K466">
            <v>1.68</v>
          </cell>
          <cell r="L466">
            <v>1.38</v>
          </cell>
          <cell r="M466">
            <v>1.68</v>
          </cell>
          <cell r="N466">
            <v>1.4489999999999998</v>
          </cell>
          <cell r="O466">
            <v>1.764</v>
          </cell>
          <cell r="P466"/>
          <cell r="Q466"/>
          <cell r="R466">
            <v>1.518</v>
          </cell>
          <cell r="S466">
            <v>1.8480000000000001</v>
          </cell>
          <cell r="T466"/>
          <cell r="U466"/>
          <cell r="V466">
            <v>15</v>
          </cell>
          <cell r="W466"/>
          <cell r="X466" t="str">
            <v>PANI</v>
          </cell>
          <cell r="Y466" t="str">
            <v>DMCARE-TRI-02</v>
          </cell>
          <cell r="Z466" t="str">
            <v>NICOLE 31/5/18</v>
          </cell>
          <cell r="AA466"/>
          <cell r="AB466">
            <v>43251</v>
          </cell>
          <cell r="AC466">
            <v>4481</v>
          </cell>
        </row>
        <row r="467">
          <cell r="B467">
            <v>3524</v>
          </cell>
          <cell r="C467" t="str">
            <v>WW-22653-2</v>
          </cell>
          <cell r="D467" t="str">
            <v>POLY</v>
          </cell>
          <cell r="E467"/>
          <cell r="F467" t="str">
            <v>T100%</v>
          </cell>
          <cell r="G467" t="str">
            <v>100% POLYESTER</v>
          </cell>
          <cell r="H467" t="str">
            <v>57/58</v>
          </cell>
          <cell r="I467">
            <v>140</v>
          </cell>
          <cell r="J467">
            <v>1.4</v>
          </cell>
          <cell r="K467">
            <v>1.7</v>
          </cell>
          <cell r="L467">
            <v>1.4</v>
          </cell>
          <cell r="M467">
            <v>1.7</v>
          </cell>
          <cell r="N467">
            <v>1.47</v>
          </cell>
          <cell r="O467">
            <v>1.7849999999999999</v>
          </cell>
          <cell r="P467"/>
          <cell r="Q467"/>
          <cell r="R467">
            <v>1.54</v>
          </cell>
          <cell r="S467">
            <v>1.87</v>
          </cell>
          <cell r="T467"/>
          <cell r="U467"/>
          <cell r="V467">
            <v>15</v>
          </cell>
          <cell r="W467"/>
          <cell r="X467" t="str">
            <v>PANI</v>
          </cell>
          <cell r="Y467" t="str">
            <v>DMCARE-TRI-02</v>
          </cell>
          <cell r="Z467" t="str">
            <v>NICOLE 31/5/18</v>
          </cell>
          <cell r="AA467"/>
          <cell r="AB467">
            <v>43251</v>
          </cell>
          <cell r="AC467">
            <v>4483</v>
          </cell>
        </row>
        <row r="468">
          <cell r="B468">
            <v>3257</v>
          </cell>
          <cell r="C468" t="str">
            <v>WW-20567</v>
          </cell>
          <cell r="D468" t="str">
            <v>CHIIFFON</v>
          </cell>
          <cell r="E468" t="str">
            <v>100D/72FFDY*100D/72FFDY 40*32</v>
          </cell>
          <cell r="F468" t="str">
            <v>T100%</v>
          </cell>
          <cell r="G468" t="str">
            <v>100% POLYESTER</v>
          </cell>
          <cell r="H468" t="str">
            <v>57/58</v>
          </cell>
          <cell r="I468">
            <v>70</v>
          </cell>
          <cell r="J468">
            <v>0.95</v>
          </cell>
          <cell r="K468">
            <v>1.25</v>
          </cell>
          <cell r="L468">
            <v>0.95</v>
          </cell>
          <cell r="M468">
            <v>1.25</v>
          </cell>
          <cell r="N468">
            <v>0.99749999999999994</v>
          </cell>
          <cell r="O468">
            <v>1.3125</v>
          </cell>
          <cell r="P468"/>
          <cell r="Q468"/>
          <cell r="R468">
            <v>1.0449999999999999</v>
          </cell>
          <cell r="S468">
            <v>1.375</v>
          </cell>
          <cell r="T468"/>
          <cell r="U468"/>
          <cell r="V468">
            <v>15</v>
          </cell>
          <cell r="W468"/>
          <cell r="X468" t="str">
            <v>PANI</v>
          </cell>
          <cell r="Y468" t="str">
            <v>DMCARE-TRI-02</v>
          </cell>
          <cell r="Z468" t="str">
            <v>NICOLE 31/5/18</v>
          </cell>
          <cell r="AA468"/>
          <cell r="AB468">
            <v>43251</v>
          </cell>
          <cell r="AC468">
            <v>4486</v>
          </cell>
        </row>
        <row r="469">
          <cell r="B469">
            <v>3245</v>
          </cell>
          <cell r="C469" t="str">
            <v>WW-21649</v>
          </cell>
          <cell r="D469" t="str">
            <v>CRINKLE SATEEN CHIFFON</v>
          </cell>
          <cell r="E469"/>
          <cell r="F469" t="str">
            <v>T100%</v>
          </cell>
          <cell r="G469" t="str">
            <v>100% POLYESTER</v>
          </cell>
          <cell r="H469" t="str">
            <v>57/58</v>
          </cell>
          <cell r="I469">
            <v>96</v>
          </cell>
          <cell r="J469">
            <v>1.45</v>
          </cell>
          <cell r="K469">
            <v>1.75</v>
          </cell>
          <cell r="L469">
            <v>1.45</v>
          </cell>
          <cell r="M469">
            <v>1.75</v>
          </cell>
          <cell r="N469">
            <v>1.5225</v>
          </cell>
          <cell r="O469">
            <v>1.8375000000000001</v>
          </cell>
          <cell r="P469"/>
          <cell r="Q469"/>
          <cell r="R469">
            <v>1.595</v>
          </cell>
          <cell r="S469">
            <v>1.9250000000000003</v>
          </cell>
          <cell r="T469"/>
          <cell r="U469"/>
          <cell r="V469">
            <v>15</v>
          </cell>
          <cell r="W469"/>
          <cell r="X469" t="str">
            <v>PANI</v>
          </cell>
          <cell r="Y469" t="str">
            <v>DMCARE-TRI-02</v>
          </cell>
          <cell r="Z469" t="str">
            <v>NICOLE 31/5/18</v>
          </cell>
          <cell r="AA469"/>
          <cell r="AB469">
            <v>43251</v>
          </cell>
          <cell r="AC469">
            <v>4475</v>
          </cell>
        </row>
        <row r="470">
          <cell r="B470">
            <v>3242</v>
          </cell>
          <cell r="C470" t="str">
            <v>WW-21789</v>
          </cell>
          <cell r="D470" t="str">
            <v>BUBBLE CREPE</v>
          </cell>
          <cell r="E470"/>
          <cell r="F470" t="str">
            <v>T/S 97/3</v>
          </cell>
          <cell r="G470" t="str">
            <v>97% POLYESTER  3% SPANDEX</v>
          </cell>
          <cell r="H470" t="str">
            <v>57/58</v>
          </cell>
          <cell r="I470">
            <v>125</v>
          </cell>
          <cell r="J470">
            <v>1.35</v>
          </cell>
          <cell r="K470">
            <v>1.65</v>
          </cell>
          <cell r="L470">
            <v>1.35</v>
          </cell>
          <cell r="M470">
            <v>1.65</v>
          </cell>
          <cell r="N470">
            <v>1.4175000000000002</v>
          </cell>
          <cell r="O470">
            <v>1.7324999999999999</v>
          </cell>
          <cell r="P470"/>
          <cell r="Q470"/>
          <cell r="R470">
            <v>1.4850000000000003</v>
          </cell>
          <cell r="S470">
            <v>1.8149999999999999</v>
          </cell>
          <cell r="T470"/>
          <cell r="U470"/>
          <cell r="V470">
            <v>15</v>
          </cell>
          <cell r="W470"/>
          <cell r="X470" t="str">
            <v>PANI</v>
          </cell>
          <cell r="Y470" t="str">
            <v>DMCARE-TRI-02</v>
          </cell>
          <cell r="Z470" t="str">
            <v>NICOLE 31/5/18</v>
          </cell>
          <cell r="AA470"/>
          <cell r="AB470">
            <v>43251</v>
          </cell>
          <cell r="AC470">
            <v>4477</v>
          </cell>
        </row>
        <row r="471">
          <cell r="B471">
            <v>3078</v>
          </cell>
          <cell r="C471" t="str">
            <v>WW-21436</v>
          </cell>
          <cell r="D471" t="str">
            <v>CREPE</v>
          </cell>
          <cell r="E471" t="str">
            <v>75D FDY*75D FDY</v>
          </cell>
          <cell r="F471" t="str">
            <v>T100%</v>
          </cell>
          <cell r="G471" t="str">
            <v>100% POLYESTER</v>
          </cell>
          <cell r="H471" t="str">
            <v>57/58</v>
          </cell>
          <cell r="I471">
            <v>120</v>
          </cell>
          <cell r="J471">
            <v>1.2</v>
          </cell>
          <cell r="K471">
            <v>1.5</v>
          </cell>
          <cell r="L471">
            <v>1.2</v>
          </cell>
          <cell r="M471">
            <v>1.5</v>
          </cell>
          <cell r="N471">
            <v>1.26</v>
          </cell>
          <cell r="O471">
            <v>1.5750000000000002</v>
          </cell>
          <cell r="P471"/>
          <cell r="Q471"/>
          <cell r="R471">
            <v>1.32</v>
          </cell>
          <cell r="S471">
            <v>1.6500000000000001</v>
          </cell>
          <cell r="T471"/>
          <cell r="U471"/>
          <cell r="V471">
            <v>15</v>
          </cell>
          <cell r="W471"/>
          <cell r="X471" t="str">
            <v>PANI</v>
          </cell>
          <cell r="Y471" t="str">
            <v>DMCARE-TRI-02</v>
          </cell>
          <cell r="Z471" t="str">
            <v>NICOLE 31/5/18</v>
          </cell>
          <cell r="AA471"/>
          <cell r="AB471">
            <v>43251</v>
          </cell>
          <cell r="AC471">
            <v>4474</v>
          </cell>
        </row>
        <row r="472">
          <cell r="B472">
            <v>2919</v>
          </cell>
          <cell r="C472" t="str">
            <v>WW-21859-2</v>
          </cell>
          <cell r="D472" t="str">
            <v>SATEEN</v>
          </cell>
          <cell r="E472"/>
          <cell r="F472" t="str">
            <v>T100%</v>
          </cell>
          <cell r="G472" t="str">
            <v>100% POLYESTER</v>
          </cell>
          <cell r="H472" t="str">
            <v>57/58</v>
          </cell>
          <cell r="I472">
            <v>120</v>
          </cell>
          <cell r="J472">
            <v>1.45</v>
          </cell>
          <cell r="K472">
            <v>1.75</v>
          </cell>
          <cell r="L472">
            <v>1.45</v>
          </cell>
          <cell r="M472">
            <v>1.75</v>
          </cell>
          <cell r="N472">
            <v>1.5225</v>
          </cell>
          <cell r="O472">
            <v>1.8375000000000001</v>
          </cell>
          <cell r="P472"/>
          <cell r="Q472"/>
          <cell r="R472">
            <v>1.595</v>
          </cell>
          <cell r="S472">
            <v>1.9250000000000003</v>
          </cell>
          <cell r="T472"/>
          <cell r="U472"/>
          <cell r="V472">
            <v>15</v>
          </cell>
          <cell r="W472"/>
          <cell r="X472" t="str">
            <v>PANI</v>
          </cell>
          <cell r="Y472" t="str">
            <v>DMCARE-TRI-02</v>
          </cell>
          <cell r="Z472" t="str">
            <v>NICOLE 31/5/18</v>
          </cell>
          <cell r="AA472"/>
          <cell r="AB472">
            <v>43251</v>
          </cell>
          <cell r="AC472">
            <v>4487</v>
          </cell>
        </row>
        <row r="473">
          <cell r="B473">
            <v>2915</v>
          </cell>
          <cell r="C473" t="str">
            <v>WW-22223</v>
          </cell>
          <cell r="D473" t="str">
            <v>SATEEN</v>
          </cell>
          <cell r="E473"/>
          <cell r="F473" t="str">
            <v>T100%</v>
          </cell>
          <cell r="G473" t="str">
            <v>100% POLYESTER</v>
          </cell>
          <cell r="H473" t="str">
            <v>57/58</v>
          </cell>
          <cell r="I473">
            <v>160</v>
          </cell>
          <cell r="J473">
            <v>1.8</v>
          </cell>
          <cell r="K473">
            <v>2.1</v>
          </cell>
          <cell r="L473">
            <v>1.8</v>
          </cell>
          <cell r="M473">
            <v>2.1</v>
          </cell>
          <cell r="N473">
            <v>1.8900000000000001</v>
          </cell>
          <cell r="O473">
            <v>2.2050000000000001</v>
          </cell>
          <cell r="P473"/>
          <cell r="Q473"/>
          <cell r="R473">
            <v>1.9800000000000002</v>
          </cell>
          <cell r="S473">
            <v>2.3100000000000005</v>
          </cell>
          <cell r="T473"/>
          <cell r="U473"/>
          <cell r="V473">
            <v>15</v>
          </cell>
          <cell r="W473"/>
          <cell r="X473" t="str">
            <v>PANI</v>
          </cell>
          <cell r="Y473" t="str">
            <v>DMCARE-TRI-02</v>
          </cell>
          <cell r="Z473" t="str">
            <v>NICOLE 31/5/18</v>
          </cell>
          <cell r="AA473"/>
          <cell r="AB473">
            <v>43251</v>
          </cell>
          <cell r="AC473">
            <v>4480</v>
          </cell>
        </row>
        <row r="474">
          <cell r="B474">
            <v>4417</v>
          </cell>
          <cell r="C474" t="str">
            <v>WCC0794-YD01</v>
          </cell>
          <cell r="D474" t="str">
            <v>SEERSUCKER</v>
          </cell>
          <cell r="E474" t="str">
            <v>40*40+40/40D/135*87</v>
          </cell>
          <cell r="F474" t="str">
            <v>C/S 98/2</v>
          </cell>
          <cell r="G474" t="str">
            <v xml:space="preserve">98% COTTON  2% SPANDEX </v>
          </cell>
          <cell r="H474" t="str">
            <v>56/57</v>
          </cell>
          <cell r="I474">
            <v>155</v>
          </cell>
          <cell r="J474"/>
          <cell r="K474">
            <v>2.63</v>
          </cell>
          <cell r="L474"/>
          <cell r="M474">
            <v>2.68</v>
          </cell>
          <cell r="N474"/>
          <cell r="O474">
            <v>2.75</v>
          </cell>
          <cell r="P474"/>
          <cell r="Q474"/>
          <cell r="R474"/>
          <cell r="S474">
            <v>2.87</v>
          </cell>
          <cell r="T474"/>
          <cell r="U474"/>
          <cell r="V474">
            <v>15</v>
          </cell>
          <cell r="W474"/>
          <cell r="X474" t="str">
            <v>JENNIFER</v>
          </cell>
          <cell r="Y474" t="str">
            <v>DMCCARE-TRI-03</v>
          </cell>
          <cell r="Z474" t="str">
            <v>JENNIFER 30/5/1/8</v>
          </cell>
          <cell r="AA474"/>
          <cell r="AB474">
            <v>43250</v>
          </cell>
          <cell r="AC474">
            <v>4493</v>
          </cell>
        </row>
        <row r="475">
          <cell r="B475">
            <v>4416</v>
          </cell>
          <cell r="C475" t="str">
            <v>WCC0788-YD01</v>
          </cell>
          <cell r="D475" t="str">
            <v xml:space="preserve">SLUB JAC COTTON </v>
          </cell>
          <cell r="E475" t="str">
            <v>32*32+10/66*40</v>
          </cell>
          <cell r="F475" t="str">
            <v>C100%</v>
          </cell>
          <cell r="G475" t="str">
            <v>100% COTTON</v>
          </cell>
          <cell r="H475" t="str">
            <v>53/54</v>
          </cell>
          <cell r="I475">
            <v>115</v>
          </cell>
          <cell r="J475"/>
          <cell r="K475">
            <v>2.63</v>
          </cell>
          <cell r="L475"/>
          <cell r="M475">
            <v>2.68</v>
          </cell>
          <cell r="N475"/>
          <cell r="O475">
            <v>2.75</v>
          </cell>
          <cell r="P475"/>
          <cell r="Q475"/>
          <cell r="R475"/>
          <cell r="S475">
            <v>2.87</v>
          </cell>
          <cell r="T475"/>
          <cell r="U475"/>
          <cell r="V475">
            <v>15</v>
          </cell>
          <cell r="W475"/>
          <cell r="X475" t="str">
            <v>JENNIFER</v>
          </cell>
          <cell r="Y475" t="str">
            <v>DMCCARE-TRI-02</v>
          </cell>
          <cell r="Z475" t="str">
            <v>JENNIFER 30/5/1/8</v>
          </cell>
          <cell r="AA475"/>
          <cell r="AB475">
            <v>43250</v>
          </cell>
          <cell r="AC475">
            <v>4495</v>
          </cell>
        </row>
        <row r="476">
          <cell r="B476">
            <v>4415</v>
          </cell>
          <cell r="C476" t="str">
            <v>WCC0787-YD01</v>
          </cell>
          <cell r="D476" t="str">
            <v>JAC COTTON</v>
          </cell>
          <cell r="E476" t="str">
            <v>60*60/88*78</v>
          </cell>
          <cell r="F476" t="str">
            <v>C100%</v>
          </cell>
          <cell r="G476" t="str">
            <v>100% COTTON</v>
          </cell>
          <cell r="H476" t="str">
            <v>57/58</v>
          </cell>
          <cell r="I476">
            <v>64</v>
          </cell>
          <cell r="J476"/>
          <cell r="K476">
            <v>2.0099999999999998</v>
          </cell>
          <cell r="L476"/>
          <cell r="M476">
            <v>2.13</v>
          </cell>
          <cell r="N476"/>
          <cell r="O476">
            <v>2.19</v>
          </cell>
          <cell r="P476"/>
          <cell r="Q476"/>
          <cell r="R476"/>
          <cell r="S476">
            <v>2.2799999999999998</v>
          </cell>
          <cell r="T476"/>
          <cell r="U476"/>
          <cell r="V476">
            <v>15</v>
          </cell>
          <cell r="W476"/>
          <cell r="X476" t="str">
            <v>JENNIFER</v>
          </cell>
          <cell r="Y476" t="str">
            <v>DMCCARE-TRI-02</v>
          </cell>
          <cell r="Z476" t="str">
            <v>JENNIFER 30/5/1/8</v>
          </cell>
          <cell r="AA476"/>
          <cell r="AB476">
            <v>43250</v>
          </cell>
          <cell r="AC476">
            <v>4494</v>
          </cell>
        </row>
        <row r="477">
          <cell r="B477">
            <v>4414</v>
          </cell>
          <cell r="C477" t="str">
            <v>WVV0058-YD01</v>
          </cell>
          <cell r="D477" t="str">
            <v>Y/D RAYON</v>
          </cell>
          <cell r="E477" t="str">
            <v>50*50/92*75</v>
          </cell>
          <cell r="F477" t="str">
            <v>R100%</v>
          </cell>
          <cell r="G477" t="str">
            <v>100% RAYON</v>
          </cell>
          <cell r="H477" t="str">
            <v>56/57</v>
          </cell>
          <cell r="I477">
            <v>80</v>
          </cell>
          <cell r="J477"/>
          <cell r="K477">
            <v>2.25</v>
          </cell>
          <cell r="L477"/>
          <cell r="M477">
            <v>2.29</v>
          </cell>
          <cell r="N477"/>
          <cell r="O477">
            <v>2.35</v>
          </cell>
          <cell r="P477"/>
          <cell r="Q477"/>
          <cell r="R477"/>
          <cell r="S477">
            <v>2.4500000000000002</v>
          </cell>
          <cell r="T477"/>
          <cell r="U477"/>
          <cell r="V477">
            <v>15</v>
          </cell>
          <cell r="W477"/>
          <cell r="X477" t="str">
            <v>JENNIFER</v>
          </cell>
          <cell r="Y477" t="str">
            <v>DMCCARE-TRI-03</v>
          </cell>
          <cell r="Z477" t="str">
            <v>JENNIFER 30/5/1/8</v>
          </cell>
          <cell r="AA477"/>
          <cell r="AB477">
            <v>43250</v>
          </cell>
          <cell r="AC477">
            <v>4492</v>
          </cell>
        </row>
        <row r="478">
          <cell r="B478">
            <v>4379</v>
          </cell>
          <cell r="C478" t="str">
            <v>YB032</v>
          </cell>
          <cell r="D478" t="str">
            <v>CDC ( replace 261 )</v>
          </cell>
          <cell r="E478"/>
          <cell r="F478" t="str">
            <v>T100%</v>
          </cell>
          <cell r="G478" t="str">
            <v>100% POLYESTER</v>
          </cell>
          <cell r="H478" t="str">
            <v>57/58</v>
          </cell>
          <cell r="I478">
            <v>83</v>
          </cell>
          <cell r="J478">
            <v>1.26</v>
          </cell>
          <cell r="K478">
            <v>1.5</v>
          </cell>
          <cell r="L478">
            <v>1.26</v>
          </cell>
          <cell r="M478">
            <v>1.5</v>
          </cell>
          <cell r="N478">
            <v>1.28</v>
          </cell>
          <cell r="O478">
            <v>1.51</v>
          </cell>
          <cell r="P478"/>
          <cell r="Q478"/>
          <cell r="R478">
            <v>1.67</v>
          </cell>
          <cell r="S478">
            <v>1.85</v>
          </cell>
          <cell r="T478"/>
          <cell r="U478"/>
          <cell r="V478">
            <v>15</v>
          </cell>
          <cell r="W478"/>
          <cell r="X478" t="str">
            <v>KHÔI</v>
          </cell>
          <cell r="Y478"/>
          <cell r="Z478" t="str">
            <v>KHÔI 30/5/18</v>
          </cell>
          <cell r="AA478"/>
          <cell r="AB478">
            <v>43250</v>
          </cell>
          <cell r="AC478">
            <v>4491</v>
          </cell>
        </row>
        <row r="479">
          <cell r="B479">
            <v>4382</v>
          </cell>
          <cell r="C479" t="str">
            <v>T339</v>
          </cell>
          <cell r="D479" t="str">
            <v>POLY</v>
          </cell>
          <cell r="E479" t="str">
            <v>68+50</v>
          </cell>
          <cell r="F479" t="str">
            <v>T100%</v>
          </cell>
          <cell r="G479" t="str">
            <v>100% POLYESTER</v>
          </cell>
          <cell r="H479" t="str">
            <v>57/58</v>
          </cell>
          <cell r="I479">
            <v>170</v>
          </cell>
          <cell r="J479">
            <v>1.86</v>
          </cell>
          <cell r="K479">
            <v>2.0499999999999998</v>
          </cell>
          <cell r="L479">
            <v>1.89</v>
          </cell>
          <cell r="M479">
            <v>2.12</v>
          </cell>
          <cell r="N479">
            <v>1.95</v>
          </cell>
          <cell r="O479">
            <v>2.17</v>
          </cell>
          <cell r="P479"/>
          <cell r="Q479"/>
          <cell r="R479">
            <v>2.02</v>
          </cell>
          <cell r="S479">
            <v>2.76</v>
          </cell>
          <cell r="T479"/>
          <cell r="U479"/>
          <cell r="V479">
            <v>15</v>
          </cell>
          <cell r="W479"/>
          <cell r="X479" t="str">
            <v>TERESA</v>
          </cell>
          <cell r="Y479" t="str">
            <v xml:space="preserve">DMCARE-TRI-02 </v>
          </cell>
          <cell r="Z479" t="str">
            <v>TERESA 29/5/18</v>
          </cell>
          <cell r="AA479"/>
          <cell r="AB479">
            <v>43249</v>
          </cell>
          <cell r="AC479">
            <v>4511</v>
          </cell>
        </row>
        <row r="480">
          <cell r="B480">
            <v>4381</v>
          </cell>
          <cell r="C480" t="str">
            <v>T338</v>
          </cell>
          <cell r="D480" t="str">
            <v>POLY</v>
          </cell>
          <cell r="E480" t="str">
            <v>20+26*60</v>
          </cell>
          <cell r="F480" t="str">
            <v>T100%</v>
          </cell>
          <cell r="G480" t="str">
            <v>100% POLYESTER</v>
          </cell>
          <cell r="H480" t="str">
            <v>57/58</v>
          </cell>
          <cell r="I480">
            <v>88</v>
          </cell>
          <cell r="J480">
            <v>1.58</v>
          </cell>
          <cell r="K480">
            <v>1.78</v>
          </cell>
          <cell r="L480">
            <v>1.61</v>
          </cell>
          <cell r="M480">
            <v>1.86</v>
          </cell>
          <cell r="N480">
            <v>1.65</v>
          </cell>
          <cell r="O480">
            <v>1.91</v>
          </cell>
          <cell r="P480"/>
          <cell r="Q480"/>
          <cell r="R480">
            <v>1.75</v>
          </cell>
          <cell r="S480">
            <v>2.5</v>
          </cell>
          <cell r="T480"/>
          <cell r="U480"/>
          <cell r="V480">
            <v>15</v>
          </cell>
          <cell r="W480"/>
          <cell r="X480" t="str">
            <v>TERESA</v>
          </cell>
          <cell r="Y480" t="str">
            <v xml:space="preserve">DMCARE-TRI-02 </v>
          </cell>
          <cell r="Z480" t="str">
            <v>TERESA 29/5/18</v>
          </cell>
          <cell r="AA480"/>
          <cell r="AB480">
            <v>43249</v>
          </cell>
          <cell r="AC480">
            <v>4510</v>
          </cell>
        </row>
        <row r="481">
          <cell r="B481">
            <v>4380</v>
          </cell>
          <cell r="C481" t="str">
            <v>9586-7J</v>
          </cell>
          <cell r="D481" t="str">
            <v>VISCOSE W/ DOBBY</v>
          </cell>
          <cell r="E481" t="str">
            <v>60*60 90*88</v>
          </cell>
          <cell r="F481" t="str">
            <v>R100%</v>
          </cell>
          <cell r="G481" t="str">
            <v>100% RAYON JAC</v>
          </cell>
          <cell r="H481" t="str">
            <v>53/54</v>
          </cell>
          <cell r="I481" t="str">
            <v>78-80</v>
          </cell>
          <cell r="J481">
            <v>1.42</v>
          </cell>
          <cell r="K481">
            <v>1.59</v>
          </cell>
          <cell r="L481">
            <v>1.44</v>
          </cell>
          <cell r="M481">
            <v>1.67</v>
          </cell>
          <cell r="N481">
            <v>1.49</v>
          </cell>
          <cell r="O481">
            <v>1.71</v>
          </cell>
          <cell r="P481"/>
          <cell r="Q481"/>
          <cell r="R481">
            <v>1.57</v>
          </cell>
          <cell r="S481">
            <v>2.2000000000000002</v>
          </cell>
          <cell r="T481"/>
          <cell r="U481"/>
          <cell r="V481">
            <v>15</v>
          </cell>
          <cell r="W481"/>
          <cell r="X481" t="str">
            <v>TERESA</v>
          </cell>
          <cell r="Y481" t="str">
            <v xml:space="preserve">DMCARE-TRI-02 </v>
          </cell>
          <cell r="Z481" t="str">
            <v>TERESA 29/5/18</v>
          </cell>
          <cell r="AA481"/>
          <cell r="AB481">
            <v>43249</v>
          </cell>
          <cell r="AC481">
            <v>4508</v>
          </cell>
        </row>
        <row r="482">
          <cell r="B482">
            <v>4378</v>
          </cell>
          <cell r="C482" t="str">
            <v>HLWO18110</v>
          </cell>
          <cell r="D482" t="str">
            <v>VISCOSE CHIFFON</v>
          </cell>
          <cell r="E482" t="str">
            <v>50Dx50D</v>
          </cell>
          <cell r="F482" t="str">
            <v>V 100%</v>
          </cell>
          <cell r="G482" t="str">
            <v xml:space="preserve">100% VISCOSE </v>
          </cell>
          <cell r="H482">
            <v>52</v>
          </cell>
          <cell r="I482">
            <v>70</v>
          </cell>
          <cell r="J482">
            <v>3.53</v>
          </cell>
          <cell r="K482">
            <v>3.64</v>
          </cell>
          <cell r="L482">
            <v>3.58</v>
          </cell>
          <cell r="M482">
            <v>3.74</v>
          </cell>
          <cell r="N482">
            <v>3.68</v>
          </cell>
          <cell r="O482">
            <v>3.84</v>
          </cell>
          <cell r="P482"/>
          <cell r="Q482"/>
          <cell r="R482">
            <v>3.78</v>
          </cell>
          <cell r="S482">
            <v>4.04</v>
          </cell>
          <cell r="T482"/>
          <cell r="U482"/>
          <cell r="V482">
            <v>15</v>
          </cell>
          <cell r="W482"/>
          <cell r="X482" t="str">
            <v>CANDY</v>
          </cell>
          <cell r="Y482" t="str">
            <v>DMCARE-TRI-02</v>
          </cell>
          <cell r="Z482" t="str">
            <v>LEI WANG 29/5/18</v>
          </cell>
          <cell r="AA482"/>
          <cell r="AB482">
            <v>43249</v>
          </cell>
          <cell r="AC482">
            <v>4506</v>
          </cell>
        </row>
        <row r="483">
          <cell r="B483">
            <v>4377</v>
          </cell>
          <cell r="C483" t="str">
            <v>HLWO18001</v>
          </cell>
          <cell r="D483" t="str">
            <v>Y/D GAUZE POLY/RAYON</v>
          </cell>
          <cell r="E483" t="str">
            <v>30S+20D+150D*150D</v>
          </cell>
          <cell r="F483" t="str">
            <v>T/R/N 60/32/8</v>
          </cell>
          <cell r="G483" t="str">
            <v>60% POLYESTER 32%RAYON 8%NYLON</v>
          </cell>
          <cell r="H483" t="str">
            <v>57/58</v>
          </cell>
          <cell r="I483">
            <v>135</v>
          </cell>
          <cell r="J483">
            <v>1.93</v>
          </cell>
          <cell r="K483">
            <v>2.14</v>
          </cell>
          <cell r="L483">
            <v>1.98</v>
          </cell>
          <cell r="M483">
            <v>2.2400000000000002</v>
          </cell>
          <cell r="N483">
            <v>2.08</v>
          </cell>
          <cell r="O483">
            <v>2.34</v>
          </cell>
          <cell r="P483"/>
          <cell r="Q483"/>
          <cell r="R483">
            <v>2.1800000000000002</v>
          </cell>
          <cell r="S483">
            <v>2.54</v>
          </cell>
          <cell r="T483"/>
          <cell r="U483"/>
          <cell r="V483">
            <v>15</v>
          </cell>
          <cell r="W483"/>
          <cell r="X483" t="str">
            <v>CANDY</v>
          </cell>
          <cell r="Y483" t="str">
            <v>DMCARE-TRI-02</v>
          </cell>
          <cell r="Z483" t="str">
            <v>LEI WANG 29/5/18</v>
          </cell>
          <cell r="AA483"/>
          <cell r="AB483">
            <v>43249</v>
          </cell>
          <cell r="AC483">
            <v>4505</v>
          </cell>
        </row>
        <row r="484">
          <cell r="B484">
            <v>4376</v>
          </cell>
          <cell r="C484" t="str">
            <v>OLP-YC00416</v>
          </cell>
          <cell r="D484" t="str">
            <v>Y/D GAUZE COTTON</v>
          </cell>
          <cell r="E484" t="str">
            <v>60+40/2+40D*60+40/2+40</v>
          </cell>
          <cell r="F484" t="str">
            <v>C/S 97/3</v>
          </cell>
          <cell r="G484" t="str">
            <v>97% COTTON 3%SPANDEX</v>
          </cell>
          <cell r="H484" t="str">
            <v>48/50</v>
          </cell>
          <cell r="I484">
            <v>80</v>
          </cell>
          <cell r="J484">
            <v>2.3199999999999998</v>
          </cell>
          <cell r="K484"/>
          <cell r="L484">
            <v>2.36</v>
          </cell>
          <cell r="M484"/>
          <cell r="N484">
            <v>2.36</v>
          </cell>
          <cell r="O484"/>
          <cell r="P484"/>
          <cell r="Q484"/>
          <cell r="R484">
            <v>2.57</v>
          </cell>
          <cell r="S484"/>
          <cell r="T484"/>
          <cell r="U484"/>
          <cell r="V484">
            <v>15</v>
          </cell>
          <cell r="W484"/>
          <cell r="X484" t="str">
            <v>OWEN</v>
          </cell>
          <cell r="Y484" t="str">
            <v>DMCARE-TRI-02</v>
          </cell>
          <cell r="Z484" t="str">
            <v>JOAN 29/5/18 BY WE CHAT</v>
          </cell>
          <cell r="AA484"/>
          <cell r="AB484">
            <v>43249</v>
          </cell>
          <cell r="AC484">
            <v>4498</v>
          </cell>
        </row>
        <row r="485">
          <cell r="B485">
            <v>4375</v>
          </cell>
          <cell r="C485" t="str">
            <v>OLP-YT00112</v>
          </cell>
          <cell r="D485" t="str">
            <v>Y/D TENCEL</v>
          </cell>
          <cell r="E485" t="str">
            <v>T50*R75D</v>
          </cell>
          <cell r="F485" t="str">
            <v>TENCEL/R 55/45</v>
          </cell>
          <cell r="G485" t="str">
            <v>55% TENCEL 45% RAYON</v>
          </cell>
          <cell r="H485" t="str">
            <v>57/58</v>
          </cell>
          <cell r="I485">
            <v>92</v>
          </cell>
          <cell r="J485">
            <v>2.2599999999999998</v>
          </cell>
          <cell r="K485"/>
          <cell r="L485">
            <v>2.2999999999999998</v>
          </cell>
          <cell r="M485"/>
          <cell r="N485">
            <v>2.2999999999999998</v>
          </cell>
          <cell r="O485"/>
          <cell r="P485"/>
          <cell r="Q485"/>
          <cell r="R485">
            <v>2.5099999999999998</v>
          </cell>
          <cell r="S485"/>
          <cell r="T485"/>
          <cell r="U485"/>
          <cell r="V485">
            <v>15</v>
          </cell>
          <cell r="W485"/>
          <cell r="X485" t="str">
            <v>OWEN</v>
          </cell>
          <cell r="Y485" t="str">
            <v>DMCARE-TRI-03</v>
          </cell>
          <cell r="Z485" t="str">
            <v>JOAN 29/5/18 BY WE CHAT</v>
          </cell>
          <cell r="AA485"/>
          <cell r="AB485">
            <v>43249</v>
          </cell>
          <cell r="AC485">
            <v>4496</v>
          </cell>
        </row>
        <row r="486">
          <cell r="B486">
            <v>4374</v>
          </cell>
          <cell r="C486" t="str">
            <v>OLP-YR00324</v>
          </cell>
          <cell r="D486" t="str">
            <v>Y/D SATEEN BACK CREPE</v>
          </cell>
          <cell r="E486" t="str">
            <v>136*76</v>
          </cell>
          <cell r="F486" t="str">
            <v>R/V/T 49/45/6</v>
          </cell>
          <cell r="G486" t="str">
            <v xml:space="preserve">49%RAYON 45%VISCOSE 6%POLYESTER </v>
          </cell>
          <cell r="H486" t="str">
            <v>56/57</v>
          </cell>
          <cell r="I486">
            <v>204</v>
          </cell>
          <cell r="J486">
            <v>5.16</v>
          </cell>
          <cell r="K486"/>
          <cell r="L486">
            <v>5.2</v>
          </cell>
          <cell r="M486"/>
          <cell r="N486">
            <v>5.2</v>
          </cell>
          <cell r="O486"/>
          <cell r="P486"/>
          <cell r="Q486"/>
          <cell r="R486">
            <v>5.41</v>
          </cell>
          <cell r="S486"/>
          <cell r="T486"/>
          <cell r="U486"/>
          <cell r="V486">
            <v>15</v>
          </cell>
          <cell r="W486"/>
          <cell r="X486" t="str">
            <v>OWEN</v>
          </cell>
          <cell r="Y486" t="str">
            <v>DMCARE-TRI-01</v>
          </cell>
          <cell r="Z486" t="str">
            <v>JOAN 29/5/18 BY WE CHAT</v>
          </cell>
          <cell r="AA486"/>
          <cell r="AB486">
            <v>43249</v>
          </cell>
          <cell r="AC486">
            <v>4497</v>
          </cell>
        </row>
        <row r="487">
          <cell r="B487">
            <v>4373</v>
          </cell>
          <cell r="C487" t="str">
            <v>OLP-SR00453</v>
          </cell>
          <cell r="D487" t="str">
            <v>VISCOSE CREPE</v>
          </cell>
          <cell r="E487"/>
          <cell r="F487" t="str">
            <v>R 100%</v>
          </cell>
          <cell r="G487" t="str">
            <v>100% RAYON</v>
          </cell>
          <cell r="H487" t="str">
            <v>54/55</v>
          </cell>
          <cell r="I487">
            <v>228</v>
          </cell>
          <cell r="J487">
            <v>3.99</v>
          </cell>
          <cell r="K487">
            <v>4.1500000000000004</v>
          </cell>
          <cell r="L487">
            <v>4.04</v>
          </cell>
          <cell r="M487">
            <v>4.18</v>
          </cell>
          <cell r="N487">
            <v>4.04</v>
          </cell>
          <cell r="O487">
            <v>4.18</v>
          </cell>
          <cell r="P487"/>
          <cell r="Q487"/>
          <cell r="R487"/>
          <cell r="S487"/>
          <cell r="T487"/>
          <cell r="U487"/>
          <cell r="V487">
            <v>15</v>
          </cell>
          <cell r="W487"/>
          <cell r="X487" t="str">
            <v>OWEN</v>
          </cell>
          <cell r="Y487" t="str">
            <v>DMCARE-TRI-03</v>
          </cell>
          <cell r="Z487" t="str">
            <v>JOAN 29/5/18 BY WE CHAT</v>
          </cell>
          <cell r="AA487"/>
          <cell r="AB487">
            <v>43249</v>
          </cell>
          <cell r="AC487">
            <v>4502</v>
          </cell>
        </row>
        <row r="488">
          <cell r="B488">
            <v>4372</v>
          </cell>
          <cell r="C488" t="str">
            <v>OLP-SR00108</v>
          </cell>
          <cell r="D488" t="str">
            <v>SLUB FAILE VISCOSE</v>
          </cell>
          <cell r="E488"/>
          <cell r="F488" t="str">
            <v>R/V 52/48</v>
          </cell>
          <cell r="G488" t="str">
            <v>52% RAYON 48% VISCOSE</v>
          </cell>
          <cell r="H488" t="str">
            <v>54/55</v>
          </cell>
          <cell r="I488">
            <v>135</v>
          </cell>
          <cell r="J488">
            <v>2.39</v>
          </cell>
          <cell r="K488">
            <v>3.09</v>
          </cell>
          <cell r="L488">
            <v>2.44</v>
          </cell>
          <cell r="M488">
            <v>3.12</v>
          </cell>
          <cell r="N488">
            <v>2.44</v>
          </cell>
          <cell r="O488">
            <v>3.12</v>
          </cell>
          <cell r="P488"/>
          <cell r="Q488"/>
          <cell r="R488"/>
          <cell r="S488"/>
          <cell r="T488"/>
          <cell r="U488"/>
          <cell r="V488">
            <v>15</v>
          </cell>
          <cell r="W488"/>
          <cell r="X488" t="str">
            <v>OWEN</v>
          </cell>
          <cell r="Y488" t="str">
            <v>DMCARE-TRI-01</v>
          </cell>
          <cell r="Z488" t="str">
            <v>JOAN 29/5/18 BY WE CHAT</v>
          </cell>
          <cell r="AA488"/>
          <cell r="AB488">
            <v>43249</v>
          </cell>
          <cell r="AC488">
            <v>4501</v>
          </cell>
        </row>
        <row r="489">
          <cell r="B489">
            <v>4371</v>
          </cell>
          <cell r="C489" t="str">
            <v>OLP-SR00082</v>
          </cell>
          <cell r="D489" t="str">
            <v>SLUB VISCOSE CREPE</v>
          </cell>
          <cell r="E489"/>
          <cell r="F489" t="str">
            <v>R/S 98/2</v>
          </cell>
          <cell r="G489" t="str">
            <v>98% RAYON 2%SPANDEX</v>
          </cell>
          <cell r="H489" t="str">
            <v>57/58</v>
          </cell>
          <cell r="I489">
            <v>155</v>
          </cell>
          <cell r="J489">
            <v>2.0099999999999998</v>
          </cell>
          <cell r="K489">
            <v>2.5299999999999998</v>
          </cell>
          <cell r="L489">
            <v>2.06</v>
          </cell>
          <cell r="M489">
            <v>2.56</v>
          </cell>
          <cell r="N489">
            <v>2.06</v>
          </cell>
          <cell r="O489">
            <v>2.56</v>
          </cell>
          <cell r="P489"/>
          <cell r="Q489"/>
          <cell r="R489">
            <v>2.2599999999999998</v>
          </cell>
          <cell r="S489">
            <v>2.8</v>
          </cell>
          <cell r="T489"/>
          <cell r="U489"/>
          <cell r="V489">
            <v>15</v>
          </cell>
          <cell r="W489"/>
          <cell r="X489" t="str">
            <v>OWEN</v>
          </cell>
          <cell r="Y489" t="str">
            <v>DMCARE-TRI-01</v>
          </cell>
          <cell r="Z489" t="str">
            <v>JOAN 29/5/18 BY WE CHAT</v>
          </cell>
          <cell r="AA489"/>
          <cell r="AB489">
            <v>43249</v>
          </cell>
          <cell r="AC489">
            <v>4515</v>
          </cell>
        </row>
        <row r="490">
          <cell r="B490">
            <v>4370</v>
          </cell>
          <cell r="C490" t="str">
            <v>OLP-YC00425</v>
          </cell>
          <cell r="D490" t="str">
            <v>Y/D COTTON LINEN</v>
          </cell>
          <cell r="E490" t="str">
            <v>21*21</v>
          </cell>
          <cell r="F490" t="str">
            <v>C/L</v>
          </cell>
          <cell r="G490" t="str">
            <v>COTTON LINEN</v>
          </cell>
          <cell r="H490" t="str">
            <v>53/54</v>
          </cell>
          <cell r="I490">
            <v>140</v>
          </cell>
          <cell r="J490">
            <v>2.4900000000000002</v>
          </cell>
          <cell r="K490"/>
          <cell r="L490">
            <v>2.5299999999999998</v>
          </cell>
          <cell r="M490"/>
          <cell r="N490">
            <v>2.5299999999999998</v>
          </cell>
          <cell r="O490"/>
          <cell r="P490"/>
          <cell r="Q490"/>
          <cell r="R490">
            <v>2.74</v>
          </cell>
          <cell r="S490"/>
          <cell r="T490"/>
          <cell r="U490"/>
          <cell r="V490">
            <v>15</v>
          </cell>
          <cell r="W490"/>
          <cell r="X490" t="str">
            <v>OWEN</v>
          </cell>
          <cell r="Y490" t="str">
            <v>DMCARE-TRI-02</v>
          </cell>
          <cell r="Z490" t="str">
            <v>JOAN 29/5/18 BY WE CHAT</v>
          </cell>
          <cell r="AA490"/>
          <cell r="AB490">
            <v>43249</v>
          </cell>
          <cell r="AC490">
            <v>4499</v>
          </cell>
        </row>
        <row r="491">
          <cell r="B491">
            <v>4369</v>
          </cell>
          <cell r="C491" t="str">
            <v>OLP-170504130L</v>
          </cell>
          <cell r="D491" t="str">
            <v>Y/D COTTON W/ GOLD SPUN</v>
          </cell>
          <cell r="E491" t="str">
            <v>100D*40SV/100*64</v>
          </cell>
          <cell r="F491" t="str">
            <v>T/V/GOLD 50/46/4</v>
          </cell>
          <cell r="G491" t="str">
            <v>50% POLYESTER 46% VISCOSE 4% SPUN GOLD</v>
          </cell>
          <cell r="H491" t="str">
            <v>57/58</v>
          </cell>
          <cell r="I491">
            <v>82</v>
          </cell>
          <cell r="J491">
            <v>1.77</v>
          </cell>
          <cell r="K491"/>
          <cell r="L491">
            <v>1.81</v>
          </cell>
          <cell r="M491"/>
          <cell r="N491">
            <v>1.81</v>
          </cell>
          <cell r="O491"/>
          <cell r="P491"/>
          <cell r="Q491"/>
          <cell r="R491">
            <v>2.02</v>
          </cell>
          <cell r="S491"/>
          <cell r="T491"/>
          <cell r="U491"/>
          <cell r="V491">
            <v>15</v>
          </cell>
          <cell r="W491"/>
          <cell r="X491" t="str">
            <v>OWEN</v>
          </cell>
          <cell r="Y491" t="str">
            <v>DMCARE-TRI-02</v>
          </cell>
          <cell r="Z491" t="str">
            <v>JOAN 29/5/18 BY WE CHAT</v>
          </cell>
          <cell r="AA491"/>
          <cell r="AB491">
            <v>43249</v>
          </cell>
          <cell r="AC491">
            <v>4500</v>
          </cell>
        </row>
        <row r="492">
          <cell r="B492">
            <v>4368</v>
          </cell>
          <cell r="C492" t="str">
            <v>OLP-17042138FLT</v>
          </cell>
          <cell r="D492" t="str">
            <v>Y/D COTTON</v>
          </cell>
          <cell r="E492" t="str">
            <v>50x50,130x80</v>
          </cell>
          <cell r="F492" t="str">
            <v>C 100%</v>
          </cell>
          <cell r="G492" t="str">
            <v xml:space="preserve">100% COTTON </v>
          </cell>
          <cell r="H492" t="str">
            <v>57/58</v>
          </cell>
          <cell r="I492">
            <v>98</v>
          </cell>
          <cell r="J492">
            <v>1.89</v>
          </cell>
          <cell r="K492"/>
          <cell r="L492">
            <v>1.93</v>
          </cell>
          <cell r="M492"/>
          <cell r="N492">
            <v>1.93</v>
          </cell>
          <cell r="O492"/>
          <cell r="P492"/>
          <cell r="Q492"/>
          <cell r="R492">
            <v>2.14</v>
          </cell>
          <cell r="S492"/>
          <cell r="T492"/>
          <cell r="U492"/>
          <cell r="V492">
            <v>15</v>
          </cell>
          <cell r="W492"/>
          <cell r="X492" t="str">
            <v>OWEN</v>
          </cell>
          <cell r="Y492" t="str">
            <v>DMCARE-TRI-02</v>
          </cell>
          <cell r="Z492" t="str">
            <v>JOAN 29/5/18 BY WE CHAT</v>
          </cell>
          <cell r="AA492"/>
          <cell r="AB492">
            <v>43249</v>
          </cell>
          <cell r="AC492">
            <v>4514</v>
          </cell>
        </row>
        <row r="493">
          <cell r="B493">
            <v>4367</v>
          </cell>
          <cell r="C493" t="str">
            <v>OLP-17022004JHL</v>
          </cell>
          <cell r="D493" t="str">
            <v>Y/D COTTON</v>
          </cell>
          <cell r="E493" t="str">
            <v>60*60</v>
          </cell>
          <cell r="F493" t="str">
            <v>C 100%</v>
          </cell>
          <cell r="G493" t="str">
            <v xml:space="preserve">100% COTTON </v>
          </cell>
          <cell r="H493" t="str">
            <v>57/58</v>
          </cell>
          <cell r="I493">
            <v>78</v>
          </cell>
          <cell r="J493">
            <v>1.74</v>
          </cell>
          <cell r="K493"/>
          <cell r="L493">
            <v>1.78</v>
          </cell>
          <cell r="M493"/>
          <cell r="N493">
            <v>1.78</v>
          </cell>
          <cell r="O493"/>
          <cell r="P493"/>
          <cell r="Q493"/>
          <cell r="R493">
            <v>1.99</v>
          </cell>
          <cell r="S493"/>
          <cell r="T493"/>
          <cell r="U493"/>
          <cell r="V493">
            <v>15</v>
          </cell>
          <cell r="W493"/>
          <cell r="X493" t="str">
            <v>OWEN</v>
          </cell>
          <cell r="Y493" t="str">
            <v>DMCARE-TRI-02</v>
          </cell>
          <cell r="Z493" t="str">
            <v>JOAN 29/5/18 BY WE CHAT</v>
          </cell>
          <cell r="AA493"/>
          <cell r="AB493">
            <v>43249</v>
          </cell>
          <cell r="AC493">
            <v>4513</v>
          </cell>
        </row>
        <row r="494">
          <cell r="B494">
            <v>4366</v>
          </cell>
          <cell r="C494" t="str">
            <v>OLP-PR00133</v>
          </cell>
          <cell r="D494" t="str">
            <v>VISCOSE SATEEN</v>
          </cell>
          <cell r="E494" t="str">
            <v>60*60</v>
          </cell>
          <cell r="F494" t="str">
            <v>V 100%</v>
          </cell>
          <cell r="G494" t="str">
            <v>100% VISCOSE</v>
          </cell>
          <cell r="H494">
            <v>52</v>
          </cell>
          <cell r="I494">
            <v>96</v>
          </cell>
          <cell r="J494">
            <v>1.71</v>
          </cell>
          <cell r="K494">
            <v>2.23</v>
          </cell>
          <cell r="L494">
            <v>1.76</v>
          </cell>
          <cell r="M494">
            <v>2.2599999999999998</v>
          </cell>
          <cell r="N494">
            <v>1.76</v>
          </cell>
          <cell r="O494">
            <v>2.2599999999999998</v>
          </cell>
          <cell r="P494"/>
          <cell r="Q494"/>
          <cell r="R494">
            <v>1.9</v>
          </cell>
          <cell r="S494">
            <v>2.5299999999999998</v>
          </cell>
          <cell r="T494"/>
          <cell r="U494"/>
          <cell r="V494">
            <v>15</v>
          </cell>
          <cell r="W494"/>
          <cell r="X494" t="str">
            <v>OWEN</v>
          </cell>
          <cell r="Y494" t="str">
            <v>DMCARE-TRI-01</v>
          </cell>
          <cell r="Z494" t="str">
            <v>JOAN 29/5/18 BY WE CHAT</v>
          </cell>
          <cell r="AA494"/>
          <cell r="AB494">
            <v>43249</v>
          </cell>
          <cell r="AC494">
            <v>4503</v>
          </cell>
        </row>
        <row r="495">
          <cell r="B495">
            <v>4365</v>
          </cell>
          <cell r="C495" t="str">
            <v>OLP-PR00145</v>
          </cell>
          <cell r="D495" t="str">
            <v>VISCOSE SPANDEX</v>
          </cell>
          <cell r="E495" t="str">
            <v>60*60+30D</v>
          </cell>
          <cell r="F495" t="str">
            <v>V/S 95/5</v>
          </cell>
          <cell r="G495" t="str">
            <v>95% VISCOSE  5% SPANDEX</v>
          </cell>
          <cell r="H495" t="str">
            <v>132CM</v>
          </cell>
          <cell r="I495">
            <v>100</v>
          </cell>
          <cell r="J495">
            <v>2.08</v>
          </cell>
          <cell r="K495">
            <v>2.5</v>
          </cell>
          <cell r="L495">
            <v>2.13</v>
          </cell>
          <cell r="M495">
            <v>2.5299999999999998</v>
          </cell>
          <cell r="N495">
            <v>2.13</v>
          </cell>
          <cell r="O495">
            <v>2.5299999999999998</v>
          </cell>
          <cell r="P495"/>
          <cell r="Q495"/>
          <cell r="R495">
            <v>2.34</v>
          </cell>
          <cell r="S495">
            <v>2.75</v>
          </cell>
          <cell r="T495"/>
          <cell r="U495"/>
          <cell r="V495">
            <v>15</v>
          </cell>
          <cell r="W495"/>
          <cell r="X495" t="str">
            <v>OWEN</v>
          </cell>
          <cell r="Y495" t="str">
            <v>DMCARE-TRI-03</v>
          </cell>
          <cell r="Z495" t="str">
            <v>JOAN 29/5/18 BY WE CHAT</v>
          </cell>
          <cell r="AA495"/>
          <cell r="AB495">
            <v>43249</v>
          </cell>
          <cell r="AC495">
            <v>4504</v>
          </cell>
        </row>
        <row r="496">
          <cell r="B496">
            <v>4360</v>
          </cell>
          <cell r="C496" t="str">
            <v>WH4969</v>
          </cell>
          <cell r="D496" t="str">
            <v>tailoring - 4 way</v>
          </cell>
          <cell r="E496" t="str">
            <v>40/2+70D*40/2+70D 74*51</v>
          </cell>
          <cell r="F496" t="str">
            <v>C/R/S 42/41/7</v>
          </cell>
          <cell r="G496" t="str">
            <v>52% COTTON 41% RAYON 7% SPANDEX</v>
          </cell>
          <cell r="H496" t="str">
            <v>51/52</v>
          </cell>
          <cell r="I496">
            <v>292</v>
          </cell>
          <cell r="J496">
            <v>4.45</v>
          </cell>
          <cell r="K496"/>
          <cell r="L496">
            <v>4.45</v>
          </cell>
          <cell r="M496"/>
          <cell r="N496">
            <v>4.47</v>
          </cell>
          <cell r="O496"/>
          <cell r="P496"/>
          <cell r="Q496"/>
          <cell r="R496">
            <v>4.5199999999999996</v>
          </cell>
          <cell r="S496"/>
          <cell r="T496"/>
          <cell r="U496"/>
          <cell r="V496">
            <v>15</v>
          </cell>
          <cell r="W496"/>
          <cell r="X496" t="str">
            <v>CAROL  (S)</v>
          </cell>
          <cell r="Y496"/>
          <cell r="Z496" t="str">
            <v>CAROL 29/5/18</v>
          </cell>
          <cell r="AA496"/>
          <cell r="AB496">
            <v>43249</v>
          </cell>
          <cell r="AC496">
            <v>4512</v>
          </cell>
        </row>
        <row r="497">
          <cell r="B497">
            <v>3973</v>
          </cell>
          <cell r="C497">
            <v>9586</v>
          </cell>
          <cell r="D497" t="str">
            <v>VISCOSE W/ DOBBY</v>
          </cell>
          <cell r="E497" t="str">
            <v>60*60 90*88</v>
          </cell>
          <cell r="F497" t="str">
            <v>R100%</v>
          </cell>
          <cell r="G497" t="str">
            <v>100% RAYON JAC</v>
          </cell>
          <cell r="H497" t="str">
            <v>53/54</v>
          </cell>
          <cell r="I497" t="str">
            <v>78-80</v>
          </cell>
          <cell r="J497">
            <v>1.42</v>
          </cell>
          <cell r="K497">
            <v>1.59</v>
          </cell>
          <cell r="L497">
            <v>1.44</v>
          </cell>
          <cell r="M497">
            <v>1.67</v>
          </cell>
          <cell r="N497">
            <v>1.49</v>
          </cell>
          <cell r="O497">
            <v>1.71</v>
          </cell>
          <cell r="P497"/>
          <cell r="Q497"/>
          <cell r="R497">
            <v>1.57</v>
          </cell>
          <cell r="S497">
            <v>2.2000000000000002</v>
          </cell>
          <cell r="T497"/>
          <cell r="U497"/>
          <cell r="V497">
            <v>15</v>
          </cell>
          <cell r="W497"/>
          <cell r="X497" t="str">
            <v>TERESA</v>
          </cell>
          <cell r="Y497" t="str">
            <v xml:space="preserve">DMCARE-TRI-02 </v>
          </cell>
          <cell r="Z497" t="str">
            <v>TERESA 29/5/18</v>
          </cell>
          <cell r="AA497"/>
          <cell r="AB497">
            <v>43249</v>
          </cell>
          <cell r="AC497">
            <v>4507</v>
          </cell>
        </row>
        <row r="498">
          <cell r="B498">
            <v>3581</v>
          </cell>
          <cell r="C498" t="str">
            <v>T167</v>
          </cell>
          <cell r="D498" t="str">
            <v>SATEEN</v>
          </cell>
          <cell r="E498" t="str">
            <v>50D*75D</v>
          </cell>
          <cell r="F498" t="str">
            <v>T100%</v>
          </cell>
          <cell r="G498" t="str">
            <v>100% POLYESTER</v>
          </cell>
          <cell r="H498" t="str">
            <v>57/58</v>
          </cell>
          <cell r="I498">
            <v>88</v>
          </cell>
          <cell r="J498">
            <v>1.35</v>
          </cell>
          <cell r="K498">
            <v>1.5</v>
          </cell>
          <cell r="L498">
            <v>1.37</v>
          </cell>
          <cell r="M498">
            <v>1.58</v>
          </cell>
          <cell r="N498">
            <v>1.42</v>
          </cell>
          <cell r="O498">
            <v>1.62</v>
          </cell>
          <cell r="P498"/>
          <cell r="Q498"/>
          <cell r="R498">
            <v>1.5</v>
          </cell>
          <cell r="S498">
            <v>2.11</v>
          </cell>
          <cell r="T498"/>
          <cell r="U498"/>
          <cell r="V498">
            <v>15</v>
          </cell>
          <cell r="W498"/>
          <cell r="X498" t="str">
            <v>TERESA</v>
          </cell>
          <cell r="Y498" t="str">
            <v xml:space="preserve">DMCARE-TRI-02 </v>
          </cell>
          <cell r="Z498" t="str">
            <v>TERESA 29/5/18</v>
          </cell>
          <cell r="AA498"/>
          <cell r="AB498">
            <v>43249</v>
          </cell>
          <cell r="AC498">
            <v>4509</v>
          </cell>
        </row>
        <row r="499">
          <cell r="B499">
            <v>4429</v>
          </cell>
          <cell r="C499" t="str">
            <v>TS-570</v>
          </cell>
          <cell r="D499" t="str">
            <v>CRINKLE CHIFFON</v>
          </cell>
          <cell r="E499"/>
          <cell r="F499" t="str">
            <v>T100%</v>
          </cell>
          <cell r="G499" t="str">
            <v xml:space="preserve">100% POLYESTER </v>
          </cell>
          <cell r="H499" t="str">
            <v>57/58</v>
          </cell>
          <cell r="I499">
            <v>74</v>
          </cell>
          <cell r="J499">
            <v>1.22</v>
          </cell>
          <cell r="K499">
            <v>1.46</v>
          </cell>
          <cell r="L499">
            <v>1.24</v>
          </cell>
          <cell r="M499">
            <v>1.49</v>
          </cell>
          <cell r="N499">
            <v>1.26</v>
          </cell>
          <cell r="O499">
            <v>1.52</v>
          </cell>
          <cell r="P499"/>
          <cell r="Q499"/>
          <cell r="R499">
            <v>1.41</v>
          </cell>
          <cell r="S499">
            <v>1.77</v>
          </cell>
          <cell r="T499"/>
          <cell r="U499"/>
          <cell r="V499">
            <v>15</v>
          </cell>
          <cell r="W499"/>
          <cell r="X499" t="str">
            <v>GAVIN</v>
          </cell>
          <cell r="Y499"/>
          <cell r="Z499" t="str">
            <v>GAVIN 28/5/18</v>
          </cell>
          <cell r="AA499"/>
          <cell r="AB499">
            <v>43248</v>
          </cell>
          <cell r="AC499">
            <v>4517</v>
          </cell>
        </row>
        <row r="500">
          <cell r="B500">
            <v>4364</v>
          </cell>
          <cell r="C500" t="str">
            <v>BG4040</v>
          </cell>
          <cell r="D500" t="str">
            <v>HEAVY CREPE</v>
          </cell>
          <cell r="E500"/>
          <cell r="F500" t="str">
            <v>T100%</v>
          </cell>
          <cell r="G500" t="str">
            <v>100% POLYESTER</v>
          </cell>
          <cell r="H500" t="str">
            <v>57/58</v>
          </cell>
          <cell r="I500">
            <v>168</v>
          </cell>
          <cell r="J500">
            <v>1.73</v>
          </cell>
          <cell r="K500">
            <v>2.0499999999999998</v>
          </cell>
          <cell r="L500">
            <v>1.74</v>
          </cell>
          <cell r="M500">
            <v>2.1</v>
          </cell>
          <cell r="N500">
            <v>1.75</v>
          </cell>
          <cell r="O500">
            <v>2.15</v>
          </cell>
          <cell r="P500"/>
          <cell r="Q500"/>
          <cell r="R500">
            <v>1.9</v>
          </cell>
          <cell r="S500">
            <v>2.5</v>
          </cell>
          <cell r="T500"/>
          <cell r="U500"/>
          <cell r="V500">
            <v>15</v>
          </cell>
          <cell r="W500"/>
          <cell r="X500" t="str">
            <v>EDWIN</v>
          </cell>
          <cell r="Y500"/>
          <cell r="Z500" t="str">
            <v>EDWIN 28/5/18</v>
          </cell>
          <cell r="AA500"/>
          <cell r="AB500">
            <v>43248</v>
          </cell>
          <cell r="AC500">
            <v>4518</v>
          </cell>
        </row>
        <row r="501">
          <cell r="B501">
            <v>261</v>
          </cell>
          <cell r="C501" t="str">
            <v>ST-4206</v>
          </cell>
          <cell r="D501" t="str">
            <v>CDC</v>
          </cell>
          <cell r="E501" t="str">
            <v xml:space="preserve">20*26+75d </v>
          </cell>
          <cell r="F501" t="str">
            <v>T100%</v>
          </cell>
          <cell r="G501" t="str">
            <v>100% POLYESTER</v>
          </cell>
          <cell r="H501" t="str">
            <v>57/58</v>
          </cell>
          <cell r="I501">
            <v>80</v>
          </cell>
          <cell r="J501">
            <v>1.31</v>
          </cell>
          <cell r="K501">
            <v>1.53</v>
          </cell>
          <cell r="L501">
            <v>1.31</v>
          </cell>
          <cell r="M501">
            <v>1.53</v>
          </cell>
          <cell r="N501">
            <v>1.31</v>
          </cell>
          <cell r="O501">
            <v>1.53</v>
          </cell>
          <cell r="P501"/>
          <cell r="Q501"/>
          <cell r="R501">
            <v>1.7</v>
          </cell>
          <cell r="S501">
            <v>1.83</v>
          </cell>
          <cell r="T501"/>
          <cell r="U501"/>
          <cell r="V501"/>
          <cell r="W501"/>
          <cell r="X501" t="str">
            <v>SIGER</v>
          </cell>
          <cell r="Y501" t="str">
            <v>DMCARE-TRI-03</v>
          </cell>
          <cell r="Z501" t="str">
            <v>CARA 28/5/18</v>
          </cell>
          <cell r="AA501"/>
          <cell r="AB501">
            <v>43248</v>
          </cell>
          <cell r="AC501">
            <v>4516</v>
          </cell>
        </row>
        <row r="502">
          <cell r="B502">
            <v>2599</v>
          </cell>
          <cell r="C502" t="str">
            <v>2948XS</v>
          </cell>
          <cell r="D502"/>
          <cell r="E502"/>
          <cell r="F502" t="str">
            <v>T/V/S 76/21/3</v>
          </cell>
          <cell r="G502" t="str">
            <v xml:space="preserve">76% POLYESTER 21% VISCOSE 3% SPANDEX </v>
          </cell>
          <cell r="H502" t="str">
            <v>57/58</v>
          </cell>
          <cell r="I502">
            <v>200</v>
          </cell>
          <cell r="J502">
            <v>3.6</v>
          </cell>
          <cell r="K502"/>
          <cell r="L502">
            <v>3.68</v>
          </cell>
          <cell r="M502"/>
          <cell r="N502">
            <v>3.68</v>
          </cell>
          <cell r="O502"/>
          <cell r="P502"/>
          <cell r="Q502"/>
          <cell r="R502">
            <v>3.9</v>
          </cell>
          <cell r="S502"/>
          <cell r="T502"/>
          <cell r="U502"/>
          <cell r="V502"/>
          <cell r="W502"/>
          <cell r="X502" t="str">
            <v>OWEN</v>
          </cell>
          <cell r="Y502" t="str">
            <v>DMCARE-TRI-03</v>
          </cell>
          <cell r="Z502" t="str">
            <v>JOAN 26/5/18</v>
          </cell>
          <cell r="AA502"/>
          <cell r="AB502">
            <v>43246</v>
          </cell>
          <cell r="AC502">
            <v>4519</v>
          </cell>
        </row>
        <row r="503">
          <cell r="B503">
            <v>3509</v>
          </cell>
          <cell r="C503" t="str">
            <v>HLTR17137</v>
          </cell>
          <cell r="D503"/>
          <cell r="E503" t="str">
            <v xml:space="preserve">  40S/2 TR x 40S/2 CD/R +40D</v>
          </cell>
          <cell r="F503" t="str">
            <v>T/R/S 66/32/2</v>
          </cell>
          <cell r="G503" t="str">
            <v xml:space="preserve">66%POLYESTER 32%RAYON 2%SPANDEX </v>
          </cell>
          <cell r="H503" t="str">
            <v>57/58</v>
          </cell>
          <cell r="I503">
            <v>230</v>
          </cell>
          <cell r="J503">
            <v>2.5357142857142856</v>
          </cell>
          <cell r="K503"/>
          <cell r="L503">
            <v>2.5857142857142854</v>
          </cell>
          <cell r="M503"/>
          <cell r="N503">
            <v>2.6857142857142855</v>
          </cell>
          <cell r="O503"/>
          <cell r="P503"/>
          <cell r="Q503"/>
          <cell r="R503">
            <v>2.7857142857142856</v>
          </cell>
          <cell r="S503"/>
          <cell r="T503"/>
          <cell r="U503"/>
          <cell r="V503">
            <v>15</v>
          </cell>
          <cell r="W503"/>
          <cell r="X503" t="str">
            <v>CANDY</v>
          </cell>
          <cell r="Y503" t="str">
            <v>DMCARE-TRI-01</v>
          </cell>
          <cell r="Z503" t="str">
            <v>CANDY 25/5</v>
          </cell>
          <cell r="AA503"/>
          <cell r="AB503">
            <v>43245</v>
          </cell>
          <cell r="AC503">
            <v>4520</v>
          </cell>
        </row>
        <row r="504">
          <cell r="B504">
            <v>3486</v>
          </cell>
          <cell r="C504" t="str">
            <v>HLTR17114</v>
          </cell>
          <cell r="D504"/>
          <cell r="E504"/>
          <cell r="F504" t="str">
            <v>T/R/S 86/10/4</v>
          </cell>
          <cell r="G504" t="str">
            <v>86% POLYESTER 10% RAYON 4% SPANDEX</v>
          </cell>
          <cell r="H504" t="str">
            <v>57/58</v>
          </cell>
          <cell r="I504">
            <v>270</v>
          </cell>
          <cell r="J504">
            <v>2.5775510204081633</v>
          </cell>
          <cell r="K504"/>
          <cell r="L504">
            <v>2.6275510204081631</v>
          </cell>
          <cell r="M504"/>
          <cell r="N504">
            <v>2.7275510204081632</v>
          </cell>
          <cell r="O504"/>
          <cell r="P504"/>
          <cell r="Q504"/>
          <cell r="R504">
            <v>2.8275510204081633</v>
          </cell>
          <cell r="S504"/>
          <cell r="T504"/>
          <cell r="U504"/>
          <cell r="V504">
            <v>15</v>
          </cell>
          <cell r="W504"/>
          <cell r="X504" t="str">
            <v>CANDY</v>
          </cell>
          <cell r="Y504" t="str">
            <v>DMCARE-TRI-01</v>
          </cell>
          <cell r="Z504" t="str">
            <v>CANDY 25/5</v>
          </cell>
          <cell r="AA504"/>
          <cell r="AB504">
            <v>43245</v>
          </cell>
          <cell r="AC504">
            <v>4521</v>
          </cell>
        </row>
        <row r="505">
          <cell r="B505">
            <v>3485</v>
          </cell>
          <cell r="C505" t="str">
            <v>HLTR17109</v>
          </cell>
          <cell r="D505"/>
          <cell r="E505"/>
          <cell r="F505" t="str">
            <v>T/R/S 78/18/4</v>
          </cell>
          <cell r="G505" t="str">
            <v xml:space="preserve">78% POLYESTER 18% RAYON 4% SPANDEX </v>
          </cell>
          <cell r="H505" t="str">
            <v>57/58</v>
          </cell>
          <cell r="I505">
            <v>240</v>
          </cell>
          <cell r="J505">
            <v>2.6632653061224496</v>
          </cell>
          <cell r="K505"/>
          <cell r="L505">
            <v>2.7132653061224494</v>
          </cell>
          <cell r="M505"/>
          <cell r="N505">
            <v>2.8132653061224495</v>
          </cell>
          <cell r="O505"/>
          <cell r="P505"/>
          <cell r="Q505"/>
          <cell r="R505">
            <v>2.9132653061224496</v>
          </cell>
          <cell r="S505"/>
          <cell r="T505"/>
          <cell r="U505"/>
          <cell r="V505">
            <v>15</v>
          </cell>
          <cell r="W505"/>
          <cell r="X505" t="str">
            <v>CANDY</v>
          </cell>
          <cell r="Y505" t="str">
            <v>DMCARE-TRI-01</v>
          </cell>
          <cell r="Z505" t="str">
            <v>CANDY 25/5</v>
          </cell>
          <cell r="AA505"/>
          <cell r="AB505">
            <v>43245</v>
          </cell>
          <cell r="AC505">
            <v>4522</v>
          </cell>
        </row>
        <row r="506">
          <cell r="B506">
            <v>3165</v>
          </cell>
          <cell r="C506" t="str">
            <v>HLT5270</v>
          </cell>
          <cell r="D506"/>
          <cell r="E506"/>
          <cell r="F506" t="str">
            <v>T/R/S 65/33/2</v>
          </cell>
          <cell r="G506" t="str">
            <v>65% POLYESTER 33% RAYON 2% SPAN</v>
          </cell>
          <cell r="H506">
            <v>56</v>
          </cell>
          <cell r="I506">
            <v>220</v>
          </cell>
          <cell r="J506">
            <v>3.2857142857142856</v>
          </cell>
          <cell r="K506"/>
          <cell r="L506">
            <v>3.3357142857142854</v>
          </cell>
          <cell r="M506"/>
          <cell r="N506">
            <v>3.4357142857142855</v>
          </cell>
          <cell r="O506"/>
          <cell r="P506"/>
          <cell r="Q506"/>
          <cell r="R506">
            <v>3.5357142857142856</v>
          </cell>
          <cell r="S506"/>
          <cell r="T506"/>
          <cell r="U506"/>
          <cell r="V506"/>
          <cell r="W506"/>
          <cell r="X506" t="str">
            <v>CANDY</v>
          </cell>
          <cell r="Y506" t="str">
            <v>DMCARE-TRI-01</v>
          </cell>
          <cell r="Z506" t="str">
            <v>CANDY 25/5</v>
          </cell>
          <cell r="AA506"/>
          <cell r="AB506">
            <v>43245</v>
          </cell>
          <cell r="AC506">
            <v>4524</v>
          </cell>
        </row>
        <row r="507">
          <cell r="B507">
            <v>3156</v>
          </cell>
          <cell r="C507" t="str">
            <v>HLT5250</v>
          </cell>
          <cell r="D507"/>
          <cell r="E507"/>
          <cell r="F507" t="str">
            <v>T/R/S 65/33/2</v>
          </cell>
          <cell r="G507" t="str">
            <v>65% POLYESTER 33% RAYON 2% SPAN</v>
          </cell>
          <cell r="H507">
            <v>56</v>
          </cell>
          <cell r="I507">
            <v>220</v>
          </cell>
          <cell r="J507">
            <v>3.1428571428571428</v>
          </cell>
          <cell r="K507"/>
          <cell r="L507">
            <v>3.1928571428571426</v>
          </cell>
          <cell r="M507"/>
          <cell r="N507">
            <v>3.2928571428571427</v>
          </cell>
          <cell r="O507"/>
          <cell r="P507"/>
          <cell r="Q507"/>
          <cell r="R507">
            <v>3.3928571428571428</v>
          </cell>
          <cell r="S507"/>
          <cell r="T507"/>
          <cell r="U507"/>
          <cell r="V507"/>
          <cell r="W507"/>
          <cell r="X507" t="str">
            <v>CANDY</v>
          </cell>
          <cell r="Y507" t="str">
            <v>DMCARE-TRI-01</v>
          </cell>
          <cell r="Z507" t="str">
            <v>CANDY 25/5</v>
          </cell>
          <cell r="AA507"/>
          <cell r="AB507">
            <v>43245</v>
          </cell>
          <cell r="AC507">
            <v>4523</v>
          </cell>
        </row>
        <row r="508">
          <cell r="B508">
            <v>3329</v>
          </cell>
          <cell r="C508" t="str">
            <v>K-2986</v>
          </cell>
          <cell r="D508" t="str">
            <v>JERSEY W/ FOIL AND PLEAT</v>
          </cell>
          <cell r="E508"/>
          <cell r="F508" t="str">
            <v>T100%</v>
          </cell>
          <cell r="G508" t="str">
            <v>100% POLYESTER</v>
          </cell>
          <cell r="H508" t="str">
            <v>57/58</v>
          </cell>
          <cell r="I508">
            <v>213</v>
          </cell>
          <cell r="J508">
            <v>3.25</v>
          </cell>
          <cell r="K508"/>
          <cell r="L508">
            <v>3.3</v>
          </cell>
          <cell r="M508"/>
          <cell r="N508">
            <v>3.3</v>
          </cell>
          <cell r="O508"/>
          <cell r="P508"/>
          <cell r="Q508"/>
          <cell r="R508">
            <v>3.65</v>
          </cell>
          <cell r="S508"/>
          <cell r="T508"/>
          <cell r="U508"/>
          <cell r="V508">
            <v>15</v>
          </cell>
          <cell r="W508"/>
          <cell r="X508" t="str">
            <v>LIVELTEX</v>
          </cell>
          <cell r="Y508"/>
          <cell r="Z508" t="str">
            <v>LINDA 21/5/18</v>
          </cell>
          <cell r="AA508"/>
          <cell r="AB508">
            <v>43241</v>
          </cell>
          <cell r="AC508">
            <v>4525</v>
          </cell>
        </row>
        <row r="509">
          <cell r="B509">
            <v>4334</v>
          </cell>
          <cell r="C509" t="str">
            <v>GL1699</v>
          </cell>
          <cell r="D509" t="str">
            <v>JERSEY</v>
          </cell>
          <cell r="E509"/>
          <cell r="F509" t="str">
            <v>V/S 93/7</v>
          </cell>
          <cell r="G509" t="str">
            <v>93% VISCOSE 7% SPANDEX</v>
          </cell>
          <cell r="H509" t="str">
            <v>64/65</v>
          </cell>
          <cell r="I509">
            <v>225</v>
          </cell>
          <cell r="J509">
            <v>1.96</v>
          </cell>
          <cell r="K509"/>
          <cell r="L509">
            <v>2</v>
          </cell>
          <cell r="M509"/>
          <cell r="N509">
            <v>2</v>
          </cell>
          <cell r="O509"/>
          <cell r="P509"/>
          <cell r="Q509"/>
          <cell r="R509"/>
          <cell r="S509"/>
          <cell r="T509"/>
          <cell r="U509"/>
          <cell r="V509">
            <v>15</v>
          </cell>
          <cell r="W509" t="str">
            <v>$2.2 + surcharge $80 for 1000m, if 1200m is $2.2, no surcharge</v>
          </cell>
          <cell r="X509" t="str">
            <v>NICKY</v>
          </cell>
          <cell r="Y509"/>
          <cell r="Z509" t="str">
            <v>NICKY 18/5/18</v>
          </cell>
          <cell r="AA509"/>
          <cell r="AB509">
            <v>43238</v>
          </cell>
          <cell r="AC509">
            <v>4526</v>
          </cell>
        </row>
        <row r="510">
          <cell r="B510">
            <v>4363</v>
          </cell>
          <cell r="C510" t="str">
            <v>H1239</v>
          </cell>
          <cell r="D510"/>
          <cell r="E510"/>
          <cell r="F510" t="str">
            <v>T/S 96/4</v>
          </cell>
          <cell r="G510" t="str">
            <v>96%POLYESTER 4%SPANDEX</v>
          </cell>
          <cell r="H510" t="str">
            <v>57/58</v>
          </cell>
          <cell r="I510">
            <v>190</v>
          </cell>
          <cell r="J510">
            <v>2.27</v>
          </cell>
          <cell r="K510">
            <v>2.6</v>
          </cell>
          <cell r="L510">
            <v>2.4300000000000002</v>
          </cell>
          <cell r="M510">
            <v>2.76</v>
          </cell>
          <cell r="N510">
            <v>2.56</v>
          </cell>
          <cell r="O510">
            <v>2.89</v>
          </cell>
          <cell r="P510"/>
          <cell r="Q510"/>
          <cell r="R510">
            <v>2.64</v>
          </cell>
          <cell r="S510">
            <v>2.96</v>
          </cell>
          <cell r="T510"/>
          <cell r="U510"/>
          <cell r="V510">
            <v>15</v>
          </cell>
          <cell r="W510"/>
          <cell r="X510" t="str">
            <v>HAOMAIER (S)</v>
          </cell>
          <cell r="Y510"/>
          <cell r="Z510" t="str">
            <v>FIONA 17/5/18</v>
          </cell>
          <cell r="AA510"/>
          <cell r="AB510">
            <v>43237</v>
          </cell>
          <cell r="AC510">
            <v>4527</v>
          </cell>
        </row>
        <row r="511">
          <cell r="B511">
            <v>4362</v>
          </cell>
          <cell r="C511" t="str">
            <v>BG1627</v>
          </cell>
          <cell r="D511" t="str">
            <v>VISCOSE W/ FOIL PRINT</v>
          </cell>
          <cell r="E511" t="str">
            <v>60S*60S/90*88  </v>
          </cell>
          <cell r="F511" t="str">
            <v>V100%</v>
          </cell>
          <cell r="G511" t="str">
            <v>100% VISCOSE </v>
          </cell>
          <cell r="H511" t="str">
            <v>53/54</v>
          </cell>
          <cell r="I511">
            <v>85</v>
          </cell>
          <cell r="J511">
            <v>1.34</v>
          </cell>
          <cell r="K511">
            <v>1.85</v>
          </cell>
          <cell r="L511">
            <v>1.35</v>
          </cell>
          <cell r="M511">
            <v>1.9</v>
          </cell>
          <cell r="N511">
            <v>1.35</v>
          </cell>
          <cell r="O511">
            <v>1.95</v>
          </cell>
          <cell r="P511"/>
          <cell r="Q511"/>
          <cell r="R511">
            <v>1.55</v>
          </cell>
          <cell r="S511">
            <v>2.6</v>
          </cell>
          <cell r="T511"/>
          <cell r="U511"/>
          <cell r="V511">
            <v>15</v>
          </cell>
          <cell r="W511" t="str">
            <v>print price is for foil print , not normal print</v>
          </cell>
          <cell r="X511" t="str">
            <v>EDWIN</v>
          </cell>
          <cell r="Y511"/>
          <cell r="Z511" t="str">
            <v>EDWIN 16/5/18</v>
          </cell>
          <cell r="AA511"/>
          <cell r="AB511">
            <v>43236</v>
          </cell>
          <cell r="AC511">
            <v>4528</v>
          </cell>
        </row>
        <row r="512">
          <cell r="B512">
            <v>4361</v>
          </cell>
          <cell r="C512" t="str">
            <v xml:space="preserve">SJ15243C </v>
          </cell>
          <cell r="D512" t="str">
            <v>BUBBLE CREPE</v>
          </cell>
          <cell r="E512"/>
          <cell r="F512" t="str">
            <v>T/S 97/3</v>
          </cell>
          <cell r="G512" t="str">
            <v>97% POLYESTER 3% SPANDEX</v>
          </cell>
          <cell r="H512" t="str">
            <v>57/58</v>
          </cell>
          <cell r="I512">
            <v>120</v>
          </cell>
          <cell r="J512">
            <v>1.65</v>
          </cell>
          <cell r="K512">
            <v>1.97</v>
          </cell>
          <cell r="L512">
            <v>1.68</v>
          </cell>
          <cell r="M512">
            <v>2</v>
          </cell>
          <cell r="N512">
            <v>1.72</v>
          </cell>
          <cell r="O512">
            <v>2.04</v>
          </cell>
          <cell r="P512"/>
          <cell r="Q512"/>
          <cell r="R512">
            <v>1.92</v>
          </cell>
          <cell r="S512">
            <v>2.8</v>
          </cell>
          <cell r="T512"/>
          <cell r="U512"/>
          <cell r="V512">
            <v>15</v>
          </cell>
          <cell r="W512" t="str">
            <v>print price is for 06 colors</v>
          </cell>
          <cell r="X512" t="str">
            <v>GLORIA (S)</v>
          </cell>
          <cell r="Y512"/>
          <cell r="Z512" t="str">
            <v>GLORIA 16/5/18 BY WECHAT</v>
          </cell>
          <cell r="AA512"/>
          <cell r="AB512">
            <v>43236</v>
          </cell>
          <cell r="AC512">
            <v>4529</v>
          </cell>
        </row>
        <row r="513">
          <cell r="B513">
            <v>3582</v>
          </cell>
          <cell r="C513" t="str">
            <v>#9767</v>
          </cell>
          <cell r="D513"/>
          <cell r="E513" t="str">
            <v>70D+40D*10S</v>
          </cell>
          <cell r="F513" t="str">
            <v>R/N/S 72/24/4</v>
          </cell>
          <cell r="G513" t="str">
            <v>72% RAYON 24% NYLON 4% SPANDEX</v>
          </cell>
          <cell r="H513" t="str">
            <v>57/58</v>
          </cell>
          <cell r="I513">
            <v>240</v>
          </cell>
          <cell r="J513">
            <v>2.0299999999999998</v>
          </cell>
          <cell r="K513">
            <v>2.2599999999999998</v>
          </cell>
          <cell r="L513">
            <v>2.06</v>
          </cell>
          <cell r="M513">
            <v>2.36</v>
          </cell>
          <cell r="N513">
            <v>2.11</v>
          </cell>
          <cell r="O513">
            <v>2.41</v>
          </cell>
          <cell r="P513"/>
          <cell r="Q513"/>
          <cell r="R513">
            <v>2.21</v>
          </cell>
          <cell r="S513">
            <v>3.01</v>
          </cell>
          <cell r="T513"/>
          <cell r="U513"/>
          <cell r="V513">
            <v>15</v>
          </cell>
          <cell r="W513"/>
          <cell r="X513" t="str">
            <v>TERESA</v>
          </cell>
          <cell r="Y513" t="str">
            <v>DMCARE-TRI-02</v>
          </cell>
          <cell r="Z513" t="str">
            <v>TERESA 15/5/18</v>
          </cell>
          <cell r="AA513"/>
          <cell r="AB513">
            <v>43235</v>
          </cell>
          <cell r="AC513">
            <v>4530</v>
          </cell>
        </row>
        <row r="514">
          <cell r="B514">
            <v>4359</v>
          </cell>
          <cell r="C514" t="str">
            <v>GN51539</v>
          </cell>
          <cell r="D514" t="str">
            <v>BUBBLE CREPE</v>
          </cell>
          <cell r="E514"/>
          <cell r="F514" t="str">
            <v>T/S 97/3</v>
          </cell>
          <cell r="G514" t="str">
            <v xml:space="preserve">97% POLYESTER 3% SPANDEX </v>
          </cell>
          <cell r="H514" t="str">
            <v>54/55</v>
          </cell>
          <cell r="I514">
            <v>100</v>
          </cell>
          <cell r="J514">
            <v>1.97</v>
          </cell>
          <cell r="K514">
            <v>2.2999999999999998</v>
          </cell>
          <cell r="L514">
            <v>1.97</v>
          </cell>
          <cell r="M514">
            <v>2.2999999999999998</v>
          </cell>
          <cell r="N514">
            <v>1.97</v>
          </cell>
          <cell r="O514">
            <v>2.2999999999999998</v>
          </cell>
          <cell r="P514"/>
          <cell r="Q514"/>
          <cell r="R514">
            <v>2.56</v>
          </cell>
          <cell r="S514">
            <v>2.99</v>
          </cell>
          <cell r="T514"/>
          <cell r="U514"/>
          <cell r="V514">
            <v>15</v>
          </cell>
          <cell r="W514"/>
          <cell r="X514" t="str">
            <v>KATHERINE (S)</v>
          </cell>
          <cell r="Y514"/>
          <cell r="Z514" t="str">
            <v>KATHERINE 14/5/2018</v>
          </cell>
          <cell r="AA514"/>
          <cell r="AB514">
            <v>43234</v>
          </cell>
          <cell r="AC514">
            <v>4537</v>
          </cell>
        </row>
        <row r="515">
          <cell r="B515">
            <v>4358</v>
          </cell>
          <cell r="C515" t="str">
            <v>WH5505A (GN51611)</v>
          </cell>
          <cell r="D515" t="str">
            <v>BUBBLE CREPE</v>
          </cell>
          <cell r="E515"/>
          <cell r="F515" t="str">
            <v>T/S 97/3</v>
          </cell>
          <cell r="G515" t="str">
            <v>97%POLYESTER  3%SPANDEX</v>
          </cell>
          <cell r="H515" t="str">
            <v>54/55</v>
          </cell>
          <cell r="I515">
            <v>119</v>
          </cell>
          <cell r="J515">
            <v>2.08</v>
          </cell>
          <cell r="K515">
            <v>2.52</v>
          </cell>
          <cell r="L515">
            <v>2.08</v>
          </cell>
          <cell r="M515">
            <v>2.52</v>
          </cell>
          <cell r="N515">
            <v>2.08</v>
          </cell>
          <cell r="O515">
            <v>2.52</v>
          </cell>
          <cell r="P515"/>
          <cell r="Q515"/>
          <cell r="R515">
            <v>2.7</v>
          </cell>
          <cell r="S515">
            <v>3.28</v>
          </cell>
          <cell r="T515"/>
          <cell r="U515"/>
          <cell r="V515">
            <v>15</v>
          </cell>
          <cell r="W515"/>
          <cell r="X515" t="str">
            <v>KATHERINE (S)</v>
          </cell>
          <cell r="Y515"/>
          <cell r="Z515" t="str">
            <v>KATHERINE 14/5/2018</v>
          </cell>
          <cell r="AA515"/>
          <cell r="AB515">
            <v>43234</v>
          </cell>
          <cell r="AC515">
            <v>4538</v>
          </cell>
        </row>
        <row r="516">
          <cell r="B516">
            <v>4338</v>
          </cell>
          <cell r="C516" t="str">
            <v>GMYL16112801</v>
          </cell>
          <cell r="D516"/>
          <cell r="E516"/>
          <cell r="F516" t="str">
            <v>T100%</v>
          </cell>
          <cell r="G516" t="str">
            <v>100% POLYESTER</v>
          </cell>
          <cell r="H516">
            <v>56</v>
          </cell>
          <cell r="I516">
            <v>215</v>
          </cell>
          <cell r="J516">
            <v>2.54</v>
          </cell>
          <cell r="K516"/>
          <cell r="L516">
            <v>2.5499999999999998</v>
          </cell>
          <cell r="M516"/>
          <cell r="N516">
            <v>2.5499999999999998</v>
          </cell>
          <cell r="O516"/>
          <cell r="P516"/>
          <cell r="Q516"/>
          <cell r="R516"/>
          <cell r="S516"/>
          <cell r="T516"/>
          <cell r="U516"/>
          <cell r="V516">
            <v>15</v>
          </cell>
          <cell r="W516"/>
          <cell r="X516" t="str">
            <v>CAROL  (S)</v>
          </cell>
          <cell r="Y516"/>
          <cell r="Z516" t="str">
            <v>CAROL 14/5/18</v>
          </cell>
          <cell r="AA516"/>
          <cell r="AB516">
            <v>43234</v>
          </cell>
          <cell r="AC516">
            <v>4531</v>
          </cell>
        </row>
        <row r="517">
          <cell r="B517">
            <v>4139</v>
          </cell>
          <cell r="C517" t="str">
            <v>BG3823</v>
          </cell>
          <cell r="D517"/>
          <cell r="E517"/>
          <cell r="F517" t="str">
            <v>T100%</v>
          </cell>
          <cell r="G517" t="str">
            <v xml:space="preserve">100% POLYESTER </v>
          </cell>
          <cell r="H517" t="str">
            <v>58/59</v>
          </cell>
          <cell r="I517">
            <v>188</v>
          </cell>
          <cell r="J517">
            <v>2.15</v>
          </cell>
          <cell r="K517">
            <v>2.5</v>
          </cell>
          <cell r="L517">
            <v>2.17</v>
          </cell>
          <cell r="M517">
            <v>2.5499999999999998</v>
          </cell>
          <cell r="N517">
            <v>2.1800000000000002</v>
          </cell>
          <cell r="O517">
            <v>2.6</v>
          </cell>
          <cell r="P517"/>
          <cell r="Q517"/>
          <cell r="R517">
            <v>2.4</v>
          </cell>
          <cell r="S517">
            <v>3</v>
          </cell>
          <cell r="T517"/>
          <cell r="U517"/>
          <cell r="V517">
            <v>15</v>
          </cell>
          <cell r="W517"/>
          <cell r="X517" t="str">
            <v>EDWIN</v>
          </cell>
          <cell r="Y517" t="str">
            <v>DMCARE-TRI-02</v>
          </cell>
          <cell r="Z517" t="str">
            <v>EDWIN 14/5/18</v>
          </cell>
          <cell r="AA517"/>
          <cell r="AB517">
            <v>43234</v>
          </cell>
          <cell r="AC517">
            <v>4533</v>
          </cell>
        </row>
        <row r="518">
          <cell r="B518">
            <v>3959</v>
          </cell>
          <cell r="C518" t="str">
            <v>OLP-YR00205</v>
          </cell>
          <cell r="D518" t="str">
            <v>COTTON W/ Y/D CHECK</v>
          </cell>
          <cell r="E518"/>
          <cell r="F518" t="str">
            <v>C100%</v>
          </cell>
          <cell r="G518" t="str">
            <v xml:space="preserve">100% COTTON </v>
          </cell>
          <cell r="H518" t="str">
            <v>57/58</v>
          </cell>
          <cell r="I518">
            <v>80</v>
          </cell>
          <cell r="J518">
            <v>1.65</v>
          </cell>
          <cell r="K518"/>
          <cell r="L518">
            <v>1.69</v>
          </cell>
          <cell r="M518"/>
          <cell r="N518">
            <v>1.73</v>
          </cell>
          <cell r="O518"/>
          <cell r="P518"/>
          <cell r="Q518"/>
          <cell r="R518">
            <v>2.48</v>
          </cell>
          <cell r="S518"/>
          <cell r="T518"/>
          <cell r="U518"/>
          <cell r="V518">
            <v>15</v>
          </cell>
          <cell r="W518"/>
          <cell r="X518" t="str">
            <v>OWEN</v>
          </cell>
          <cell r="Y518"/>
          <cell r="Z518" t="str">
            <v>JOAN 14/5/18</v>
          </cell>
          <cell r="AA518"/>
          <cell r="AB518">
            <v>43234</v>
          </cell>
          <cell r="AC518">
            <v>4543</v>
          </cell>
        </row>
        <row r="519">
          <cell r="B519">
            <v>3499</v>
          </cell>
          <cell r="C519" t="str">
            <v>HLTR17121</v>
          </cell>
          <cell r="D519"/>
          <cell r="E519"/>
          <cell r="F519" t="str">
            <v>T/R/S 63/33/4</v>
          </cell>
          <cell r="G519" t="str">
            <v>63% POLYESTER 33% RAYON 4% SPANDEX</v>
          </cell>
          <cell r="H519" t="str">
            <v>57/58</v>
          </cell>
          <cell r="I519">
            <v>260</v>
          </cell>
          <cell r="J519">
            <v>2.5816326530612241</v>
          </cell>
          <cell r="K519"/>
          <cell r="L519">
            <v>2.631632653061224</v>
          </cell>
          <cell r="M519"/>
          <cell r="N519">
            <v>2.731632653061224</v>
          </cell>
          <cell r="O519"/>
          <cell r="P519"/>
          <cell r="Q519"/>
          <cell r="R519">
            <v>2.8316326530612241</v>
          </cell>
          <cell r="S519"/>
          <cell r="T519"/>
          <cell r="U519"/>
          <cell r="V519">
            <v>15</v>
          </cell>
          <cell r="W519"/>
          <cell r="X519" t="str">
            <v>HONG LI</v>
          </cell>
          <cell r="Y519" t="str">
            <v>DMCARE-TRI-02</v>
          </cell>
          <cell r="Z519" t="str">
            <v>LEI WANG 14/5/18</v>
          </cell>
          <cell r="AA519"/>
          <cell r="AB519">
            <v>43234</v>
          </cell>
          <cell r="AC519">
            <v>4540</v>
          </cell>
        </row>
        <row r="520">
          <cell r="B520">
            <v>3440</v>
          </cell>
          <cell r="C520" t="str">
            <v>OLP-SC00070</v>
          </cell>
          <cell r="D520"/>
          <cell r="E520"/>
          <cell r="F520" t="str">
            <v>C/T/S</v>
          </cell>
          <cell r="G520" t="str">
            <v xml:space="preserve">73% COTTON 22% POLYESTER  5% SPANDEX </v>
          </cell>
          <cell r="H520" t="str">
            <v>47/48</v>
          </cell>
          <cell r="I520">
            <v>150</v>
          </cell>
          <cell r="J520">
            <v>3.28</v>
          </cell>
          <cell r="K520"/>
          <cell r="L520">
            <v>3.33</v>
          </cell>
          <cell r="M520"/>
          <cell r="N520">
            <v>3.4</v>
          </cell>
          <cell r="O520"/>
          <cell r="P520"/>
          <cell r="Q520"/>
          <cell r="R520"/>
          <cell r="S520"/>
          <cell r="T520"/>
          <cell r="U520"/>
          <cell r="V520">
            <v>15</v>
          </cell>
          <cell r="W520" t="str">
            <v>1000M - CAN NOT DO</v>
          </cell>
          <cell r="X520" t="str">
            <v>OWEN</v>
          </cell>
          <cell r="Y520"/>
          <cell r="Z520" t="str">
            <v>JOAN 14/5/18</v>
          </cell>
          <cell r="AA520"/>
          <cell r="AB520">
            <v>43234</v>
          </cell>
          <cell r="AC520">
            <v>4534</v>
          </cell>
        </row>
        <row r="521">
          <cell r="B521">
            <v>3161</v>
          </cell>
          <cell r="C521" t="str">
            <v>HLT5262</v>
          </cell>
          <cell r="D521"/>
          <cell r="E521"/>
          <cell r="F521" t="str">
            <v>T/R/S 65/33/2</v>
          </cell>
          <cell r="G521" t="str">
            <v xml:space="preserve">65% POLYESTER  33% RAYON  2% SPANDEX </v>
          </cell>
          <cell r="H521">
            <v>56</v>
          </cell>
          <cell r="I521">
            <v>205</v>
          </cell>
          <cell r="J521">
            <v>2.7142857142857144</v>
          </cell>
          <cell r="K521"/>
          <cell r="L521">
            <v>2.7642857142857142</v>
          </cell>
          <cell r="M521"/>
          <cell r="N521">
            <v>2.8142857142857145</v>
          </cell>
          <cell r="O521"/>
          <cell r="P521"/>
          <cell r="Q521"/>
          <cell r="R521">
            <v>2.9142857142857146</v>
          </cell>
          <cell r="S521"/>
          <cell r="T521"/>
          <cell r="U521"/>
          <cell r="V521"/>
          <cell r="W521" t="str">
            <v>DON’T HAVE AVAILABLE</v>
          </cell>
          <cell r="X521" t="str">
            <v>HONG LI</v>
          </cell>
          <cell r="Y521" t="str">
            <v>DMCARE-TRI-02</v>
          </cell>
          <cell r="Z521" t="str">
            <v>LEI WANG 14/5/18</v>
          </cell>
          <cell r="AA521"/>
          <cell r="AB521">
            <v>43234</v>
          </cell>
          <cell r="AC521">
            <v>4541</v>
          </cell>
        </row>
        <row r="522">
          <cell r="B522">
            <v>3158</v>
          </cell>
          <cell r="C522" t="str">
            <v>HLT5252</v>
          </cell>
          <cell r="D522"/>
          <cell r="E522"/>
          <cell r="F522" t="str">
            <v>T/R/S 74/22/4</v>
          </cell>
          <cell r="G522" t="str">
            <v>74% POLYESTER 22% RAYON 4% SPAN</v>
          </cell>
          <cell r="H522">
            <v>56</v>
          </cell>
          <cell r="I522">
            <v>225</v>
          </cell>
          <cell r="J522">
            <v>2.8571428571428572</v>
          </cell>
          <cell r="K522"/>
          <cell r="L522">
            <v>2.907142857142857</v>
          </cell>
          <cell r="M522"/>
          <cell r="N522">
            <v>3.0071428571428571</v>
          </cell>
          <cell r="O522"/>
          <cell r="P522"/>
          <cell r="Q522"/>
          <cell r="R522">
            <v>3.1071428571428572</v>
          </cell>
          <cell r="S522"/>
          <cell r="T522"/>
          <cell r="U522"/>
          <cell r="V522"/>
          <cell r="W522" t="str">
            <v>DON’T HAVE AVAILABLE</v>
          </cell>
          <cell r="X522" t="str">
            <v>HONG LI</v>
          </cell>
          <cell r="Y522" t="str">
            <v>DMCARE-TRI-02</v>
          </cell>
          <cell r="Z522" t="str">
            <v>LEI WANG 14/5/18</v>
          </cell>
          <cell r="AA522"/>
          <cell r="AB522">
            <v>43234</v>
          </cell>
          <cell r="AC522">
            <v>4542</v>
          </cell>
        </row>
        <row r="523">
          <cell r="B523">
            <v>2259</v>
          </cell>
          <cell r="C523" t="str">
            <v>HLT033</v>
          </cell>
          <cell r="D523"/>
          <cell r="E523"/>
          <cell r="F523" t="str">
            <v>T/R/S 80/18/2</v>
          </cell>
          <cell r="G523" t="str">
            <v>80% POLYESTER  18% RAYON  2% SPANDEX</v>
          </cell>
          <cell r="H523" t="str">
            <v>57/58</v>
          </cell>
          <cell r="I523">
            <v>210</v>
          </cell>
          <cell r="J523">
            <v>2.1785714285714284</v>
          </cell>
          <cell r="K523"/>
          <cell r="L523">
            <v>2.2285714285714282</v>
          </cell>
          <cell r="M523"/>
          <cell r="N523">
            <v>2.3285714285714283</v>
          </cell>
          <cell r="O523"/>
          <cell r="P523"/>
          <cell r="Q523"/>
          <cell r="R523">
            <v>2.4285714285714284</v>
          </cell>
          <cell r="S523"/>
          <cell r="T523"/>
          <cell r="U523"/>
          <cell r="V523">
            <v>15</v>
          </cell>
          <cell r="W523"/>
          <cell r="X523" t="str">
            <v>HONG LI</v>
          </cell>
          <cell r="Y523" t="str">
            <v>DMCARE-TRI-02</v>
          </cell>
          <cell r="Z523" t="str">
            <v>LEI WANG 14/5/18</v>
          </cell>
          <cell r="AA523"/>
          <cell r="AB523">
            <v>43234</v>
          </cell>
          <cell r="AC523">
            <v>4539</v>
          </cell>
        </row>
        <row r="524">
          <cell r="B524">
            <v>2140</v>
          </cell>
          <cell r="C524" t="str">
            <v>BG3440</v>
          </cell>
          <cell r="D524" t="str">
            <v>BURN -OUT</v>
          </cell>
          <cell r="E524"/>
          <cell r="F524" t="str">
            <v>T100%</v>
          </cell>
          <cell r="G524" t="str">
            <v>100% POLYESTER</v>
          </cell>
          <cell r="H524" t="str">
            <v>57/58</v>
          </cell>
          <cell r="I524">
            <v>125</v>
          </cell>
          <cell r="J524">
            <v>1.75</v>
          </cell>
          <cell r="K524">
            <v>2.1</v>
          </cell>
          <cell r="L524">
            <v>1.78</v>
          </cell>
          <cell r="M524">
            <v>2.15</v>
          </cell>
          <cell r="N524">
            <v>1.8</v>
          </cell>
          <cell r="O524">
            <v>2.2000000000000002</v>
          </cell>
          <cell r="P524"/>
          <cell r="Q524"/>
          <cell r="R524">
            <v>2</v>
          </cell>
          <cell r="S524">
            <v>2.7</v>
          </cell>
          <cell r="T524"/>
          <cell r="U524"/>
          <cell r="V524">
            <v>15</v>
          </cell>
          <cell r="W524"/>
          <cell r="X524" t="str">
            <v>EDWIN</v>
          </cell>
          <cell r="Y524" t="str">
            <v>DMCARE-TRI-02</v>
          </cell>
          <cell r="Z524" t="str">
            <v>EDWIN 14/5/18</v>
          </cell>
          <cell r="AA524"/>
          <cell r="AB524">
            <v>43234</v>
          </cell>
          <cell r="AC524">
            <v>4532</v>
          </cell>
        </row>
        <row r="525">
          <cell r="B525">
            <v>4357</v>
          </cell>
          <cell r="C525" t="str">
            <v>ST-WV1700</v>
          </cell>
          <cell r="D525" t="str">
            <v>CHIFFON W/ PUFF PRINT</v>
          </cell>
          <cell r="E525"/>
          <cell r="F525" t="str">
            <v>T100%</v>
          </cell>
          <cell r="G525" t="str">
            <v>100% POLYESTER</v>
          </cell>
          <cell r="H525">
            <v>57</v>
          </cell>
          <cell r="I525">
            <v>78</v>
          </cell>
          <cell r="J525"/>
          <cell r="K525">
            <v>1.31</v>
          </cell>
          <cell r="L525"/>
          <cell r="M525">
            <v>1.35</v>
          </cell>
          <cell r="N525"/>
          <cell r="O525">
            <v>1.37</v>
          </cell>
          <cell r="P525"/>
          <cell r="Q525"/>
          <cell r="R525"/>
          <cell r="S525">
            <v>1.39</v>
          </cell>
          <cell r="T525"/>
          <cell r="U525"/>
          <cell r="V525"/>
          <cell r="W525" t="str">
            <v>SOILD QUALITY SAME AS AMW4234</v>
          </cell>
          <cell r="X525" t="str">
            <v>LILY</v>
          </cell>
          <cell r="Y525" t="str">
            <v>DMCARE-TRI-03</v>
          </cell>
          <cell r="Z525" t="str">
            <v>LILY 11/5/18</v>
          </cell>
          <cell r="AA525"/>
          <cell r="AB525">
            <v>43231</v>
          </cell>
          <cell r="AC525">
            <v>4569</v>
          </cell>
        </row>
        <row r="526">
          <cell r="B526">
            <v>4356</v>
          </cell>
          <cell r="C526" t="str">
            <v>BG4015</v>
          </cell>
          <cell r="D526" t="str">
            <v>POLY TWILL - SILKY</v>
          </cell>
          <cell r="E526" t="str">
            <v>100Dx75D</v>
          </cell>
          <cell r="F526" t="str">
            <v>T100%</v>
          </cell>
          <cell r="G526" t="str">
            <v xml:space="preserve">100% POLYESTER </v>
          </cell>
          <cell r="H526" t="str">
            <v>57/58</v>
          </cell>
          <cell r="I526">
            <v>110</v>
          </cell>
          <cell r="J526">
            <v>1.63</v>
          </cell>
          <cell r="K526">
            <v>2</v>
          </cell>
          <cell r="L526">
            <v>1.65</v>
          </cell>
          <cell r="M526">
            <v>2.0499999999999998</v>
          </cell>
          <cell r="N526">
            <v>1.67</v>
          </cell>
          <cell r="O526">
            <v>2.1</v>
          </cell>
          <cell r="P526"/>
          <cell r="Q526"/>
          <cell r="R526">
            <v>1.87</v>
          </cell>
          <cell r="S526">
            <v>2.5</v>
          </cell>
          <cell r="T526"/>
          <cell r="U526"/>
          <cell r="V526">
            <v>15</v>
          </cell>
          <cell r="W526"/>
          <cell r="X526" t="str">
            <v>EDWIN</v>
          </cell>
          <cell r="Y526" t="str">
            <v>DMCARE-TRI-02</v>
          </cell>
          <cell r="Z526" t="str">
            <v>EDWIN 11/5/18</v>
          </cell>
          <cell r="AA526"/>
          <cell r="AB526">
            <v>43231</v>
          </cell>
          <cell r="AC526">
            <v>4551</v>
          </cell>
        </row>
        <row r="527">
          <cell r="B527">
            <v>4355</v>
          </cell>
          <cell r="C527" t="str">
            <v>BG4022</v>
          </cell>
          <cell r="D527" t="str">
            <v>POLY TWILL</v>
          </cell>
          <cell r="E527" t="str">
            <v>1810DCEY*180DCEY</v>
          </cell>
          <cell r="F527" t="str">
            <v>T100%</v>
          </cell>
          <cell r="G527" t="str">
            <v xml:space="preserve">100% POLYESTER </v>
          </cell>
          <cell r="H527" t="str">
            <v>57/58</v>
          </cell>
          <cell r="I527">
            <v>170</v>
          </cell>
          <cell r="J527">
            <v>2.25</v>
          </cell>
          <cell r="K527">
            <v>2.6</v>
          </cell>
          <cell r="L527">
            <v>2.2799999999999998</v>
          </cell>
          <cell r="M527">
            <v>2.65</v>
          </cell>
          <cell r="N527">
            <v>2.2999999999999998</v>
          </cell>
          <cell r="O527">
            <v>2.7</v>
          </cell>
          <cell r="P527"/>
          <cell r="Q527"/>
          <cell r="R527">
            <v>2.5</v>
          </cell>
          <cell r="S527">
            <v>3</v>
          </cell>
          <cell r="T527"/>
          <cell r="U527"/>
          <cell r="V527">
            <v>15</v>
          </cell>
          <cell r="W527"/>
          <cell r="X527" t="str">
            <v>EDWIN</v>
          </cell>
          <cell r="Y527" t="str">
            <v>DMCARE-TRI-02</v>
          </cell>
          <cell r="Z527" t="str">
            <v>EDWIN 11/5/18</v>
          </cell>
          <cell r="AA527"/>
          <cell r="AB527">
            <v>43231</v>
          </cell>
          <cell r="AC527">
            <v>4564</v>
          </cell>
        </row>
        <row r="528">
          <cell r="B528">
            <v>4354</v>
          </cell>
          <cell r="C528" t="str">
            <v>BG4023</v>
          </cell>
          <cell r="D528" t="str">
            <v>POLY</v>
          </cell>
          <cell r="E528" t="str">
            <v>75D*75D</v>
          </cell>
          <cell r="F528" t="str">
            <v>T100%</v>
          </cell>
          <cell r="G528" t="str">
            <v xml:space="preserve">100% POLYESTER </v>
          </cell>
          <cell r="H528" t="str">
            <v>57/58</v>
          </cell>
          <cell r="I528">
            <v>127</v>
          </cell>
          <cell r="J528">
            <v>1.32</v>
          </cell>
          <cell r="K528">
            <v>1.7</v>
          </cell>
          <cell r="L528">
            <v>1.33</v>
          </cell>
          <cell r="M528">
            <v>1.75</v>
          </cell>
          <cell r="N528">
            <v>1.34</v>
          </cell>
          <cell r="O528">
            <v>1.8</v>
          </cell>
          <cell r="P528"/>
          <cell r="Q528"/>
          <cell r="R528">
            <v>1.5</v>
          </cell>
          <cell r="S528">
            <v>2.2000000000000002</v>
          </cell>
          <cell r="T528"/>
          <cell r="U528"/>
          <cell r="V528">
            <v>15</v>
          </cell>
          <cell r="W528"/>
          <cell r="X528" t="str">
            <v>EDWIN</v>
          </cell>
          <cell r="Y528" t="str">
            <v>DMCARE-TRI-02</v>
          </cell>
          <cell r="Z528" t="str">
            <v>EDWIN 11/5/18</v>
          </cell>
          <cell r="AA528"/>
          <cell r="AB528">
            <v>43231</v>
          </cell>
          <cell r="AC528">
            <v>4563</v>
          </cell>
        </row>
        <row r="529">
          <cell r="B529">
            <v>4353</v>
          </cell>
          <cell r="C529" t="str">
            <v>BG4024</v>
          </cell>
          <cell r="D529" t="str">
            <v>POLY TWILL</v>
          </cell>
          <cell r="E529" t="str">
            <v>150D*150D</v>
          </cell>
          <cell r="F529" t="str">
            <v>T100%</v>
          </cell>
          <cell r="G529" t="str">
            <v xml:space="preserve">100% POLYESTER </v>
          </cell>
          <cell r="H529" t="str">
            <v>57/58</v>
          </cell>
          <cell r="I529">
            <v>255</v>
          </cell>
          <cell r="J529">
            <v>1.75</v>
          </cell>
          <cell r="K529">
            <v>2.1</v>
          </cell>
          <cell r="L529">
            <v>1.77</v>
          </cell>
          <cell r="M529">
            <v>2.15</v>
          </cell>
          <cell r="N529">
            <v>1.78</v>
          </cell>
          <cell r="O529">
            <v>2.2000000000000002</v>
          </cell>
          <cell r="P529"/>
          <cell r="Q529"/>
          <cell r="R529">
            <v>2</v>
          </cell>
          <cell r="S529">
            <v>2.6</v>
          </cell>
          <cell r="T529"/>
          <cell r="U529"/>
          <cell r="V529">
            <v>15</v>
          </cell>
          <cell r="W529"/>
          <cell r="X529" t="str">
            <v>EDWIN</v>
          </cell>
          <cell r="Y529" t="str">
            <v>DMCARE-TRI-02</v>
          </cell>
          <cell r="Z529" t="str">
            <v>EDWIN 11/5/18</v>
          </cell>
          <cell r="AA529"/>
          <cell r="AB529">
            <v>43231</v>
          </cell>
          <cell r="AC529">
            <v>4562</v>
          </cell>
        </row>
        <row r="530">
          <cell r="B530">
            <v>4352</v>
          </cell>
          <cell r="C530" t="str">
            <v>BG4025</v>
          </cell>
          <cell r="D530" t="str">
            <v>SATEEN BACK CREPE</v>
          </cell>
          <cell r="E530" t="str">
            <v>75DDTY*150D</v>
          </cell>
          <cell r="F530" t="str">
            <v>T100%</v>
          </cell>
          <cell r="G530" t="str">
            <v xml:space="preserve">100% POLYESTER </v>
          </cell>
          <cell r="H530" t="str">
            <v>57/58</v>
          </cell>
          <cell r="I530">
            <v>173</v>
          </cell>
          <cell r="J530">
            <v>1.78</v>
          </cell>
          <cell r="K530">
            <v>2.15</v>
          </cell>
          <cell r="L530">
            <v>1.8</v>
          </cell>
          <cell r="M530">
            <v>2.2000000000000002</v>
          </cell>
          <cell r="N530">
            <v>1.82</v>
          </cell>
          <cell r="O530">
            <v>2.25</v>
          </cell>
          <cell r="P530"/>
          <cell r="Q530"/>
          <cell r="R530">
            <v>2</v>
          </cell>
          <cell r="S530">
            <v>2.6</v>
          </cell>
          <cell r="T530"/>
          <cell r="U530"/>
          <cell r="V530">
            <v>15</v>
          </cell>
          <cell r="W530"/>
          <cell r="X530" t="str">
            <v>EDWIN</v>
          </cell>
          <cell r="Y530" t="str">
            <v>DMCARE-TRI-02</v>
          </cell>
          <cell r="Z530" t="str">
            <v>EDWIN 11/5/18</v>
          </cell>
          <cell r="AA530"/>
          <cell r="AB530">
            <v>43231</v>
          </cell>
          <cell r="AC530">
            <v>4561</v>
          </cell>
        </row>
        <row r="531">
          <cell r="B531">
            <v>4351</v>
          </cell>
          <cell r="C531" t="str">
            <v>BG4020</v>
          </cell>
          <cell r="D531" t="str">
            <v>SLUB POLY</v>
          </cell>
          <cell r="E531" t="str">
            <v>75D*75D</v>
          </cell>
          <cell r="F531" t="str">
            <v>T100%</v>
          </cell>
          <cell r="G531" t="str">
            <v xml:space="preserve">100% POLYESTER </v>
          </cell>
          <cell r="H531" t="str">
            <v>57/58</v>
          </cell>
          <cell r="I531">
            <v>140</v>
          </cell>
          <cell r="J531">
            <v>1.63</v>
          </cell>
          <cell r="K531">
            <v>2</v>
          </cell>
          <cell r="L531">
            <v>1.64</v>
          </cell>
          <cell r="M531">
            <v>2.0499999999999998</v>
          </cell>
          <cell r="N531">
            <v>1.65</v>
          </cell>
          <cell r="O531">
            <v>2.1</v>
          </cell>
          <cell r="P531"/>
          <cell r="Q531"/>
          <cell r="R531">
            <v>1.85</v>
          </cell>
          <cell r="S531">
            <v>2.5</v>
          </cell>
          <cell r="T531"/>
          <cell r="U531"/>
          <cell r="V531">
            <v>15</v>
          </cell>
          <cell r="W531"/>
          <cell r="X531" t="str">
            <v>EDWIN</v>
          </cell>
          <cell r="Y531" t="str">
            <v>DMCARE-TRI-02</v>
          </cell>
          <cell r="Z531" t="str">
            <v>EDWIN 11/5/18</v>
          </cell>
          <cell r="AA531"/>
          <cell r="AB531">
            <v>43231</v>
          </cell>
          <cell r="AC531">
            <v>4565</v>
          </cell>
        </row>
        <row r="532">
          <cell r="B532">
            <v>4350</v>
          </cell>
          <cell r="C532" t="str">
            <v>BG4019</v>
          </cell>
          <cell r="D532" t="str">
            <v>CHIIFFON</v>
          </cell>
          <cell r="E532" t="str">
            <v>20+26*20+26</v>
          </cell>
          <cell r="F532" t="str">
            <v>T100%</v>
          </cell>
          <cell r="G532" t="str">
            <v xml:space="preserve">100% POLYESTER </v>
          </cell>
          <cell r="H532" t="str">
            <v>57/58</v>
          </cell>
          <cell r="I532">
            <v>85</v>
          </cell>
          <cell r="J532">
            <v>1.46</v>
          </cell>
          <cell r="K532">
            <v>1.8</v>
          </cell>
          <cell r="L532">
            <v>1.48</v>
          </cell>
          <cell r="M532">
            <v>1.85</v>
          </cell>
          <cell r="N532">
            <v>1.49</v>
          </cell>
          <cell r="O532">
            <v>1.9</v>
          </cell>
          <cell r="P532"/>
          <cell r="Q532"/>
          <cell r="R532">
            <v>1.7</v>
          </cell>
          <cell r="S532">
            <v>2.2999999999999998</v>
          </cell>
          <cell r="T532"/>
          <cell r="U532"/>
          <cell r="V532">
            <v>15</v>
          </cell>
          <cell r="W532"/>
          <cell r="X532" t="str">
            <v>EDWIN</v>
          </cell>
          <cell r="Y532" t="str">
            <v>DMCARE-TRI-02</v>
          </cell>
          <cell r="Z532" t="str">
            <v>EDWIN 11/5/18</v>
          </cell>
          <cell r="AA532"/>
          <cell r="AB532">
            <v>43231</v>
          </cell>
          <cell r="AC532">
            <v>4566</v>
          </cell>
        </row>
        <row r="533">
          <cell r="B533">
            <v>4349</v>
          </cell>
          <cell r="C533" t="str">
            <v>BG4018</v>
          </cell>
          <cell r="D533" t="str">
            <v>POLY</v>
          </cell>
          <cell r="E533" t="str">
            <v>75DFDY</v>
          </cell>
          <cell r="F533" t="str">
            <v>T100%</v>
          </cell>
          <cell r="G533" t="str">
            <v xml:space="preserve">100% POLYESTER </v>
          </cell>
          <cell r="H533" t="str">
            <v>57/58</v>
          </cell>
          <cell r="I533">
            <v>141</v>
          </cell>
          <cell r="J533">
            <v>1.55</v>
          </cell>
          <cell r="K533">
            <v>1.9</v>
          </cell>
          <cell r="L533">
            <v>1.57</v>
          </cell>
          <cell r="M533">
            <v>1.95</v>
          </cell>
          <cell r="N533">
            <v>1.58</v>
          </cell>
          <cell r="O533">
            <v>2</v>
          </cell>
          <cell r="P533"/>
          <cell r="Q533"/>
          <cell r="R533">
            <v>1.75</v>
          </cell>
          <cell r="S533">
            <v>2.4</v>
          </cell>
          <cell r="T533"/>
          <cell r="U533"/>
          <cell r="V533">
            <v>15</v>
          </cell>
          <cell r="W533"/>
          <cell r="X533" t="str">
            <v>EDWIN</v>
          </cell>
          <cell r="Y533" t="str">
            <v>DMCARE-TRI-02</v>
          </cell>
          <cell r="Z533" t="str">
            <v>EDWIN 11/5/18</v>
          </cell>
          <cell r="AA533"/>
          <cell r="AB533">
            <v>43231</v>
          </cell>
          <cell r="AC533">
            <v>4567</v>
          </cell>
        </row>
        <row r="534">
          <cell r="B534">
            <v>4348</v>
          </cell>
          <cell r="C534" t="str">
            <v>BG4026</v>
          </cell>
          <cell r="D534" t="str">
            <v>POLY</v>
          </cell>
          <cell r="E534" t="str">
            <v>100DDTY*100DDTY+40DSP</v>
          </cell>
          <cell r="F534" t="str">
            <v>T/S 98/2</v>
          </cell>
          <cell r="G534" t="str">
            <v>98% POLYESTER 2% SPANDEX</v>
          </cell>
          <cell r="H534" t="str">
            <v>57/58</v>
          </cell>
          <cell r="I534">
            <v>166</v>
          </cell>
          <cell r="J534">
            <v>1.78</v>
          </cell>
          <cell r="K534">
            <v>2.15</v>
          </cell>
          <cell r="L534">
            <v>1.8</v>
          </cell>
          <cell r="M534">
            <v>2.2000000000000002</v>
          </cell>
          <cell r="N534">
            <v>1.82</v>
          </cell>
          <cell r="O534">
            <v>2.25</v>
          </cell>
          <cell r="P534"/>
          <cell r="Q534"/>
          <cell r="R534">
            <v>2</v>
          </cell>
          <cell r="S534">
            <v>2.6</v>
          </cell>
          <cell r="T534"/>
          <cell r="U534"/>
          <cell r="V534">
            <v>15</v>
          </cell>
          <cell r="W534"/>
          <cell r="X534" t="str">
            <v>EDWIN</v>
          </cell>
          <cell r="Y534" t="str">
            <v>DMCARE-TRI-02</v>
          </cell>
          <cell r="Z534" t="str">
            <v>EDWIN 11/5/18</v>
          </cell>
          <cell r="AA534"/>
          <cell r="AB534">
            <v>43231</v>
          </cell>
          <cell r="AC534">
            <v>4560</v>
          </cell>
        </row>
        <row r="535">
          <cell r="B535">
            <v>4347</v>
          </cell>
          <cell r="C535" t="str">
            <v>BG4028</v>
          </cell>
          <cell r="D535" t="str">
            <v>STRETCH POLY</v>
          </cell>
          <cell r="E535" t="str">
            <v>50DDTY+20DSP*50DDTY+20DSP</v>
          </cell>
          <cell r="F535" t="str">
            <v>T/S 96/4</v>
          </cell>
          <cell r="G535" t="str">
            <v>96% POLYESTER 4%SPANDEX</v>
          </cell>
          <cell r="H535" t="str">
            <v>57/58</v>
          </cell>
          <cell r="I535">
            <v>80</v>
          </cell>
          <cell r="J535">
            <v>1.35</v>
          </cell>
          <cell r="K535">
            <v>1.7</v>
          </cell>
          <cell r="L535">
            <v>1.37</v>
          </cell>
          <cell r="M535">
            <v>1.75</v>
          </cell>
          <cell r="N535">
            <v>1.38</v>
          </cell>
          <cell r="O535">
            <v>1.8</v>
          </cell>
          <cell r="P535"/>
          <cell r="Q535"/>
          <cell r="R535">
            <v>1.6</v>
          </cell>
          <cell r="S535">
            <v>2.2000000000000002</v>
          </cell>
          <cell r="T535"/>
          <cell r="U535"/>
          <cell r="V535">
            <v>15</v>
          </cell>
          <cell r="W535"/>
          <cell r="X535" t="str">
            <v>EDWIN</v>
          </cell>
          <cell r="Y535" t="str">
            <v>DMCARE-TRI-02</v>
          </cell>
          <cell r="Z535" t="str">
            <v>EDWIN 11/5/18</v>
          </cell>
          <cell r="AA535"/>
          <cell r="AB535">
            <v>43231</v>
          </cell>
          <cell r="AC535">
            <v>4559</v>
          </cell>
        </row>
        <row r="536">
          <cell r="B536">
            <v>4346</v>
          </cell>
          <cell r="C536" t="str">
            <v>BG4029</v>
          </cell>
          <cell r="D536" t="str">
            <v>STRETCH POLY</v>
          </cell>
          <cell r="E536" t="str">
            <v>75DDTY+40DSP*75DDTY+40DSP</v>
          </cell>
          <cell r="F536" t="str">
            <v>T/S 96/4</v>
          </cell>
          <cell r="G536" t="str">
            <v>96% POLYESTER 4%SPANDEX</v>
          </cell>
          <cell r="H536" t="str">
            <v>57/58</v>
          </cell>
          <cell r="I536">
            <v>105</v>
          </cell>
          <cell r="J536">
            <v>1.35</v>
          </cell>
          <cell r="K536">
            <v>1.7</v>
          </cell>
          <cell r="L536">
            <v>1.37</v>
          </cell>
          <cell r="M536">
            <v>1.75</v>
          </cell>
          <cell r="N536">
            <v>1.38</v>
          </cell>
          <cell r="O536">
            <v>1.8</v>
          </cell>
          <cell r="P536"/>
          <cell r="Q536"/>
          <cell r="R536">
            <v>1.6</v>
          </cell>
          <cell r="S536">
            <v>2.2000000000000002</v>
          </cell>
          <cell r="T536"/>
          <cell r="U536"/>
          <cell r="V536">
            <v>15</v>
          </cell>
          <cell r="W536"/>
          <cell r="X536" t="str">
            <v>EDWIN</v>
          </cell>
          <cell r="Y536" t="str">
            <v>DMCARE-TRI-02</v>
          </cell>
          <cell r="Z536" t="str">
            <v>EDWIN 11/5/18</v>
          </cell>
          <cell r="AA536"/>
          <cell r="AB536">
            <v>43231</v>
          </cell>
          <cell r="AC536">
            <v>4558</v>
          </cell>
        </row>
        <row r="537">
          <cell r="B537">
            <v>4345</v>
          </cell>
          <cell r="C537" t="str">
            <v>BG4006</v>
          </cell>
          <cell r="D537" t="str">
            <v>JAC POLY</v>
          </cell>
          <cell r="E537" t="str">
            <v>50D*75D+40DSP</v>
          </cell>
          <cell r="F537" t="str">
            <v>T/S 98/2</v>
          </cell>
          <cell r="G537" t="str">
            <v xml:space="preserve">98% POLYESTER  2% SPANDEX </v>
          </cell>
          <cell r="H537" t="str">
            <v>57/58</v>
          </cell>
          <cell r="I537">
            <v>129</v>
          </cell>
          <cell r="J537">
            <v>2.06</v>
          </cell>
          <cell r="K537">
            <v>2.4</v>
          </cell>
          <cell r="L537">
            <v>2.08</v>
          </cell>
          <cell r="M537">
            <v>2.4500000000000002</v>
          </cell>
          <cell r="N537">
            <v>2.1</v>
          </cell>
          <cell r="O537">
            <v>2.5</v>
          </cell>
          <cell r="P537"/>
          <cell r="Q537"/>
          <cell r="R537">
            <v>2.2999999999999998</v>
          </cell>
          <cell r="S537">
            <v>2.9</v>
          </cell>
          <cell r="T537"/>
          <cell r="U537"/>
          <cell r="V537">
            <v>15</v>
          </cell>
          <cell r="W537"/>
          <cell r="X537" t="str">
            <v>EDWIN</v>
          </cell>
          <cell r="Y537" t="str">
            <v>DMCARE-TRI-02</v>
          </cell>
          <cell r="Z537" t="str">
            <v>EDWIN 11/5/18</v>
          </cell>
          <cell r="AA537"/>
          <cell r="AB537">
            <v>43231</v>
          </cell>
          <cell r="AC537">
            <v>4557</v>
          </cell>
        </row>
        <row r="538">
          <cell r="B538">
            <v>4344</v>
          </cell>
          <cell r="C538" t="str">
            <v>BG4005</v>
          </cell>
          <cell r="D538" t="str">
            <v>JAC POLY</v>
          </cell>
          <cell r="E538" t="str">
            <v>50D*75D+40DSP</v>
          </cell>
          <cell r="F538" t="str">
            <v>T/S 98/2</v>
          </cell>
          <cell r="G538" t="str">
            <v xml:space="preserve">98% POLYESTER  2% SPANDEX </v>
          </cell>
          <cell r="H538" t="str">
            <v>57/58</v>
          </cell>
          <cell r="I538">
            <v>87</v>
          </cell>
          <cell r="J538">
            <v>2.06</v>
          </cell>
          <cell r="K538">
            <v>2.4</v>
          </cell>
          <cell r="L538">
            <v>2.08</v>
          </cell>
          <cell r="M538">
            <v>2.4500000000000002</v>
          </cell>
          <cell r="N538">
            <v>2.1</v>
          </cell>
          <cell r="O538">
            <v>2.5</v>
          </cell>
          <cell r="P538"/>
          <cell r="Q538"/>
          <cell r="R538">
            <v>2.2999999999999998</v>
          </cell>
          <cell r="S538">
            <v>2.9</v>
          </cell>
          <cell r="T538"/>
          <cell r="U538"/>
          <cell r="V538">
            <v>15</v>
          </cell>
          <cell r="W538"/>
          <cell r="X538" t="str">
            <v>EDWIN</v>
          </cell>
          <cell r="Y538" t="str">
            <v>DMCARE-TRI-02</v>
          </cell>
          <cell r="Z538" t="str">
            <v>EDWIN 11/5/18</v>
          </cell>
          <cell r="AA538"/>
          <cell r="AB538">
            <v>43231</v>
          </cell>
          <cell r="AC538">
            <v>4556</v>
          </cell>
        </row>
        <row r="539">
          <cell r="B539">
            <v>4343</v>
          </cell>
          <cell r="C539" t="str">
            <v>BG4004</v>
          </cell>
          <cell r="D539" t="str">
            <v>JAC POLY</v>
          </cell>
          <cell r="E539" t="str">
            <v>50D*75D+40DSP</v>
          </cell>
          <cell r="F539" t="str">
            <v>T/S 98/2</v>
          </cell>
          <cell r="G539" t="str">
            <v xml:space="preserve">98% POLYESTER  2% SPANDEX </v>
          </cell>
          <cell r="H539" t="str">
            <v>57/58</v>
          </cell>
          <cell r="I539">
            <v>116</v>
          </cell>
          <cell r="J539">
            <v>2.06</v>
          </cell>
          <cell r="K539">
            <v>2.4</v>
          </cell>
          <cell r="L539">
            <v>2.08</v>
          </cell>
          <cell r="M539">
            <v>2.4500000000000002</v>
          </cell>
          <cell r="N539">
            <v>2.1</v>
          </cell>
          <cell r="O539">
            <v>2.5</v>
          </cell>
          <cell r="P539"/>
          <cell r="Q539"/>
          <cell r="R539">
            <v>2.2999999999999998</v>
          </cell>
          <cell r="S539">
            <v>2.9</v>
          </cell>
          <cell r="T539"/>
          <cell r="U539"/>
          <cell r="V539">
            <v>15</v>
          </cell>
          <cell r="W539"/>
          <cell r="X539" t="str">
            <v>EDWIN</v>
          </cell>
          <cell r="Y539" t="str">
            <v>DMCARE-TRI-02</v>
          </cell>
          <cell r="Z539" t="str">
            <v>EDWIN 11/5/18</v>
          </cell>
          <cell r="AA539"/>
          <cell r="AB539">
            <v>43231</v>
          </cell>
          <cell r="AC539">
            <v>4555</v>
          </cell>
        </row>
        <row r="540">
          <cell r="B540">
            <v>4342</v>
          </cell>
          <cell r="C540" t="str">
            <v>BG4003</v>
          </cell>
          <cell r="D540" t="str">
            <v>JAC POLY</v>
          </cell>
          <cell r="E540" t="str">
            <v>50D*75D+40DSP</v>
          </cell>
          <cell r="F540" t="str">
            <v>T/S 98/2</v>
          </cell>
          <cell r="G540" t="str">
            <v xml:space="preserve">98% POLYESTER  2% SPANDEX </v>
          </cell>
          <cell r="H540" t="str">
            <v>57/58</v>
          </cell>
          <cell r="I540">
            <v>122</v>
          </cell>
          <cell r="J540">
            <v>2.06</v>
          </cell>
          <cell r="K540">
            <v>2.4</v>
          </cell>
          <cell r="L540">
            <v>2.08</v>
          </cell>
          <cell r="M540">
            <v>2.4500000000000002</v>
          </cell>
          <cell r="N540">
            <v>2.1</v>
          </cell>
          <cell r="O540">
            <v>2.5</v>
          </cell>
          <cell r="P540"/>
          <cell r="Q540"/>
          <cell r="R540">
            <v>2.2999999999999998</v>
          </cell>
          <cell r="S540">
            <v>2.9</v>
          </cell>
          <cell r="T540"/>
          <cell r="U540"/>
          <cell r="V540">
            <v>15</v>
          </cell>
          <cell r="W540"/>
          <cell r="X540" t="str">
            <v>EDWIN</v>
          </cell>
          <cell r="Y540" t="str">
            <v>DMCARE-TRI-02</v>
          </cell>
          <cell r="Z540" t="str">
            <v>EDWIN 11/5/18</v>
          </cell>
          <cell r="AA540"/>
          <cell r="AB540">
            <v>43231</v>
          </cell>
          <cell r="AC540">
            <v>4554</v>
          </cell>
        </row>
        <row r="541">
          <cell r="B541">
            <v>4341</v>
          </cell>
          <cell r="C541" t="str">
            <v>BG4002</v>
          </cell>
          <cell r="D541" t="str">
            <v>JAC POLY</v>
          </cell>
          <cell r="E541" t="str">
            <v>50D*75D+40DSP</v>
          </cell>
          <cell r="F541" t="str">
            <v>T/S 98/2</v>
          </cell>
          <cell r="G541" t="str">
            <v xml:space="preserve">98% POLYESTER  2% SPANDEX </v>
          </cell>
          <cell r="H541" t="str">
            <v>57/58</v>
          </cell>
          <cell r="I541">
            <v>103</v>
          </cell>
          <cell r="J541">
            <v>2.06</v>
          </cell>
          <cell r="K541">
            <v>2.4</v>
          </cell>
          <cell r="L541">
            <v>2.08</v>
          </cell>
          <cell r="M541">
            <v>2.4500000000000002</v>
          </cell>
          <cell r="N541">
            <v>2.1</v>
          </cell>
          <cell r="O541">
            <v>2.5</v>
          </cell>
          <cell r="P541"/>
          <cell r="Q541"/>
          <cell r="R541">
            <v>2.2999999999999998</v>
          </cell>
          <cell r="S541">
            <v>2.9</v>
          </cell>
          <cell r="T541"/>
          <cell r="U541"/>
          <cell r="V541">
            <v>15</v>
          </cell>
          <cell r="W541"/>
          <cell r="X541" t="str">
            <v>EDWIN</v>
          </cell>
          <cell r="Y541" t="str">
            <v>DMCARE-TRI-02</v>
          </cell>
          <cell r="Z541" t="str">
            <v>EDWIN 11/5/18</v>
          </cell>
          <cell r="AA541"/>
          <cell r="AB541">
            <v>43231</v>
          </cell>
          <cell r="AC541">
            <v>4553</v>
          </cell>
        </row>
        <row r="542">
          <cell r="B542">
            <v>4340</v>
          </cell>
          <cell r="C542" t="str">
            <v>BG4021</v>
          </cell>
          <cell r="D542" t="str">
            <v>CDC</v>
          </cell>
          <cell r="E542" t="str">
            <v>50D*75D</v>
          </cell>
          <cell r="F542" t="str">
            <v>T100%</v>
          </cell>
          <cell r="G542" t="str">
            <v xml:space="preserve">100% POLYESTER </v>
          </cell>
          <cell r="H542" t="str">
            <v>57/58</v>
          </cell>
          <cell r="I542">
            <v>88</v>
          </cell>
          <cell r="J542">
            <v>1.33</v>
          </cell>
          <cell r="K542">
            <v>1.65</v>
          </cell>
          <cell r="L542">
            <v>1.35</v>
          </cell>
          <cell r="M542">
            <v>1.7</v>
          </cell>
          <cell r="N542">
            <v>1.36</v>
          </cell>
          <cell r="O542">
            <v>1.75</v>
          </cell>
          <cell r="P542"/>
          <cell r="Q542"/>
          <cell r="R542">
            <v>1.5</v>
          </cell>
          <cell r="S542">
            <v>2.1</v>
          </cell>
          <cell r="T542"/>
          <cell r="U542"/>
          <cell r="V542">
            <v>15</v>
          </cell>
          <cell r="W542"/>
          <cell r="X542" t="str">
            <v>EDWIN</v>
          </cell>
          <cell r="Y542" t="str">
            <v>DMCARE-TRI-02</v>
          </cell>
          <cell r="Z542" t="str">
            <v>EDWIN 11/5/18</v>
          </cell>
          <cell r="AA542"/>
          <cell r="AB542">
            <v>43231</v>
          </cell>
          <cell r="AC542">
            <v>4552</v>
          </cell>
        </row>
        <row r="543">
          <cell r="B543">
            <v>4337</v>
          </cell>
          <cell r="C543" t="str">
            <v>WH4388 (GN51464)</v>
          </cell>
          <cell r="D543"/>
          <cell r="E543"/>
          <cell r="F543" t="str">
            <v>T100%</v>
          </cell>
          <cell r="G543" t="str">
            <v>100% POLYESTER</v>
          </cell>
          <cell r="H543" t="str">
            <v>CW 53</v>
          </cell>
          <cell r="I543">
            <v>82</v>
          </cell>
          <cell r="J543">
            <v>1.59</v>
          </cell>
          <cell r="K543">
            <v>1.95</v>
          </cell>
          <cell r="L543">
            <v>1.59</v>
          </cell>
          <cell r="M543">
            <v>1.95</v>
          </cell>
          <cell r="N543">
            <v>1.59</v>
          </cell>
          <cell r="O543">
            <v>1.95</v>
          </cell>
          <cell r="P543"/>
          <cell r="Q543"/>
          <cell r="R543">
            <v>2.06</v>
          </cell>
          <cell r="S543">
            <v>2.5299999999999998</v>
          </cell>
          <cell r="T543"/>
          <cell r="U543"/>
          <cell r="V543">
            <v>15</v>
          </cell>
          <cell r="W543"/>
          <cell r="X543" t="str">
            <v>KATHERINE (S)</v>
          </cell>
          <cell r="Y543"/>
          <cell r="Z543" t="str">
            <v>KATHERINE</v>
          </cell>
          <cell r="AA543"/>
          <cell r="AB543">
            <v>43231</v>
          </cell>
          <cell r="AC543">
            <v>4548</v>
          </cell>
        </row>
        <row r="544">
          <cell r="B544">
            <v>4109</v>
          </cell>
          <cell r="C544" t="str">
            <v>FQ 09306</v>
          </cell>
          <cell r="D544"/>
          <cell r="E544"/>
          <cell r="F544" t="str">
            <v>T100%</v>
          </cell>
          <cell r="G544" t="str">
            <v>100% POLYESTER</v>
          </cell>
          <cell r="H544">
            <v>58</v>
          </cell>
          <cell r="I544">
            <v>85</v>
          </cell>
          <cell r="J544">
            <v>1.74</v>
          </cell>
          <cell r="K544"/>
          <cell r="L544">
            <v>1.76</v>
          </cell>
          <cell r="M544"/>
          <cell r="N544">
            <v>1.78</v>
          </cell>
          <cell r="O544"/>
          <cell r="P544"/>
          <cell r="Q544"/>
          <cell r="R544">
            <v>1.8</v>
          </cell>
          <cell r="S544"/>
          <cell r="T544"/>
          <cell r="U544"/>
          <cell r="V544"/>
          <cell r="W544" t="str">
            <v>NO PRINT</v>
          </cell>
          <cell r="X544" t="str">
            <v>ADEN</v>
          </cell>
          <cell r="Y544" t="str">
            <v>DMCARE-TRI-01</v>
          </cell>
          <cell r="Z544" t="str">
            <v>ADEN 11/5/18</v>
          </cell>
          <cell r="AA544"/>
          <cell r="AB544">
            <v>43231</v>
          </cell>
          <cell r="AC544">
            <v>4545</v>
          </cell>
        </row>
        <row r="545">
          <cell r="B545">
            <v>3743</v>
          </cell>
          <cell r="C545" t="str">
            <v>BG3906</v>
          </cell>
          <cell r="D545" t="str">
            <v>SATEEN</v>
          </cell>
          <cell r="E545" t="str">
            <v>15+15*50D</v>
          </cell>
          <cell r="F545" t="str">
            <v>T100%</v>
          </cell>
          <cell r="G545" t="str">
            <v xml:space="preserve">100% POLYESTER </v>
          </cell>
          <cell r="H545" t="str">
            <v>57/58</v>
          </cell>
          <cell r="I545">
            <v>91</v>
          </cell>
          <cell r="J545">
            <v>2.1</v>
          </cell>
          <cell r="K545">
            <v>2.4</v>
          </cell>
          <cell r="L545">
            <v>2.12</v>
          </cell>
          <cell r="M545">
            <v>2.4500000000000002</v>
          </cell>
          <cell r="N545">
            <v>2.13</v>
          </cell>
          <cell r="O545">
            <v>2.5</v>
          </cell>
          <cell r="P545"/>
          <cell r="Q545"/>
          <cell r="R545">
            <v>2.2999999999999998</v>
          </cell>
          <cell r="S545">
            <v>2.9</v>
          </cell>
          <cell r="T545"/>
          <cell r="U545"/>
          <cell r="V545">
            <v>15</v>
          </cell>
          <cell r="W545"/>
          <cell r="X545" t="str">
            <v>EDWIN</v>
          </cell>
          <cell r="Y545" t="str">
            <v>DMCARE-TRI-02</v>
          </cell>
          <cell r="Z545" t="str">
            <v>EDWIN 11/5/18</v>
          </cell>
          <cell r="AA545"/>
          <cell r="AB545">
            <v>43231</v>
          </cell>
          <cell r="AC545">
            <v>4568</v>
          </cell>
        </row>
        <row r="546">
          <cell r="B546">
            <v>3245</v>
          </cell>
          <cell r="C546" t="str">
            <v>WW-21649</v>
          </cell>
          <cell r="D546"/>
          <cell r="E546"/>
          <cell r="F546" t="str">
            <v>T100%</v>
          </cell>
          <cell r="G546" t="str">
            <v>100% POLYESTER</v>
          </cell>
          <cell r="H546" t="str">
            <v>57/58</v>
          </cell>
          <cell r="I546">
            <v>96</v>
          </cell>
          <cell r="J546">
            <v>1.48</v>
          </cell>
          <cell r="K546">
            <v>1.76</v>
          </cell>
          <cell r="L546">
            <v>1.5</v>
          </cell>
          <cell r="M546">
            <v>1.75</v>
          </cell>
          <cell r="N546">
            <v>1.55</v>
          </cell>
          <cell r="O546">
            <v>1.8</v>
          </cell>
          <cell r="P546"/>
          <cell r="Q546"/>
          <cell r="R546">
            <v>1.65</v>
          </cell>
          <cell r="S546">
            <v>1.9</v>
          </cell>
          <cell r="T546"/>
          <cell r="U546"/>
          <cell r="V546">
            <v>15</v>
          </cell>
          <cell r="W546"/>
          <cell r="X546" t="str">
            <v>PANI</v>
          </cell>
          <cell r="Y546" t="str">
            <v>DMCARE-TRI-02</v>
          </cell>
          <cell r="Z546" t="str">
            <v>AMY 11/5/18</v>
          </cell>
          <cell r="AA546"/>
          <cell r="AB546">
            <v>43231</v>
          </cell>
          <cell r="AC546">
            <v>4550</v>
          </cell>
        </row>
        <row r="547">
          <cell r="B547">
            <v>2916</v>
          </cell>
          <cell r="C547" t="str">
            <v>WW-22222</v>
          </cell>
          <cell r="D547"/>
          <cell r="E547"/>
          <cell r="F547" t="str">
            <v>T100%</v>
          </cell>
          <cell r="G547" t="str">
            <v>100% POLYESTER</v>
          </cell>
          <cell r="H547" t="str">
            <v>57/58</v>
          </cell>
          <cell r="I547">
            <v>135</v>
          </cell>
          <cell r="J547">
            <v>1.73</v>
          </cell>
          <cell r="K547">
            <v>1.98</v>
          </cell>
          <cell r="L547">
            <v>1.75</v>
          </cell>
          <cell r="M547">
            <v>2</v>
          </cell>
          <cell r="N547">
            <v>1.8</v>
          </cell>
          <cell r="O547">
            <v>2.0499999999999998</v>
          </cell>
          <cell r="P547"/>
          <cell r="Q547"/>
          <cell r="R547">
            <v>1.95</v>
          </cell>
          <cell r="S547">
            <v>2.2000000000000002</v>
          </cell>
          <cell r="T547"/>
          <cell r="U547"/>
          <cell r="V547">
            <v>15</v>
          </cell>
          <cell r="W547"/>
          <cell r="X547" t="str">
            <v>PANI</v>
          </cell>
          <cell r="Y547" t="str">
            <v>DMCARE-TRI-02</v>
          </cell>
          <cell r="Z547" t="str">
            <v>AMY 11/5/18</v>
          </cell>
          <cell r="AA547"/>
          <cell r="AB547">
            <v>43231</v>
          </cell>
          <cell r="AC547">
            <v>4549</v>
          </cell>
        </row>
        <row r="548">
          <cell r="B548">
            <v>2537</v>
          </cell>
          <cell r="C548" t="str">
            <v>XQ162</v>
          </cell>
          <cell r="D548" t="str">
            <v>CHIFFON W/ DOT</v>
          </cell>
          <cell r="E548"/>
          <cell r="F548" t="str">
            <v>T100%</v>
          </cell>
          <cell r="G548" t="str">
            <v>100% POLYESTER</v>
          </cell>
          <cell r="H548" t="str">
            <v>57/58</v>
          </cell>
          <cell r="I548">
            <v>80</v>
          </cell>
          <cell r="J548">
            <v>1.38</v>
          </cell>
          <cell r="K548">
            <v>1.58</v>
          </cell>
          <cell r="L548">
            <v>1.4</v>
          </cell>
          <cell r="M548">
            <v>1.61</v>
          </cell>
          <cell r="N548">
            <v>1.42</v>
          </cell>
          <cell r="O548">
            <v>1.64</v>
          </cell>
          <cell r="P548"/>
          <cell r="Q548"/>
          <cell r="R548">
            <v>1.57</v>
          </cell>
          <cell r="S548">
            <v>1.89</v>
          </cell>
          <cell r="T548"/>
          <cell r="U548"/>
          <cell r="V548">
            <v>15</v>
          </cell>
          <cell r="W548"/>
          <cell r="X548" t="str">
            <v>GAVIN</v>
          </cell>
          <cell r="Y548"/>
          <cell r="Z548" t="str">
            <v>GAVIN 11/5/18</v>
          </cell>
          <cell r="AA548"/>
          <cell r="AB548">
            <v>43231</v>
          </cell>
          <cell r="AC548">
            <v>4546</v>
          </cell>
        </row>
        <row r="549">
          <cell r="B549">
            <v>2443</v>
          </cell>
          <cell r="C549" t="str">
            <v>TS-263</v>
          </cell>
          <cell r="D549"/>
          <cell r="E549"/>
          <cell r="F549" t="str">
            <v>C/T 65/35</v>
          </cell>
          <cell r="G549" t="str">
            <v>65% COTTON 35% POLYESTER</v>
          </cell>
          <cell r="H549" t="str">
            <v>57/58</v>
          </cell>
          <cell r="I549">
            <v>89</v>
          </cell>
          <cell r="J549">
            <v>1.1100000000000001</v>
          </cell>
          <cell r="K549">
            <v>1.24</v>
          </cell>
          <cell r="L549">
            <v>1.1299999999999999</v>
          </cell>
          <cell r="M549">
            <v>1.27</v>
          </cell>
          <cell r="N549">
            <v>1.1499999999999999</v>
          </cell>
          <cell r="O549">
            <v>1.3</v>
          </cell>
          <cell r="P549"/>
          <cell r="Q549"/>
          <cell r="R549">
            <v>1.3</v>
          </cell>
          <cell r="S549">
            <v>1.55</v>
          </cell>
          <cell r="T549"/>
          <cell r="U549"/>
          <cell r="V549">
            <v>15</v>
          </cell>
          <cell r="W549"/>
          <cell r="X549" t="str">
            <v>GAVIN</v>
          </cell>
          <cell r="Y549"/>
          <cell r="Z549" t="str">
            <v>GAVIN 11/5/18</v>
          </cell>
          <cell r="AA549"/>
          <cell r="AB549">
            <v>43231</v>
          </cell>
          <cell r="AC549">
            <v>4547</v>
          </cell>
        </row>
        <row r="550">
          <cell r="B550">
            <v>4336</v>
          </cell>
          <cell r="C550" t="str">
            <v>TPP05023</v>
          </cell>
          <cell r="D550" t="str">
            <v>VISCOSE SATEEN</v>
          </cell>
          <cell r="E550" t="str">
            <v>60*60/140*90</v>
          </cell>
          <cell r="F550" t="str">
            <v>R100%</v>
          </cell>
          <cell r="G550" t="str">
            <v>100% RAYON</v>
          </cell>
          <cell r="H550" t="str">
            <v>56/57</v>
          </cell>
          <cell r="I550" t="str">
            <v>100GSM</v>
          </cell>
          <cell r="J550">
            <v>1.82</v>
          </cell>
          <cell r="K550">
            <v>1.98</v>
          </cell>
          <cell r="L550">
            <v>1.84</v>
          </cell>
          <cell r="M550">
            <v>2.02</v>
          </cell>
          <cell r="N550">
            <v>1.86</v>
          </cell>
          <cell r="O550">
            <v>2.06</v>
          </cell>
          <cell r="P550"/>
          <cell r="Q550"/>
          <cell r="R550">
            <v>1.96</v>
          </cell>
          <cell r="S550">
            <v>2.2599999999999998</v>
          </cell>
          <cell r="T550"/>
          <cell r="U550"/>
          <cell r="V550">
            <v>15</v>
          </cell>
          <cell r="W550"/>
          <cell r="X550" t="str">
            <v>JEFFREY (S)</v>
          </cell>
          <cell r="Y550"/>
          <cell r="Z550" t="str">
            <v>JEFFREY 10/5/18</v>
          </cell>
          <cell r="AA550"/>
          <cell r="AB550">
            <v>43230</v>
          </cell>
          <cell r="AC550">
            <v>4574</v>
          </cell>
        </row>
        <row r="551">
          <cell r="B551">
            <v>4332</v>
          </cell>
          <cell r="C551" t="str">
            <v>BG3550</v>
          </cell>
          <cell r="D551" t="str">
            <v>SATEEN VISCOSE</v>
          </cell>
          <cell r="E551" t="str">
            <v>60S*60S/190*40</v>
          </cell>
          <cell r="F551" t="str">
            <v>V100%</v>
          </cell>
          <cell r="G551" t="str">
            <v>100%VISCOSE</v>
          </cell>
          <cell r="H551" t="str">
            <v>53/54</v>
          </cell>
          <cell r="I551" t="str">
            <v>105GSM</v>
          </cell>
          <cell r="J551">
            <v>1.72</v>
          </cell>
          <cell r="K551">
            <v>2.0499999999999998</v>
          </cell>
          <cell r="L551">
            <v>1.73</v>
          </cell>
          <cell r="M551">
            <v>2.1</v>
          </cell>
          <cell r="N551">
            <v>1.75</v>
          </cell>
          <cell r="O551">
            <v>2.15</v>
          </cell>
          <cell r="P551"/>
          <cell r="Q551"/>
          <cell r="R551">
            <v>1.95</v>
          </cell>
          <cell r="S551">
            <v>2.6</v>
          </cell>
          <cell r="T551"/>
          <cell r="U551"/>
          <cell r="V551">
            <v>15</v>
          </cell>
          <cell r="W551"/>
          <cell r="X551" t="str">
            <v>EDWIN</v>
          </cell>
          <cell r="Y551" t="str">
            <v>DMCARE-TRI-01</v>
          </cell>
          <cell r="Z551" t="str">
            <v>EDWIN 10/5/18</v>
          </cell>
          <cell r="AA551"/>
          <cell r="AB551">
            <v>43230</v>
          </cell>
          <cell r="AC551">
            <v>4573</v>
          </cell>
        </row>
        <row r="552">
          <cell r="B552">
            <v>4331</v>
          </cell>
          <cell r="C552" t="str">
            <v>TS-569</v>
          </cell>
          <cell r="D552" t="str">
            <v>RAYON SATEEN</v>
          </cell>
          <cell r="E552"/>
          <cell r="F552" t="str">
            <v>R100%</v>
          </cell>
          <cell r="G552" t="str">
            <v xml:space="preserve">100% RAYON </v>
          </cell>
          <cell r="H552" t="str">
            <v>54/55</v>
          </cell>
          <cell r="I552" t="str">
            <v>95-100GSM</v>
          </cell>
          <cell r="J552">
            <v>1.63</v>
          </cell>
          <cell r="K552">
            <v>1.71</v>
          </cell>
          <cell r="L552">
            <v>1.65</v>
          </cell>
          <cell r="M552">
            <v>1.74</v>
          </cell>
          <cell r="N552">
            <v>1.67</v>
          </cell>
          <cell r="O552">
            <v>1.77</v>
          </cell>
          <cell r="P552"/>
          <cell r="Q552"/>
          <cell r="R552">
            <v>1.82</v>
          </cell>
          <cell r="S552">
            <v>2.02</v>
          </cell>
          <cell r="T552"/>
          <cell r="U552"/>
          <cell r="V552">
            <v>15</v>
          </cell>
          <cell r="W552"/>
          <cell r="X552" t="str">
            <v>GAVIN</v>
          </cell>
          <cell r="Y552"/>
          <cell r="Z552" t="str">
            <v>GAVIN 10/5/18</v>
          </cell>
          <cell r="AA552"/>
          <cell r="AB552">
            <v>43230</v>
          </cell>
          <cell r="AC552">
            <v>4570</v>
          </cell>
        </row>
        <row r="553">
          <cell r="B553">
            <v>3770</v>
          </cell>
          <cell r="C553" t="str">
            <v>TS-486</v>
          </cell>
          <cell r="D553"/>
          <cell r="E553"/>
          <cell r="F553" t="str">
            <v>T100%</v>
          </cell>
          <cell r="G553" t="str">
            <v xml:space="preserve">100% POLYESTER </v>
          </cell>
          <cell r="H553" t="str">
            <v>57/58</v>
          </cell>
          <cell r="I553" t="str">
            <v xml:space="preserve">190GSM </v>
          </cell>
          <cell r="J553">
            <v>2.04</v>
          </cell>
          <cell r="K553">
            <v>2.12</v>
          </cell>
          <cell r="L553">
            <v>2.06</v>
          </cell>
          <cell r="M553">
            <v>2.15</v>
          </cell>
          <cell r="N553">
            <v>2.08</v>
          </cell>
          <cell r="O553">
            <v>2.1800000000000002</v>
          </cell>
          <cell r="P553"/>
          <cell r="Q553"/>
          <cell r="R553">
            <v>2.23</v>
          </cell>
          <cell r="S553">
            <v>2.4300000000000002</v>
          </cell>
          <cell r="T553"/>
          <cell r="U553"/>
          <cell r="V553">
            <v>15</v>
          </cell>
          <cell r="W553"/>
          <cell r="X553" t="str">
            <v>GAVIN</v>
          </cell>
          <cell r="Y553"/>
          <cell r="Z553" t="str">
            <v>GAVIN 10/5/18</v>
          </cell>
          <cell r="AA553"/>
          <cell r="AB553">
            <v>43230</v>
          </cell>
          <cell r="AC553">
            <v>4571</v>
          </cell>
        </row>
        <row r="554">
          <cell r="B554">
            <v>3341</v>
          </cell>
          <cell r="C554" t="str">
            <v>OLP-1761506JLH</v>
          </cell>
          <cell r="D554" t="str">
            <v>Y/D COTTON</v>
          </cell>
          <cell r="E554" t="str">
            <v>40*40</v>
          </cell>
          <cell r="F554" t="str">
            <v>C100%</v>
          </cell>
          <cell r="G554" t="str">
            <v>100% COTTON</v>
          </cell>
          <cell r="H554" t="str">
            <v>57/58</v>
          </cell>
          <cell r="I554">
            <v>92</v>
          </cell>
          <cell r="J554">
            <v>1.63</v>
          </cell>
          <cell r="K554"/>
          <cell r="L554">
            <v>1.65</v>
          </cell>
          <cell r="M554"/>
          <cell r="N554">
            <v>1.69</v>
          </cell>
          <cell r="O554"/>
          <cell r="P554"/>
          <cell r="Q554"/>
          <cell r="R554">
            <v>3.15</v>
          </cell>
          <cell r="S554"/>
          <cell r="T554"/>
          <cell r="U554"/>
          <cell r="V554"/>
          <cell r="W554"/>
          <cell r="X554" t="str">
            <v>OWEN</v>
          </cell>
          <cell r="Y554" t="str">
            <v>DMCARE-TRI-01</v>
          </cell>
          <cell r="Z554" t="str">
            <v>JOAN 10/5/18</v>
          </cell>
          <cell r="AA554"/>
          <cell r="AB554">
            <v>43230</v>
          </cell>
          <cell r="AC554">
            <v>4575</v>
          </cell>
        </row>
        <row r="555">
          <cell r="B555">
            <v>1641</v>
          </cell>
          <cell r="C555" t="str">
            <v>BG3091</v>
          </cell>
          <cell r="D555"/>
          <cell r="E555"/>
          <cell r="F555" t="str">
            <v>V100%</v>
          </cell>
          <cell r="G555" t="str">
            <v xml:space="preserve">100% VISCOSE </v>
          </cell>
          <cell r="H555" t="str">
            <v>55/56</v>
          </cell>
          <cell r="I555" t="str">
            <v>131</v>
          </cell>
          <cell r="J555">
            <v>2.8</v>
          </cell>
          <cell r="K555">
            <v>3.55</v>
          </cell>
          <cell r="L555">
            <v>2.83</v>
          </cell>
          <cell r="M555">
            <v>3.6</v>
          </cell>
          <cell r="N555">
            <v>2.85</v>
          </cell>
          <cell r="O555">
            <v>3.65</v>
          </cell>
          <cell r="P555"/>
          <cell r="Q555"/>
          <cell r="R555">
            <v>3.1</v>
          </cell>
          <cell r="S555">
            <v>4.3</v>
          </cell>
          <cell r="T555"/>
          <cell r="U555"/>
          <cell r="V555">
            <v>15</v>
          </cell>
          <cell r="W555"/>
          <cell r="X555" t="str">
            <v>EDWIN</v>
          </cell>
          <cell r="Y555" t="str">
            <v>DMCARE-TRI-01</v>
          </cell>
          <cell r="Z555" t="str">
            <v>EDWIN 10/5/18</v>
          </cell>
          <cell r="AA555"/>
          <cell r="AB555">
            <v>43230</v>
          </cell>
          <cell r="AC555">
            <v>4572</v>
          </cell>
        </row>
        <row r="556">
          <cell r="B556">
            <v>4335</v>
          </cell>
          <cell r="C556" t="str">
            <v xml:space="preserve">SJ151239 </v>
          </cell>
          <cell r="D556" t="str">
            <v>VISCOSE SATEEN</v>
          </cell>
          <cell r="E556" t="str">
            <v>60*60/140*90</v>
          </cell>
          <cell r="F556" t="str">
            <v>V100%</v>
          </cell>
          <cell r="G556" t="str">
            <v xml:space="preserve">100% VISCOSE </v>
          </cell>
          <cell r="H556" t="str">
            <v xml:space="preserve">57/58 </v>
          </cell>
          <cell r="I556">
            <v>95</v>
          </cell>
          <cell r="J556">
            <v>2.13</v>
          </cell>
          <cell r="K556">
            <v>2.4700000000000002</v>
          </cell>
          <cell r="L556">
            <v>2.16</v>
          </cell>
          <cell r="M556">
            <v>2.5</v>
          </cell>
          <cell r="N556">
            <v>2.16</v>
          </cell>
          <cell r="O556">
            <v>2.5</v>
          </cell>
          <cell r="P556"/>
          <cell r="Q556"/>
          <cell r="R556">
            <v>2.46</v>
          </cell>
          <cell r="S556">
            <v>2.9</v>
          </cell>
          <cell r="T556"/>
          <cell r="U556"/>
          <cell r="V556">
            <v>15</v>
          </cell>
          <cell r="W556"/>
          <cell r="X556" t="str">
            <v>GLORIA (S)</v>
          </cell>
          <cell r="Y556"/>
          <cell r="Z556" t="str">
            <v>GLORIA 7/5/18</v>
          </cell>
          <cell r="AA556"/>
          <cell r="AB556">
            <v>43227</v>
          </cell>
          <cell r="AC556">
            <v>4588</v>
          </cell>
        </row>
        <row r="557">
          <cell r="B557">
            <v>4330</v>
          </cell>
          <cell r="C557" t="str">
            <v>ST-WV1590-PF</v>
          </cell>
          <cell r="D557" t="str">
            <v>CREPE WITH FOIL PRINT</v>
          </cell>
          <cell r="E557"/>
          <cell r="F557" t="str">
            <v>T100%</v>
          </cell>
          <cell r="G557" t="str">
            <v>100%POLYESTER</v>
          </cell>
          <cell r="H557">
            <v>57</v>
          </cell>
          <cell r="I557">
            <v>105</v>
          </cell>
          <cell r="J557"/>
          <cell r="K557">
            <v>1.78</v>
          </cell>
          <cell r="L557"/>
          <cell r="M557">
            <v>1.82</v>
          </cell>
          <cell r="N557"/>
          <cell r="O557">
            <v>1.84</v>
          </cell>
          <cell r="P557"/>
          <cell r="Q557"/>
          <cell r="R557"/>
          <cell r="S557">
            <v>1.9</v>
          </cell>
          <cell r="T557"/>
          <cell r="U557"/>
          <cell r="V557">
            <v>15</v>
          </cell>
          <cell r="W557" t="str">
            <v>FOIL PRINT</v>
          </cell>
          <cell r="X557" t="str">
            <v>LILY</v>
          </cell>
          <cell r="Y557" t="str">
            <v>DMCARE-TRI-03</v>
          </cell>
          <cell r="Z557" t="str">
            <v>LILY 7/5/18</v>
          </cell>
          <cell r="AA557"/>
          <cell r="AB557">
            <v>43227</v>
          </cell>
          <cell r="AC557">
            <v>4587</v>
          </cell>
        </row>
        <row r="558">
          <cell r="B558">
            <v>4329</v>
          </cell>
          <cell r="C558" t="str">
            <v xml:space="preserve">SJ10057 </v>
          </cell>
          <cell r="D558"/>
          <cell r="E558" t="str">
            <v xml:space="preserve">(15D+15D)*50D </v>
          </cell>
          <cell r="F558" t="str">
            <v>T100%</v>
          </cell>
          <cell r="G558" t="str">
            <v xml:space="preserve">100% POLYESTER </v>
          </cell>
          <cell r="H558" t="str">
            <v xml:space="preserve">57/58 </v>
          </cell>
          <cell r="I558" t="str">
            <v xml:space="preserve">80GSM </v>
          </cell>
          <cell r="J558">
            <v>1.98</v>
          </cell>
          <cell r="K558">
            <v>2.25</v>
          </cell>
          <cell r="L558">
            <v>2</v>
          </cell>
          <cell r="M558">
            <v>2.27</v>
          </cell>
          <cell r="N558">
            <v>2</v>
          </cell>
          <cell r="O558">
            <v>2.27</v>
          </cell>
          <cell r="P558"/>
          <cell r="Q558"/>
          <cell r="R558">
            <v>2.35</v>
          </cell>
          <cell r="S558">
            <v>2.75</v>
          </cell>
          <cell r="T558"/>
          <cell r="U558"/>
          <cell r="V558">
            <v>15</v>
          </cell>
          <cell r="W558"/>
          <cell r="X558" t="str">
            <v>GLORIA (S)</v>
          </cell>
          <cell r="Y558"/>
          <cell r="Z558" t="str">
            <v>GLORIA 7/5/18</v>
          </cell>
          <cell r="AA558"/>
          <cell r="AB558">
            <v>43227</v>
          </cell>
          <cell r="AC558">
            <v>4580</v>
          </cell>
        </row>
        <row r="559">
          <cell r="B559">
            <v>4327</v>
          </cell>
          <cell r="C559" t="str">
            <v>TCNZ0001</v>
          </cell>
          <cell r="D559" t="str">
            <v>DENIM</v>
          </cell>
          <cell r="E559" t="str">
            <v>30*30 113*63</v>
          </cell>
          <cell r="F559" t="str">
            <v>TENCEL/C 35/65</v>
          </cell>
          <cell r="G559" t="str">
            <v>35% TENCEL 65% COTTON</v>
          </cell>
          <cell r="H559" t="str">
            <v>57/58</v>
          </cell>
          <cell r="I559" t="str">
            <v>150GSM</v>
          </cell>
          <cell r="J559">
            <v>1.94</v>
          </cell>
          <cell r="K559"/>
          <cell r="L559">
            <v>1.94</v>
          </cell>
          <cell r="M559"/>
          <cell r="N559">
            <v>1.94</v>
          </cell>
          <cell r="O559"/>
          <cell r="P559"/>
          <cell r="Q559"/>
          <cell r="R559">
            <v>1.94</v>
          </cell>
          <cell r="S559"/>
          <cell r="T559"/>
          <cell r="U559"/>
          <cell r="V559">
            <v>15</v>
          </cell>
          <cell r="W559"/>
          <cell r="X559" t="str">
            <v>SHOW</v>
          </cell>
          <cell r="Y559"/>
          <cell r="Z559" t="str">
            <v>SHOW 7/5/18 BY WECHAT</v>
          </cell>
          <cell r="AA559"/>
          <cell r="AB559">
            <v>43227</v>
          </cell>
          <cell r="AC559">
            <v>4578</v>
          </cell>
        </row>
        <row r="560">
          <cell r="B560">
            <v>4326</v>
          </cell>
          <cell r="C560" t="str">
            <v>TNZ0002</v>
          </cell>
          <cell r="D560" t="str">
            <v>DENIM</v>
          </cell>
          <cell r="E560" t="str">
            <v>30*30 113*63</v>
          </cell>
          <cell r="F560" t="str">
            <v>TENCEL 100%</v>
          </cell>
          <cell r="G560" t="str">
            <v>100% TENCEL</v>
          </cell>
          <cell r="H560" t="str">
            <v>59/60</v>
          </cell>
          <cell r="I560" t="str">
            <v>150GSM</v>
          </cell>
          <cell r="J560">
            <v>2.1800000000000002</v>
          </cell>
          <cell r="K560"/>
          <cell r="L560">
            <v>2.1800000000000002</v>
          </cell>
          <cell r="M560"/>
          <cell r="N560">
            <v>2.1800000000000002</v>
          </cell>
          <cell r="O560"/>
          <cell r="P560"/>
          <cell r="Q560"/>
          <cell r="R560">
            <v>2.1800000000000002</v>
          </cell>
          <cell r="S560"/>
          <cell r="T560"/>
          <cell r="U560"/>
          <cell r="V560">
            <v>15</v>
          </cell>
          <cell r="W560"/>
          <cell r="X560" t="str">
            <v>SHOW</v>
          </cell>
          <cell r="Y560"/>
          <cell r="Z560" t="str">
            <v>SHOW 7/5/18 BY WECHAT</v>
          </cell>
          <cell r="AA560"/>
          <cell r="AB560">
            <v>43227</v>
          </cell>
          <cell r="AC560">
            <v>4589</v>
          </cell>
        </row>
        <row r="561">
          <cell r="B561">
            <v>4325</v>
          </cell>
          <cell r="C561" t="str">
            <v>TCNZ0002</v>
          </cell>
          <cell r="D561" t="str">
            <v>DENIM</v>
          </cell>
          <cell r="E561" t="str">
            <v>21*21 106*60</v>
          </cell>
          <cell r="F561" t="str">
            <v>TENCEL/C 35/65</v>
          </cell>
          <cell r="G561" t="str">
            <v>35% TENCEL 65% COTTON</v>
          </cell>
          <cell r="H561" t="str">
            <v>57/58</v>
          </cell>
          <cell r="I561" t="str">
            <v>190GSM</v>
          </cell>
          <cell r="J561">
            <v>2.25</v>
          </cell>
          <cell r="K561"/>
          <cell r="L561">
            <v>2.25</v>
          </cell>
          <cell r="M561"/>
          <cell r="N561">
            <v>2.25</v>
          </cell>
          <cell r="O561"/>
          <cell r="P561"/>
          <cell r="Q561"/>
          <cell r="R561">
            <v>2.25</v>
          </cell>
          <cell r="S561"/>
          <cell r="T561"/>
          <cell r="U561"/>
          <cell r="V561">
            <v>15</v>
          </cell>
          <cell r="W561"/>
          <cell r="X561" t="str">
            <v>SHOW</v>
          </cell>
          <cell r="Y561"/>
          <cell r="Z561" t="str">
            <v>SHOW 7/5/18 BY WECHAT</v>
          </cell>
          <cell r="AA561"/>
          <cell r="AB561">
            <v>43227</v>
          </cell>
          <cell r="AC561">
            <v>4579</v>
          </cell>
        </row>
        <row r="562">
          <cell r="B562">
            <v>4324</v>
          </cell>
          <cell r="C562" t="str">
            <v>TNZ0002-1</v>
          </cell>
          <cell r="D562" t="str">
            <v>CHAMBREY</v>
          </cell>
          <cell r="E562" t="str">
            <v>30*30 113*63</v>
          </cell>
          <cell r="F562" t="str">
            <v>TENCEL 100%</v>
          </cell>
          <cell r="G562" t="str">
            <v>100% TENCEL</v>
          </cell>
          <cell r="H562" t="str">
            <v>59/60</v>
          </cell>
          <cell r="I562" t="str">
            <v>150GSM</v>
          </cell>
          <cell r="J562">
            <v>2.2799999999999998</v>
          </cell>
          <cell r="K562"/>
          <cell r="L562">
            <v>2.2799999999999998</v>
          </cell>
          <cell r="M562"/>
          <cell r="N562">
            <v>2.2799999999999998</v>
          </cell>
          <cell r="O562"/>
          <cell r="P562"/>
          <cell r="Q562"/>
          <cell r="R562">
            <v>2.2799999999999998</v>
          </cell>
          <cell r="S562"/>
          <cell r="T562"/>
          <cell r="U562"/>
          <cell r="V562">
            <v>15</v>
          </cell>
          <cell r="W562"/>
          <cell r="X562" t="str">
            <v>SHOW</v>
          </cell>
          <cell r="Y562"/>
          <cell r="Z562" t="str">
            <v>SHOW 7/5/18 BY WECHAT</v>
          </cell>
          <cell r="AA562"/>
          <cell r="AB562">
            <v>43227</v>
          </cell>
          <cell r="AC562">
            <v>4590</v>
          </cell>
        </row>
        <row r="563">
          <cell r="B563">
            <v>4323</v>
          </cell>
          <cell r="C563" t="str">
            <v>LRS0008</v>
          </cell>
          <cell r="D563" t="str">
            <v>LINEN</v>
          </cell>
          <cell r="E563" t="str">
            <v>14*14/54*54</v>
          </cell>
          <cell r="F563" t="str">
            <v>LINEN 10%</v>
          </cell>
          <cell r="G563" t="str">
            <v>100% LINEN</v>
          </cell>
          <cell r="H563" t="str">
            <v>53/54</v>
          </cell>
          <cell r="I563" t="str">
            <v>165GSM</v>
          </cell>
          <cell r="J563">
            <v>3.73</v>
          </cell>
          <cell r="K563">
            <v>4.1500000000000004</v>
          </cell>
          <cell r="L563">
            <v>3.73</v>
          </cell>
          <cell r="M563">
            <v>4.1500000000000004</v>
          </cell>
          <cell r="N563">
            <v>3.77</v>
          </cell>
          <cell r="O563">
            <v>4.1900000000000004</v>
          </cell>
          <cell r="P563"/>
          <cell r="Q563"/>
          <cell r="R563">
            <v>3.8</v>
          </cell>
          <cell r="S563">
            <v>4.22</v>
          </cell>
          <cell r="T563"/>
          <cell r="U563"/>
          <cell r="V563">
            <v>15</v>
          </cell>
          <cell r="W563"/>
          <cell r="X563" t="str">
            <v>SHOW</v>
          </cell>
          <cell r="Y563"/>
          <cell r="Z563" t="str">
            <v>SHOW 7/5/18 BY WECHAT</v>
          </cell>
          <cell r="AA563"/>
          <cell r="AB563">
            <v>43227</v>
          </cell>
          <cell r="AC563">
            <v>4577</v>
          </cell>
        </row>
        <row r="564">
          <cell r="B564">
            <v>3882</v>
          </cell>
          <cell r="C564" t="str">
            <v>BG3927</v>
          </cell>
          <cell r="D564"/>
          <cell r="E564"/>
          <cell r="F564" t="str">
            <v>R100%</v>
          </cell>
          <cell r="G564" t="str">
            <v>100% RAYON</v>
          </cell>
          <cell r="H564" t="str">
            <v>53/54</v>
          </cell>
          <cell r="I564">
            <v>110</v>
          </cell>
          <cell r="J564">
            <v>1.87</v>
          </cell>
          <cell r="K564">
            <v>2.2000000000000002</v>
          </cell>
          <cell r="L564">
            <v>1.9</v>
          </cell>
          <cell r="M564">
            <v>2.25</v>
          </cell>
          <cell r="N564">
            <v>1.92</v>
          </cell>
          <cell r="O564">
            <v>2.2999999999999998</v>
          </cell>
          <cell r="P564"/>
          <cell r="Q564"/>
          <cell r="R564">
            <v>2.15</v>
          </cell>
          <cell r="S564">
            <v>2.8</v>
          </cell>
          <cell r="T564"/>
          <cell r="U564"/>
          <cell r="V564">
            <v>15</v>
          </cell>
          <cell r="W564"/>
          <cell r="X564" t="str">
            <v>EDWIN</v>
          </cell>
          <cell r="Y564" t="str">
            <v>DMCARE-TRI-01</v>
          </cell>
          <cell r="Z564" t="str">
            <v>EDWIN 7/45/18</v>
          </cell>
          <cell r="AA564"/>
          <cell r="AB564">
            <v>43227</v>
          </cell>
          <cell r="AC564">
            <v>4581</v>
          </cell>
        </row>
        <row r="565">
          <cell r="B565">
            <v>3687</v>
          </cell>
          <cell r="C565" t="str">
            <v>1172 ( 1171)</v>
          </cell>
          <cell r="D565" t="str">
            <v>CREPE</v>
          </cell>
          <cell r="E565"/>
          <cell r="F565" t="str">
            <v>T100%</v>
          </cell>
          <cell r="G565" t="str">
            <v>100% POLYESTER</v>
          </cell>
          <cell r="H565" t="str">
            <v>1.48/58</v>
          </cell>
          <cell r="I565">
            <v>115</v>
          </cell>
          <cell r="J565">
            <v>1.5929203539823009</v>
          </cell>
          <cell r="K565"/>
          <cell r="L565">
            <v>1.5929203539823009</v>
          </cell>
          <cell r="M565"/>
          <cell r="N565">
            <v>1.5929203539823009</v>
          </cell>
          <cell r="O565"/>
          <cell r="P565"/>
          <cell r="Q565"/>
          <cell r="R565">
            <v>1.5929203539823009</v>
          </cell>
          <cell r="S565"/>
          <cell r="T565"/>
          <cell r="U565"/>
          <cell r="V565">
            <v>15</v>
          </cell>
          <cell r="W565"/>
          <cell r="X565" t="str">
            <v>NHAT NHAT NAM</v>
          </cell>
          <cell r="Y565" t="str">
            <v>BAO GIA CTY - AMW</v>
          </cell>
          <cell r="Z565" t="str">
            <v>THOA ' MAIL 7/5/17</v>
          </cell>
          <cell r="AA565"/>
          <cell r="AB565">
            <v>43227</v>
          </cell>
          <cell r="AC565">
            <v>4583</v>
          </cell>
        </row>
        <row r="566">
          <cell r="B566">
            <v>3249</v>
          </cell>
          <cell r="C566" t="str">
            <v>CK5559</v>
          </cell>
          <cell r="D566"/>
          <cell r="E566"/>
          <cell r="F566" t="str">
            <v>T/S 95/5</v>
          </cell>
          <cell r="G566" t="str">
            <v>95% POLYESTER 5% SPANDEX</v>
          </cell>
          <cell r="H566" t="str">
            <v>152CM</v>
          </cell>
          <cell r="I566">
            <v>252</v>
          </cell>
          <cell r="J566">
            <v>1.5</v>
          </cell>
          <cell r="K566">
            <v>1.85</v>
          </cell>
          <cell r="L566">
            <v>1.55</v>
          </cell>
          <cell r="M566">
            <v>1.9</v>
          </cell>
          <cell r="N566">
            <v>1.6</v>
          </cell>
          <cell r="O566">
            <v>1.95</v>
          </cell>
          <cell r="P566"/>
          <cell r="Q566"/>
          <cell r="R566">
            <v>1.65</v>
          </cell>
          <cell r="S566">
            <v>2</v>
          </cell>
          <cell r="T566"/>
          <cell r="U566"/>
          <cell r="V566">
            <v>15</v>
          </cell>
          <cell r="W566"/>
          <cell r="X566" t="str">
            <v>PANI</v>
          </cell>
          <cell r="Y566" t="str">
            <v>DMCARE-TRI-02</v>
          </cell>
          <cell r="Z566" t="str">
            <v>AMY 7/5/18</v>
          </cell>
          <cell r="AA566"/>
          <cell r="AB566">
            <v>43227</v>
          </cell>
          <cell r="AC566">
            <v>4584</v>
          </cell>
        </row>
        <row r="567">
          <cell r="B567">
            <v>2700</v>
          </cell>
          <cell r="C567" t="str">
            <v>HLT3081</v>
          </cell>
          <cell r="D567"/>
          <cell r="E567"/>
          <cell r="F567" t="str">
            <v>T100%</v>
          </cell>
          <cell r="G567" t="str">
            <v>100% POLYESTER</v>
          </cell>
          <cell r="H567" t="str">
            <v>151 CM</v>
          </cell>
          <cell r="I567">
            <v>145</v>
          </cell>
          <cell r="J567">
            <v>2.6248299319727901</v>
          </cell>
          <cell r="K567"/>
          <cell r="L567">
            <v>2.67482993197279</v>
          </cell>
          <cell r="M567"/>
          <cell r="N567">
            <v>2.77482993197279</v>
          </cell>
          <cell r="O567"/>
          <cell r="P567"/>
          <cell r="Q567"/>
          <cell r="R567">
            <v>2.9</v>
          </cell>
          <cell r="S567"/>
          <cell r="T567"/>
          <cell r="U567"/>
          <cell r="V567">
            <v>15</v>
          </cell>
          <cell r="W567"/>
          <cell r="X567" t="str">
            <v>CANDY</v>
          </cell>
          <cell r="Y567" t="str">
            <v>DMCARE-TRI-01</v>
          </cell>
          <cell r="Z567" t="str">
            <v>LEI WANG 7/5/18</v>
          </cell>
          <cell r="AA567"/>
          <cell r="AB567">
            <v>43227</v>
          </cell>
          <cell r="AC567">
            <v>4582</v>
          </cell>
        </row>
        <row r="568">
          <cell r="B568">
            <v>4322</v>
          </cell>
          <cell r="C568" t="str">
            <v>BG3117</v>
          </cell>
          <cell r="D568" t="str">
            <v>CRINKLE COTTON</v>
          </cell>
          <cell r="E568" t="str">
            <v>40S*40S</v>
          </cell>
          <cell r="F568" t="str">
            <v>C100%</v>
          </cell>
          <cell r="G568" t="str">
            <v>100%COTTON</v>
          </cell>
          <cell r="H568" t="str">
            <v>54/55</v>
          </cell>
          <cell r="I568">
            <v>120</v>
          </cell>
          <cell r="J568">
            <v>1.75</v>
          </cell>
          <cell r="K568">
            <v>2.2000000000000002</v>
          </cell>
          <cell r="L568">
            <v>1.78</v>
          </cell>
          <cell r="M568">
            <v>2.25</v>
          </cell>
          <cell r="N568">
            <v>1.8</v>
          </cell>
          <cell r="O568">
            <v>2.2999999999999998</v>
          </cell>
          <cell r="P568"/>
          <cell r="Q568"/>
          <cell r="R568">
            <v>2</v>
          </cell>
          <cell r="S568">
            <v>3</v>
          </cell>
          <cell r="T568"/>
          <cell r="U568"/>
          <cell r="V568">
            <v>15</v>
          </cell>
          <cell r="W568"/>
          <cell r="X568" t="str">
            <v>EDWIN</v>
          </cell>
          <cell r="Y568" t="str">
            <v>DMCARE-TRI-02</v>
          </cell>
          <cell r="Z568" t="str">
            <v>EDWIN 5/5/18</v>
          </cell>
          <cell r="AA568"/>
          <cell r="AB568">
            <v>43225</v>
          </cell>
          <cell r="AC568">
            <v>4591</v>
          </cell>
        </row>
        <row r="569">
          <cell r="B569">
            <v>534</v>
          </cell>
          <cell r="C569" t="str">
            <v>14073014HP</v>
          </cell>
          <cell r="D569"/>
          <cell r="E569"/>
          <cell r="F569" t="str">
            <v>N/R 65/35</v>
          </cell>
          <cell r="G569" t="str">
            <v>65% NYLON 35% RAYON</v>
          </cell>
          <cell r="H569" t="str">
            <v>57/58</v>
          </cell>
          <cell r="I569">
            <v>115</v>
          </cell>
          <cell r="J569">
            <v>2.2799999999999998</v>
          </cell>
          <cell r="K569"/>
          <cell r="L569">
            <v>2.35</v>
          </cell>
          <cell r="M569"/>
          <cell r="N569">
            <v>2.4</v>
          </cell>
          <cell r="O569"/>
          <cell r="P569"/>
          <cell r="Q569"/>
          <cell r="R569">
            <v>2.5</v>
          </cell>
          <cell r="S569"/>
          <cell r="T569"/>
          <cell r="U569"/>
          <cell r="V569">
            <v>15</v>
          </cell>
          <cell r="W569"/>
          <cell r="X569" t="str">
            <v>OWEN</v>
          </cell>
          <cell r="Y569" t="str">
            <v>DMCARE-TRI-01</v>
          </cell>
          <cell r="Z569" t="str">
            <v>JOAN 4/5/18</v>
          </cell>
          <cell r="AA569"/>
          <cell r="AB569">
            <v>43224</v>
          </cell>
          <cell r="AC569">
            <v>4592</v>
          </cell>
        </row>
        <row r="570">
          <cell r="B570">
            <v>4314</v>
          </cell>
          <cell r="C570" t="str">
            <v>ST-79442</v>
          </cell>
          <cell r="D570" t="str">
            <v>STRETCH CREPE</v>
          </cell>
          <cell r="E570"/>
          <cell r="F570" t="str">
            <v>T/S 97/3</v>
          </cell>
          <cell r="G570" t="str">
            <v>97% POLYESTER 3% SPANDEX</v>
          </cell>
          <cell r="H570" t="str">
            <v>57/58</v>
          </cell>
          <cell r="I570" t="str">
            <v>220-230</v>
          </cell>
          <cell r="J570">
            <v>1.4</v>
          </cell>
          <cell r="K570">
            <v>1.69</v>
          </cell>
          <cell r="L570">
            <v>1.41</v>
          </cell>
          <cell r="M570">
            <v>1.7</v>
          </cell>
          <cell r="N570">
            <v>1.42</v>
          </cell>
          <cell r="O570">
            <v>1.71</v>
          </cell>
          <cell r="P570"/>
          <cell r="Q570"/>
          <cell r="R570">
            <v>1.52</v>
          </cell>
          <cell r="S570">
            <v>1.81</v>
          </cell>
          <cell r="T570"/>
          <cell r="U570"/>
          <cell r="V570">
            <v>15</v>
          </cell>
          <cell r="W570"/>
          <cell r="X570" t="str">
            <v>SIGER</v>
          </cell>
          <cell r="Y570"/>
          <cell r="Z570" t="str">
            <v>CARA 3/5/18 BY WECHAT</v>
          </cell>
          <cell r="AA570"/>
          <cell r="AB570">
            <v>43223</v>
          </cell>
          <cell r="AC570">
            <v>4593</v>
          </cell>
        </row>
        <row r="571">
          <cell r="B571">
            <v>2278</v>
          </cell>
          <cell r="C571" t="str">
            <v>BG2880</v>
          </cell>
          <cell r="D571" t="str">
            <v>SLUB VISCOSE</v>
          </cell>
          <cell r="E571" t="str">
            <v>30S*30S</v>
          </cell>
          <cell r="F571" t="str">
            <v>R100%</v>
          </cell>
          <cell r="G571" t="str">
            <v>100% RAYON</v>
          </cell>
          <cell r="H571" t="str">
            <v>53/54</v>
          </cell>
          <cell r="I571">
            <v>145</v>
          </cell>
          <cell r="J571">
            <v>1.8</v>
          </cell>
          <cell r="K571">
            <v>2.2000000000000002</v>
          </cell>
          <cell r="L571">
            <v>1.83</v>
          </cell>
          <cell r="M571">
            <v>2.25</v>
          </cell>
          <cell r="N571">
            <v>1.85</v>
          </cell>
          <cell r="O571">
            <v>2.2999999999999998</v>
          </cell>
          <cell r="P571"/>
          <cell r="Q571"/>
          <cell r="R571">
            <v>2.1</v>
          </cell>
          <cell r="S571">
            <v>2.8</v>
          </cell>
          <cell r="T571"/>
          <cell r="U571"/>
          <cell r="V571">
            <v>15</v>
          </cell>
          <cell r="W571"/>
          <cell r="X571" t="str">
            <v>EDWIN</v>
          </cell>
          <cell r="Y571" t="str">
            <v>DMCARE-TRI-01</v>
          </cell>
          <cell r="Z571" t="str">
            <v>EDWIN 3/5/18</v>
          </cell>
          <cell r="AA571"/>
          <cell r="AB571">
            <v>43223</v>
          </cell>
          <cell r="AC571">
            <v>4594</v>
          </cell>
        </row>
        <row r="572">
          <cell r="B572">
            <v>3380</v>
          </cell>
          <cell r="C572" t="str">
            <v>T014</v>
          </cell>
          <cell r="D572"/>
          <cell r="E572"/>
          <cell r="F572" t="str">
            <v>T100%</v>
          </cell>
          <cell r="G572" t="str">
            <v>100%POLYESTER</v>
          </cell>
          <cell r="H572" t="str">
            <v>57/58</v>
          </cell>
          <cell r="I572">
            <v>80</v>
          </cell>
          <cell r="J572">
            <v>1.18</v>
          </cell>
          <cell r="K572">
            <v>1.44</v>
          </cell>
          <cell r="L572">
            <v>1.2</v>
          </cell>
          <cell r="M572">
            <v>1.49</v>
          </cell>
          <cell r="N572">
            <v>1.22</v>
          </cell>
          <cell r="O572">
            <v>1.55</v>
          </cell>
          <cell r="P572">
            <v>1.3</v>
          </cell>
          <cell r="Q572">
            <v>2.0099999999999998</v>
          </cell>
          <cell r="R572">
            <v>1.3</v>
          </cell>
          <cell r="S572">
            <v>2.0099999999999998</v>
          </cell>
          <cell r="T572"/>
          <cell r="U572"/>
          <cell r="V572">
            <v>15</v>
          </cell>
          <cell r="W572"/>
          <cell r="X572" t="str">
            <v>TERESA</v>
          </cell>
          <cell r="Y572"/>
          <cell r="Z572" t="str">
            <v>TERESA 2/5/18</v>
          </cell>
          <cell r="AA572"/>
          <cell r="AB572">
            <v>43222</v>
          </cell>
          <cell r="AC572">
            <v>4595</v>
          </cell>
        </row>
        <row r="573">
          <cell r="B573">
            <v>4313</v>
          </cell>
          <cell r="C573" t="str">
            <v>C1801</v>
          </cell>
          <cell r="D573" t="str">
            <v>ITY</v>
          </cell>
          <cell r="E573"/>
          <cell r="F573" t="str">
            <v>T/S 95/5</v>
          </cell>
          <cell r="G573" t="str">
            <v xml:space="preserve">95% POLYESTER  5% SPANDEX </v>
          </cell>
          <cell r="H573" t="str">
            <v>160CM</v>
          </cell>
          <cell r="I573" t="str">
            <v>170-180</v>
          </cell>
          <cell r="J573">
            <v>1.8575757575757577</v>
          </cell>
          <cell r="K573">
            <v>2.0090909090909093</v>
          </cell>
          <cell r="L573">
            <v>1.8575757575757577</v>
          </cell>
          <cell r="M573">
            <v>2.0090909090909093</v>
          </cell>
          <cell r="N573">
            <v>1.8575757575757577</v>
          </cell>
          <cell r="O573">
            <v>2.0090909090909093</v>
          </cell>
          <cell r="P573"/>
          <cell r="Q573"/>
          <cell r="R573">
            <v>1.8575757575757577</v>
          </cell>
          <cell r="S573">
            <v>2.0090909090909093</v>
          </cell>
          <cell r="T573"/>
          <cell r="U573"/>
          <cell r="V573">
            <v>15</v>
          </cell>
          <cell r="W573"/>
          <cell r="X573" t="str">
            <v>ANGEL</v>
          </cell>
          <cell r="Y573"/>
          <cell r="Z573" t="str">
            <v>ANGEL 28/4/18</v>
          </cell>
          <cell r="AA573"/>
          <cell r="AB573">
            <v>43218</v>
          </cell>
          <cell r="AC573">
            <v>4600</v>
          </cell>
        </row>
        <row r="574">
          <cell r="B574">
            <v>4312</v>
          </cell>
          <cell r="C574">
            <v>6858</v>
          </cell>
          <cell r="D574" t="str">
            <v xml:space="preserve">JERSEY CREPE </v>
          </cell>
          <cell r="E574"/>
          <cell r="F574" t="str">
            <v>T/S 95.5/4.5</v>
          </cell>
          <cell r="G574" t="str">
            <v xml:space="preserve">95.5% POLYESTER  4.5% SPANDEX </v>
          </cell>
          <cell r="H574" t="str">
            <v>150CM</v>
          </cell>
          <cell r="I574">
            <v>210</v>
          </cell>
          <cell r="J574">
            <v>2.1533333333333333</v>
          </cell>
          <cell r="K574">
            <v>2.3133333333333335</v>
          </cell>
          <cell r="L574">
            <v>2.1533333333333333</v>
          </cell>
          <cell r="M574">
            <v>2.3133333333333335</v>
          </cell>
          <cell r="N574">
            <v>2.1533333333333333</v>
          </cell>
          <cell r="O574">
            <v>2.3133333333333335</v>
          </cell>
          <cell r="P574"/>
          <cell r="Q574"/>
          <cell r="R574">
            <v>2.1533333333333333</v>
          </cell>
          <cell r="S574">
            <v>2.3133333333333335</v>
          </cell>
          <cell r="T574"/>
          <cell r="U574"/>
          <cell r="V574">
            <v>15</v>
          </cell>
          <cell r="W574"/>
          <cell r="X574" t="str">
            <v>ANGEL</v>
          </cell>
          <cell r="Y574"/>
          <cell r="Z574" t="str">
            <v>ANGEL 28/4/18</v>
          </cell>
          <cell r="AA574"/>
          <cell r="AB574">
            <v>43218</v>
          </cell>
          <cell r="AC574">
            <v>4598</v>
          </cell>
        </row>
        <row r="575">
          <cell r="B575">
            <v>4311</v>
          </cell>
          <cell r="C575">
            <v>153694</v>
          </cell>
          <cell r="D575" t="str">
            <v>MESH</v>
          </cell>
          <cell r="E575"/>
          <cell r="F575" t="str">
            <v>N/S 90/10</v>
          </cell>
          <cell r="G575" t="str">
            <v xml:space="preserve">90% NYLON  10% SPANDEX </v>
          </cell>
          <cell r="H575" t="str">
            <v>160CM</v>
          </cell>
          <cell r="I575">
            <v>78</v>
          </cell>
          <cell r="J575">
            <v>1.1757142857142857</v>
          </cell>
          <cell r="K575">
            <v>1.4528571428571428</v>
          </cell>
          <cell r="L575">
            <v>1.1757142857142857</v>
          </cell>
          <cell r="M575">
            <v>1.4528571428571428</v>
          </cell>
          <cell r="N575">
            <v>1.1757142857142857</v>
          </cell>
          <cell r="O575">
            <v>1.4528571428571428</v>
          </cell>
          <cell r="P575"/>
          <cell r="Q575"/>
          <cell r="R575">
            <v>1.1757142857142857</v>
          </cell>
          <cell r="S575">
            <v>1.4528571428571428</v>
          </cell>
          <cell r="T575"/>
          <cell r="U575"/>
          <cell r="V575">
            <v>15</v>
          </cell>
          <cell r="W575"/>
          <cell r="X575" t="str">
            <v>ANGEL</v>
          </cell>
          <cell r="Y575"/>
          <cell r="Z575" t="str">
            <v>ANGEL 28/4/18</v>
          </cell>
          <cell r="AA575"/>
          <cell r="AB575">
            <v>43218</v>
          </cell>
          <cell r="AC575">
            <v>4599</v>
          </cell>
        </row>
        <row r="576">
          <cell r="B576">
            <v>4310</v>
          </cell>
          <cell r="C576" t="str">
            <v>HHX-P3048</v>
          </cell>
          <cell r="D576" t="str">
            <v>TRICOLOR LACE</v>
          </cell>
          <cell r="E576"/>
          <cell r="F576" t="str">
            <v>N/S 92/8</v>
          </cell>
          <cell r="G576" t="str">
            <v xml:space="preserve">92% NYLON 8% SPANDEX </v>
          </cell>
          <cell r="H576" t="str">
            <v>150CM</v>
          </cell>
          <cell r="I576">
            <v>130</v>
          </cell>
          <cell r="J576">
            <v>1.55</v>
          </cell>
          <cell r="K576">
            <v>1.968</v>
          </cell>
          <cell r="L576">
            <v>1.55</v>
          </cell>
          <cell r="M576">
            <v>1.968</v>
          </cell>
          <cell r="N576">
            <v>1.55</v>
          </cell>
          <cell r="O576">
            <v>1.968</v>
          </cell>
          <cell r="P576"/>
          <cell r="Q576"/>
          <cell r="R576">
            <v>1.55</v>
          </cell>
          <cell r="S576">
            <v>1.968</v>
          </cell>
          <cell r="T576"/>
          <cell r="U576"/>
          <cell r="V576">
            <v>15</v>
          </cell>
          <cell r="W576"/>
          <cell r="X576" t="str">
            <v>ANGEL</v>
          </cell>
          <cell r="Y576"/>
          <cell r="Z576" t="str">
            <v>ANGEL 28/4/18</v>
          </cell>
          <cell r="AA576"/>
          <cell r="AB576">
            <v>43218</v>
          </cell>
          <cell r="AC576">
            <v>4597</v>
          </cell>
        </row>
        <row r="577">
          <cell r="B577">
            <v>4309</v>
          </cell>
          <cell r="C577">
            <v>739764</v>
          </cell>
          <cell r="D577" t="str">
            <v>ITY</v>
          </cell>
          <cell r="E577"/>
          <cell r="F577" t="str">
            <v>T/S 95/5</v>
          </cell>
          <cell r="G577" t="str">
            <v xml:space="preserve">95% POLYESTER  5% SPANDEX </v>
          </cell>
          <cell r="H577" t="str">
            <v>160CM</v>
          </cell>
          <cell r="I577">
            <v>150</v>
          </cell>
          <cell r="J577">
            <v>1.4524999999999999</v>
          </cell>
          <cell r="K577">
            <v>1.4924999999999999</v>
          </cell>
          <cell r="L577">
            <v>1.4524999999999999</v>
          </cell>
          <cell r="M577">
            <v>1.4924999999999999</v>
          </cell>
          <cell r="N577">
            <v>1.4524999999999999</v>
          </cell>
          <cell r="O577">
            <v>1.4924999999999999</v>
          </cell>
          <cell r="P577"/>
          <cell r="Q577"/>
          <cell r="R577">
            <v>1.4524999999999999</v>
          </cell>
          <cell r="S577">
            <v>1.4924999999999999</v>
          </cell>
          <cell r="T577"/>
          <cell r="U577"/>
          <cell r="V577">
            <v>15</v>
          </cell>
          <cell r="W577"/>
          <cell r="X577" t="str">
            <v>ANGEL</v>
          </cell>
          <cell r="Y577"/>
          <cell r="Z577" t="str">
            <v>ANGEL 28/4/18</v>
          </cell>
          <cell r="AA577"/>
          <cell r="AB577">
            <v>43218</v>
          </cell>
          <cell r="AC577">
            <v>4596</v>
          </cell>
        </row>
        <row r="578">
          <cell r="B578">
            <v>1962</v>
          </cell>
          <cell r="C578" t="str">
            <v>6012JQ</v>
          </cell>
          <cell r="D578"/>
          <cell r="E578"/>
          <cell r="F578" t="str">
            <v>V100%</v>
          </cell>
          <cell r="G578" t="str">
            <v>100% VISCOSE</v>
          </cell>
          <cell r="H578" t="str">
            <v>49/50</v>
          </cell>
          <cell r="I578">
            <v>100</v>
          </cell>
          <cell r="J578">
            <v>2.44</v>
          </cell>
          <cell r="K578">
            <v>3.1</v>
          </cell>
          <cell r="L578">
            <v>2.4700000000000002</v>
          </cell>
          <cell r="M578">
            <v>3.15</v>
          </cell>
          <cell r="N578">
            <v>2.5</v>
          </cell>
          <cell r="O578">
            <v>3.2</v>
          </cell>
          <cell r="P578"/>
          <cell r="Q578"/>
          <cell r="R578"/>
          <cell r="S578"/>
          <cell r="T578"/>
          <cell r="U578"/>
          <cell r="V578">
            <v>5</v>
          </cell>
          <cell r="W578" t="str">
            <v>don't have ready greige.lead time is a little long</v>
          </cell>
          <cell r="X578" t="str">
            <v>OWEN</v>
          </cell>
          <cell r="Y578" t="str">
            <v>DMCARE-TRI-03</v>
          </cell>
          <cell r="Z578" t="str">
            <v>JOAN 28/4/18</v>
          </cell>
          <cell r="AA578"/>
          <cell r="AB578">
            <v>43218</v>
          </cell>
          <cell r="AC578">
            <v>4601</v>
          </cell>
        </row>
        <row r="579">
          <cell r="B579">
            <v>4328</v>
          </cell>
          <cell r="C579" t="str">
            <v>TPS09009</v>
          </cell>
          <cell r="D579" t="str">
            <v>PLEATED CREPE</v>
          </cell>
          <cell r="E579" t="str">
            <v>75Dx75D</v>
          </cell>
          <cell r="F579" t="str">
            <v>T100%</v>
          </cell>
          <cell r="G579" t="str">
            <v>100% POLYESTER</v>
          </cell>
          <cell r="H579" t="str">
            <v>57/58</v>
          </cell>
          <cell r="I579" t="str">
            <v>105GSM before pleating</v>
          </cell>
          <cell r="J579">
            <v>3.8</v>
          </cell>
          <cell r="K579"/>
          <cell r="L579">
            <v>3.83</v>
          </cell>
          <cell r="M579"/>
          <cell r="N579">
            <v>3.85</v>
          </cell>
          <cell r="O579"/>
          <cell r="P579"/>
          <cell r="Q579"/>
          <cell r="R579">
            <v>4</v>
          </cell>
          <cell r="S579"/>
          <cell r="T579"/>
          <cell r="U579"/>
          <cell r="V579">
            <v>15</v>
          </cell>
          <cell r="W579"/>
          <cell r="X579" t="str">
            <v>JERREY</v>
          </cell>
          <cell r="Y579"/>
          <cell r="Z579" t="str">
            <v>JEFFREY 27/4/18</v>
          </cell>
          <cell r="AA579"/>
          <cell r="AB579">
            <v>43217</v>
          </cell>
          <cell r="AC579">
            <v>4605</v>
          </cell>
        </row>
        <row r="580">
          <cell r="B580">
            <v>4308</v>
          </cell>
          <cell r="C580" t="str">
            <v>TS-567</v>
          </cell>
          <cell r="D580" t="str">
            <v>MATT SATEEN</v>
          </cell>
          <cell r="E580"/>
          <cell r="F580" t="str">
            <v>T100%</v>
          </cell>
          <cell r="G580" t="str">
            <v xml:space="preserve">100% POLYESTER </v>
          </cell>
          <cell r="H580" t="str">
            <v>57/58</v>
          </cell>
          <cell r="I580" t="str">
            <v>175-180</v>
          </cell>
          <cell r="J580">
            <v>1.01</v>
          </cell>
          <cell r="K580">
            <v>1.19</v>
          </cell>
          <cell r="L580">
            <v>1.03</v>
          </cell>
          <cell r="M580">
            <v>1.22</v>
          </cell>
          <cell r="N580">
            <v>1.05</v>
          </cell>
          <cell r="O580">
            <v>1.25</v>
          </cell>
          <cell r="P580"/>
          <cell r="Q580"/>
          <cell r="R580">
            <v>1.2</v>
          </cell>
          <cell r="S580">
            <v>1.5</v>
          </cell>
          <cell r="T580"/>
          <cell r="U580"/>
          <cell r="V580">
            <v>15</v>
          </cell>
          <cell r="W580"/>
          <cell r="X580" t="str">
            <v>GAVIN</v>
          </cell>
          <cell r="Y580"/>
          <cell r="Z580" t="str">
            <v>GAVIN 27/4/18</v>
          </cell>
          <cell r="AA580"/>
          <cell r="AB580">
            <v>43217</v>
          </cell>
          <cell r="AC580">
            <v>4606</v>
          </cell>
        </row>
        <row r="581">
          <cell r="B581">
            <v>4307</v>
          </cell>
          <cell r="C581" t="str">
            <v>TS-568</v>
          </cell>
          <cell r="D581" t="str">
            <v>MATT SATEEN</v>
          </cell>
          <cell r="E581"/>
          <cell r="F581" t="str">
            <v>T100%</v>
          </cell>
          <cell r="G581" t="str">
            <v xml:space="preserve">100% POLYESTER </v>
          </cell>
          <cell r="H581" t="str">
            <v>57/58</v>
          </cell>
          <cell r="I581" t="str">
            <v>165-170</v>
          </cell>
          <cell r="J581">
            <v>1.1599999999999999</v>
          </cell>
          <cell r="K581">
            <v>1.34</v>
          </cell>
          <cell r="L581">
            <v>1.18</v>
          </cell>
          <cell r="M581">
            <v>1.37</v>
          </cell>
          <cell r="N581">
            <v>1.2</v>
          </cell>
          <cell r="O581">
            <v>1.4</v>
          </cell>
          <cell r="P581"/>
          <cell r="Q581"/>
          <cell r="R581">
            <v>1.35</v>
          </cell>
          <cell r="S581">
            <v>1.65</v>
          </cell>
          <cell r="T581"/>
          <cell r="U581"/>
          <cell r="V581">
            <v>15</v>
          </cell>
          <cell r="W581"/>
          <cell r="X581" t="str">
            <v>GAVIN</v>
          </cell>
          <cell r="Y581"/>
          <cell r="Z581" t="str">
            <v>GAVIN 27/4/18</v>
          </cell>
          <cell r="AA581"/>
          <cell r="AB581">
            <v>43217</v>
          </cell>
          <cell r="AC581">
            <v>4607</v>
          </cell>
        </row>
        <row r="582">
          <cell r="B582">
            <v>4306</v>
          </cell>
          <cell r="C582" t="str">
            <v>TS-566</v>
          </cell>
          <cell r="D582" t="str">
            <v>COTTON POPLIN</v>
          </cell>
          <cell r="E582" t="str">
            <v>40x40/133x72</v>
          </cell>
          <cell r="F582" t="str">
            <v>C100%</v>
          </cell>
          <cell r="G582" t="str">
            <v>100% COTTON POPLIN</v>
          </cell>
          <cell r="H582" t="str">
            <v>140CM</v>
          </cell>
          <cell r="I582">
            <v>120</v>
          </cell>
          <cell r="J582">
            <v>1.65</v>
          </cell>
          <cell r="K582">
            <v>1.83</v>
          </cell>
          <cell r="L582">
            <v>1.67</v>
          </cell>
          <cell r="M582">
            <v>1.86</v>
          </cell>
          <cell r="N582">
            <v>1.69</v>
          </cell>
          <cell r="O582">
            <v>1.89</v>
          </cell>
          <cell r="P582"/>
          <cell r="Q582"/>
          <cell r="R582">
            <v>1.84</v>
          </cell>
          <cell r="S582">
            <v>2.14</v>
          </cell>
          <cell r="T582"/>
          <cell r="U582"/>
          <cell r="V582">
            <v>15</v>
          </cell>
          <cell r="W582"/>
          <cell r="X582" t="str">
            <v>GAVIN</v>
          </cell>
          <cell r="Y582"/>
          <cell r="Z582" t="str">
            <v>GAVIN 27/4/18</v>
          </cell>
          <cell r="AA582"/>
          <cell r="AB582">
            <v>43217</v>
          </cell>
          <cell r="AC582">
            <v>4608</v>
          </cell>
        </row>
        <row r="583">
          <cell r="B583">
            <v>3125</v>
          </cell>
          <cell r="C583" t="str">
            <v>R058</v>
          </cell>
          <cell r="D583" t="str">
            <v>RAYON</v>
          </cell>
          <cell r="E583"/>
          <cell r="F583" t="str">
            <v>R100%</v>
          </cell>
          <cell r="G583" t="str">
            <v>100%RAYON</v>
          </cell>
          <cell r="H583" t="str">
            <v>53/54</v>
          </cell>
          <cell r="I583">
            <v>110</v>
          </cell>
          <cell r="J583">
            <v>1.35</v>
          </cell>
          <cell r="K583">
            <v>1.48</v>
          </cell>
          <cell r="L583">
            <v>1.37</v>
          </cell>
          <cell r="M583">
            <v>1.53</v>
          </cell>
          <cell r="N583">
            <v>1.42</v>
          </cell>
          <cell r="O583">
            <v>1.59</v>
          </cell>
          <cell r="P583">
            <v>1.49</v>
          </cell>
          <cell r="Q583">
            <v>2.0699999999999998</v>
          </cell>
          <cell r="R583">
            <v>1.49</v>
          </cell>
          <cell r="S583">
            <v>2.0699999999999998</v>
          </cell>
          <cell r="T583"/>
          <cell r="U583"/>
          <cell r="V583">
            <v>15</v>
          </cell>
          <cell r="W583"/>
          <cell r="X583" t="str">
            <v>TERESA</v>
          </cell>
          <cell r="Y583"/>
          <cell r="Z583" t="str">
            <v>TERESA 27/4/18</v>
          </cell>
          <cell r="AA583"/>
          <cell r="AB583">
            <v>43217</v>
          </cell>
          <cell r="AC583">
            <v>4604</v>
          </cell>
        </row>
        <row r="584">
          <cell r="B584">
            <v>1583</v>
          </cell>
          <cell r="C584" t="str">
            <v>BG1719</v>
          </cell>
          <cell r="D584"/>
          <cell r="E584"/>
          <cell r="F584" t="str">
            <v>C100%</v>
          </cell>
          <cell r="G584" t="str">
            <v>100% COTTON</v>
          </cell>
          <cell r="H584" t="str">
            <v>50/51</v>
          </cell>
          <cell r="I584">
            <v>80</v>
          </cell>
          <cell r="J584">
            <v>1.55</v>
          </cell>
          <cell r="K584">
            <v>2.25</v>
          </cell>
          <cell r="L584">
            <v>1.58</v>
          </cell>
          <cell r="M584">
            <v>2.2999999999999998</v>
          </cell>
          <cell r="N584">
            <v>1.6</v>
          </cell>
          <cell r="O584">
            <v>2.35</v>
          </cell>
          <cell r="P584"/>
          <cell r="Q584" t="str">
            <v>$1.80/m</v>
          </cell>
          <cell r="R584">
            <v>1.8</v>
          </cell>
          <cell r="S584">
            <v>2.8</v>
          </cell>
          <cell r="T584"/>
          <cell r="U584"/>
          <cell r="V584">
            <v>15</v>
          </cell>
          <cell r="W584"/>
          <cell r="X584" t="str">
            <v>EDWIN</v>
          </cell>
          <cell r="Y584"/>
          <cell r="Z584" t="str">
            <v>EDWIN 27/4/18</v>
          </cell>
          <cell r="AA584"/>
          <cell r="AB584">
            <v>43217</v>
          </cell>
          <cell r="AC584">
            <v>4602</v>
          </cell>
        </row>
        <row r="585">
          <cell r="B585">
            <v>1015</v>
          </cell>
          <cell r="C585">
            <v>6060</v>
          </cell>
          <cell r="D585" t="str">
            <v>VISCOSE</v>
          </cell>
          <cell r="E585"/>
          <cell r="F585" t="str">
            <v>R100%</v>
          </cell>
          <cell r="G585" t="str">
            <v>100%RAYON</v>
          </cell>
          <cell r="H585" t="str">
            <v>53/54</v>
          </cell>
          <cell r="I585" t="str">
            <v>80-83</v>
          </cell>
          <cell r="J585">
            <v>1.33</v>
          </cell>
          <cell r="K585">
            <v>1.46</v>
          </cell>
          <cell r="L585">
            <v>1.35</v>
          </cell>
          <cell r="M585">
            <v>1.54</v>
          </cell>
          <cell r="N585">
            <v>1.4</v>
          </cell>
          <cell r="O585">
            <v>1.58</v>
          </cell>
          <cell r="P585">
            <v>1.24</v>
          </cell>
          <cell r="Q585">
            <v>1.42</v>
          </cell>
          <cell r="R585">
            <v>1.48</v>
          </cell>
          <cell r="S585">
            <v>2.0699999999999998</v>
          </cell>
          <cell r="T585">
            <v>1.71</v>
          </cell>
          <cell r="U585">
            <v>1.99</v>
          </cell>
          <cell r="V585">
            <v>15</v>
          </cell>
          <cell r="W585"/>
          <cell r="X585" t="str">
            <v>TERESA</v>
          </cell>
          <cell r="Y585"/>
          <cell r="Z585" t="str">
            <v>TERESA 27/4/18</v>
          </cell>
          <cell r="AA585"/>
          <cell r="AB585">
            <v>43217</v>
          </cell>
          <cell r="AC585">
            <v>4603</v>
          </cell>
        </row>
        <row r="586">
          <cell r="B586">
            <v>4315</v>
          </cell>
          <cell r="C586" t="str">
            <v>HLS18020</v>
          </cell>
          <cell r="D586" t="str">
            <v>ITY</v>
          </cell>
          <cell r="E586"/>
          <cell r="F586" t="str">
            <v>T/S 93/7</v>
          </cell>
          <cell r="G586" t="str">
            <v>93% POLYESTER 7% SPANDEX</v>
          </cell>
          <cell r="H586" t="str">
            <v>160CM</v>
          </cell>
          <cell r="I586">
            <v>200</v>
          </cell>
          <cell r="J586">
            <v>1.8372389449946069</v>
          </cell>
          <cell r="K586">
            <v>2.0998675650333021</v>
          </cell>
          <cell r="L586">
            <v>1.8372389449946069</v>
          </cell>
          <cell r="M586">
            <v>2.0998675650333021</v>
          </cell>
          <cell r="N586">
            <v>1.8372389449946069</v>
          </cell>
          <cell r="O586">
            <v>2.1998675650333022</v>
          </cell>
          <cell r="P586"/>
          <cell r="Q586"/>
          <cell r="R586">
            <v>2.0372389449946069</v>
          </cell>
          <cell r="S586">
            <v>2.6998675650333022</v>
          </cell>
          <cell r="T586"/>
          <cell r="U586"/>
          <cell r="V586">
            <v>15</v>
          </cell>
          <cell r="W586"/>
          <cell r="X586" t="str">
            <v>CANDY</v>
          </cell>
          <cell r="Y586"/>
          <cell r="Z586" t="str">
            <v>CANDY 26/4/18</v>
          </cell>
          <cell r="AA586"/>
          <cell r="AB586">
            <v>43216</v>
          </cell>
          <cell r="AC586">
            <v>4619</v>
          </cell>
        </row>
        <row r="587">
          <cell r="B587">
            <v>4304</v>
          </cell>
          <cell r="C587" t="str">
            <v>BG2763</v>
          </cell>
          <cell r="D587" t="str">
            <v>LINEN</v>
          </cell>
          <cell r="E587" t="str">
            <v>14S*14S 52*54</v>
          </cell>
          <cell r="F587" t="str">
            <v>LINEN 100%</v>
          </cell>
          <cell r="G587" t="str">
            <v>100% LINEN</v>
          </cell>
          <cell r="H587" t="str">
            <v>53/54</v>
          </cell>
          <cell r="I587">
            <v>150</v>
          </cell>
          <cell r="J587">
            <v>4.05</v>
          </cell>
          <cell r="K587">
            <v>4.4000000000000004</v>
          </cell>
          <cell r="L587">
            <v>4.08</v>
          </cell>
          <cell r="M587">
            <v>4.45</v>
          </cell>
          <cell r="N587">
            <v>4.0999999999999996</v>
          </cell>
          <cell r="O587">
            <v>4.5</v>
          </cell>
          <cell r="P587"/>
          <cell r="Q587"/>
          <cell r="R587">
            <v>4.3</v>
          </cell>
          <cell r="S587">
            <v>5.2</v>
          </cell>
          <cell r="T587"/>
          <cell r="U587"/>
          <cell r="V587">
            <v>15</v>
          </cell>
          <cell r="W587"/>
          <cell r="X587" t="str">
            <v>EDWIN</v>
          </cell>
          <cell r="Y587" t="str">
            <v>DMCARE-TRI-01</v>
          </cell>
          <cell r="Z587" t="str">
            <v>EDWIN 26/4/18</v>
          </cell>
          <cell r="AA587"/>
          <cell r="AB587">
            <v>43216</v>
          </cell>
          <cell r="AC587">
            <v>4621</v>
          </cell>
        </row>
        <row r="588">
          <cell r="B588">
            <v>4303</v>
          </cell>
          <cell r="C588" t="str">
            <v>BG3047</v>
          </cell>
          <cell r="D588" t="str">
            <v xml:space="preserve">VISCOSE TWILL </v>
          </cell>
          <cell r="E588" t="str">
            <v>21S*21S/108*58</v>
          </cell>
          <cell r="F588" t="str">
            <v>R100%</v>
          </cell>
          <cell r="G588" t="str">
            <v>100% RAYON</v>
          </cell>
          <cell r="H588" t="str">
            <v>53/54</v>
          </cell>
          <cell r="I588">
            <v>215</v>
          </cell>
          <cell r="J588">
            <v>2</v>
          </cell>
          <cell r="K588">
            <v>2.2999999999999998</v>
          </cell>
          <cell r="L588">
            <v>2.0299999999999998</v>
          </cell>
          <cell r="M588">
            <v>2.35</v>
          </cell>
          <cell r="N588">
            <v>2.0499999999999998</v>
          </cell>
          <cell r="O588">
            <v>2.4</v>
          </cell>
          <cell r="P588"/>
          <cell r="Q588"/>
          <cell r="R588">
            <v>2.2000000000000002</v>
          </cell>
          <cell r="S588">
            <v>2.8</v>
          </cell>
          <cell r="T588"/>
          <cell r="U588"/>
          <cell r="V588">
            <v>15</v>
          </cell>
          <cell r="W588"/>
          <cell r="X588" t="str">
            <v>EDWIN</v>
          </cell>
          <cell r="Y588" t="str">
            <v>DMCARE-TRI-03</v>
          </cell>
          <cell r="Z588" t="str">
            <v>EDWIN 26/4/18</v>
          </cell>
          <cell r="AA588"/>
          <cell r="AB588">
            <v>43216</v>
          </cell>
          <cell r="AC588">
            <v>4618</v>
          </cell>
        </row>
        <row r="589">
          <cell r="B589">
            <v>4302</v>
          </cell>
          <cell r="C589" t="str">
            <v>BG3581</v>
          </cell>
          <cell r="D589" t="str">
            <v xml:space="preserve">VISCOSE TWILL </v>
          </cell>
          <cell r="E589" t="str">
            <v xml:space="preserve">45S </v>
          </cell>
          <cell r="F589" t="str">
            <v>R100%</v>
          </cell>
          <cell r="G589" t="str">
            <v>100% RAYON</v>
          </cell>
          <cell r="H589" t="str">
            <v>53/54</v>
          </cell>
          <cell r="I589">
            <v>126</v>
          </cell>
          <cell r="J589">
            <v>1.7</v>
          </cell>
          <cell r="K589">
            <v>2</v>
          </cell>
          <cell r="L589">
            <v>1.73</v>
          </cell>
          <cell r="M589">
            <v>2.0499999999999998</v>
          </cell>
          <cell r="N589">
            <v>1.75</v>
          </cell>
          <cell r="O589">
            <v>2.1</v>
          </cell>
          <cell r="P589"/>
          <cell r="Q589"/>
          <cell r="R589">
            <v>1.9</v>
          </cell>
          <cell r="S589">
            <v>2.5</v>
          </cell>
          <cell r="T589"/>
          <cell r="U589"/>
          <cell r="V589">
            <v>15</v>
          </cell>
          <cell r="W589"/>
          <cell r="X589" t="str">
            <v>EDWIN</v>
          </cell>
          <cell r="Y589" t="str">
            <v>DMCARE-TRI-03</v>
          </cell>
          <cell r="Z589" t="str">
            <v>EDWIN 26/4/18</v>
          </cell>
          <cell r="AA589"/>
          <cell r="AB589">
            <v>43216</v>
          </cell>
          <cell r="AC589">
            <v>4617</v>
          </cell>
        </row>
        <row r="590">
          <cell r="B590">
            <v>4301</v>
          </cell>
          <cell r="C590" t="str">
            <v>BG3407</v>
          </cell>
          <cell r="D590" t="str">
            <v xml:space="preserve">VISCOSE TWILL </v>
          </cell>
          <cell r="E590" t="str">
            <v>30S*30S TWILL</v>
          </cell>
          <cell r="F590" t="str">
            <v>R100%</v>
          </cell>
          <cell r="G590" t="str">
            <v>100% RAYON</v>
          </cell>
          <cell r="H590" t="str">
            <v>53/54</v>
          </cell>
          <cell r="I590">
            <v>165</v>
          </cell>
          <cell r="J590">
            <v>1.9</v>
          </cell>
          <cell r="K590">
            <v>2.2000000000000002</v>
          </cell>
          <cell r="L590">
            <v>1.93</v>
          </cell>
          <cell r="M590">
            <v>2.25</v>
          </cell>
          <cell r="N590">
            <v>1.95</v>
          </cell>
          <cell r="O590">
            <v>2.2999999999999998</v>
          </cell>
          <cell r="P590"/>
          <cell r="Q590"/>
          <cell r="R590">
            <v>2.1</v>
          </cell>
          <cell r="S590">
            <v>2.7</v>
          </cell>
          <cell r="T590"/>
          <cell r="U590"/>
          <cell r="V590">
            <v>15</v>
          </cell>
          <cell r="W590"/>
          <cell r="X590" t="str">
            <v>EDWIN</v>
          </cell>
          <cell r="Y590" t="str">
            <v>DMCARE-TRI-03</v>
          </cell>
          <cell r="Z590" t="str">
            <v>EDWIN 26/4/18</v>
          </cell>
          <cell r="AA590"/>
          <cell r="AB590">
            <v>43216</v>
          </cell>
          <cell r="AC590">
            <v>4616</v>
          </cell>
        </row>
        <row r="591">
          <cell r="B591">
            <v>4300</v>
          </cell>
          <cell r="C591" t="str">
            <v>BG3288</v>
          </cell>
          <cell r="D591" t="str">
            <v>VISCOSE</v>
          </cell>
          <cell r="E591" t="str">
            <v>30S*30S</v>
          </cell>
          <cell r="F591" t="str">
            <v>R100%</v>
          </cell>
          <cell r="G591" t="str">
            <v>100% RAYON</v>
          </cell>
          <cell r="H591" t="str">
            <v>53/54</v>
          </cell>
          <cell r="I591">
            <v>98</v>
          </cell>
          <cell r="J591">
            <v>1.17</v>
          </cell>
          <cell r="K591">
            <v>1.5</v>
          </cell>
          <cell r="L591">
            <v>1.2</v>
          </cell>
          <cell r="M591">
            <v>1.55</v>
          </cell>
          <cell r="N591">
            <v>1.22</v>
          </cell>
          <cell r="O591">
            <v>1.6</v>
          </cell>
          <cell r="P591"/>
          <cell r="Q591"/>
          <cell r="R591">
            <v>1.37</v>
          </cell>
          <cell r="S591">
            <v>2</v>
          </cell>
          <cell r="T591"/>
          <cell r="U591"/>
          <cell r="V591">
            <v>15</v>
          </cell>
          <cell r="W591"/>
          <cell r="X591" t="str">
            <v>EDWIN</v>
          </cell>
          <cell r="Y591" t="str">
            <v>DMCARE-TRI-03</v>
          </cell>
          <cell r="Z591" t="str">
            <v>EDWIN 26/4/18</v>
          </cell>
          <cell r="AA591"/>
          <cell r="AB591">
            <v>43216</v>
          </cell>
          <cell r="AC591">
            <v>4613</v>
          </cell>
        </row>
        <row r="592">
          <cell r="B592">
            <v>4299</v>
          </cell>
          <cell r="C592" t="str">
            <v>BG3289</v>
          </cell>
          <cell r="D592" t="str">
            <v>VISCOSE</v>
          </cell>
          <cell r="E592" t="str">
            <v>45S*45S</v>
          </cell>
          <cell r="F592" t="str">
            <v>R100%</v>
          </cell>
          <cell r="G592" t="str">
            <v>100% RAYON</v>
          </cell>
          <cell r="H592" t="str">
            <v>53/54</v>
          </cell>
          <cell r="I592">
            <v>105</v>
          </cell>
          <cell r="J592">
            <v>1.3</v>
          </cell>
          <cell r="K592">
            <v>1.6</v>
          </cell>
          <cell r="L592">
            <v>1.32</v>
          </cell>
          <cell r="M592">
            <v>1.65</v>
          </cell>
          <cell r="N592">
            <v>1.34</v>
          </cell>
          <cell r="O592">
            <v>1.7</v>
          </cell>
          <cell r="P592"/>
          <cell r="Q592"/>
          <cell r="R592">
            <v>1.5</v>
          </cell>
          <cell r="S592">
            <v>2.1</v>
          </cell>
          <cell r="T592"/>
          <cell r="U592"/>
          <cell r="V592">
            <v>15</v>
          </cell>
          <cell r="W592"/>
          <cell r="X592" t="str">
            <v>EDWIN</v>
          </cell>
          <cell r="Y592" t="str">
            <v>DMCARE-TRI-03</v>
          </cell>
          <cell r="Z592" t="str">
            <v>EDWIN 26/4/18</v>
          </cell>
          <cell r="AA592"/>
          <cell r="AB592">
            <v>43216</v>
          </cell>
          <cell r="AC592">
            <v>4612</v>
          </cell>
        </row>
        <row r="593">
          <cell r="B593">
            <v>4298</v>
          </cell>
          <cell r="C593" t="str">
            <v>BG1374</v>
          </cell>
          <cell r="D593" t="str">
            <v xml:space="preserve">VISCOSE TWILL </v>
          </cell>
          <cell r="E593" t="str">
            <v>30*24S 91*68</v>
          </cell>
          <cell r="F593" t="str">
            <v>R100%</v>
          </cell>
          <cell r="G593" t="str">
            <v>100% RAYON</v>
          </cell>
          <cell r="H593" t="str">
            <v>53/54</v>
          </cell>
          <cell r="I593">
            <v>150</v>
          </cell>
          <cell r="J593">
            <v>1.6</v>
          </cell>
          <cell r="K593">
            <v>1.9</v>
          </cell>
          <cell r="L593">
            <v>1.63</v>
          </cell>
          <cell r="M593">
            <v>1.95</v>
          </cell>
          <cell r="N593">
            <v>1.65</v>
          </cell>
          <cell r="O593">
            <v>2</v>
          </cell>
          <cell r="P593"/>
          <cell r="Q593"/>
          <cell r="R593">
            <v>1.8</v>
          </cell>
          <cell r="S593">
            <v>2.7</v>
          </cell>
          <cell r="T593"/>
          <cell r="U593"/>
          <cell r="V593">
            <v>15</v>
          </cell>
          <cell r="W593"/>
          <cell r="X593" t="str">
            <v>EDWIN</v>
          </cell>
          <cell r="Y593" t="str">
            <v>DMCARE-TRI-03</v>
          </cell>
          <cell r="Z593" t="str">
            <v>EDWIN 26/4/18</v>
          </cell>
          <cell r="AA593"/>
          <cell r="AB593">
            <v>43216</v>
          </cell>
          <cell r="AC593">
            <v>4614</v>
          </cell>
        </row>
        <row r="594">
          <cell r="B594">
            <v>4297</v>
          </cell>
          <cell r="C594" t="str">
            <v>BG3868</v>
          </cell>
          <cell r="D594" t="str">
            <v xml:space="preserve">VISCOSE TWILL </v>
          </cell>
          <cell r="E594" t="str">
            <v>R30*32 88*52</v>
          </cell>
          <cell r="F594" t="str">
            <v>R100%</v>
          </cell>
          <cell r="G594" t="str">
            <v>100% RAYON</v>
          </cell>
          <cell r="H594" t="str">
            <v>53/54</v>
          </cell>
          <cell r="I594">
            <v>120</v>
          </cell>
          <cell r="J594">
            <v>1.6</v>
          </cell>
          <cell r="K594">
            <v>1.9</v>
          </cell>
          <cell r="L594">
            <v>1.63</v>
          </cell>
          <cell r="M594">
            <v>1.95</v>
          </cell>
          <cell r="N594">
            <v>1.65</v>
          </cell>
          <cell r="O594">
            <v>2</v>
          </cell>
          <cell r="P594"/>
          <cell r="Q594"/>
          <cell r="R594">
            <v>1.8</v>
          </cell>
          <cell r="S594">
            <v>2.7</v>
          </cell>
          <cell r="T594"/>
          <cell r="U594"/>
          <cell r="V594">
            <v>15</v>
          </cell>
          <cell r="W594"/>
          <cell r="X594" t="str">
            <v>EDWIN</v>
          </cell>
          <cell r="Y594" t="str">
            <v>DMCARE-TRI-03</v>
          </cell>
          <cell r="Z594" t="str">
            <v>EDWIN 26/4/18</v>
          </cell>
          <cell r="AA594"/>
          <cell r="AB594">
            <v>43216</v>
          </cell>
          <cell r="AC594">
            <v>4615</v>
          </cell>
        </row>
        <row r="595">
          <cell r="B595">
            <v>4296</v>
          </cell>
          <cell r="C595" t="str">
            <v>BG4032</v>
          </cell>
          <cell r="D595" t="str">
            <v>FAILE VISCOSE</v>
          </cell>
          <cell r="E595" t="str">
            <v>75D*32S</v>
          </cell>
          <cell r="F595" t="str">
            <v>V100%</v>
          </cell>
          <cell r="G595" t="str">
            <v>100% VISCOSE</v>
          </cell>
          <cell r="H595" t="str">
            <v>52/53</v>
          </cell>
          <cell r="I595">
            <v>118</v>
          </cell>
          <cell r="J595">
            <v>2.65</v>
          </cell>
          <cell r="K595">
            <v>3.4</v>
          </cell>
          <cell r="L595">
            <v>2.68</v>
          </cell>
          <cell r="M595">
            <v>3.45</v>
          </cell>
          <cell r="N595">
            <v>2.7</v>
          </cell>
          <cell r="O595">
            <v>3.5</v>
          </cell>
          <cell r="P595"/>
          <cell r="Q595"/>
          <cell r="R595">
            <v>3</v>
          </cell>
          <cell r="S595">
            <v>4.2</v>
          </cell>
          <cell r="T595"/>
          <cell r="U595"/>
          <cell r="V595">
            <v>15</v>
          </cell>
          <cell r="W595"/>
          <cell r="X595"/>
          <cell r="Y595" t="str">
            <v>DMCARE-TRI-01</v>
          </cell>
          <cell r="Z595"/>
          <cell r="AA595"/>
          <cell r="AB595">
            <v>43216</v>
          </cell>
          <cell r="AC595">
            <v>4610</v>
          </cell>
        </row>
        <row r="596">
          <cell r="B596">
            <v>4295</v>
          </cell>
          <cell r="C596" t="str">
            <v>BG4030</v>
          </cell>
          <cell r="D596" t="str">
            <v>FAILE POLY</v>
          </cell>
          <cell r="E596" t="str">
            <v>75D*150D</v>
          </cell>
          <cell r="F596" t="str">
            <v>T100%</v>
          </cell>
          <cell r="G596" t="str">
            <v>100% POLYESTER</v>
          </cell>
          <cell r="H596" t="str">
            <v>57/58</v>
          </cell>
          <cell r="I596">
            <v>130</v>
          </cell>
          <cell r="J596">
            <v>1.25</v>
          </cell>
          <cell r="K596">
            <v>1.6</v>
          </cell>
          <cell r="L596">
            <v>1.28</v>
          </cell>
          <cell r="M596">
            <v>1.65</v>
          </cell>
          <cell r="N596">
            <v>1.3</v>
          </cell>
          <cell r="O596">
            <v>1.7</v>
          </cell>
          <cell r="P596"/>
          <cell r="Q596"/>
          <cell r="R596">
            <v>1.5</v>
          </cell>
          <cell r="S596">
            <v>2.2999999999999998</v>
          </cell>
          <cell r="T596"/>
          <cell r="U596"/>
          <cell r="V596">
            <v>15</v>
          </cell>
          <cell r="W596"/>
          <cell r="X596"/>
          <cell r="Y596" t="str">
            <v>DMCARE-TRI-02</v>
          </cell>
          <cell r="Z596"/>
          <cell r="AA596"/>
          <cell r="AB596">
            <v>43216</v>
          </cell>
          <cell r="AC596">
            <v>4611</v>
          </cell>
        </row>
        <row r="597">
          <cell r="B597">
            <v>4294</v>
          </cell>
          <cell r="C597" t="str">
            <v>BG4031</v>
          </cell>
          <cell r="D597" t="str">
            <v>VISCOSE W/ FOIL PRINT</v>
          </cell>
          <cell r="E597" t="str">
            <v>30S*30S</v>
          </cell>
          <cell r="F597" t="str">
            <v>V100%</v>
          </cell>
          <cell r="G597" t="str">
            <v>100% VISCOSE</v>
          </cell>
          <cell r="H597" t="str">
            <v>53/54</v>
          </cell>
          <cell r="I597">
            <v>118</v>
          </cell>
          <cell r="J597">
            <v>1.32</v>
          </cell>
          <cell r="K597">
            <v>1.8</v>
          </cell>
          <cell r="L597">
            <v>1.35</v>
          </cell>
          <cell r="M597">
            <v>1.85</v>
          </cell>
          <cell r="N597">
            <v>1.37</v>
          </cell>
          <cell r="O597">
            <v>1.9</v>
          </cell>
          <cell r="P597"/>
          <cell r="Q597"/>
          <cell r="R597">
            <v>1.55</v>
          </cell>
          <cell r="S597">
            <v>2.6</v>
          </cell>
          <cell r="T597"/>
          <cell r="U597"/>
          <cell r="V597">
            <v>15</v>
          </cell>
          <cell r="W597"/>
          <cell r="X597" t="str">
            <v>EDWIN</v>
          </cell>
          <cell r="Y597" t="str">
            <v>DYE CLEARN PROHIBITED</v>
          </cell>
          <cell r="Z597" t="str">
            <v>EDWIN 26/4/18</v>
          </cell>
          <cell r="AA597"/>
          <cell r="AB597">
            <v>43216</v>
          </cell>
          <cell r="AC597">
            <v>4609</v>
          </cell>
        </row>
        <row r="598">
          <cell r="B598">
            <v>3016</v>
          </cell>
          <cell r="C598" t="str">
            <v>HLT5325</v>
          </cell>
          <cell r="D598" t="str">
            <v>ITY</v>
          </cell>
          <cell r="E598"/>
          <cell r="F598" t="str">
            <v>T/S 93/7</v>
          </cell>
          <cell r="G598" t="str">
            <v>93% POLYESTER 7% SPANDEX</v>
          </cell>
          <cell r="H598" t="str">
            <v>160CM</v>
          </cell>
          <cell r="I598">
            <v>200</v>
          </cell>
          <cell r="J598">
            <v>1.8372389449946069</v>
          </cell>
          <cell r="K598">
            <v>2.0998675650333021</v>
          </cell>
          <cell r="L598">
            <v>1.8372389449946069</v>
          </cell>
          <cell r="M598">
            <v>2.0998675650333021</v>
          </cell>
          <cell r="N598">
            <v>1.8372389449946069</v>
          </cell>
          <cell r="O598">
            <v>2.1998675650333022</v>
          </cell>
          <cell r="P598"/>
          <cell r="Q598"/>
          <cell r="R598">
            <v>2.0372389449946069</v>
          </cell>
          <cell r="S598">
            <v>2.6998675650333022</v>
          </cell>
          <cell r="T598"/>
          <cell r="U598"/>
          <cell r="V598"/>
          <cell r="W598"/>
          <cell r="X598" t="str">
            <v>CANDY</v>
          </cell>
          <cell r="Y598"/>
          <cell r="Z598" t="str">
            <v>CANDY 26/4/18</v>
          </cell>
          <cell r="AA598"/>
          <cell r="AB598">
            <v>43216</v>
          </cell>
          <cell r="AC598">
            <v>4620</v>
          </cell>
        </row>
        <row r="599">
          <cell r="B599">
            <v>4288</v>
          </cell>
          <cell r="C599" t="str">
            <v>M-C004 W/O DOTS</v>
          </cell>
          <cell r="D599" t="str">
            <v>COTTON</v>
          </cell>
          <cell r="E599"/>
          <cell r="F599"/>
          <cell r="G599" t="str">
            <v>100% COTTON</v>
          </cell>
          <cell r="H599" t="str">
            <v>140cm</v>
          </cell>
          <cell r="I599">
            <v>63</v>
          </cell>
          <cell r="J599">
            <v>1.3</v>
          </cell>
          <cell r="K599">
            <v>1.5</v>
          </cell>
          <cell r="L599">
            <v>1.3</v>
          </cell>
          <cell r="M599">
            <v>1.5</v>
          </cell>
          <cell r="N599">
            <v>1.35</v>
          </cell>
          <cell r="O599">
            <v>1.55</v>
          </cell>
          <cell r="P599"/>
          <cell r="Q599"/>
          <cell r="R599">
            <v>1.5</v>
          </cell>
          <cell r="S599">
            <v>2.5499999999999998</v>
          </cell>
          <cell r="T599"/>
          <cell r="U599"/>
          <cell r="V599">
            <v>15</v>
          </cell>
          <cell r="W599"/>
          <cell r="X599" t="str">
            <v>LINDA</v>
          </cell>
          <cell r="Y599"/>
          <cell r="Z599" t="str">
            <v>LINDA 24/4/18</v>
          </cell>
          <cell r="AA599"/>
          <cell r="AB599">
            <v>43214</v>
          </cell>
          <cell r="AC599">
            <v>4622</v>
          </cell>
        </row>
        <row r="600">
          <cell r="B600">
            <v>4305</v>
          </cell>
          <cell r="C600" t="str">
            <v>SJ14-1129B</v>
          </cell>
          <cell r="D600"/>
          <cell r="E600"/>
          <cell r="F600" t="str">
            <v>R100%</v>
          </cell>
          <cell r="G600" t="str">
            <v xml:space="preserve">100% RAYON </v>
          </cell>
          <cell r="H600" t="str">
            <v>53/54</v>
          </cell>
          <cell r="I600">
            <v>80</v>
          </cell>
          <cell r="J600">
            <v>2.2000000000000002</v>
          </cell>
          <cell r="K600">
            <v>2.4</v>
          </cell>
          <cell r="L600">
            <v>2.2000000000000002</v>
          </cell>
          <cell r="M600">
            <v>2.4</v>
          </cell>
          <cell r="N600">
            <v>2.2999999999999998</v>
          </cell>
          <cell r="O600">
            <v>2.5</v>
          </cell>
          <cell r="P600"/>
          <cell r="Q600"/>
          <cell r="R600">
            <v>2.5</v>
          </cell>
          <cell r="S600">
            <v>3</v>
          </cell>
          <cell r="T600"/>
          <cell r="U600"/>
          <cell r="V600">
            <v>15</v>
          </cell>
          <cell r="W600"/>
          <cell r="X600" t="str">
            <v>GLORIA (S)</v>
          </cell>
          <cell r="Y600"/>
          <cell r="Z600" t="str">
            <v>GLORIA 21/4/18</v>
          </cell>
          <cell r="AA600"/>
          <cell r="AB600">
            <v>43211</v>
          </cell>
          <cell r="AC600">
            <v>4653</v>
          </cell>
        </row>
        <row r="601">
          <cell r="B601">
            <v>4291</v>
          </cell>
          <cell r="C601" t="str">
            <v>OLP-ST00586</v>
          </cell>
          <cell r="D601" t="str">
            <v>LINEN</v>
          </cell>
          <cell r="E601" t="str">
            <v>14*14</v>
          </cell>
          <cell r="F601" t="str">
            <v>LINEN 100%</v>
          </cell>
          <cell r="G601" t="str">
            <v>100% LINEN</v>
          </cell>
          <cell r="H601" t="str">
            <v>53/54</v>
          </cell>
          <cell r="I601">
            <v>160</v>
          </cell>
          <cell r="J601">
            <v>3.98</v>
          </cell>
          <cell r="K601">
            <v>4.08</v>
          </cell>
          <cell r="L601">
            <v>4.01</v>
          </cell>
          <cell r="M601">
            <v>4.22</v>
          </cell>
          <cell r="N601">
            <v>4.05</v>
          </cell>
          <cell r="O601">
            <v>4.25</v>
          </cell>
          <cell r="P601"/>
          <cell r="Q601"/>
          <cell r="R601">
            <v>4.18</v>
          </cell>
          <cell r="S601">
            <v>4.8</v>
          </cell>
          <cell r="T601"/>
          <cell r="U601"/>
          <cell r="V601">
            <v>15</v>
          </cell>
          <cell r="W601"/>
          <cell r="X601" t="str">
            <v>OWEN</v>
          </cell>
          <cell r="Y601" t="str">
            <v>DMCARE-TRI-02</v>
          </cell>
          <cell r="Z601" t="str">
            <v>JOAN 21/4/18</v>
          </cell>
          <cell r="AA601"/>
          <cell r="AB601">
            <v>43211</v>
          </cell>
          <cell r="AC601">
            <v>4660</v>
          </cell>
        </row>
        <row r="602">
          <cell r="B602">
            <v>4268</v>
          </cell>
          <cell r="C602" t="str">
            <v>ST-KN2446</v>
          </cell>
          <cell r="D602" t="str">
            <v>PONTE</v>
          </cell>
          <cell r="E602"/>
          <cell r="F602" t="str">
            <v>T/R/S 71/24/5</v>
          </cell>
          <cell r="G602" t="str">
            <v>71% POLYESTER 24% RAYON 5% SPANDEX</v>
          </cell>
          <cell r="H602" t="str">
            <v>61</v>
          </cell>
          <cell r="I602">
            <v>260</v>
          </cell>
          <cell r="J602">
            <v>2.0099999999999998</v>
          </cell>
          <cell r="K602">
            <v>2.21</v>
          </cell>
          <cell r="L602">
            <v>2.0699999999999998</v>
          </cell>
          <cell r="M602">
            <v>2.27</v>
          </cell>
          <cell r="N602">
            <v>2.11</v>
          </cell>
          <cell r="O602">
            <v>2.31</v>
          </cell>
          <cell r="P602"/>
          <cell r="Q602"/>
          <cell r="R602">
            <v>2.15</v>
          </cell>
          <cell r="S602">
            <v>2.35</v>
          </cell>
          <cell r="T602"/>
          <cell r="U602"/>
          <cell r="V602">
            <v>15</v>
          </cell>
          <cell r="W602"/>
          <cell r="X602" t="str">
            <v>LILY</v>
          </cell>
          <cell r="Y602"/>
          <cell r="Z602" t="str">
            <v>LILY 21/4/18</v>
          </cell>
          <cell r="AA602"/>
          <cell r="AB602">
            <v>43211</v>
          </cell>
          <cell r="AC602">
            <v>4631</v>
          </cell>
        </row>
        <row r="603">
          <cell r="B603">
            <v>4267</v>
          </cell>
          <cell r="C603" t="str">
            <v>ST-LM060</v>
          </cell>
          <cell r="D603" t="str">
            <v>PONTE</v>
          </cell>
          <cell r="E603"/>
          <cell r="F603" t="str">
            <v>T/R/S 73/22/5</v>
          </cell>
          <cell r="G603" t="str">
            <v>73% POLYESTER  22% RAYON 5% SPANDEX</v>
          </cell>
          <cell r="H603" t="str">
            <v>58</v>
          </cell>
          <cell r="I603">
            <v>270</v>
          </cell>
          <cell r="J603">
            <v>2.04</v>
          </cell>
          <cell r="K603">
            <v>2.2400000000000002</v>
          </cell>
          <cell r="L603">
            <v>2.1</v>
          </cell>
          <cell r="M603">
            <v>2.3000000000000003</v>
          </cell>
          <cell r="N603">
            <v>2.14</v>
          </cell>
          <cell r="O603">
            <v>2.3400000000000003</v>
          </cell>
          <cell r="P603"/>
          <cell r="Q603"/>
          <cell r="R603">
            <v>2.1800000000000002</v>
          </cell>
          <cell r="S603">
            <v>2.3800000000000003</v>
          </cell>
          <cell r="T603"/>
          <cell r="U603"/>
          <cell r="V603">
            <v>15</v>
          </cell>
          <cell r="W603"/>
          <cell r="X603" t="str">
            <v>LILY</v>
          </cell>
          <cell r="Y603"/>
          <cell r="Z603" t="str">
            <v>LILY 21/4/18</v>
          </cell>
          <cell r="AA603"/>
          <cell r="AB603">
            <v>43211</v>
          </cell>
          <cell r="AC603">
            <v>4633</v>
          </cell>
        </row>
        <row r="604">
          <cell r="B604">
            <v>4266</v>
          </cell>
          <cell r="C604" t="str">
            <v>ST-LM041</v>
          </cell>
          <cell r="D604" t="str">
            <v>PONTE</v>
          </cell>
          <cell r="E604"/>
          <cell r="F604" t="str">
            <v>T/R/S 85/11/4</v>
          </cell>
          <cell r="G604" t="str">
            <v>85% POLYESTER 11% RAYON 4% SPANDEX</v>
          </cell>
          <cell r="H604" t="str">
            <v>58</v>
          </cell>
          <cell r="I604">
            <v>310</v>
          </cell>
          <cell r="J604">
            <v>2.1800000000000002</v>
          </cell>
          <cell r="K604">
            <v>2.3800000000000003</v>
          </cell>
          <cell r="L604">
            <v>2.2400000000000002</v>
          </cell>
          <cell r="M604">
            <v>2.4400000000000004</v>
          </cell>
          <cell r="N604">
            <v>2.27</v>
          </cell>
          <cell r="O604">
            <v>2.4700000000000002</v>
          </cell>
          <cell r="P604"/>
          <cell r="Q604"/>
          <cell r="R604">
            <v>2.3199999999999998</v>
          </cell>
          <cell r="S604">
            <v>2.52</v>
          </cell>
          <cell r="T604"/>
          <cell r="U604"/>
          <cell r="V604">
            <v>15</v>
          </cell>
          <cell r="W604"/>
          <cell r="X604" t="str">
            <v>LILY</v>
          </cell>
          <cell r="Y604"/>
          <cell r="Z604" t="str">
            <v>LILY 21/4/18</v>
          </cell>
          <cell r="AA604"/>
          <cell r="AB604">
            <v>43211</v>
          </cell>
          <cell r="AC604">
            <v>4656</v>
          </cell>
        </row>
        <row r="605">
          <cell r="B605">
            <v>4265</v>
          </cell>
          <cell r="C605" t="str">
            <v>ST-LM011</v>
          </cell>
          <cell r="D605" t="str">
            <v>PONTE</v>
          </cell>
          <cell r="E605"/>
          <cell r="F605" t="str">
            <v>R/T/S 67/29/4</v>
          </cell>
          <cell r="G605" t="str">
            <v>67% RAYON  29% POLYESTER  4% SPANDEX</v>
          </cell>
          <cell r="H605" t="str">
            <v>60</v>
          </cell>
          <cell r="I605">
            <v>280</v>
          </cell>
          <cell r="J605">
            <v>2.7</v>
          </cell>
          <cell r="K605">
            <v>2.9</v>
          </cell>
          <cell r="L605">
            <v>2.76</v>
          </cell>
          <cell r="M605">
            <v>2.96</v>
          </cell>
          <cell r="N605">
            <v>2.79</v>
          </cell>
          <cell r="O605">
            <v>2.99</v>
          </cell>
          <cell r="P605"/>
          <cell r="Q605"/>
          <cell r="R605">
            <v>2.83</v>
          </cell>
          <cell r="S605">
            <v>3.03</v>
          </cell>
          <cell r="T605"/>
          <cell r="U605"/>
          <cell r="V605">
            <v>15</v>
          </cell>
          <cell r="W605"/>
          <cell r="X605" t="str">
            <v>LILY</v>
          </cell>
          <cell r="Y605"/>
          <cell r="Z605" t="str">
            <v>LILY 21/4/18</v>
          </cell>
          <cell r="AA605"/>
          <cell r="AB605">
            <v>43211</v>
          </cell>
          <cell r="AC605">
            <v>4627</v>
          </cell>
        </row>
        <row r="606">
          <cell r="B606">
            <v>4264</v>
          </cell>
          <cell r="C606" t="str">
            <v>ST-LM055</v>
          </cell>
          <cell r="D606" t="str">
            <v>PONTE</v>
          </cell>
          <cell r="E606"/>
          <cell r="F606" t="str">
            <v>T/S 96/4</v>
          </cell>
          <cell r="G606" t="str">
            <v>96% POLYESTER 4% SPANDEX</v>
          </cell>
          <cell r="H606" t="str">
            <v>58</v>
          </cell>
          <cell r="I606">
            <v>350</v>
          </cell>
          <cell r="J606">
            <v>2.14</v>
          </cell>
          <cell r="K606">
            <v>2.34</v>
          </cell>
          <cell r="L606">
            <v>2.2000000000000002</v>
          </cell>
          <cell r="M606">
            <v>2.4</v>
          </cell>
          <cell r="N606">
            <v>2.2400000000000002</v>
          </cell>
          <cell r="O606">
            <v>2.44</v>
          </cell>
          <cell r="P606"/>
          <cell r="Q606"/>
          <cell r="R606">
            <v>2.2799999999999998</v>
          </cell>
          <cell r="S606">
            <v>2.48</v>
          </cell>
          <cell r="T606"/>
          <cell r="U606"/>
          <cell r="V606">
            <v>15</v>
          </cell>
          <cell r="W606"/>
          <cell r="X606" t="str">
            <v>LILY</v>
          </cell>
          <cell r="Y606"/>
          <cell r="Z606" t="str">
            <v>LILY 21/4/18</v>
          </cell>
          <cell r="AA606"/>
          <cell r="AB606">
            <v>43211</v>
          </cell>
          <cell r="AC606">
            <v>4628</v>
          </cell>
        </row>
        <row r="607">
          <cell r="B607">
            <v>4263</v>
          </cell>
          <cell r="C607" t="str">
            <v>ST-LM054</v>
          </cell>
          <cell r="D607" t="str">
            <v>PONTE</v>
          </cell>
          <cell r="E607"/>
          <cell r="F607" t="str">
            <v>T/S 95/5</v>
          </cell>
          <cell r="G607" t="str">
            <v>95% POLYESTER  5% SPANDEX</v>
          </cell>
          <cell r="H607" t="str">
            <v>58</v>
          </cell>
          <cell r="I607">
            <v>280</v>
          </cell>
          <cell r="J607">
            <v>1.51</v>
          </cell>
          <cell r="K607">
            <v>1.71</v>
          </cell>
          <cell r="L607">
            <v>1.57</v>
          </cell>
          <cell r="M607">
            <v>1.77</v>
          </cell>
          <cell r="N607">
            <v>1.61</v>
          </cell>
          <cell r="O607">
            <v>1.81</v>
          </cell>
          <cell r="P607"/>
          <cell r="Q607"/>
          <cell r="R607">
            <v>1.65</v>
          </cell>
          <cell r="S607">
            <v>1.8499999999999999</v>
          </cell>
          <cell r="T607"/>
          <cell r="U607"/>
          <cell r="V607">
            <v>15</v>
          </cell>
          <cell r="W607"/>
          <cell r="X607" t="str">
            <v>LILY</v>
          </cell>
          <cell r="Y607"/>
          <cell r="Z607" t="str">
            <v>LILY 21/4/18</v>
          </cell>
          <cell r="AA607"/>
          <cell r="AB607">
            <v>43211</v>
          </cell>
          <cell r="AC607">
            <v>4645</v>
          </cell>
        </row>
        <row r="608">
          <cell r="B608">
            <v>4262</v>
          </cell>
          <cell r="C608" t="str">
            <v>ST-LM056</v>
          </cell>
          <cell r="D608" t="str">
            <v>PONTE</v>
          </cell>
          <cell r="E608"/>
          <cell r="F608" t="str">
            <v>T/R/S 78/18/4</v>
          </cell>
          <cell r="G608" t="str">
            <v>78% POLYESTER 18% RAYON 4% SPANDEX</v>
          </cell>
          <cell r="H608" t="str">
            <v>58</v>
          </cell>
          <cell r="I608">
            <v>290</v>
          </cell>
          <cell r="J608">
            <v>2.13</v>
          </cell>
          <cell r="K608">
            <v>2.33</v>
          </cell>
          <cell r="L608">
            <v>2.19</v>
          </cell>
          <cell r="M608">
            <v>2.39</v>
          </cell>
          <cell r="N608">
            <v>2.23</v>
          </cell>
          <cell r="O608">
            <v>2.4300000000000002</v>
          </cell>
          <cell r="P608"/>
          <cell r="Q608"/>
          <cell r="R608">
            <v>2.27</v>
          </cell>
          <cell r="S608">
            <v>2.4700000000000002</v>
          </cell>
          <cell r="T608"/>
          <cell r="U608"/>
          <cell r="V608">
            <v>15</v>
          </cell>
          <cell r="W608"/>
          <cell r="X608" t="str">
            <v>LILY</v>
          </cell>
          <cell r="Y608"/>
          <cell r="Z608" t="str">
            <v>LILY 21/4/18</v>
          </cell>
          <cell r="AA608"/>
          <cell r="AB608">
            <v>43211</v>
          </cell>
          <cell r="AC608">
            <v>4655</v>
          </cell>
        </row>
        <row r="609">
          <cell r="B609">
            <v>4261</v>
          </cell>
          <cell r="C609" t="str">
            <v>ST-LM051</v>
          </cell>
          <cell r="D609"/>
          <cell r="E609"/>
          <cell r="F609" t="str">
            <v>T/R/N/S 62/20/11/7</v>
          </cell>
          <cell r="G609" t="str">
            <v>62% POLYESTER 20% RAYON 11% NYLON 7% SPANDEX</v>
          </cell>
          <cell r="H609" t="str">
            <v>64</v>
          </cell>
          <cell r="I609">
            <v>280</v>
          </cell>
          <cell r="J609">
            <v>3.1</v>
          </cell>
          <cell r="K609">
            <v>3.3000000000000003</v>
          </cell>
          <cell r="L609">
            <v>3.16</v>
          </cell>
          <cell r="M609">
            <v>3.3600000000000003</v>
          </cell>
          <cell r="N609">
            <v>3.2</v>
          </cell>
          <cell r="O609">
            <v>3.4000000000000004</v>
          </cell>
          <cell r="P609"/>
          <cell r="Q609"/>
          <cell r="R609">
            <v>3.24</v>
          </cell>
          <cell r="S609">
            <v>3.4400000000000004</v>
          </cell>
          <cell r="T609"/>
          <cell r="U609"/>
          <cell r="V609">
            <v>15</v>
          </cell>
          <cell r="W609"/>
          <cell r="X609" t="str">
            <v>LILY</v>
          </cell>
          <cell r="Y609"/>
          <cell r="Z609" t="str">
            <v>LILY 21/4/18</v>
          </cell>
          <cell r="AA609"/>
          <cell r="AB609">
            <v>43211</v>
          </cell>
          <cell r="AC609">
            <v>4646</v>
          </cell>
        </row>
        <row r="610">
          <cell r="B610">
            <v>4260</v>
          </cell>
          <cell r="C610" t="str">
            <v>ST-LM014</v>
          </cell>
          <cell r="D610" t="str">
            <v>PONTE</v>
          </cell>
          <cell r="E610"/>
          <cell r="F610" t="str">
            <v>R/T/S 64/31/5</v>
          </cell>
          <cell r="G610" t="str">
            <v xml:space="preserve">64% RAYON 31% POLYESTER 5% SPANDEX </v>
          </cell>
          <cell r="H610" t="str">
            <v>62</v>
          </cell>
          <cell r="I610">
            <v>280</v>
          </cell>
          <cell r="J610">
            <v>3.17</v>
          </cell>
          <cell r="K610">
            <v>3.37</v>
          </cell>
          <cell r="L610">
            <v>3.23</v>
          </cell>
          <cell r="M610">
            <v>3.43</v>
          </cell>
          <cell r="N610">
            <v>3.27</v>
          </cell>
          <cell r="O610">
            <v>3.47</v>
          </cell>
          <cell r="P610"/>
          <cell r="Q610"/>
          <cell r="R610">
            <v>3.31</v>
          </cell>
          <cell r="S610">
            <v>3.5100000000000002</v>
          </cell>
          <cell r="T610"/>
          <cell r="U610"/>
          <cell r="V610">
            <v>15</v>
          </cell>
          <cell r="W610"/>
          <cell r="X610" t="str">
            <v>LILY</v>
          </cell>
          <cell r="Y610"/>
          <cell r="Z610" t="str">
            <v>LILY 21/4/18</v>
          </cell>
          <cell r="AA610"/>
          <cell r="AB610">
            <v>43211</v>
          </cell>
          <cell r="AC610">
            <v>4641</v>
          </cell>
        </row>
        <row r="611">
          <cell r="B611">
            <v>4259</v>
          </cell>
          <cell r="C611" t="str">
            <v>ST-LM052</v>
          </cell>
          <cell r="D611" t="str">
            <v>PONTE</v>
          </cell>
          <cell r="E611"/>
          <cell r="F611" t="str">
            <v>T/R/S 75/20/5</v>
          </cell>
          <cell r="G611" t="str">
            <v xml:space="preserve">75% POLYESTER 20% RAYON 5% SPANDEX </v>
          </cell>
          <cell r="H611" t="str">
            <v>59</v>
          </cell>
          <cell r="I611">
            <v>245</v>
          </cell>
          <cell r="J611">
            <v>1.79</v>
          </cell>
          <cell r="K611">
            <v>1.99</v>
          </cell>
          <cell r="L611">
            <v>1.8499999999999999</v>
          </cell>
          <cell r="M611">
            <v>2.0499999999999998</v>
          </cell>
          <cell r="N611">
            <v>1.89</v>
          </cell>
          <cell r="O611">
            <v>2.09</v>
          </cell>
          <cell r="P611"/>
          <cell r="Q611"/>
          <cell r="R611">
            <v>1.93</v>
          </cell>
          <cell r="S611">
            <v>2.13</v>
          </cell>
          <cell r="T611"/>
          <cell r="U611"/>
          <cell r="V611">
            <v>15</v>
          </cell>
          <cell r="W611"/>
          <cell r="X611" t="str">
            <v>LILY</v>
          </cell>
          <cell r="Y611"/>
          <cell r="Z611" t="str">
            <v>LILY 21/4/18</v>
          </cell>
          <cell r="AA611"/>
          <cell r="AB611">
            <v>43211</v>
          </cell>
          <cell r="AC611">
            <v>4624</v>
          </cell>
        </row>
        <row r="612">
          <cell r="B612">
            <v>4258</v>
          </cell>
          <cell r="C612" t="str">
            <v>ST-LM064</v>
          </cell>
          <cell r="D612" t="str">
            <v>PONTE</v>
          </cell>
          <cell r="E612"/>
          <cell r="F612" t="str">
            <v>T/R/S 82/13/5</v>
          </cell>
          <cell r="G612" t="str">
            <v>82% POLYESTER 13% RAYON 5% SPANDEX</v>
          </cell>
          <cell r="H612" t="str">
            <v>58</v>
          </cell>
          <cell r="I612">
            <v>260</v>
          </cell>
          <cell r="J612">
            <v>1.93</v>
          </cell>
          <cell r="K612">
            <v>2.13</v>
          </cell>
          <cell r="L612">
            <v>1.99</v>
          </cell>
          <cell r="M612">
            <v>2.19</v>
          </cell>
          <cell r="N612">
            <v>2.0299999999999998</v>
          </cell>
          <cell r="O612">
            <v>2.23</v>
          </cell>
          <cell r="P612"/>
          <cell r="Q612"/>
          <cell r="R612">
            <v>2.0699999999999998</v>
          </cell>
          <cell r="S612">
            <v>2.27</v>
          </cell>
          <cell r="T612"/>
          <cell r="U612"/>
          <cell r="V612">
            <v>15</v>
          </cell>
          <cell r="W612"/>
          <cell r="X612" t="str">
            <v>LILY</v>
          </cell>
          <cell r="Y612"/>
          <cell r="Z612" t="str">
            <v>LILY 21/4/18</v>
          </cell>
          <cell r="AA612"/>
          <cell r="AB612">
            <v>43211</v>
          </cell>
          <cell r="AC612">
            <v>4625</v>
          </cell>
        </row>
        <row r="613">
          <cell r="B613">
            <v>4257</v>
          </cell>
          <cell r="C613" t="str">
            <v>ST-LM057</v>
          </cell>
          <cell r="D613" t="str">
            <v>PONTE</v>
          </cell>
          <cell r="E613"/>
          <cell r="F613" t="str">
            <v>T/R/S 82/13/5</v>
          </cell>
          <cell r="G613" t="str">
            <v>82% POLYESTER  13% RAYON 5% SPANDEX</v>
          </cell>
          <cell r="H613" t="str">
            <v>58</v>
          </cell>
          <cell r="I613">
            <v>310</v>
          </cell>
          <cell r="J613">
            <v>2.2000000000000002</v>
          </cell>
          <cell r="K613">
            <v>2.4000000000000004</v>
          </cell>
          <cell r="L613">
            <v>2.2599999999999998</v>
          </cell>
          <cell r="M613">
            <v>2.46</v>
          </cell>
          <cell r="N613">
            <v>2.2999999999999998</v>
          </cell>
          <cell r="O613">
            <v>2.5</v>
          </cell>
          <cell r="P613"/>
          <cell r="Q613"/>
          <cell r="R613">
            <v>2.34</v>
          </cell>
          <cell r="S613">
            <v>2.54</v>
          </cell>
          <cell r="T613"/>
          <cell r="U613"/>
          <cell r="V613">
            <v>15</v>
          </cell>
          <cell r="W613"/>
          <cell r="X613" t="str">
            <v>LILY</v>
          </cell>
          <cell r="Y613"/>
          <cell r="Z613" t="str">
            <v>LILY 21/4/18</v>
          </cell>
          <cell r="AA613"/>
          <cell r="AB613">
            <v>43211</v>
          </cell>
          <cell r="AC613">
            <v>4657</v>
          </cell>
        </row>
        <row r="614">
          <cell r="B614">
            <v>4256</v>
          </cell>
          <cell r="C614" t="str">
            <v>ST-LM043</v>
          </cell>
          <cell r="D614"/>
          <cell r="E614"/>
          <cell r="F614" t="str">
            <v>T/S 95/5</v>
          </cell>
          <cell r="G614" t="str">
            <v>95% POLYESTER  5% SPANDEX</v>
          </cell>
          <cell r="H614" t="str">
            <v>60</v>
          </cell>
          <cell r="I614">
            <v>280</v>
          </cell>
          <cell r="J614">
            <v>2</v>
          </cell>
          <cell r="K614">
            <v>2.2000000000000002</v>
          </cell>
          <cell r="L614">
            <v>2.06</v>
          </cell>
          <cell r="M614">
            <v>2.2600000000000002</v>
          </cell>
          <cell r="N614">
            <v>2.1</v>
          </cell>
          <cell r="O614">
            <v>2.3000000000000003</v>
          </cell>
          <cell r="P614"/>
          <cell r="Q614"/>
          <cell r="R614">
            <v>2.14</v>
          </cell>
          <cell r="S614">
            <v>2.3400000000000003</v>
          </cell>
          <cell r="T614"/>
          <cell r="U614"/>
          <cell r="V614">
            <v>15</v>
          </cell>
          <cell r="W614"/>
          <cell r="X614" t="str">
            <v>LILY</v>
          </cell>
          <cell r="Y614"/>
          <cell r="Z614" t="str">
            <v>LILY 21/4/18</v>
          </cell>
          <cell r="AA614"/>
          <cell r="AB614">
            <v>43211</v>
          </cell>
          <cell r="AC614">
            <v>4629</v>
          </cell>
        </row>
        <row r="615">
          <cell r="B615">
            <v>4255</v>
          </cell>
          <cell r="C615" t="str">
            <v>ST-LM012</v>
          </cell>
          <cell r="D615" t="str">
            <v>PONTE</v>
          </cell>
          <cell r="E615"/>
          <cell r="F615" t="str">
            <v>R/T/S 58/35/7</v>
          </cell>
          <cell r="G615" t="str">
            <v>58% RAYON 35% POLYESTER 7% SPANDEX</v>
          </cell>
          <cell r="H615" t="str">
            <v>63</v>
          </cell>
          <cell r="I615">
            <v>290</v>
          </cell>
          <cell r="J615">
            <v>2.83</v>
          </cell>
          <cell r="K615">
            <v>3.0300000000000002</v>
          </cell>
          <cell r="L615">
            <v>2.89</v>
          </cell>
          <cell r="M615">
            <v>3.0900000000000003</v>
          </cell>
          <cell r="N615">
            <v>2.93</v>
          </cell>
          <cell r="O615">
            <v>3.1300000000000003</v>
          </cell>
          <cell r="P615"/>
          <cell r="Q615"/>
          <cell r="R615">
            <v>2.97</v>
          </cell>
          <cell r="S615">
            <v>3.1700000000000004</v>
          </cell>
          <cell r="T615"/>
          <cell r="U615"/>
          <cell r="V615">
            <v>15</v>
          </cell>
          <cell r="W615"/>
          <cell r="X615" t="str">
            <v>LILY</v>
          </cell>
          <cell r="Y615"/>
          <cell r="Z615" t="str">
            <v>LILY 21/4/18</v>
          </cell>
          <cell r="AA615"/>
          <cell r="AB615">
            <v>43211</v>
          </cell>
          <cell r="AC615">
            <v>4632</v>
          </cell>
        </row>
        <row r="616">
          <cell r="B616">
            <v>4254</v>
          </cell>
          <cell r="C616" t="str">
            <v>ST-LM059</v>
          </cell>
          <cell r="D616" t="str">
            <v>PONTE</v>
          </cell>
          <cell r="E616"/>
          <cell r="F616" t="str">
            <v>T/R/S 86/10/4</v>
          </cell>
          <cell r="G616" t="str">
            <v>86% POLYESTER  10% RAYON  4% SPANDEX</v>
          </cell>
          <cell r="H616" t="str">
            <v>58</v>
          </cell>
          <cell r="I616">
            <v>330</v>
          </cell>
          <cell r="J616">
            <v>2.42</v>
          </cell>
          <cell r="K616">
            <v>2.62</v>
          </cell>
          <cell r="L616">
            <v>2.48</v>
          </cell>
          <cell r="M616">
            <v>2.68</v>
          </cell>
          <cell r="N616">
            <v>2.52</v>
          </cell>
          <cell r="O616">
            <v>2.72</v>
          </cell>
          <cell r="P616"/>
          <cell r="Q616"/>
          <cell r="R616">
            <v>2.56</v>
          </cell>
          <cell r="S616">
            <v>2.7600000000000002</v>
          </cell>
          <cell r="T616"/>
          <cell r="U616"/>
          <cell r="V616">
            <v>15</v>
          </cell>
          <cell r="W616"/>
          <cell r="X616" t="str">
            <v>LILY</v>
          </cell>
          <cell r="Y616"/>
          <cell r="Z616" t="str">
            <v>LILY 21/4/18</v>
          </cell>
          <cell r="AA616"/>
          <cell r="AB616">
            <v>43211</v>
          </cell>
          <cell r="AC616">
            <v>4658</v>
          </cell>
        </row>
        <row r="617">
          <cell r="B617">
            <v>4253</v>
          </cell>
          <cell r="C617" t="str">
            <v>ST-LM062</v>
          </cell>
          <cell r="D617" t="str">
            <v>PONTE</v>
          </cell>
          <cell r="E617"/>
          <cell r="F617" t="str">
            <v>T/R/S 75/20/5</v>
          </cell>
          <cell r="G617" t="str">
            <v>75% POLYESTER 20% RAYON 5% SPANDEX</v>
          </cell>
          <cell r="H617" t="str">
            <v>59</v>
          </cell>
          <cell r="I617">
            <v>325</v>
          </cell>
          <cell r="J617">
            <v>2.63</v>
          </cell>
          <cell r="K617">
            <v>2.83</v>
          </cell>
          <cell r="L617">
            <v>2.69</v>
          </cell>
          <cell r="M617">
            <v>2.89</v>
          </cell>
          <cell r="N617">
            <v>2.73</v>
          </cell>
          <cell r="O617">
            <v>2.93</v>
          </cell>
          <cell r="P617"/>
          <cell r="Q617"/>
          <cell r="R617">
            <v>2.77</v>
          </cell>
          <cell r="S617">
            <v>2.97</v>
          </cell>
          <cell r="T617"/>
          <cell r="U617"/>
          <cell r="V617">
            <v>15</v>
          </cell>
          <cell r="W617"/>
          <cell r="X617" t="str">
            <v>LILY</v>
          </cell>
          <cell r="Y617"/>
          <cell r="Z617" t="str">
            <v>LILY 21/4/18</v>
          </cell>
          <cell r="AA617"/>
          <cell r="AB617">
            <v>43211</v>
          </cell>
          <cell r="AC617">
            <v>4659</v>
          </cell>
        </row>
        <row r="618">
          <cell r="B618">
            <v>4252</v>
          </cell>
          <cell r="C618" t="str">
            <v>ST-E006</v>
          </cell>
          <cell r="D618" t="str">
            <v>CREPE ( SAME 1895C )</v>
          </cell>
          <cell r="E618"/>
          <cell r="F618" t="str">
            <v>T100%</v>
          </cell>
          <cell r="G618" t="str">
            <v xml:space="preserve">100% POLYESTER </v>
          </cell>
          <cell r="H618" t="str">
            <v>57</v>
          </cell>
          <cell r="I618">
            <v>120</v>
          </cell>
          <cell r="J618">
            <v>1.2</v>
          </cell>
          <cell r="K618">
            <v>1.4</v>
          </cell>
          <cell r="L618">
            <v>1.2</v>
          </cell>
          <cell r="M618">
            <v>1.4</v>
          </cell>
          <cell r="N618">
            <v>1.2</v>
          </cell>
          <cell r="O618">
            <v>1.4</v>
          </cell>
          <cell r="P618"/>
          <cell r="Q618"/>
          <cell r="R618">
            <v>1.25</v>
          </cell>
          <cell r="S618">
            <v>1.45</v>
          </cell>
          <cell r="T618"/>
          <cell r="U618"/>
          <cell r="V618">
            <v>15</v>
          </cell>
          <cell r="W618"/>
          <cell r="X618" t="str">
            <v>LILY</v>
          </cell>
          <cell r="Y618"/>
          <cell r="Z618" t="str">
            <v>LILY 21/4/18</v>
          </cell>
          <cell r="AA618"/>
          <cell r="AB618">
            <v>43211</v>
          </cell>
          <cell r="AC618">
            <v>4634</v>
          </cell>
        </row>
        <row r="619">
          <cell r="B619">
            <v>4249</v>
          </cell>
          <cell r="C619" t="str">
            <v>ST-WV3954</v>
          </cell>
          <cell r="D619"/>
          <cell r="E619"/>
          <cell r="F619" t="str">
            <v>R/T 71/29</v>
          </cell>
          <cell r="G619" t="str">
            <v>71% RAYON 29% POLYESTER</v>
          </cell>
          <cell r="H619" t="str">
            <v>55</v>
          </cell>
          <cell r="I619">
            <v>150</v>
          </cell>
          <cell r="J619">
            <v>1.59</v>
          </cell>
          <cell r="K619">
            <v>1.79</v>
          </cell>
          <cell r="L619">
            <v>1.65</v>
          </cell>
          <cell r="M619">
            <v>1.8499999999999999</v>
          </cell>
          <cell r="N619">
            <v>1.69</v>
          </cell>
          <cell r="O619">
            <v>1.89</v>
          </cell>
          <cell r="P619"/>
          <cell r="Q619"/>
          <cell r="R619">
            <v>1.73</v>
          </cell>
          <cell r="S619">
            <v>1.93</v>
          </cell>
          <cell r="T619"/>
          <cell r="U619"/>
          <cell r="V619">
            <v>15</v>
          </cell>
          <cell r="W619"/>
          <cell r="X619" t="str">
            <v>LILY</v>
          </cell>
          <cell r="Y619"/>
          <cell r="Z619" t="str">
            <v>LILY 21/4/18</v>
          </cell>
          <cell r="AA619"/>
          <cell r="AB619">
            <v>43211</v>
          </cell>
          <cell r="AC619">
            <v>4636</v>
          </cell>
        </row>
        <row r="620">
          <cell r="B620">
            <v>4248</v>
          </cell>
          <cell r="C620" t="str">
            <v>ST-WV3406</v>
          </cell>
          <cell r="D620"/>
          <cell r="E620"/>
          <cell r="F620" t="str">
            <v>T100%</v>
          </cell>
          <cell r="G620" t="str">
            <v xml:space="preserve">100% POLYESTER </v>
          </cell>
          <cell r="H620" t="str">
            <v>57</v>
          </cell>
          <cell r="I620">
            <v>95</v>
          </cell>
          <cell r="J620">
            <v>1.53</v>
          </cell>
          <cell r="K620">
            <v>1.73</v>
          </cell>
          <cell r="L620">
            <v>1.59</v>
          </cell>
          <cell r="M620">
            <v>1.79</v>
          </cell>
          <cell r="N620">
            <v>1.63</v>
          </cell>
          <cell r="O620">
            <v>1.83</v>
          </cell>
          <cell r="P620"/>
          <cell r="Q620"/>
          <cell r="R620">
            <v>1.67</v>
          </cell>
          <cell r="S620">
            <v>1.87</v>
          </cell>
          <cell r="T620"/>
          <cell r="U620"/>
          <cell r="V620">
            <v>15</v>
          </cell>
          <cell r="W620"/>
          <cell r="X620" t="str">
            <v>LILY</v>
          </cell>
          <cell r="Y620"/>
          <cell r="Z620" t="str">
            <v>LILY 21/4/18</v>
          </cell>
          <cell r="AA620"/>
          <cell r="AB620">
            <v>43211</v>
          </cell>
          <cell r="AC620">
            <v>4626</v>
          </cell>
        </row>
        <row r="621">
          <cell r="B621">
            <v>4247</v>
          </cell>
          <cell r="C621" t="str">
            <v>ST-WV231-H</v>
          </cell>
          <cell r="D621"/>
          <cell r="E621"/>
          <cell r="F621" t="str">
            <v>R100%</v>
          </cell>
          <cell r="G621" t="str">
            <v xml:space="preserve">100% RAYON </v>
          </cell>
          <cell r="H621" t="str">
            <v>49</v>
          </cell>
          <cell r="I621">
            <v>135</v>
          </cell>
          <cell r="J621">
            <v>1.79</v>
          </cell>
          <cell r="K621">
            <v>1.94</v>
          </cell>
          <cell r="L621">
            <v>1.85</v>
          </cell>
          <cell r="M621">
            <v>2</v>
          </cell>
          <cell r="N621">
            <v>1.89</v>
          </cell>
          <cell r="O621">
            <v>2.04</v>
          </cell>
          <cell r="P621"/>
          <cell r="Q621"/>
          <cell r="R621">
            <v>1.93</v>
          </cell>
          <cell r="S621">
            <v>2.08</v>
          </cell>
          <cell r="T621"/>
          <cell r="U621"/>
          <cell r="V621">
            <v>15</v>
          </cell>
          <cell r="W621"/>
          <cell r="X621" t="str">
            <v>LILY</v>
          </cell>
          <cell r="Y621"/>
          <cell r="Z621" t="str">
            <v>LILY 21/4/18</v>
          </cell>
          <cell r="AA621"/>
          <cell r="AB621">
            <v>43211</v>
          </cell>
          <cell r="AC621">
            <v>4638</v>
          </cell>
        </row>
        <row r="622">
          <cell r="B622">
            <v>4246</v>
          </cell>
          <cell r="C622" t="str">
            <v>ST-WV3556</v>
          </cell>
          <cell r="D622"/>
          <cell r="E622"/>
          <cell r="F622" t="str">
            <v>R100%</v>
          </cell>
          <cell r="G622" t="str">
            <v xml:space="preserve">100% RAYON </v>
          </cell>
          <cell r="H622" t="str">
            <v>55</v>
          </cell>
          <cell r="I622">
            <v>80</v>
          </cell>
          <cell r="J622">
            <v>1.44</v>
          </cell>
          <cell r="K622">
            <v>1.64</v>
          </cell>
          <cell r="L622">
            <v>1.5</v>
          </cell>
          <cell r="M622">
            <v>1.7</v>
          </cell>
          <cell r="N622">
            <v>1.54</v>
          </cell>
          <cell r="O622">
            <v>1.74</v>
          </cell>
          <cell r="P622"/>
          <cell r="Q622"/>
          <cell r="R622">
            <v>1.57</v>
          </cell>
          <cell r="S622">
            <v>1.77</v>
          </cell>
          <cell r="T622"/>
          <cell r="U622"/>
          <cell r="V622">
            <v>15</v>
          </cell>
          <cell r="W622"/>
          <cell r="X622" t="str">
            <v>LILY</v>
          </cell>
          <cell r="Y622"/>
          <cell r="Z622" t="str">
            <v>LILY 21/4/18</v>
          </cell>
          <cell r="AA622"/>
          <cell r="AB622">
            <v>43211</v>
          </cell>
          <cell r="AC622">
            <v>4637</v>
          </cell>
        </row>
        <row r="623">
          <cell r="B623">
            <v>4245</v>
          </cell>
          <cell r="C623" t="str">
            <v>ST-WV2036</v>
          </cell>
          <cell r="D623"/>
          <cell r="E623"/>
          <cell r="F623" t="str">
            <v>T/S 97/3</v>
          </cell>
          <cell r="G623" t="str">
            <v>97% POLYESTER  3% SPANDEX</v>
          </cell>
          <cell r="H623" t="str">
            <v>57</v>
          </cell>
          <cell r="I623">
            <v>125</v>
          </cell>
          <cell r="J623">
            <v>1.2</v>
          </cell>
          <cell r="K623">
            <v>1.4</v>
          </cell>
          <cell r="L623">
            <v>1.26</v>
          </cell>
          <cell r="M623">
            <v>1.46</v>
          </cell>
          <cell r="N623">
            <v>1.3</v>
          </cell>
          <cell r="O623">
            <v>1.5</v>
          </cell>
          <cell r="P623"/>
          <cell r="Q623"/>
          <cell r="R623">
            <v>1.34</v>
          </cell>
          <cell r="S623">
            <v>1.54</v>
          </cell>
          <cell r="T623"/>
          <cell r="U623"/>
          <cell r="V623">
            <v>15</v>
          </cell>
          <cell r="W623"/>
          <cell r="X623" t="str">
            <v>LILY</v>
          </cell>
          <cell r="Y623"/>
          <cell r="Z623" t="str">
            <v>LILY 21/4/18</v>
          </cell>
          <cell r="AA623"/>
          <cell r="AB623">
            <v>43211</v>
          </cell>
          <cell r="AC623">
            <v>4643</v>
          </cell>
        </row>
        <row r="624">
          <cell r="B624">
            <v>4244</v>
          </cell>
          <cell r="C624" t="str">
            <v>ST-WV3575</v>
          </cell>
          <cell r="D624"/>
          <cell r="E624"/>
          <cell r="F624" t="str">
            <v>C100%</v>
          </cell>
          <cell r="G624" t="str">
            <v>100% COTTON</v>
          </cell>
          <cell r="H624" t="str">
            <v>55</v>
          </cell>
          <cell r="I624">
            <v>70</v>
          </cell>
          <cell r="J624">
            <v>1.48</v>
          </cell>
          <cell r="K624">
            <v>1.68</v>
          </cell>
          <cell r="L624">
            <v>1.54</v>
          </cell>
          <cell r="M624">
            <v>1.74</v>
          </cell>
          <cell r="N624">
            <v>1.58</v>
          </cell>
          <cell r="O624">
            <v>1.78</v>
          </cell>
          <cell r="P624"/>
          <cell r="Q624"/>
          <cell r="R624">
            <v>1.62</v>
          </cell>
          <cell r="S624">
            <v>1.82</v>
          </cell>
          <cell r="T624"/>
          <cell r="U624"/>
          <cell r="V624">
            <v>15</v>
          </cell>
          <cell r="W624"/>
          <cell r="X624" t="str">
            <v>LILY</v>
          </cell>
          <cell r="Y624"/>
          <cell r="Z624" t="str">
            <v>LILY 21/4/18</v>
          </cell>
          <cell r="AA624"/>
          <cell r="AB624">
            <v>43211</v>
          </cell>
          <cell r="AC624">
            <v>4623</v>
          </cell>
        </row>
        <row r="625">
          <cell r="B625">
            <v>4243</v>
          </cell>
          <cell r="C625" t="str">
            <v>ST-WV3910</v>
          </cell>
          <cell r="D625"/>
          <cell r="E625"/>
          <cell r="F625" t="str">
            <v>T100%</v>
          </cell>
          <cell r="G625" t="str">
            <v xml:space="preserve">100% POLYESTER </v>
          </cell>
          <cell r="H625" t="str">
            <v>57</v>
          </cell>
          <cell r="I625">
            <v>130</v>
          </cell>
          <cell r="J625">
            <v>1.4</v>
          </cell>
          <cell r="K625">
            <v>1.5999999999999999</v>
          </cell>
          <cell r="L625">
            <v>1.46</v>
          </cell>
          <cell r="M625">
            <v>1.66</v>
          </cell>
          <cell r="N625">
            <v>1.5</v>
          </cell>
          <cell r="O625">
            <v>1.7</v>
          </cell>
          <cell r="P625"/>
          <cell r="Q625"/>
          <cell r="R625">
            <v>1.54</v>
          </cell>
          <cell r="S625">
            <v>1.74</v>
          </cell>
          <cell r="T625"/>
          <cell r="U625"/>
          <cell r="V625">
            <v>15</v>
          </cell>
          <cell r="W625"/>
          <cell r="X625" t="str">
            <v>LILY</v>
          </cell>
          <cell r="Y625"/>
          <cell r="Z625" t="str">
            <v>LILY 21/4/18</v>
          </cell>
          <cell r="AA625"/>
          <cell r="AB625">
            <v>43211</v>
          </cell>
          <cell r="AC625">
            <v>4652</v>
          </cell>
        </row>
        <row r="626">
          <cell r="B626">
            <v>4242</v>
          </cell>
          <cell r="C626" t="str">
            <v>ST-WV3912</v>
          </cell>
          <cell r="D626"/>
          <cell r="E626"/>
          <cell r="F626" t="str">
            <v>T100%</v>
          </cell>
          <cell r="G626" t="str">
            <v xml:space="preserve">100% POLYESTER </v>
          </cell>
          <cell r="H626" t="str">
            <v>57</v>
          </cell>
          <cell r="I626">
            <v>120</v>
          </cell>
          <cell r="J626">
            <v>1.4</v>
          </cell>
          <cell r="K626">
            <v>1.5999999999999999</v>
          </cell>
          <cell r="L626">
            <v>1.46</v>
          </cell>
          <cell r="M626">
            <v>1.66</v>
          </cell>
          <cell r="N626">
            <v>1.5</v>
          </cell>
          <cell r="O626">
            <v>1.7</v>
          </cell>
          <cell r="P626"/>
          <cell r="Q626"/>
          <cell r="R626">
            <v>1.54</v>
          </cell>
          <cell r="S626">
            <v>1.74</v>
          </cell>
          <cell r="T626"/>
          <cell r="U626"/>
          <cell r="V626">
            <v>15</v>
          </cell>
          <cell r="W626"/>
          <cell r="X626" t="str">
            <v>LILY</v>
          </cell>
          <cell r="Y626"/>
          <cell r="Z626" t="str">
            <v>LILY 21/4/18</v>
          </cell>
          <cell r="AA626"/>
          <cell r="AB626">
            <v>43211</v>
          </cell>
          <cell r="AC626">
            <v>4644</v>
          </cell>
        </row>
        <row r="627">
          <cell r="B627">
            <v>4241</v>
          </cell>
          <cell r="C627" t="str">
            <v>ST-LS02054</v>
          </cell>
          <cell r="D627" t="str">
            <v>LACE</v>
          </cell>
          <cell r="E627"/>
          <cell r="F627" t="str">
            <v>T100%</v>
          </cell>
          <cell r="G627" t="str">
            <v xml:space="preserve">100% POLYESTER </v>
          </cell>
          <cell r="H627" t="str">
            <v>57</v>
          </cell>
          <cell r="I627">
            <v>121</v>
          </cell>
          <cell r="J627">
            <v>0.98</v>
          </cell>
          <cell r="K627">
            <v>1.18</v>
          </cell>
          <cell r="L627">
            <v>1.04</v>
          </cell>
          <cell r="M627">
            <v>1.24</v>
          </cell>
          <cell r="N627">
            <v>1.08</v>
          </cell>
          <cell r="O627">
            <v>1.28</v>
          </cell>
          <cell r="P627"/>
          <cell r="Q627"/>
          <cell r="R627">
            <v>1.1200000000000001</v>
          </cell>
          <cell r="S627">
            <v>1.32</v>
          </cell>
          <cell r="T627"/>
          <cell r="U627"/>
          <cell r="V627">
            <v>15</v>
          </cell>
          <cell r="W627"/>
          <cell r="X627" t="str">
            <v>LILY</v>
          </cell>
          <cell r="Y627"/>
          <cell r="Z627" t="str">
            <v>LILY 21/4/18</v>
          </cell>
          <cell r="AA627"/>
          <cell r="AB627">
            <v>43211</v>
          </cell>
          <cell r="AC627">
            <v>4642</v>
          </cell>
        </row>
        <row r="628">
          <cell r="B628">
            <v>4240</v>
          </cell>
          <cell r="C628" t="str">
            <v>ST-L097-1</v>
          </cell>
          <cell r="D628"/>
          <cell r="E628"/>
          <cell r="F628" t="str">
            <v>T100%</v>
          </cell>
          <cell r="G628" t="str">
            <v xml:space="preserve">100% POLYESTER </v>
          </cell>
          <cell r="H628" t="str">
            <v>57</v>
          </cell>
          <cell r="I628">
            <v>90</v>
          </cell>
          <cell r="J628">
            <v>1.19</v>
          </cell>
          <cell r="K628">
            <v>1.39</v>
          </cell>
          <cell r="L628">
            <v>1.25</v>
          </cell>
          <cell r="M628">
            <v>1.45</v>
          </cell>
          <cell r="N628">
            <v>1.29</v>
          </cell>
          <cell r="O628">
            <v>1.49</v>
          </cell>
          <cell r="P628"/>
          <cell r="Q628"/>
          <cell r="R628">
            <v>1.33</v>
          </cell>
          <cell r="S628">
            <v>1.53</v>
          </cell>
          <cell r="T628"/>
          <cell r="U628"/>
          <cell r="V628">
            <v>15</v>
          </cell>
          <cell r="W628"/>
          <cell r="X628" t="str">
            <v>LILY</v>
          </cell>
          <cell r="Y628"/>
          <cell r="Z628" t="str">
            <v>LILY 21/4/18</v>
          </cell>
          <cell r="AA628"/>
          <cell r="AB628">
            <v>43211</v>
          </cell>
          <cell r="AC628">
            <v>4650</v>
          </cell>
        </row>
        <row r="629">
          <cell r="B629">
            <v>4239</v>
          </cell>
          <cell r="C629" t="str">
            <v>ST-KH0166</v>
          </cell>
          <cell r="D629"/>
          <cell r="E629"/>
          <cell r="F629" t="str">
            <v>T100%</v>
          </cell>
          <cell r="G629" t="str">
            <v xml:space="preserve">100% POLYESTER </v>
          </cell>
          <cell r="H629" t="str">
            <v>56</v>
          </cell>
          <cell r="I629">
            <v>80</v>
          </cell>
          <cell r="J629">
            <v>1.01</v>
          </cell>
          <cell r="K629">
            <v>1.21</v>
          </cell>
          <cell r="L629">
            <v>1.07</v>
          </cell>
          <cell r="M629">
            <v>1.27</v>
          </cell>
          <cell r="N629">
            <v>1.1100000000000001</v>
          </cell>
          <cell r="O629">
            <v>1.31</v>
          </cell>
          <cell r="P629"/>
          <cell r="Q629"/>
          <cell r="R629">
            <v>1.1499999999999999</v>
          </cell>
          <cell r="S629">
            <v>1.3499999999999999</v>
          </cell>
          <cell r="T629"/>
          <cell r="U629"/>
          <cell r="V629">
            <v>15</v>
          </cell>
          <cell r="W629"/>
          <cell r="X629" t="str">
            <v>LILY</v>
          </cell>
          <cell r="Y629"/>
          <cell r="Z629" t="str">
            <v>LILY 21/4/18</v>
          </cell>
          <cell r="AA629"/>
          <cell r="AB629">
            <v>43211</v>
          </cell>
          <cell r="AC629">
            <v>4640</v>
          </cell>
        </row>
        <row r="630">
          <cell r="B630">
            <v>4238</v>
          </cell>
          <cell r="C630" t="str">
            <v>ST-KW0197</v>
          </cell>
          <cell r="D630"/>
          <cell r="E630"/>
          <cell r="F630" t="str">
            <v>T100%</v>
          </cell>
          <cell r="G630" t="str">
            <v xml:space="preserve">100% POLYESTER </v>
          </cell>
          <cell r="H630" t="str">
            <v>57</v>
          </cell>
          <cell r="I630">
            <v>70</v>
          </cell>
          <cell r="J630">
            <v>1.1100000000000001</v>
          </cell>
          <cell r="K630">
            <v>1.31</v>
          </cell>
          <cell r="L630">
            <v>1.17</v>
          </cell>
          <cell r="M630">
            <v>1.3699999999999999</v>
          </cell>
          <cell r="N630">
            <v>1.21</v>
          </cell>
          <cell r="O630">
            <v>1.41</v>
          </cell>
          <cell r="P630"/>
          <cell r="Q630"/>
          <cell r="R630">
            <v>1.25</v>
          </cell>
          <cell r="S630">
            <v>1.45</v>
          </cell>
          <cell r="T630"/>
          <cell r="U630"/>
          <cell r="V630">
            <v>15</v>
          </cell>
          <cell r="W630"/>
          <cell r="X630" t="str">
            <v>LILY</v>
          </cell>
          <cell r="Y630"/>
          <cell r="Z630" t="str">
            <v>LILY 21/4/18</v>
          </cell>
          <cell r="AA630"/>
          <cell r="AB630">
            <v>43211</v>
          </cell>
          <cell r="AC630">
            <v>4648</v>
          </cell>
        </row>
        <row r="631">
          <cell r="B631">
            <v>4237</v>
          </cell>
          <cell r="C631" t="str">
            <v>ST-LS02062</v>
          </cell>
          <cell r="D631"/>
          <cell r="E631"/>
          <cell r="F631" t="str">
            <v>T100%</v>
          </cell>
          <cell r="G631" t="str">
            <v xml:space="preserve">100% POLYESTER </v>
          </cell>
          <cell r="H631" t="str">
            <v>57</v>
          </cell>
          <cell r="I631">
            <v>88</v>
          </cell>
          <cell r="J631">
            <v>0.81</v>
          </cell>
          <cell r="K631">
            <v>1.01</v>
          </cell>
          <cell r="L631">
            <v>0.87</v>
          </cell>
          <cell r="M631">
            <v>1.07</v>
          </cell>
          <cell r="N631">
            <v>0.91</v>
          </cell>
          <cell r="O631">
            <v>1.1100000000000001</v>
          </cell>
          <cell r="P631"/>
          <cell r="Q631"/>
          <cell r="R631">
            <v>0.95</v>
          </cell>
          <cell r="S631">
            <v>1.1499999999999999</v>
          </cell>
          <cell r="T631"/>
          <cell r="U631"/>
          <cell r="V631">
            <v>15</v>
          </cell>
          <cell r="W631"/>
          <cell r="X631" t="str">
            <v>LILY</v>
          </cell>
          <cell r="Y631"/>
          <cell r="Z631" t="str">
            <v>LILY 21/4/18</v>
          </cell>
          <cell r="AA631"/>
          <cell r="AB631">
            <v>43211</v>
          </cell>
          <cell r="AC631">
            <v>4630</v>
          </cell>
        </row>
        <row r="632">
          <cell r="B632">
            <v>4236</v>
          </cell>
          <cell r="C632" t="str">
            <v>ST-KW0633</v>
          </cell>
          <cell r="D632"/>
          <cell r="E632"/>
          <cell r="F632" t="str">
            <v>T100%</v>
          </cell>
          <cell r="G632" t="str">
            <v xml:space="preserve">100% POLYESTER </v>
          </cell>
          <cell r="H632" t="str">
            <v>57</v>
          </cell>
          <cell r="I632">
            <v>85</v>
          </cell>
          <cell r="J632">
            <v>1.54</v>
          </cell>
          <cell r="K632">
            <v>1.74</v>
          </cell>
          <cell r="L632">
            <v>1.59</v>
          </cell>
          <cell r="M632">
            <v>1.79</v>
          </cell>
          <cell r="N632">
            <v>1.64</v>
          </cell>
          <cell r="O632">
            <v>1.8399999999999999</v>
          </cell>
          <cell r="P632"/>
          <cell r="Q632"/>
          <cell r="R632">
            <v>1.69</v>
          </cell>
          <cell r="S632">
            <v>1.89</v>
          </cell>
          <cell r="T632"/>
          <cell r="U632"/>
          <cell r="V632">
            <v>15</v>
          </cell>
          <cell r="W632"/>
          <cell r="X632" t="str">
            <v>LILY</v>
          </cell>
          <cell r="Y632"/>
          <cell r="Z632" t="str">
            <v>LILY 21/4/18</v>
          </cell>
          <cell r="AA632"/>
          <cell r="AB632">
            <v>43211</v>
          </cell>
          <cell r="AC632">
            <v>4651</v>
          </cell>
        </row>
        <row r="633">
          <cell r="B633">
            <v>4235</v>
          </cell>
          <cell r="C633" t="str">
            <v>ST-WV2403</v>
          </cell>
          <cell r="D633"/>
          <cell r="E633"/>
          <cell r="F633" t="str">
            <v>T100%</v>
          </cell>
          <cell r="G633" t="str">
            <v xml:space="preserve">100% POLYESTER </v>
          </cell>
          <cell r="H633" t="str">
            <v>57</v>
          </cell>
          <cell r="I633">
            <v>85</v>
          </cell>
          <cell r="J633">
            <v>1.01</v>
          </cell>
          <cell r="K633">
            <v>1.21</v>
          </cell>
          <cell r="L633">
            <v>1.07</v>
          </cell>
          <cell r="M633">
            <v>1.27</v>
          </cell>
          <cell r="N633">
            <v>1.1100000000000001</v>
          </cell>
          <cell r="O633">
            <v>1.31</v>
          </cell>
          <cell r="P633"/>
          <cell r="Q633"/>
          <cell r="R633">
            <v>1.1499999999999999</v>
          </cell>
          <cell r="S633">
            <v>1.3499999999999999</v>
          </cell>
          <cell r="T633"/>
          <cell r="U633"/>
          <cell r="V633">
            <v>15</v>
          </cell>
          <cell r="W633"/>
          <cell r="X633" t="str">
            <v>LILY</v>
          </cell>
          <cell r="Y633"/>
          <cell r="Z633" t="str">
            <v>LILY 21/4/18</v>
          </cell>
          <cell r="AA633"/>
          <cell r="AB633">
            <v>43211</v>
          </cell>
          <cell r="AC633">
            <v>4647</v>
          </cell>
        </row>
        <row r="634">
          <cell r="B634">
            <v>4234</v>
          </cell>
          <cell r="C634" t="str">
            <v>ST-WY007-3</v>
          </cell>
          <cell r="D634" t="str">
            <v>CHIFFON ( SAME 2770 )</v>
          </cell>
          <cell r="E634"/>
          <cell r="F634" t="str">
            <v>T100%</v>
          </cell>
          <cell r="G634" t="str">
            <v xml:space="preserve">100% POLYESTER </v>
          </cell>
          <cell r="H634">
            <v>57</v>
          </cell>
          <cell r="I634">
            <v>72</v>
          </cell>
          <cell r="J634">
            <v>0.9</v>
          </cell>
          <cell r="K634">
            <v>1.1000000000000001</v>
          </cell>
          <cell r="L634">
            <v>0.96</v>
          </cell>
          <cell r="M634">
            <v>1.1599999999999999</v>
          </cell>
          <cell r="N634">
            <v>1</v>
          </cell>
          <cell r="O634">
            <v>1.2</v>
          </cell>
          <cell r="P634"/>
          <cell r="Q634"/>
          <cell r="R634"/>
          <cell r="S634"/>
          <cell r="T634"/>
          <cell r="U634"/>
          <cell r="V634">
            <v>15</v>
          </cell>
          <cell r="W634" t="str">
            <v>if 1000m - solid - $1.04 /  print - 1.25 + $150 surcharge.</v>
          </cell>
          <cell r="X634" t="str">
            <v>LILY</v>
          </cell>
          <cell r="Y634"/>
          <cell r="Z634" t="str">
            <v>LILY 21/4/18</v>
          </cell>
          <cell r="AA634"/>
          <cell r="AB634">
            <v>43211</v>
          </cell>
          <cell r="AC634">
            <v>4639</v>
          </cell>
        </row>
        <row r="635">
          <cell r="B635">
            <v>4233</v>
          </cell>
          <cell r="C635" t="str">
            <v>ST-KQ01152</v>
          </cell>
          <cell r="D635"/>
          <cell r="E635"/>
          <cell r="F635" t="str">
            <v>T100%</v>
          </cell>
          <cell r="G635" t="str">
            <v xml:space="preserve">100% POLYESTER </v>
          </cell>
          <cell r="H635" t="str">
            <v>56</v>
          </cell>
          <cell r="I635">
            <v>80</v>
          </cell>
          <cell r="J635">
            <v>1.1200000000000001</v>
          </cell>
          <cell r="K635">
            <v>1.32</v>
          </cell>
          <cell r="L635">
            <v>1.18</v>
          </cell>
          <cell r="M635">
            <v>1.38</v>
          </cell>
          <cell r="N635">
            <v>1.22</v>
          </cell>
          <cell r="O635">
            <v>1.42</v>
          </cell>
          <cell r="P635"/>
          <cell r="Q635"/>
          <cell r="R635">
            <v>1.26</v>
          </cell>
          <cell r="S635">
            <v>1.46</v>
          </cell>
          <cell r="T635"/>
          <cell r="U635"/>
          <cell r="V635">
            <v>15</v>
          </cell>
          <cell r="W635"/>
          <cell r="X635" t="str">
            <v>LILY</v>
          </cell>
          <cell r="Y635"/>
          <cell r="Z635" t="str">
            <v>LILY 21/4/18</v>
          </cell>
          <cell r="AA635"/>
          <cell r="AB635">
            <v>43211</v>
          </cell>
          <cell r="AC635">
            <v>4649</v>
          </cell>
        </row>
        <row r="636">
          <cell r="B636">
            <v>4232</v>
          </cell>
          <cell r="C636" t="str">
            <v>ST-KW0420</v>
          </cell>
          <cell r="D636"/>
          <cell r="E636"/>
          <cell r="F636" t="str">
            <v>T100%</v>
          </cell>
          <cell r="G636" t="str">
            <v xml:space="preserve">100% POLYESTER </v>
          </cell>
          <cell r="H636" t="str">
            <v>57</v>
          </cell>
          <cell r="I636">
            <v>100</v>
          </cell>
          <cell r="J636">
            <v>1.45</v>
          </cell>
          <cell r="K636">
            <v>1.65</v>
          </cell>
          <cell r="L636">
            <v>1.51</v>
          </cell>
          <cell r="M636">
            <v>1.71</v>
          </cell>
          <cell r="N636">
            <v>1.57</v>
          </cell>
          <cell r="O636">
            <v>1.77</v>
          </cell>
          <cell r="P636"/>
          <cell r="Q636"/>
          <cell r="R636">
            <v>1.61</v>
          </cell>
          <cell r="S636">
            <v>1.81</v>
          </cell>
          <cell r="T636"/>
          <cell r="U636"/>
          <cell r="V636">
            <v>15</v>
          </cell>
          <cell r="W636"/>
          <cell r="X636" t="str">
            <v>LILY</v>
          </cell>
          <cell r="Y636"/>
          <cell r="Z636" t="str">
            <v>LILY 21/4/18</v>
          </cell>
          <cell r="AA636"/>
          <cell r="AB636">
            <v>43211</v>
          </cell>
          <cell r="AC636">
            <v>4635</v>
          </cell>
        </row>
        <row r="637">
          <cell r="B637">
            <v>742</v>
          </cell>
          <cell r="C637" t="str">
            <v>TS-144</v>
          </cell>
          <cell r="D637" t="str">
            <v>MATT SATEEN</v>
          </cell>
          <cell r="E637"/>
          <cell r="F637" t="str">
            <v>T100%</v>
          </cell>
          <cell r="G637" t="str">
            <v xml:space="preserve">100% POLYESTER </v>
          </cell>
          <cell r="H637" t="str">
            <v>57/58</v>
          </cell>
          <cell r="I637">
            <v>80</v>
          </cell>
          <cell r="J637">
            <v>1.1000000000000001</v>
          </cell>
          <cell r="K637">
            <v>1.28</v>
          </cell>
          <cell r="L637">
            <v>1.1200000000000001</v>
          </cell>
          <cell r="M637">
            <v>1.31</v>
          </cell>
          <cell r="N637">
            <v>1.1399999999999999</v>
          </cell>
          <cell r="O637">
            <v>1.34</v>
          </cell>
          <cell r="P637"/>
          <cell r="Q637"/>
          <cell r="R637">
            <v>1.29</v>
          </cell>
          <cell r="S637">
            <v>1.59</v>
          </cell>
          <cell r="T637"/>
          <cell r="U637"/>
          <cell r="V637">
            <v>15</v>
          </cell>
          <cell r="W637"/>
          <cell r="X637" t="str">
            <v>GAVIN</v>
          </cell>
          <cell r="Y637"/>
          <cell r="Z637" t="str">
            <v>GAVIN 21/4/18</v>
          </cell>
          <cell r="AA637"/>
          <cell r="AB637">
            <v>43211</v>
          </cell>
          <cell r="AC637">
            <v>4654</v>
          </cell>
        </row>
        <row r="638">
          <cell r="B638">
            <v>4290</v>
          </cell>
          <cell r="C638" t="str">
            <v>HY-7K-C456</v>
          </cell>
          <cell r="D638"/>
          <cell r="E638"/>
          <cell r="F638" t="str">
            <v>C/N 60/40</v>
          </cell>
          <cell r="G638" t="str">
            <v xml:space="preserve">60%COTTON 40%NYLON </v>
          </cell>
          <cell r="H638" t="str">
            <v>57/58</v>
          </cell>
          <cell r="I638">
            <v>115</v>
          </cell>
          <cell r="J638">
            <v>2.4500000000000002</v>
          </cell>
          <cell r="K638"/>
          <cell r="L638">
            <v>2.5099999999999998</v>
          </cell>
          <cell r="M638"/>
          <cell r="N638">
            <v>2.5099999999999998</v>
          </cell>
          <cell r="O638"/>
          <cell r="P638"/>
          <cell r="Q638"/>
          <cell r="R638">
            <v>2.79</v>
          </cell>
          <cell r="S638"/>
          <cell r="T638"/>
          <cell r="U638"/>
          <cell r="V638">
            <v>15</v>
          </cell>
          <cell r="W638"/>
          <cell r="X638" t="str">
            <v xml:space="preserve">HANSHOW </v>
          </cell>
          <cell r="Y638" t="str">
            <v>DMCARE-TRI-03</v>
          </cell>
          <cell r="Z638" t="str">
            <v>JESSIE 20/4/18</v>
          </cell>
          <cell r="AA638"/>
          <cell r="AB638">
            <v>43210</v>
          </cell>
          <cell r="AC638">
            <v>4662</v>
          </cell>
        </row>
        <row r="639">
          <cell r="B639">
            <v>4289</v>
          </cell>
          <cell r="C639" t="str">
            <v>HY-7K-C1121</v>
          </cell>
          <cell r="D639"/>
          <cell r="E639"/>
          <cell r="F639" t="str">
            <v>C/N/T 45/35/20</v>
          </cell>
          <cell r="G639" t="str">
            <v xml:space="preserve">45%COTTON 35% NYLON 20%POLY </v>
          </cell>
          <cell r="H639" t="str">
            <v>57/58</v>
          </cell>
          <cell r="I639">
            <v>110</v>
          </cell>
          <cell r="J639">
            <v>2.4500000000000002</v>
          </cell>
          <cell r="K639"/>
          <cell r="L639">
            <v>2.5099999999999998</v>
          </cell>
          <cell r="M639"/>
          <cell r="N639">
            <v>2.5099999999999998</v>
          </cell>
          <cell r="O639"/>
          <cell r="P639"/>
          <cell r="Q639"/>
          <cell r="R639">
            <v>2.79</v>
          </cell>
          <cell r="S639"/>
          <cell r="T639"/>
          <cell r="U639"/>
          <cell r="V639">
            <v>15</v>
          </cell>
          <cell r="W639"/>
          <cell r="X639" t="str">
            <v xml:space="preserve">HANSHOW </v>
          </cell>
          <cell r="Y639" t="str">
            <v>DMCARE-TRI-03</v>
          </cell>
          <cell r="Z639" t="str">
            <v>JESSIE 20/4/18</v>
          </cell>
          <cell r="AA639"/>
          <cell r="AB639">
            <v>43210</v>
          </cell>
          <cell r="AC639">
            <v>4661</v>
          </cell>
        </row>
        <row r="640">
          <cell r="B640">
            <v>4067</v>
          </cell>
          <cell r="C640" t="str">
            <v>HLP17208</v>
          </cell>
          <cell r="D640"/>
          <cell r="E640"/>
          <cell r="F640" t="str">
            <v>T100%</v>
          </cell>
          <cell r="G640" t="str">
            <v>100%POLYESTER</v>
          </cell>
          <cell r="H640" t="str">
            <v>150CM</v>
          </cell>
          <cell r="I640">
            <v>125</v>
          </cell>
          <cell r="J640">
            <v>1.5714285714285714</v>
          </cell>
          <cell r="K640">
            <v>1.7142857142857142</v>
          </cell>
          <cell r="L640">
            <v>1.6714285714285715</v>
          </cell>
          <cell r="M640">
            <v>1.8142857142857143</v>
          </cell>
          <cell r="N640">
            <v>1.8214285714285714</v>
          </cell>
          <cell r="O640">
            <v>1.9642857142857142</v>
          </cell>
          <cell r="P640"/>
          <cell r="Q640"/>
          <cell r="R640">
            <v>2.0214285714285714</v>
          </cell>
          <cell r="S640">
            <v>2.4642857142857144</v>
          </cell>
          <cell r="T640"/>
          <cell r="U640"/>
          <cell r="V640"/>
          <cell r="W640"/>
          <cell r="X640" t="str">
            <v>CANDY</v>
          </cell>
          <cell r="Y640" t="str">
            <v>DMCARE-TRI-01</v>
          </cell>
          <cell r="Z640" t="str">
            <v>CANDY 20/4/18</v>
          </cell>
          <cell r="AA640"/>
          <cell r="AB640">
            <v>43210</v>
          </cell>
          <cell r="AC640">
            <v>4663</v>
          </cell>
        </row>
        <row r="641">
          <cell r="B641">
            <v>4287</v>
          </cell>
          <cell r="C641" t="str">
            <v>SJ11128</v>
          </cell>
          <cell r="D641"/>
          <cell r="E641"/>
          <cell r="F641" t="str">
            <v>T100%</v>
          </cell>
          <cell r="G641" t="str">
            <v xml:space="preserve">100% POLYSTER </v>
          </cell>
          <cell r="H641" t="str">
            <v>56/57</v>
          </cell>
          <cell r="I641">
            <v>95</v>
          </cell>
          <cell r="J641">
            <v>1.71</v>
          </cell>
          <cell r="K641">
            <v>2</v>
          </cell>
          <cell r="L641">
            <v>1.71</v>
          </cell>
          <cell r="M641">
            <v>2</v>
          </cell>
          <cell r="N641">
            <v>1.76</v>
          </cell>
          <cell r="O641">
            <v>2.06</v>
          </cell>
          <cell r="P641"/>
          <cell r="Q641"/>
          <cell r="R641">
            <v>1.93</v>
          </cell>
          <cell r="S641">
            <v>2.82</v>
          </cell>
          <cell r="T641"/>
          <cell r="U641"/>
          <cell r="V641">
            <v>15</v>
          </cell>
          <cell r="W641" t="str">
            <v>PRINT PRICE IS FOR 6 COLOR WAY. If more than 06 colors need $60 / screen</v>
          </cell>
          <cell r="X641" t="str">
            <v>GLORIA (S)</v>
          </cell>
          <cell r="Y641"/>
          <cell r="Z641" t="str">
            <v>GLORIA 19/4/18</v>
          </cell>
          <cell r="AA641"/>
          <cell r="AB641">
            <v>43209</v>
          </cell>
          <cell r="AC641">
            <v>4664</v>
          </cell>
        </row>
        <row r="642">
          <cell r="B642">
            <v>2211</v>
          </cell>
          <cell r="C642" t="str">
            <v>OLP-6011JQ</v>
          </cell>
          <cell r="D642"/>
          <cell r="E642"/>
          <cell r="F642" t="str">
            <v>V100%</v>
          </cell>
          <cell r="G642" t="str">
            <v>100% VISCOSE</v>
          </cell>
          <cell r="H642" t="str">
            <v>49/50</v>
          </cell>
          <cell r="I642">
            <v>105</v>
          </cell>
          <cell r="J642">
            <v>2.58</v>
          </cell>
          <cell r="K642">
            <v>3.01</v>
          </cell>
          <cell r="L642">
            <v>2.58</v>
          </cell>
          <cell r="M642">
            <v>3.01</v>
          </cell>
          <cell r="N642">
            <v>2.64</v>
          </cell>
          <cell r="O642">
            <v>3.28</v>
          </cell>
          <cell r="P642"/>
          <cell r="Q642"/>
          <cell r="R642">
            <v>2.83</v>
          </cell>
          <cell r="S642">
            <v>3.72</v>
          </cell>
          <cell r="T642"/>
          <cell r="U642"/>
          <cell r="V642" t="str">
            <v>N</v>
          </cell>
          <cell r="W642"/>
          <cell r="X642" t="str">
            <v>OWEN</v>
          </cell>
          <cell r="Y642"/>
          <cell r="Z642" t="str">
            <v>JOAN 18/4/18</v>
          </cell>
          <cell r="AA642"/>
          <cell r="AB642">
            <v>43208</v>
          </cell>
          <cell r="AC642">
            <v>4665</v>
          </cell>
        </row>
        <row r="643">
          <cell r="B643">
            <v>1515</v>
          </cell>
          <cell r="C643" t="str">
            <v>TS-175</v>
          </cell>
          <cell r="D643"/>
          <cell r="E643"/>
          <cell r="F643" t="str">
            <v>T100%</v>
          </cell>
          <cell r="G643" t="str">
            <v>100% POLYESTER</v>
          </cell>
          <cell r="H643" t="str">
            <v>57/58</v>
          </cell>
          <cell r="I643">
            <v>120</v>
          </cell>
          <cell r="J643">
            <v>1.32</v>
          </cell>
          <cell r="K643">
            <v>1.5</v>
          </cell>
          <cell r="L643">
            <v>1.34</v>
          </cell>
          <cell r="M643">
            <v>1.53</v>
          </cell>
          <cell r="N643">
            <v>1.36</v>
          </cell>
          <cell r="O643">
            <v>1.56</v>
          </cell>
          <cell r="P643"/>
          <cell r="Q643"/>
          <cell r="R643">
            <v>1.51</v>
          </cell>
          <cell r="S643">
            <v>1.81</v>
          </cell>
          <cell r="T643"/>
          <cell r="U643"/>
          <cell r="V643">
            <v>15</v>
          </cell>
          <cell r="W643"/>
          <cell r="X643" t="str">
            <v>GAVIN</v>
          </cell>
          <cell r="Y643"/>
          <cell r="Z643" t="str">
            <v>GAVIN 18/4/18</v>
          </cell>
          <cell r="AA643"/>
          <cell r="AB643">
            <v>43208</v>
          </cell>
          <cell r="AC643">
            <v>4666</v>
          </cell>
        </row>
        <row r="644">
          <cell r="B644">
            <v>4285</v>
          </cell>
          <cell r="C644" t="str">
            <v>HY-7K-N1578</v>
          </cell>
          <cell r="D644" t="str">
            <v>LACE</v>
          </cell>
          <cell r="E644"/>
          <cell r="F644" t="str">
            <v>N/S</v>
          </cell>
          <cell r="G644" t="str">
            <v>NYLON/ SPANDEX</v>
          </cell>
          <cell r="H644" t="str">
            <v>57/58</v>
          </cell>
          <cell r="I644" t="str">
            <v>120gsm</v>
          </cell>
          <cell r="J644">
            <v>2.0499999999999998</v>
          </cell>
          <cell r="K644"/>
          <cell r="L644">
            <v>2.12</v>
          </cell>
          <cell r="M644"/>
          <cell r="N644">
            <v>2.12</v>
          </cell>
          <cell r="O644"/>
          <cell r="P644"/>
          <cell r="Q644"/>
          <cell r="R644">
            <v>2.4</v>
          </cell>
          <cell r="S644"/>
          <cell r="T644"/>
          <cell r="U644"/>
          <cell r="V644" t="str">
            <v>YES</v>
          </cell>
          <cell r="W644"/>
          <cell r="X644" t="str">
            <v xml:space="preserve">HANSHOW </v>
          </cell>
          <cell r="Y644" t="str">
            <v>DMCARE-TRI-03</v>
          </cell>
          <cell r="Z644" t="str">
            <v>JESSIE 17/4/18</v>
          </cell>
          <cell r="AA644"/>
          <cell r="AB644">
            <v>43207</v>
          </cell>
          <cell r="AC644">
            <v>4669</v>
          </cell>
        </row>
        <row r="645">
          <cell r="B645">
            <v>4284</v>
          </cell>
          <cell r="C645" t="str">
            <v>HY-7K-N1592</v>
          </cell>
          <cell r="D645" t="str">
            <v>LACE</v>
          </cell>
          <cell r="E645"/>
          <cell r="F645" t="str">
            <v>N/S</v>
          </cell>
          <cell r="G645" t="str">
            <v>NYLON/ SPANDEX</v>
          </cell>
          <cell r="H645" t="str">
            <v>57/58</v>
          </cell>
          <cell r="I645" t="str">
            <v>105gsm</v>
          </cell>
          <cell r="J645">
            <v>2.0499999999999998</v>
          </cell>
          <cell r="K645"/>
          <cell r="L645">
            <v>2.12</v>
          </cell>
          <cell r="M645"/>
          <cell r="N645">
            <v>2.12</v>
          </cell>
          <cell r="O645"/>
          <cell r="P645"/>
          <cell r="Q645"/>
          <cell r="R645">
            <v>2.4</v>
          </cell>
          <cell r="S645"/>
          <cell r="T645"/>
          <cell r="U645"/>
          <cell r="V645" t="str">
            <v>YES</v>
          </cell>
          <cell r="W645"/>
          <cell r="X645" t="str">
            <v xml:space="preserve">HANSHOW </v>
          </cell>
          <cell r="Y645" t="str">
            <v>DMCARE-TRI-03</v>
          </cell>
          <cell r="Z645" t="str">
            <v>JESSIE 17/4/18</v>
          </cell>
          <cell r="AA645"/>
          <cell r="AB645">
            <v>43207</v>
          </cell>
          <cell r="AC645">
            <v>4668</v>
          </cell>
        </row>
        <row r="646">
          <cell r="B646">
            <v>4283</v>
          </cell>
          <cell r="C646" t="str">
            <v>HY-7K-P1055</v>
          </cell>
          <cell r="D646" t="str">
            <v>LACE</v>
          </cell>
          <cell r="E646"/>
          <cell r="F646" t="str">
            <v>T/S</v>
          </cell>
          <cell r="G646" t="str">
            <v>POLYESTER / SPANDEX</v>
          </cell>
          <cell r="H646" t="str">
            <v>57/58</v>
          </cell>
          <cell r="I646" t="str">
            <v>135gsm</v>
          </cell>
          <cell r="J646">
            <v>2.0499999999999998</v>
          </cell>
          <cell r="K646"/>
          <cell r="L646">
            <v>2.12</v>
          </cell>
          <cell r="M646"/>
          <cell r="N646">
            <v>2.12</v>
          </cell>
          <cell r="O646"/>
          <cell r="P646"/>
          <cell r="Q646"/>
          <cell r="R646">
            <v>2.4</v>
          </cell>
          <cell r="S646"/>
          <cell r="T646"/>
          <cell r="U646"/>
          <cell r="V646" t="str">
            <v>YES</v>
          </cell>
          <cell r="W646"/>
          <cell r="X646" t="str">
            <v xml:space="preserve">HANSHOW </v>
          </cell>
          <cell r="Y646" t="str">
            <v>DMCARE-TRI-03</v>
          </cell>
          <cell r="Z646" t="str">
            <v>JESSIE 17/4/18</v>
          </cell>
          <cell r="AA646"/>
          <cell r="AB646">
            <v>43207</v>
          </cell>
          <cell r="AC646">
            <v>4667</v>
          </cell>
        </row>
        <row r="647">
          <cell r="B647">
            <v>4275</v>
          </cell>
          <cell r="C647" t="str">
            <v>HY-11X180409D</v>
          </cell>
          <cell r="D647" t="str">
            <v>Y/D COTTON WITH CROSS STITCH</v>
          </cell>
          <cell r="E647"/>
          <cell r="F647" t="str">
            <v>C100%</v>
          </cell>
          <cell r="G647" t="str">
            <v>100% COTTON</v>
          </cell>
          <cell r="H647" t="str">
            <v>56/57</v>
          </cell>
          <cell r="I647"/>
          <cell r="J647">
            <v>2.68</v>
          </cell>
          <cell r="K647"/>
          <cell r="L647">
            <v>2.75</v>
          </cell>
          <cell r="M647"/>
          <cell r="N647">
            <v>2.75</v>
          </cell>
          <cell r="O647"/>
          <cell r="P647"/>
          <cell r="Q647"/>
          <cell r="R647">
            <v>3.03</v>
          </cell>
          <cell r="S647"/>
          <cell r="T647"/>
          <cell r="U647"/>
          <cell r="V647">
            <v>15</v>
          </cell>
          <cell r="W647"/>
          <cell r="X647" t="str">
            <v xml:space="preserve">HANSHOW </v>
          </cell>
          <cell r="Y647" t="str">
            <v>DMCARE-TRI-03</v>
          </cell>
          <cell r="Z647" t="str">
            <v>JESSIE 17/4/18</v>
          </cell>
          <cell r="AA647"/>
          <cell r="AB647">
            <v>43207</v>
          </cell>
          <cell r="AC647">
            <v>4674</v>
          </cell>
        </row>
        <row r="648">
          <cell r="B648">
            <v>4274</v>
          </cell>
          <cell r="C648" t="str">
            <v>HY-11X180409C</v>
          </cell>
          <cell r="D648" t="str">
            <v>Y/D COTTON WITH DOBBY</v>
          </cell>
          <cell r="E648"/>
          <cell r="F648" t="str">
            <v>C100%</v>
          </cell>
          <cell r="G648" t="str">
            <v>100% COTTON</v>
          </cell>
          <cell r="H648" t="str">
            <v>56/57</v>
          </cell>
          <cell r="I648"/>
          <cell r="J648">
            <v>2.52</v>
          </cell>
          <cell r="K648"/>
          <cell r="L648">
            <v>2.59</v>
          </cell>
          <cell r="M648"/>
          <cell r="N648">
            <v>2.59</v>
          </cell>
          <cell r="O648"/>
          <cell r="P648"/>
          <cell r="Q648"/>
          <cell r="R648">
            <v>2.88</v>
          </cell>
          <cell r="S648"/>
          <cell r="T648"/>
          <cell r="U648"/>
          <cell r="V648">
            <v>15</v>
          </cell>
          <cell r="W648"/>
          <cell r="X648" t="str">
            <v xml:space="preserve">HANSHOW </v>
          </cell>
          <cell r="Y648" t="str">
            <v>DMCARE-TRI-03</v>
          </cell>
          <cell r="Z648" t="str">
            <v>JESSIE 17/4/18</v>
          </cell>
          <cell r="AA648"/>
          <cell r="AB648">
            <v>43207</v>
          </cell>
          <cell r="AC648">
            <v>4673</v>
          </cell>
        </row>
        <row r="649">
          <cell r="B649">
            <v>4273</v>
          </cell>
          <cell r="C649" t="str">
            <v>HY-11X180409B</v>
          </cell>
          <cell r="D649" t="str">
            <v>Y/D COTTON WITH DOBBY</v>
          </cell>
          <cell r="E649"/>
          <cell r="F649" t="str">
            <v>C100%</v>
          </cell>
          <cell r="G649" t="str">
            <v>100% COTTON</v>
          </cell>
          <cell r="H649" t="str">
            <v>55/56</v>
          </cell>
          <cell r="I649"/>
          <cell r="J649">
            <v>2.52</v>
          </cell>
          <cell r="K649"/>
          <cell r="L649">
            <v>2.59</v>
          </cell>
          <cell r="M649"/>
          <cell r="N649">
            <v>2.59</v>
          </cell>
          <cell r="O649"/>
          <cell r="P649"/>
          <cell r="Q649"/>
          <cell r="R649">
            <v>2.88</v>
          </cell>
          <cell r="S649"/>
          <cell r="T649"/>
          <cell r="U649"/>
          <cell r="V649">
            <v>15</v>
          </cell>
          <cell r="W649"/>
          <cell r="X649" t="str">
            <v xml:space="preserve">HANSHOW </v>
          </cell>
          <cell r="Y649" t="str">
            <v>DMCARE-TRI-03</v>
          </cell>
          <cell r="Z649" t="str">
            <v>JESSIE 17/4/18</v>
          </cell>
          <cell r="AA649"/>
          <cell r="AB649">
            <v>43207</v>
          </cell>
          <cell r="AC649">
            <v>4672</v>
          </cell>
        </row>
        <row r="650">
          <cell r="B650">
            <v>4272</v>
          </cell>
          <cell r="C650" t="str">
            <v>HY-11X180409A</v>
          </cell>
          <cell r="D650" t="str">
            <v>Y/D COTTON WITH DOBBY</v>
          </cell>
          <cell r="E650"/>
          <cell r="F650" t="str">
            <v>C100%</v>
          </cell>
          <cell r="G650" t="str">
            <v>100% COTTON</v>
          </cell>
          <cell r="H650" t="str">
            <v>55/56</v>
          </cell>
          <cell r="I650"/>
          <cell r="J650">
            <v>2.52</v>
          </cell>
          <cell r="K650"/>
          <cell r="L650">
            <v>2.59</v>
          </cell>
          <cell r="M650"/>
          <cell r="N650">
            <v>2.59</v>
          </cell>
          <cell r="O650"/>
          <cell r="P650"/>
          <cell r="Q650"/>
          <cell r="R650">
            <v>2.88</v>
          </cell>
          <cell r="S650"/>
          <cell r="T650"/>
          <cell r="U650"/>
          <cell r="V650">
            <v>15</v>
          </cell>
          <cell r="W650"/>
          <cell r="X650" t="str">
            <v xml:space="preserve">HANSHOW </v>
          </cell>
          <cell r="Y650" t="str">
            <v>DMCARE-TRI-03</v>
          </cell>
          <cell r="Z650" t="str">
            <v>JESSIE 17/4/18</v>
          </cell>
          <cell r="AA650"/>
          <cell r="AB650">
            <v>43207</v>
          </cell>
          <cell r="AC650">
            <v>4671</v>
          </cell>
        </row>
        <row r="651">
          <cell r="B651">
            <v>3750</v>
          </cell>
          <cell r="C651" t="str">
            <v>CS0834</v>
          </cell>
          <cell r="D651" t="str">
            <v>linen</v>
          </cell>
          <cell r="E651" t="str">
            <v>14X14/54X50</v>
          </cell>
          <cell r="F651" t="str">
            <v>LINEN 100%</v>
          </cell>
          <cell r="G651" t="str">
            <v xml:space="preserve">100% LINEN </v>
          </cell>
          <cell r="H651" t="str">
            <v>53/54</v>
          </cell>
          <cell r="I651" t="str">
            <v>145GSM</v>
          </cell>
          <cell r="J651">
            <v>3.75</v>
          </cell>
          <cell r="K651">
            <v>4.12</v>
          </cell>
          <cell r="L651">
            <v>3.92</v>
          </cell>
          <cell r="M651" t="str">
            <v xml:space="preserve">4.30M </v>
          </cell>
          <cell r="N651">
            <v>3.98</v>
          </cell>
          <cell r="O651">
            <v>4.42</v>
          </cell>
          <cell r="P651"/>
          <cell r="Q651"/>
          <cell r="R651">
            <v>4.45</v>
          </cell>
          <cell r="S651">
            <v>5.55</v>
          </cell>
          <cell r="T651"/>
          <cell r="U651"/>
          <cell r="V651">
            <v>15</v>
          </cell>
          <cell r="W651" t="str">
            <v>PRINT PRICE IS FOR 5 COLOR WAY.</v>
          </cell>
          <cell r="X651" t="str">
            <v>SONGLI</v>
          </cell>
          <cell r="Y651"/>
          <cell r="Z651" t="str">
            <v>SONG 17/4/18</v>
          </cell>
          <cell r="AA651"/>
          <cell r="AB651">
            <v>43207</v>
          </cell>
          <cell r="AC651">
            <v>4675</v>
          </cell>
        </row>
        <row r="652">
          <cell r="B652">
            <v>2789</v>
          </cell>
          <cell r="C652" t="str">
            <v>BG3215</v>
          </cell>
          <cell r="D652"/>
          <cell r="E652"/>
          <cell r="F652" t="str">
            <v>R/N 85/15</v>
          </cell>
          <cell r="G652" t="str">
            <v>85% RAYON 15%NYLON</v>
          </cell>
          <cell r="H652" t="str">
            <v>50/51</v>
          </cell>
          <cell r="I652">
            <v>115</v>
          </cell>
          <cell r="J652">
            <v>2.35</v>
          </cell>
          <cell r="K652">
            <v>2.8</v>
          </cell>
          <cell r="L652">
            <v>2.38</v>
          </cell>
          <cell r="M652">
            <v>2.85</v>
          </cell>
          <cell r="N652">
            <v>2.4</v>
          </cell>
          <cell r="O652">
            <v>2.95</v>
          </cell>
          <cell r="P652"/>
          <cell r="Q652"/>
          <cell r="R652">
            <v>2.6</v>
          </cell>
          <cell r="S652">
            <v>3.6</v>
          </cell>
          <cell r="T652"/>
          <cell r="U652"/>
          <cell r="V652">
            <v>15</v>
          </cell>
          <cell r="W652"/>
          <cell r="X652" t="str">
            <v>EDWIN</v>
          </cell>
          <cell r="Y652" t="str">
            <v>DMCARE-TRI-01</v>
          </cell>
          <cell r="Z652" t="str">
            <v>EDWIN 17/4/18</v>
          </cell>
          <cell r="AA652"/>
          <cell r="AB652">
            <v>43207</v>
          </cell>
          <cell r="AC652">
            <v>4670</v>
          </cell>
        </row>
        <row r="653">
          <cell r="B653">
            <v>3753</v>
          </cell>
          <cell r="C653" t="str">
            <v>CS1612</v>
          </cell>
          <cell r="D653"/>
          <cell r="E653" t="str">
            <v>17X17/56X48</v>
          </cell>
          <cell r="F653" t="str">
            <v>L100%</v>
          </cell>
          <cell r="G653" t="str">
            <v xml:space="preserve">100% LINEN </v>
          </cell>
          <cell r="H653" t="str">
            <v>57/58</v>
          </cell>
          <cell r="I653">
            <v>130</v>
          </cell>
          <cell r="J653">
            <v>3.75</v>
          </cell>
          <cell r="K653">
            <v>4.08</v>
          </cell>
          <cell r="L653">
            <v>3.92</v>
          </cell>
          <cell r="M653">
            <v>4.22</v>
          </cell>
          <cell r="N653">
            <v>3.98</v>
          </cell>
          <cell r="O653">
            <v>4.29</v>
          </cell>
          <cell r="P653"/>
          <cell r="Q653"/>
          <cell r="R653">
            <v>4.45</v>
          </cell>
          <cell r="S653">
            <v>5.2</v>
          </cell>
          <cell r="T653"/>
          <cell r="U653"/>
          <cell r="V653">
            <v>15</v>
          </cell>
          <cell r="W653" t="str">
            <v>PRINT AS PER ORIGINAL PATTERN</v>
          </cell>
          <cell r="X653" t="str">
            <v>SONG LI</v>
          </cell>
          <cell r="Y653"/>
          <cell r="Z653" t="str">
            <v>SONG 16/4/18</v>
          </cell>
          <cell r="AA653"/>
          <cell r="AB653">
            <v>43206</v>
          </cell>
          <cell r="AC653">
            <v>4679</v>
          </cell>
        </row>
        <row r="654">
          <cell r="B654">
            <v>3749</v>
          </cell>
          <cell r="C654" t="str">
            <v>CS1007</v>
          </cell>
          <cell r="D654"/>
          <cell r="E654" t="str">
            <v xml:space="preserve">17x17/52x53 </v>
          </cell>
          <cell r="F654" t="str">
            <v>L100%</v>
          </cell>
          <cell r="G654" t="str">
            <v xml:space="preserve">100% LINEN </v>
          </cell>
          <cell r="H654" t="str">
            <v>53/54</v>
          </cell>
          <cell r="I654" t="str">
            <v>130-135</v>
          </cell>
          <cell r="J654">
            <v>3.75</v>
          </cell>
          <cell r="K654">
            <v>4.12</v>
          </cell>
          <cell r="L654">
            <v>3.92</v>
          </cell>
          <cell r="M654" t="str">
            <v xml:space="preserve">4.30M </v>
          </cell>
          <cell r="N654">
            <v>3.98</v>
          </cell>
          <cell r="O654">
            <v>4.42</v>
          </cell>
          <cell r="P654"/>
          <cell r="Q654"/>
          <cell r="R654">
            <v>4.45</v>
          </cell>
          <cell r="S654">
            <v>5.55</v>
          </cell>
          <cell r="T654"/>
          <cell r="U654"/>
          <cell r="V654">
            <v>15</v>
          </cell>
          <cell r="W654" t="str">
            <v>PRINT FOR 5 COLORS PATTERN</v>
          </cell>
          <cell r="X654" t="str">
            <v>SONG LI</v>
          </cell>
          <cell r="Y654"/>
          <cell r="Z654" t="str">
            <v>SONG 16/4/18</v>
          </cell>
          <cell r="AA654"/>
          <cell r="AB654">
            <v>43206</v>
          </cell>
          <cell r="AC654">
            <v>4678</v>
          </cell>
        </row>
        <row r="655">
          <cell r="B655">
            <v>3647</v>
          </cell>
          <cell r="C655" t="str">
            <v>OLIP-1761401 / 02</v>
          </cell>
          <cell r="D655" t="str">
            <v>VISCOSE TWILL</v>
          </cell>
          <cell r="E655"/>
          <cell r="F655" t="str">
            <v>V100%</v>
          </cell>
          <cell r="G655" t="str">
            <v>100% VISCOSE TWILL</v>
          </cell>
          <cell r="H655" t="str">
            <v>53/54</v>
          </cell>
          <cell r="I655">
            <v>140</v>
          </cell>
          <cell r="J655">
            <v>1.83</v>
          </cell>
          <cell r="K655">
            <v>2.2599999999999998</v>
          </cell>
          <cell r="L655">
            <v>1.89</v>
          </cell>
          <cell r="M655">
            <v>2.31</v>
          </cell>
          <cell r="N655">
            <v>1.96</v>
          </cell>
          <cell r="O655">
            <v>2.4700000000000002</v>
          </cell>
          <cell r="P655"/>
          <cell r="Q655"/>
          <cell r="R655">
            <v>2.12</v>
          </cell>
          <cell r="S655">
            <v>3.23</v>
          </cell>
          <cell r="T655"/>
          <cell r="U655"/>
          <cell r="V655"/>
          <cell r="W655"/>
          <cell r="X655" t="str">
            <v>OWEN</v>
          </cell>
          <cell r="Y655" t="str">
            <v>DMCARE-TRI-02</v>
          </cell>
          <cell r="Z655" t="str">
            <v>JOAN 16/4/18</v>
          </cell>
          <cell r="AA655"/>
          <cell r="AB655">
            <v>43206</v>
          </cell>
          <cell r="AC655">
            <v>4677</v>
          </cell>
        </row>
        <row r="656">
          <cell r="B656">
            <v>2494</v>
          </cell>
          <cell r="C656" t="str">
            <v>1025X126XS</v>
          </cell>
          <cell r="D656"/>
          <cell r="E656"/>
          <cell r="F656" t="str">
            <v>T100%</v>
          </cell>
          <cell r="G656" t="str">
            <v>100% POLYESTER</v>
          </cell>
          <cell r="H656" t="str">
            <v>57/58</v>
          </cell>
          <cell r="I656">
            <v>115</v>
          </cell>
          <cell r="J656">
            <v>1.18</v>
          </cell>
          <cell r="K656">
            <v>1.45</v>
          </cell>
          <cell r="L656">
            <v>1.3</v>
          </cell>
          <cell r="M656">
            <v>1.86</v>
          </cell>
          <cell r="N656">
            <v>1.45</v>
          </cell>
          <cell r="O656">
            <v>1.78</v>
          </cell>
          <cell r="P656"/>
          <cell r="Q656"/>
          <cell r="R656">
            <v>1.61</v>
          </cell>
          <cell r="S656">
            <v>2.2599999999999998</v>
          </cell>
          <cell r="T656"/>
          <cell r="U656"/>
          <cell r="V656"/>
          <cell r="W656"/>
          <cell r="X656" t="str">
            <v>OWEN</v>
          </cell>
          <cell r="Y656" t="str">
            <v>DMCARE-TRI-02</v>
          </cell>
          <cell r="Z656" t="str">
            <v>JOAN 16/4/18</v>
          </cell>
          <cell r="AA656"/>
          <cell r="AB656">
            <v>43206</v>
          </cell>
          <cell r="AC656">
            <v>4676</v>
          </cell>
        </row>
        <row r="657">
          <cell r="B657">
            <v>2452</v>
          </cell>
          <cell r="C657" t="str">
            <v>HLT3208</v>
          </cell>
          <cell r="D657"/>
          <cell r="E657" t="str">
            <v>75D*75D 2400T</v>
          </cell>
          <cell r="F657" t="str">
            <v>T100%</v>
          </cell>
          <cell r="G657" t="str">
            <v>100% POLYESTER</v>
          </cell>
          <cell r="H657" t="str">
            <v>57/58</v>
          </cell>
          <cell r="I657">
            <v>124</v>
          </cell>
          <cell r="J657">
            <v>1.4225352112676057</v>
          </cell>
          <cell r="K657">
            <v>1.6854460093896715</v>
          </cell>
          <cell r="L657">
            <v>1.4725352112676058</v>
          </cell>
          <cell r="M657">
            <v>1.7854460093896716</v>
          </cell>
          <cell r="N657">
            <v>1.5725352112676059</v>
          </cell>
          <cell r="O657">
            <v>1.8854460093896717</v>
          </cell>
          <cell r="P657"/>
          <cell r="Q657"/>
          <cell r="R657">
            <v>1.7725352112676058</v>
          </cell>
          <cell r="S657">
            <v>2.6854460093896719</v>
          </cell>
          <cell r="T657"/>
          <cell r="U657"/>
          <cell r="V657">
            <v>15</v>
          </cell>
          <cell r="W657"/>
          <cell r="X657" t="str">
            <v>CANDY</v>
          </cell>
          <cell r="Y657" t="str">
            <v>DMCARE-TRI-03 OR 02</v>
          </cell>
          <cell r="Z657" t="str">
            <v>CANDY 14/4/18</v>
          </cell>
          <cell r="AA657"/>
          <cell r="AB657">
            <v>43204</v>
          </cell>
          <cell r="AC657">
            <v>4680</v>
          </cell>
        </row>
        <row r="658">
          <cell r="B658">
            <v>2445</v>
          </cell>
          <cell r="C658" t="str">
            <v>TS-028-1</v>
          </cell>
          <cell r="D658" t="str">
            <v>HEAVY CREPE</v>
          </cell>
          <cell r="E658"/>
          <cell r="F658" t="str">
            <v>T100%</v>
          </cell>
          <cell r="G658" t="str">
            <v>100% POLYESTER</v>
          </cell>
          <cell r="H658" t="str">
            <v>57/58</v>
          </cell>
          <cell r="I658">
            <v>140</v>
          </cell>
          <cell r="J658">
            <v>1.58</v>
          </cell>
          <cell r="K658">
            <v>1.76</v>
          </cell>
          <cell r="L658">
            <v>1.6</v>
          </cell>
          <cell r="M658">
            <v>1.79</v>
          </cell>
          <cell r="N658">
            <v>1.62</v>
          </cell>
          <cell r="O658">
            <v>1.82</v>
          </cell>
          <cell r="P658"/>
          <cell r="Q658"/>
          <cell r="R658">
            <v>1.77</v>
          </cell>
          <cell r="S658">
            <v>2.0699999999999998</v>
          </cell>
          <cell r="T658"/>
          <cell r="U658"/>
          <cell r="V658">
            <v>15</v>
          </cell>
          <cell r="W658"/>
          <cell r="X658" t="str">
            <v>GAVIN</v>
          </cell>
          <cell r="Y658" t="str">
            <v>TRI-01</v>
          </cell>
          <cell r="Z658" t="str">
            <v>GAVIN 14/4/18</v>
          </cell>
          <cell r="AA658"/>
          <cell r="AB658">
            <v>43204</v>
          </cell>
          <cell r="AC658">
            <v>4681</v>
          </cell>
        </row>
        <row r="659">
          <cell r="B659">
            <v>4286</v>
          </cell>
          <cell r="C659" t="str">
            <v>WW-23438</v>
          </cell>
          <cell r="D659" t="str">
            <v>TWILL POLY</v>
          </cell>
          <cell r="E659"/>
          <cell r="F659" t="str">
            <v>T100%</v>
          </cell>
          <cell r="G659" t="str">
            <v xml:space="preserve">100% POLYESTER </v>
          </cell>
          <cell r="H659" t="str">
            <v>57/58</v>
          </cell>
          <cell r="I659">
            <v>180</v>
          </cell>
          <cell r="J659">
            <v>1.9</v>
          </cell>
          <cell r="K659">
            <v>2.2000000000000002</v>
          </cell>
          <cell r="L659">
            <v>1.9</v>
          </cell>
          <cell r="M659">
            <v>2.2000000000000002</v>
          </cell>
          <cell r="N659">
            <v>2</v>
          </cell>
          <cell r="O659">
            <v>2.2999999999999998</v>
          </cell>
          <cell r="P659"/>
          <cell r="Q659"/>
          <cell r="R659">
            <v>2.1</v>
          </cell>
          <cell r="S659">
            <v>2.4</v>
          </cell>
          <cell r="T659"/>
          <cell r="U659"/>
          <cell r="V659">
            <v>15</v>
          </cell>
          <cell r="W659"/>
          <cell r="X659" t="str">
            <v>KAIMING</v>
          </cell>
          <cell r="Y659" t="str">
            <v>DMCARE-TRI-02</v>
          </cell>
          <cell r="Z659" t="str">
            <v>NICOLE 13/4/18</v>
          </cell>
          <cell r="AA659"/>
          <cell r="AB659">
            <v>43203</v>
          </cell>
          <cell r="AC659">
            <v>4686</v>
          </cell>
        </row>
        <row r="660">
          <cell r="B660">
            <v>3880</v>
          </cell>
          <cell r="C660" t="str">
            <v>ME-287</v>
          </cell>
          <cell r="D660"/>
          <cell r="E660"/>
          <cell r="F660" t="str">
            <v>T100%</v>
          </cell>
          <cell r="G660" t="str">
            <v xml:space="preserve">100% POLYESTER </v>
          </cell>
          <cell r="H660" t="str">
            <v>47/48</v>
          </cell>
          <cell r="I660"/>
          <cell r="J660">
            <v>4.2699999999999996</v>
          </cell>
          <cell r="K660"/>
          <cell r="L660">
            <v>4.37</v>
          </cell>
          <cell r="M660"/>
          <cell r="N660">
            <v>4.37</v>
          </cell>
          <cell r="O660"/>
          <cell r="P660"/>
          <cell r="Q660"/>
          <cell r="R660">
            <v>4.67</v>
          </cell>
          <cell r="S660"/>
          <cell r="T660"/>
          <cell r="U660"/>
          <cell r="V660">
            <v>15</v>
          </cell>
          <cell r="W660"/>
          <cell r="X660" t="str">
            <v>LIVALTEX</v>
          </cell>
          <cell r="Y660"/>
          <cell r="Z660" t="str">
            <v>LINDA 13/4/18</v>
          </cell>
          <cell r="AA660"/>
          <cell r="AB660">
            <v>43203</v>
          </cell>
          <cell r="AC660">
            <v>4684</v>
          </cell>
        </row>
        <row r="661">
          <cell r="B661">
            <v>3879</v>
          </cell>
          <cell r="C661" t="str">
            <v>ME-286 D</v>
          </cell>
          <cell r="D661"/>
          <cell r="E661"/>
          <cell r="F661" t="str">
            <v>T100%</v>
          </cell>
          <cell r="G661" t="str">
            <v xml:space="preserve">100% POLYESTER </v>
          </cell>
          <cell r="H661" t="str">
            <v>47/48</v>
          </cell>
          <cell r="I661"/>
          <cell r="J661">
            <v>4.7699999999999996</v>
          </cell>
          <cell r="K661"/>
          <cell r="L661">
            <v>4.87</v>
          </cell>
          <cell r="M661"/>
          <cell r="N661">
            <v>4.87</v>
          </cell>
          <cell r="O661"/>
          <cell r="P661"/>
          <cell r="Q661"/>
          <cell r="R661">
            <v>5.17</v>
          </cell>
          <cell r="S661"/>
          <cell r="T661"/>
          <cell r="U661"/>
          <cell r="V661">
            <v>15</v>
          </cell>
          <cell r="W661"/>
          <cell r="X661" t="str">
            <v>LIVALTEX</v>
          </cell>
          <cell r="Y661" t="str">
            <v>DMCARE-TRI-01</v>
          </cell>
          <cell r="Z661" t="str">
            <v>LINDA 13/4/18</v>
          </cell>
          <cell r="AA661"/>
          <cell r="AB661">
            <v>43203</v>
          </cell>
          <cell r="AC661">
            <v>4685</v>
          </cell>
        </row>
        <row r="662">
          <cell r="B662">
            <v>2937</v>
          </cell>
          <cell r="C662" t="str">
            <v>CPE-413</v>
          </cell>
          <cell r="D662"/>
          <cell r="E662" t="str">
            <v>60'sx60/90x88</v>
          </cell>
          <cell r="F662" t="str">
            <v>C100%</v>
          </cell>
          <cell r="G662" t="str">
            <v>100%COTTON</v>
          </cell>
          <cell r="H662" t="str">
            <v>50/51</v>
          </cell>
          <cell r="I662">
            <v>120</v>
          </cell>
          <cell r="J662">
            <v>4.55</v>
          </cell>
          <cell r="K662"/>
          <cell r="L662">
            <v>4.6500000000000004</v>
          </cell>
          <cell r="M662"/>
          <cell r="N662">
            <v>4.6500000000000004</v>
          </cell>
          <cell r="O662"/>
          <cell r="P662"/>
          <cell r="Q662"/>
          <cell r="R662">
            <v>4.95</v>
          </cell>
          <cell r="S662"/>
          <cell r="T662"/>
          <cell r="U662"/>
          <cell r="V662">
            <v>15</v>
          </cell>
          <cell r="W662"/>
          <cell r="X662" t="str">
            <v>LIVALTEX</v>
          </cell>
          <cell r="Y662"/>
          <cell r="Z662" t="str">
            <v>LINDA 13/4/18</v>
          </cell>
          <cell r="AA662"/>
          <cell r="AB662">
            <v>43203</v>
          </cell>
          <cell r="AC662">
            <v>4688</v>
          </cell>
        </row>
        <row r="663">
          <cell r="B663">
            <v>2936</v>
          </cell>
          <cell r="C663" t="str">
            <v>CPE-412</v>
          </cell>
          <cell r="D663"/>
          <cell r="E663" t="str">
            <v>60'sx60/90x88</v>
          </cell>
          <cell r="F663" t="str">
            <v>C100%</v>
          </cell>
          <cell r="G663" t="str">
            <v>100%COTTON</v>
          </cell>
          <cell r="H663" t="str">
            <v>50/51</v>
          </cell>
          <cell r="I663">
            <v>145</v>
          </cell>
          <cell r="J663">
            <v>4.2300000000000004</v>
          </cell>
          <cell r="K663"/>
          <cell r="L663">
            <v>4.33</v>
          </cell>
          <cell r="M663"/>
          <cell r="N663">
            <v>4.33</v>
          </cell>
          <cell r="O663"/>
          <cell r="P663"/>
          <cell r="Q663"/>
          <cell r="R663">
            <v>4.63</v>
          </cell>
          <cell r="S663"/>
          <cell r="T663"/>
          <cell r="U663"/>
          <cell r="V663">
            <v>15</v>
          </cell>
          <cell r="W663"/>
          <cell r="X663" t="str">
            <v>LIVALTEX</v>
          </cell>
          <cell r="Y663" t="str">
            <v>DMCARE-TRI-02</v>
          </cell>
          <cell r="Z663" t="str">
            <v>LINDA 13/4/18</v>
          </cell>
          <cell r="AA663"/>
          <cell r="AB663">
            <v>43203</v>
          </cell>
          <cell r="AC663">
            <v>4687</v>
          </cell>
        </row>
        <row r="664">
          <cell r="B664">
            <v>2914</v>
          </cell>
          <cell r="C664" t="str">
            <v>GL1699(RING - SPUN)</v>
          </cell>
          <cell r="D664" t="str">
            <v xml:space="preserve">JERSEY </v>
          </cell>
          <cell r="E664"/>
          <cell r="F664" t="str">
            <v>V/S 95/5</v>
          </cell>
          <cell r="G664" t="str">
            <v xml:space="preserve">95% VISCOSE  5%SPANDEX </v>
          </cell>
          <cell r="H664" t="str">
            <v>165CM</v>
          </cell>
          <cell r="I664">
            <v>180</v>
          </cell>
          <cell r="J664">
            <v>1.65</v>
          </cell>
          <cell r="K664"/>
          <cell r="L664">
            <v>1.65</v>
          </cell>
          <cell r="M664"/>
          <cell r="N664">
            <v>1.65</v>
          </cell>
          <cell r="O664"/>
          <cell r="P664"/>
          <cell r="Q664"/>
          <cell r="R664"/>
          <cell r="S664"/>
          <cell r="T664"/>
          <cell r="U664"/>
          <cell r="V664">
            <v>15</v>
          </cell>
          <cell r="W664" t="str">
            <v>MOQ： 1500mts.    If the quantity is less than 1500 mts, please offer detailed quantity t o get the offer.</v>
          </cell>
          <cell r="X664" t="str">
            <v>NICKY</v>
          </cell>
          <cell r="Y664" t="str">
            <v>DMCARE-TRI-01</v>
          </cell>
          <cell r="Z664" t="str">
            <v>NICKY 13/4/18</v>
          </cell>
          <cell r="AA664"/>
          <cell r="AB664">
            <v>43203</v>
          </cell>
          <cell r="AC664">
            <v>4682</v>
          </cell>
        </row>
        <row r="665">
          <cell r="B665">
            <v>2490</v>
          </cell>
          <cell r="C665" t="str">
            <v>GLLPPS-102303</v>
          </cell>
          <cell r="D665"/>
          <cell r="E665"/>
          <cell r="F665" t="str">
            <v>T/S 97/3</v>
          </cell>
          <cell r="G665" t="str">
            <v>97% POLYESTER 3% SPANDEX</v>
          </cell>
          <cell r="H665" t="str">
            <v>57/58</v>
          </cell>
          <cell r="I665">
            <v>120</v>
          </cell>
          <cell r="J665">
            <v>1.45</v>
          </cell>
          <cell r="K665">
            <v>1.77</v>
          </cell>
          <cell r="L665">
            <v>1.46</v>
          </cell>
          <cell r="M665">
            <v>1.78</v>
          </cell>
          <cell r="N665">
            <v>1.47</v>
          </cell>
          <cell r="O665">
            <v>1.79</v>
          </cell>
          <cell r="P665"/>
          <cell r="Q665"/>
          <cell r="R665"/>
          <cell r="S665"/>
          <cell r="T665"/>
          <cell r="U665"/>
          <cell r="V665">
            <v>15</v>
          </cell>
          <cell r="W665" t="str">
            <v>PRINTING PRICE IS AS PER 5 COL.
Extra $80-$150 for small lot charge if qnty is below 1300m</v>
          </cell>
          <cell r="X665" t="str">
            <v>HOWARD</v>
          </cell>
          <cell r="Y665" t="str">
            <v>DMCARE-TRI-01</v>
          </cell>
          <cell r="Z665" t="str">
            <v>HOWARD 13/4/18</v>
          </cell>
          <cell r="AA665"/>
          <cell r="AB665">
            <v>43203</v>
          </cell>
          <cell r="AC665">
            <v>4683</v>
          </cell>
        </row>
        <row r="666">
          <cell r="B666">
            <v>4321</v>
          </cell>
          <cell r="C666" t="str">
            <v>BG-TS028</v>
          </cell>
          <cell r="D666" t="str">
            <v>DENIM</v>
          </cell>
          <cell r="E666" t="str">
            <v>21*21 96*60</v>
          </cell>
          <cell r="F666" t="str">
            <v>TENCEL100%</v>
          </cell>
          <cell r="G666" t="str">
            <v>100% TENCEL</v>
          </cell>
          <cell r="H666" t="str">
            <v>57/58</v>
          </cell>
          <cell r="I666">
            <v>159</v>
          </cell>
          <cell r="J666">
            <v>2.5499999999999998</v>
          </cell>
          <cell r="K666"/>
          <cell r="L666">
            <v>2.58</v>
          </cell>
          <cell r="M666"/>
          <cell r="N666">
            <v>2.6</v>
          </cell>
          <cell r="O666"/>
          <cell r="P666"/>
          <cell r="Q666"/>
          <cell r="R666">
            <v>3</v>
          </cell>
          <cell r="S666"/>
          <cell r="T666"/>
          <cell r="U666"/>
          <cell r="V666">
            <v>15</v>
          </cell>
          <cell r="W666"/>
          <cell r="X666" t="str">
            <v>EDWIN</v>
          </cell>
          <cell r="Y666" t="str">
            <v>DMCARE-TRI-02</v>
          </cell>
          <cell r="Z666" t="str">
            <v>EDWIN 12/4/18</v>
          </cell>
          <cell r="AA666"/>
          <cell r="AB666">
            <v>43202</v>
          </cell>
          <cell r="AC666">
            <v>4703</v>
          </cell>
        </row>
        <row r="667">
          <cell r="B667">
            <v>4320</v>
          </cell>
          <cell r="C667" t="str">
            <v>BG-TS016</v>
          </cell>
          <cell r="D667" t="str">
            <v>DENIM</v>
          </cell>
          <cell r="E667" t="str">
            <v>26SLUB*30 108*66</v>
          </cell>
          <cell r="F667" t="str">
            <v>TENCEL100%</v>
          </cell>
          <cell r="G667" t="str">
            <v>100% TENCEL</v>
          </cell>
          <cell r="H667" t="str">
            <v>57/58</v>
          </cell>
          <cell r="I667">
            <v>139</v>
          </cell>
          <cell r="J667">
            <v>2.5</v>
          </cell>
          <cell r="K667"/>
          <cell r="L667">
            <v>2.5299999999999998</v>
          </cell>
          <cell r="M667"/>
          <cell r="N667">
            <v>2.5499999999999998</v>
          </cell>
          <cell r="O667"/>
          <cell r="P667"/>
          <cell r="Q667"/>
          <cell r="R667">
            <v>2.95</v>
          </cell>
          <cell r="S667"/>
          <cell r="T667"/>
          <cell r="U667"/>
          <cell r="V667">
            <v>15</v>
          </cell>
          <cell r="W667"/>
          <cell r="X667" t="str">
            <v>EDWIN</v>
          </cell>
          <cell r="Y667" t="str">
            <v>DMCARE-TRI-02</v>
          </cell>
          <cell r="Z667" t="str">
            <v>EDWIN 12/4/18</v>
          </cell>
          <cell r="AA667"/>
          <cell r="AB667">
            <v>43202</v>
          </cell>
          <cell r="AC667">
            <v>4702</v>
          </cell>
        </row>
        <row r="668">
          <cell r="B668">
            <v>4319</v>
          </cell>
          <cell r="C668" t="str">
            <v>BG-TS012</v>
          </cell>
          <cell r="D668" t="str">
            <v>DENIM</v>
          </cell>
          <cell r="E668" t="str">
            <v>SLUB26*SLUB26</v>
          </cell>
          <cell r="F668" t="str">
            <v>TENCEL100%</v>
          </cell>
          <cell r="G668" t="str">
            <v>100% TENCEL</v>
          </cell>
          <cell r="H668" t="str">
            <v>57/58</v>
          </cell>
          <cell r="I668">
            <v>142</v>
          </cell>
          <cell r="J668">
            <v>2.5499999999999998</v>
          </cell>
          <cell r="K668"/>
          <cell r="L668">
            <v>2.58</v>
          </cell>
          <cell r="M668"/>
          <cell r="N668">
            <v>2.6</v>
          </cell>
          <cell r="O668"/>
          <cell r="P668"/>
          <cell r="Q668"/>
          <cell r="R668">
            <v>3</v>
          </cell>
          <cell r="S668"/>
          <cell r="T668"/>
          <cell r="U668"/>
          <cell r="V668">
            <v>15</v>
          </cell>
          <cell r="W668"/>
          <cell r="X668" t="str">
            <v>EDWIN</v>
          </cell>
          <cell r="Y668" t="str">
            <v>DMCARE-TRI-02</v>
          </cell>
          <cell r="Z668" t="str">
            <v>EDWIN 12/4/18</v>
          </cell>
          <cell r="AA668"/>
          <cell r="AB668">
            <v>43202</v>
          </cell>
          <cell r="AC668">
            <v>4704</v>
          </cell>
        </row>
        <row r="669">
          <cell r="B669">
            <v>4318</v>
          </cell>
          <cell r="C669" t="str">
            <v>BG-TS035</v>
          </cell>
          <cell r="D669" t="str">
            <v>DENIM</v>
          </cell>
          <cell r="E669" t="str">
            <v>40*40 130*72</v>
          </cell>
          <cell r="F669" t="str">
            <v>TENCEL100%</v>
          </cell>
          <cell r="G669" t="str">
            <v>100% TENCEL</v>
          </cell>
          <cell r="H669" t="str">
            <v>58/59</v>
          </cell>
          <cell r="I669">
            <v>99</v>
          </cell>
          <cell r="J669">
            <v>2.15</v>
          </cell>
          <cell r="K669"/>
          <cell r="L669">
            <v>2.1800000000000002</v>
          </cell>
          <cell r="M669"/>
          <cell r="N669">
            <v>2.2000000000000002</v>
          </cell>
          <cell r="O669"/>
          <cell r="P669"/>
          <cell r="Q669"/>
          <cell r="R669">
            <v>2.6</v>
          </cell>
          <cell r="S669"/>
          <cell r="T669"/>
          <cell r="U669"/>
          <cell r="V669">
            <v>15</v>
          </cell>
          <cell r="W669"/>
          <cell r="X669" t="str">
            <v>EDWIN</v>
          </cell>
          <cell r="Y669" t="str">
            <v>DMCARE-TRI-02</v>
          </cell>
          <cell r="Z669" t="str">
            <v>EDWIN 12/4/18</v>
          </cell>
          <cell r="AA669"/>
          <cell r="AB669">
            <v>43202</v>
          </cell>
          <cell r="AC669">
            <v>4700</v>
          </cell>
        </row>
        <row r="670">
          <cell r="B670">
            <v>4317</v>
          </cell>
          <cell r="C670" t="str">
            <v>BG-TS001</v>
          </cell>
          <cell r="D670" t="str">
            <v>DENIM</v>
          </cell>
          <cell r="E670" t="str">
            <v>30*30/118*68</v>
          </cell>
          <cell r="F670" t="str">
            <v>TENCEL100%</v>
          </cell>
          <cell r="G670" t="str">
            <v>100% TENCEL</v>
          </cell>
          <cell r="H670" t="str">
            <v>57/58</v>
          </cell>
          <cell r="I670">
            <v>127</v>
          </cell>
          <cell r="J670">
            <v>2.25</v>
          </cell>
          <cell r="K670"/>
          <cell r="L670">
            <v>2.2799999999999998</v>
          </cell>
          <cell r="M670"/>
          <cell r="N670">
            <v>2.2999999999999998</v>
          </cell>
          <cell r="O670"/>
          <cell r="P670"/>
          <cell r="Q670"/>
          <cell r="R670">
            <v>2.7</v>
          </cell>
          <cell r="S670"/>
          <cell r="T670"/>
          <cell r="U670"/>
          <cell r="V670">
            <v>15</v>
          </cell>
          <cell r="W670"/>
          <cell r="X670" t="str">
            <v>EDWIN</v>
          </cell>
          <cell r="Y670" t="str">
            <v>DMCARE-TRI-02</v>
          </cell>
          <cell r="Z670" t="str">
            <v>EDWIN 12/4/18</v>
          </cell>
          <cell r="AA670"/>
          <cell r="AB670">
            <v>43202</v>
          </cell>
          <cell r="AC670">
            <v>4701</v>
          </cell>
        </row>
        <row r="671">
          <cell r="B671">
            <v>4316</v>
          </cell>
          <cell r="C671" t="str">
            <v>BG3064</v>
          </cell>
          <cell r="D671" t="str">
            <v>CRINKLE VISCOSE</v>
          </cell>
          <cell r="E671" t="str">
            <v>60S*(30S+30S)105*70</v>
          </cell>
          <cell r="F671" t="str">
            <v>R100%</v>
          </cell>
          <cell r="G671" t="str">
            <v xml:space="preserve">100% RAYON </v>
          </cell>
          <cell r="H671" t="str">
            <v>47/48</v>
          </cell>
          <cell r="I671">
            <v>145</v>
          </cell>
          <cell r="J671">
            <v>1.93</v>
          </cell>
          <cell r="K671">
            <v>2.2999999999999998</v>
          </cell>
          <cell r="L671">
            <v>1.95</v>
          </cell>
          <cell r="M671">
            <v>2.35</v>
          </cell>
          <cell r="N671">
            <v>1.97</v>
          </cell>
          <cell r="O671">
            <v>2.4</v>
          </cell>
          <cell r="P671"/>
          <cell r="Q671"/>
          <cell r="R671">
            <v>2.2000000000000002</v>
          </cell>
          <cell r="S671">
            <v>2.8</v>
          </cell>
          <cell r="T671"/>
          <cell r="U671"/>
          <cell r="V671">
            <v>15</v>
          </cell>
          <cell r="W671"/>
          <cell r="X671" t="str">
            <v>EDWIN</v>
          </cell>
          <cell r="Y671" t="str">
            <v>DMCARE-TRI-02</v>
          </cell>
          <cell r="Z671" t="str">
            <v>EDWIN 12/4/18</v>
          </cell>
          <cell r="AA671"/>
          <cell r="AB671">
            <v>43202</v>
          </cell>
          <cell r="AC671">
            <v>4697</v>
          </cell>
        </row>
        <row r="672">
          <cell r="B672">
            <v>4293</v>
          </cell>
          <cell r="C672" t="str">
            <v>BG3092</v>
          </cell>
          <cell r="D672" t="str">
            <v>VISCOSE CREPE</v>
          </cell>
          <cell r="E672" t="str">
            <v>30S*30S</v>
          </cell>
          <cell r="F672" t="str">
            <v>R100%</v>
          </cell>
          <cell r="G672" t="str">
            <v xml:space="preserve">100% RAYON </v>
          </cell>
          <cell r="H672" t="str">
            <v>53/54</v>
          </cell>
          <cell r="I672">
            <v>147</v>
          </cell>
          <cell r="J672">
            <v>1.85</v>
          </cell>
          <cell r="K672">
            <v>2.4</v>
          </cell>
          <cell r="L672">
            <v>1.88</v>
          </cell>
          <cell r="M672">
            <v>2.4500000000000002</v>
          </cell>
          <cell r="N672">
            <v>1.9</v>
          </cell>
          <cell r="O672">
            <v>2.5</v>
          </cell>
          <cell r="P672"/>
          <cell r="Q672"/>
          <cell r="R672">
            <v>2.1</v>
          </cell>
          <cell r="S672">
            <v>2.8</v>
          </cell>
          <cell r="T672"/>
          <cell r="U672"/>
          <cell r="V672">
            <v>15</v>
          </cell>
          <cell r="W672"/>
          <cell r="X672"/>
          <cell r="Y672"/>
          <cell r="Z672"/>
          <cell r="AA672"/>
          <cell r="AB672">
            <v>43202</v>
          </cell>
          <cell r="AC672">
            <v>4699</v>
          </cell>
        </row>
        <row r="673">
          <cell r="B673">
            <v>4292</v>
          </cell>
          <cell r="C673" t="str">
            <v>BG2592-4</v>
          </cell>
          <cell r="D673" t="str">
            <v>VISCOSE CREPE</v>
          </cell>
          <cell r="E673"/>
          <cell r="F673" t="str">
            <v>R100%</v>
          </cell>
          <cell r="G673" t="str">
            <v xml:space="preserve">100% RAYON </v>
          </cell>
          <cell r="H673" t="str">
            <v>53/54</v>
          </cell>
          <cell r="I673">
            <v>135</v>
          </cell>
          <cell r="J673">
            <v>1.85</v>
          </cell>
          <cell r="K673">
            <v>2.4</v>
          </cell>
          <cell r="L673">
            <v>1.88</v>
          </cell>
          <cell r="M673">
            <v>2.4500000000000002</v>
          </cell>
          <cell r="N673">
            <v>1.9</v>
          </cell>
          <cell r="O673">
            <v>2.5</v>
          </cell>
          <cell r="P673"/>
          <cell r="Q673"/>
          <cell r="R673">
            <v>2.1</v>
          </cell>
          <cell r="S673">
            <v>2.8</v>
          </cell>
          <cell r="T673"/>
          <cell r="U673"/>
          <cell r="V673">
            <v>15</v>
          </cell>
          <cell r="W673"/>
          <cell r="X673"/>
          <cell r="Y673"/>
          <cell r="Z673"/>
          <cell r="AA673"/>
          <cell r="AB673">
            <v>43202</v>
          </cell>
          <cell r="AC673">
            <v>4693</v>
          </cell>
        </row>
        <row r="674">
          <cell r="B674">
            <v>4271</v>
          </cell>
          <cell r="C674" t="str">
            <v>HY-7K180409</v>
          </cell>
          <cell r="D674" t="str">
            <v>LACE</v>
          </cell>
          <cell r="E674"/>
          <cell r="F674" t="str">
            <v>T100%</v>
          </cell>
          <cell r="G674" t="str">
            <v xml:space="preserve">100% POLYESTER </v>
          </cell>
          <cell r="H674" t="str">
            <v>57/58</v>
          </cell>
          <cell r="I674">
            <v>60</v>
          </cell>
          <cell r="J674"/>
          <cell r="K674"/>
          <cell r="L674"/>
          <cell r="M674"/>
          <cell r="N674"/>
          <cell r="O674"/>
          <cell r="P674"/>
          <cell r="Q674"/>
          <cell r="R674"/>
          <cell r="S674"/>
          <cell r="T674"/>
          <cell r="U674"/>
          <cell r="V674"/>
          <cell r="W674"/>
          <cell r="X674" t="str">
            <v xml:space="preserve">HANSHOW </v>
          </cell>
          <cell r="Y674" t="str">
            <v>DMCARE-TRI-03</v>
          </cell>
          <cell r="Z674" t="str">
            <v>JESSIE 12/4/18</v>
          </cell>
          <cell r="AA674"/>
          <cell r="AB674">
            <v>43202</v>
          </cell>
          <cell r="AC674">
            <v>4705</v>
          </cell>
        </row>
        <row r="675">
          <cell r="B675">
            <v>4011</v>
          </cell>
          <cell r="C675" t="str">
            <v>GL-1226</v>
          </cell>
          <cell r="D675"/>
          <cell r="E675"/>
          <cell r="F675" t="str">
            <v>C/S 95/5</v>
          </cell>
          <cell r="G675" t="str">
            <v>95% COTTON  5% SPANDEX</v>
          </cell>
          <cell r="H675" t="str">
            <v>165-170CM</v>
          </cell>
          <cell r="I675">
            <v>200</v>
          </cell>
          <cell r="J675">
            <v>2.4700000000000002</v>
          </cell>
          <cell r="K675"/>
          <cell r="L675">
            <v>2.5</v>
          </cell>
          <cell r="M675"/>
          <cell r="N675">
            <v>2.5</v>
          </cell>
          <cell r="O675"/>
          <cell r="P675"/>
          <cell r="Q675"/>
          <cell r="R675"/>
          <cell r="S675"/>
          <cell r="T675"/>
          <cell r="U675"/>
          <cell r="V675"/>
          <cell r="W675"/>
          <cell r="X675" t="str">
            <v>NICKY</v>
          </cell>
          <cell r="Y675"/>
          <cell r="Z675" t="str">
            <v>NICKY 12/4/18</v>
          </cell>
          <cell r="AA675"/>
          <cell r="AB675">
            <v>43202</v>
          </cell>
          <cell r="AC675">
            <v>4698</v>
          </cell>
        </row>
        <row r="676">
          <cell r="B676">
            <v>2401</v>
          </cell>
          <cell r="C676" t="str">
            <v>BG2428</v>
          </cell>
          <cell r="D676" t="str">
            <v>VISCOSE CREPE</v>
          </cell>
          <cell r="E676" t="str">
            <v>60S*60S</v>
          </cell>
          <cell r="F676" t="str">
            <v>R100%</v>
          </cell>
          <cell r="G676" t="str">
            <v xml:space="preserve">100% RAYON </v>
          </cell>
          <cell r="H676" t="str">
            <v>54/55</v>
          </cell>
          <cell r="I676">
            <v>92</v>
          </cell>
          <cell r="J676">
            <v>1.85</v>
          </cell>
          <cell r="K676">
            <v>2.2999999999999998</v>
          </cell>
          <cell r="L676">
            <v>1.88</v>
          </cell>
          <cell r="M676">
            <v>2.35</v>
          </cell>
          <cell r="N676">
            <v>1.9</v>
          </cell>
          <cell r="O676">
            <v>2.4</v>
          </cell>
          <cell r="P676"/>
          <cell r="Q676"/>
          <cell r="R676">
            <v>2.2000000000000002</v>
          </cell>
          <cell r="S676">
            <v>2.8</v>
          </cell>
          <cell r="T676"/>
          <cell r="U676"/>
          <cell r="V676">
            <v>15</v>
          </cell>
          <cell r="W676"/>
          <cell r="X676" t="str">
            <v>EDWIN</v>
          </cell>
          <cell r="Y676" t="str">
            <v>DMCARE-TRI-02</v>
          </cell>
          <cell r="Z676"/>
          <cell r="AA676"/>
          <cell r="AB676">
            <v>43202</v>
          </cell>
          <cell r="AC676">
            <v>4692</v>
          </cell>
        </row>
        <row r="677">
          <cell r="B677">
            <v>2037</v>
          </cell>
          <cell r="C677" t="str">
            <v>HLT1586</v>
          </cell>
          <cell r="D677" t="str">
            <v>TENCEL</v>
          </cell>
          <cell r="E677"/>
          <cell r="F677" t="str">
            <v>T100%</v>
          </cell>
          <cell r="G677" t="str">
            <v>100% TENCEL</v>
          </cell>
          <cell r="H677" t="str">
            <v>59/60</v>
          </cell>
          <cell r="I677">
            <v>157</v>
          </cell>
          <cell r="J677">
            <v>3.6619718309859155</v>
          </cell>
          <cell r="K677"/>
          <cell r="L677">
            <v>3.7619718309859156</v>
          </cell>
          <cell r="M677"/>
          <cell r="N677">
            <v>3.8619718309859157</v>
          </cell>
          <cell r="O677"/>
          <cell r="P677"/>
          <cell r="Q677"/>
          <cell r="R677">
            <v>4.6619718309859159</v>
          </cell>
          <cell r="S677"/>
          <cell r="T677"/>
          <cell r="U677"/>
          <cell r="V677"/>
          <cell r="W677"/>
          <cell r="X677" t="str">
            <v>CANDY</v>
          </cell>
          <cell r="Y677" t="str">
            <v>DMCARE-TRI-03</v>
          </cell>
          <cell r="Z677" t="str">
            <v>CANDY 12/4/18</v>
          </cell>
          <cell r="AA677"/>
          <cell r="AB677">
            <v>43202</v>
          </cell>
          <cell r="AC677">
            <v>4695</v>
          </cell>
        </row>
        <row r="678">
          <cell r="B678">
            <v>2028</v>
          </cell>
          <cell r="C678" t="str">
            <v>HLT520</v>
          </cell>
          <cell r="D678" t="str">
            <v>TENCEL</v>
          </cell>
          <cell r="E678"/>
          <cell r="F678" t="str">
            <v>T100%</v>
          </cell>
          <cell r="G678" t="str">
            <v>100% TENCEL</v>
          </cell>
          <cell r="H678" t="str">
            <v>57/58</v>
          </cell>
          <cell r="I678">
            <v>140</v>
          </cell>
          <cell r="J678">
            <v>2.9287489643744826</v>
          </cell>
          <cell r="K678"/>
          <cell r="L678">
            <v>3.0287489643744827</v>
          </cell>
          <cell r="M678"/>
          <cell r="N678">
            <v>3.1287489643744828</v>
          </cell>
          <cell r="O678"/>
          <cell r="P678"/>
          <cell r="Q678"/>
          <cell r="R678">
            <v>3.9287489643744831</v>
          </cell>
          <cell r="S678"/>
          <cell r="T678"/>
          <cell r="U678"/>
          <cell r="V678"/>
          <cell r="W678"/>
          <cell r="X678" t="str">
            <v>CANDY</v>
          </cell>
          <cell r="Y678" t="str">
            <v>DMCARE-TRI-03</v>
          </cell>
          <cell r="Z678" t="str">
            <v>CANDY 12/4/18</v>
          </cell>
          <cell r="AA678"/>
          <cell r="AB678">
            <v>43202</v>
          </cell>
          <cell r="AC678">
            <v>4694</v>
          </cell>
        </row>
        <row r="679">
          <cell r="B679">
            <v>1706</v>
          </cell>
          <cell r="C679" t="str">
            <v>TS-203</v>
          </cell>
          <cell r="D679"/>
          <cell r="E679"/>
          <cell r="F679" t="str">
            <v>R/S 95/5</v>
          </cell>
          <cell r="G679" t="str">
            <v>95% RAYON 5% SPAN</v>
          </cell>
          <cell r="H679" t="str">
            <v>62/63</v>
          </cell>
          <cell r="I679">
            <v>190</v>
          </cell>
          <cell r="J679">
            <v>1.78</v>
          </cell>
          <cell r="K679">
            <v>2.09</v>
          </cell>
          <cell r="L679">
            <v>1.8</v>
          </cell>
          <cell r="M679">
            <v>2.12</v>
          </cell>
          <cell r="N679">
            <v>1.82</v>
          </cell>
          <cell r="O679">
            <v>2.15</v>
          </cell>
          <cell r="P679"/>
          <cell r="Q679"/>
          <cell r="R679">
            <v>1.97</v>
          </cell>
          <cell r="S679">
            <v>2.4</v>
          </cell>
          <cell r="T679"/>
          <cell r="U679"/>
          <cell r="V679"/>
          <cell r="W679"/>
          <cell r="X679" t="str">
            <v>GAVIN</v>
          </cell>
          <cell r="Y679"/>
          <cell r="Z679" t="str">
            <v>GAVIN 12/4/18</v>
          </cell>
          <cell r="AA679"/>
          <cell r="AB679">
            <v>43202</v>
          </cell>
          <cell r="AC679">
            <v>4690</v>
          </cell>
        </row>
        <row r="680">
          <cell r="B680">
            <v>1672</v>
          </cell>
          <cell r="C680" t="str">
            <v>TS-202</v>
          </cell>
          <cell r="D680"/>
          <cell r="E680"/>
          <cell r="F680" t="str">
            <v>T/S 96/4</v>
          </cell>
          <cell r="G680" t="str">
            <v>96%POLYESTER  4%SPANDEX</v>
          </cell>
          <cell r="H680" t="str">
            <v>150CM</v>
          </cell>
          <cell r="I680">
            <v>80</v>
          </cell>
          <cell r="J680">
            <v>1.76</v>
          </cell>
          <cell r="K680">
            <v>1.89</v>
          </cell>
          <cell r="L680">
            <v>1.78</v>
          </cell>
          <cell r="M680">
            <v>1.92</v>
          </cell>
          <cell r="N680">
            <v>1.8</v>
          </cell>
          <cell r="O680">
            <v>1.95</v>
          </cell>
          <cell r="P680"/>
          <cell r="Q680"/>
          <cell r="R680">
            <v>1.95</v>
          </cell>
          <cell r="S680">
            <v>2.2000000000000002</v>
          </cell>
          <cell r="T680"/>
          <cell r="U680"/>
          <cell r="V680"/>
          <cell r="W680"/>
          <cell r="X680" t="str">
            <v>GAVIN</v>
          </cell>
          <cell r="Y680"/>
          <cell r="Z680" t="str">
            <v>GAVIN 12/4/18</v>
          </cell>
          <cell r="AA680"/>
          <cell r="AB680">
            <v>43202</v>
          </cell>
          <cell r="AC680">
            <v>4689</v>
          </cell>
        </row>
        <row r="681">
          <cell r="B681">
            <v>1070</v>
          </cell>
          <cell r="C681" t="str">
            <v>BG2433</v>
          </cell>
          <cell r="D681" t="str">
            <v>CRINKLE VISCOSE</v>
          </cell>
          <cell r="E681" t="str">
            <v>30S*24S 68*64</v>
          </cell>
          <cell r="F681" t="str">
            <v>R100%</v>
          </cell>
          <cell r="G681" t="str">
            <v xml:space="preserve">100% RAYON </v>
          </cell>
          <cell r="H681" t="str">
            <v>54/55</v>
          </cell>
          <cell r="I681">
            <v>145</v>
          </cell>
          <cell r="J681">
            <v>1.62</v>
          </cell>
          <cell r="K681">
            <v>2</v>
          </cell>
          <cell r="L681">
            <v>1.65</v>
          </cell>
          <cell r="M681">
            <v>2.0499999999999998</v>
          </cell>
          <cell r="N681">
            <v>1.68</v>
          </cell>
          <cell r="O681">
            <v>2.1</v>
          </cell>
          <cell r="P681"/>
          <cell r="Q681"/>
          <cell r="R681">
            <v>1.9</v>
          </cell>
          <cell r="S681">
            <v>2.6</v>
          </cell>
          <cell r="T681"/>
          <cell r="U681"/>
          <cell r="V681">
            <v>15</v>
          </cell>
          <cell r="W681"/>
          <cell r="X681" t="str">
            <v>EDWIN</v>
          </cell>
          <cell r="Y681" t="str">
            <v>DMCARE-TRI-02</v>
          </cell>
          <cell r="Z681" t="str">
            <v>EDWIN 12/4/18</v>
          </cell>
          <cell r="AA681"/>
          <cell r="AB681">
            <v>43202</v>
          </cell>
          <cell r="AC681">
            <v>4696</v>
          </cell>
        </row>
        <row r="682">
          <cell r="B682">
            <v>1013</v>
          </cell>
          <cell r="C682" t="str">
            <v>TS-162</v>
          </cell>
          <cell r="D682"/>
          <cell r="E682"/>
          <cell r="F682" t="str">
            <v>C/N 80/20</v>
          </cell>
          <cell r="G682" t="str">
            <v>80% COTTON  20% NYLON</v>
          </cell>
          <cell r="H682" t="str">
            <v>57/58</v>
          </cell>
          <cell r="I682">
            <v>90</v>
          </cell>
          <cell r="J682">
            <v>1.91</v>
          </cell>
          <cell r="K682">
            <v>2.14</v>
          </cell>
          <cell r="L682">
            <v>1.93</v>
          </cell>
          <cell r="M682">
            <v>2.17</v>
          </cell>
          <cell r="N682">
            <v>1.95</v>
          </cell>
          <cell r="O682">
            <v>2.2000000000000002</v>
          </cell>
          <cell r="P682"/>
          <cell r="Q682"/>
          <cell r="R682">
            <v>2.1</v>
          </cell>
          <cell r="S682">
            <v>2.4500000000000002</v>
          </cell>
          <cell r="T682"/>
          <cell r="U682"/>
          <cell r="V682">
            <v>15</v>
          </cell>
          <cell r="W682"/>
          <cell r="X682" t="str">
            <v>GAVIN</v>
          </cell>
          <cell r="Y682"/>
          <cell r="Z682" t="str">
            <v>GAVIN 12/4/18</v>
          </cell>
          <cell r="AA682"/>
          <cell r="AB682">
            <v>43202</v>
          </cell>
          <cell r="AC682">
            <v>4691</v>
          </cell>
        </row>
        <row r="683">
          <cell r="B683">
            <v>4182</v>
          </cell>
          <cell r="C683" t="str">
            <v>TS-502</v>
          </cell>
          <cell r="D683" t="str">
            <v>KNIT</v>
          </cell>
          <cell r="E683"/>
          <cell r="F683" t="str">
            <v>C/S 95/5</v>
          </cell>
          <cell r="G683" t="str">
            <v xml:space="preserve">95% COTTON  5%SPANDEX </v>
          </cell>
          <cell r="H683" t="str">
            <v>160CM</v>
          </cell>
          <cell r="I683" t="str">
            <v>160-180</v>
          </cell>
          <cell r="J683">
            <v>1.81</v>
          </cell>
          <cell r="K683">
            <v>2.09</v>
          </cell>
          <cell r="L683">
            <v>1.83</v>
          </cell>
          <cell r="M683">
            <v>2.12</v>
          </cell>
          <cell r="N683">
            <v>1.85</v>
          </cell>
          <cell r="O683">
            <v>2.15</v>
          </cell>
          <cell r="P683"/>
          <cell r="Q683"/>
          <cell r="R683">
            <v>2</v>
          </cell>
          <cell r="S683">
            <v>2.4</v>
          </cell>
          <cell r="T683"/>
          <cell r="U683"/>
          <cell r="V683">
            <v>15</v>
          </cell>
          <cell r="W683"/>
          <cell r="X683" t="str">
            <v>GAVIN</v>
          </cell>
          <cell r="Y683" t="str">
            <v>DMCARE-TRI-02</v>
          </cell>
          <cell r="Z683" t="str">
            <v>GAVIN ' MAIL 10/4/18</v>
          </cell>
          <cell r="AA683"/>
          <cell r="AB683">
            <v>43200</v>
          </cell>
          <cell r="AC683">
            <v>4711</v>
          </cell>
        </row>
        <row r="684">
          <cell r="B684">
            <v>4181</v>
          </cell>
          <cell r="C684" t="str">
            <v>TS-501</v>
          </cell>
          <cell r="D684" t="str">
            <v>KNIT</v>
          </cell>
          <cell r="E684"/>
          <cell r="F684" t="str">
            <v>V/S 95/5</v>
          </cell>
          <cell r="G684" t="str">
            <v xml:space="preserve">95% VISCOSE  5%SPANDEX </v>
          </cell>
          <cell r="H684" t="str">
            <v>160CM</v>
          </cell>
          <cell r="I684" t="str">
            <v>200-210</v>
          </cell>
          <cell r="J684">
            <v>1.91</v>
          </cell>
          <cell r="K684">
            <v>2.3199999999999998</v>
          </cell>
          <cell r="L684">
            <v>1.93</v>
          </cell>
          <cell r="M684">
            <v>2.35</v>
          </cell>
          <cell r="N684">
            <v>1.95</v>
          </cell>
          <cell r="O684">
            <v>2.38</v>
          </cell>
          <cell r="P684"/>
          <cell r="Q684"/>
          <cell r="R684">
            <v>2.1</v>
          </cell>
          <cell r="S684">
            <v>2.63</v>
          </cell>
          <cell r="T684"/>
          <cell r="U684"/>
          <cell r="V684">
            <v>15</v>
          </cell>
          <cell r="W684"/>
          <cell r="X684" t="str">
            <v>GAVIN</v>
          </cell>
          <cell r="Y684" t="str">
            <v>DMCARE-TRI-02</v>
          </cell>
          <cell r="Z684" t="str">
            <v>GAVIN ' MAIL 10/4/18</v>
          </cell>
          <cell r="AA684"/>
          <cell r="AB684">
            <v>43200</v>
          </cell>
          <cell r="AC684">
            <v>4712</v>
          </cell>
        </row>
        <row r="685">
          <cell r="B685">
            <v>4180</v>
          </cell>
          <cell r="C685" t="str">
            <v>TS-500</v>
          </cell>
          <cell r="D685" t="str">
            <v>RIB KNIT</v>
          </cell>
          <cell r="E685"/>
          <cell r="F685" t="str">
            <v>T100%</v>
          </cell>
          <cell r="G685" t="str">
            <v>100% POLYETSTER</v>
          </cell>
          <cell r="H685" t="str">
            <v>155CM</v>
          </cell>
          <cell r="I685">
            <v>210</v>
          </cell>
          <cell r="J685">
            <v>1.4</v>
          </cell>
          <cell r="K685"/>
          <cell r="L685">
            <v>1.42</v>
          </cell>
          <cell r="M685"/>
          <cell r="N685">
            <v>1.44</v>
          </cell>
          <cell r="O685"/>
          <cell r="P685"/>
          <cell r="Q685"/>
          <cell r="R685">
            <v>1.59</v>
          </cell>
          <cell r="S685"/>
          <cell r="T685"/>
          <cell r="U685"/>
          <cell r="V685">
            <v>15</v>
          </cell>
          <cell r="W685"/>
          <cell r="X685" t="str">
            <v>GAVIN</v>
          </cell>
          <cell r="Y685" t="str">
            <v>DMCARE-TRI-01</v>
          </cell>
          <cell r="Z685" t="str">
            <v>GAVIN ' MAIL 10/4/18</v>
          </cell>
          <cell r="AA685"/>
          <cell r="AB685">
            <v>43200</v>
          </cell>
          <cell r="AC685">
            <v>4708</v>
          </cell>
        </row>
        <row r="686">
          <cell r="B686">
            <v>4179</v>
          </cell>
          <cell r="C686" t="str">
            <v>TS-503</v>
          </cell>
          <cell r="D686" t="str">
            <v>RIB KNIT</v>
          </cell>
          <cell r="E686"/>
          <cell r="F686" t="str">
            <v>T/C/S 41/41/18</v>
          </cell>
          <cell r="G686" t="str">
            <v>41% POLY 41% COTTON 18% SPANDEX</v>
          </cell>
          <cell r="H686" t="str">
            <v>95CM</v>
          </cell>
          <cell r="I686">
            <v>240</v>
          </cell>
          <cell r="J686">
            <v>1.4</v>
          </cell>
          <cell r="K686"/>
          <cell r="L686">
            <v>1.42</v>
          </cell>
          <cell r="M686"/>
          <cell r="N686">
            <v>1.44</v>
          </cell>
          <cell r="O686"/>
          <cell r="P686"/>
          <cell r="Q686"/>
          <cell r="R686">
            <v>1.5</v>
          </cell>
          <cell r="S686"/>
          <cell r="T686"/>
          <cell r="U686"/>
          <cell r="V686">
            <v>15</v>
          </cell>
          <cell r="W686"/>
          <cell r="X686" t="str">
            <v>GAVIN</v>
          </cell>
          <cell r="Y686" t="str">
            <v>DMCARE-TRI-01</v>
          </cell>
          <cell r="Z686" t="str">
            <v>GAVIN ' MAIL 10/4/18</v>
          </cell>
          <cell r="AA686"/>
          <cell r="AB686">
            <v>43200</v>
          </cell>
          <cell r="AC686">
            <v>4709</v>
          </cell>
        </row>
        <row r="687">
          <cell r="B687">
            <v>4178</v>
          </cell>
          <cell r="C687" t="str">
            <v>TS-499</v>
          </cell>
          <cell r="D687" t="str">
            <v>RIB KNIT</v>
          </cell>
          <cell r="E687"/>
          <cell r="F687" t="str">
            <v>V/T 80/20</v>
          </cell>
          <cell r="G687" t="str">
            <v xml:space="preserve">80% RAYON 20% POLYESTER </v>
          </cell>
          <cell r="H687" t="str">
            <v>155CM</v>
          </cell>
          <cell r="I687">
            <v>213</v>
          </cell>
          <cell r="J687">
            <v>1.61</v>
          </cell>
          <cell r="K687"/>
          <cell r="L687">
            <v>1.63</v>
          </cell>
          <cell r="M687"/>
          <cell r="N687">
            <v>1.65</v>
          </cell>
          <cell r="O687"/>
          <cell r="P687"/>
          <cell r="Q687"/>
          <cell r="R687">
            <v>1.8</v>
          </cell>
          <cell r="S687"/>
          <cell r="T687"/>
          <cell r="U687"/>
          <cell r="V687">
            <v>15</v>
          </cell>
          <cell r="W687"/>
          <cell r="X687" t="str">
            <v>GAVIN</v>
          </cell>
          <cell r="Y687" t="str">
            <v>DMCARE-TRI-02</v>
          </cell>
          <cell r="Z687" t="str">
            <v>GAVIN ' MAIL 10/4/18</v>
          </cell>
          <cell r="AA687"/>
          <cell r="AB687">
            <v>43200</v>
          </cell>
          <cell r="AC687">
            <v>4710</v>
          </cell>
        </row>
        <row r="688">
          <cell r="B688">
            <v>3880</v>
          </cell>
          <cell r="C688" t="str">
            <v>ME-287</v>
          </cell>
          <cell r="D688"/>
          <cell r="E688"/>
          <cell r="F688" t="str">
            <v>T100%</v>
          </cell>
          <cell r="G688" t="str">
            <v xml:space="preserve">100% POLYESTER </v>
          </cell>
          <cell r="H688" t="str">
            <v>47/48</v>
          </cell>
          <cell r="I688">
            <v>0</v>
          </cell>
          <cell r="J688">
            <v>6.15</v>
          </cell>
          <cell r="K688"/>
          <cell r="L688">
            <v>6.25</v>
          </cell>
          <cell r="M688"/>
          <cell r="N688">
            <v>6.25</v>
          </cell>
          <cell r="O688"/>
          <cell r="P688"/>
          <cell r="Q688"/>
          <cell r="R688">
            <v>6.55</v>
          </cell>
          <cell r="S688"/>
          <cell r="T688"/>
          <cell r="U688"/>
          <cell r="V688">
            <v>15</v>
          </cell>
          <cell r="W688"/>
          <cell r="X688" t="str">
            <v>LIVATEX</v>
          </cell>
          <cell r="Y688"/>
          <cell r="Z688" t="str">
            <v>LINDA 10/4/18</v>
          </cell>
          <cell r="AA688"/>
          <cell r="AB688">
            <v>43200</v>
          </cell>
          <cell r="AC688">
            <v>4706</v>
          </cell>
        </row>
        <row r="689">
          <cell r="B689">
            <v>3879</v>
          </cell>
          <cell r="C689" t="str">
            <v>ME-286 D</v>
          </cell>
          <cell r="D689"/>
          <cell r="E689"/>
          <cell r="F689" t="str">
            <v>T100%</v>
          </cell>
          <cell r="G689" t="str">
            <v xml:space="preserve">100% POLYESTER </v>
          </cell>
          <cell r="H689" t="str">
            <v>47/48</v>
          </cell>
          <cell r="I689">
            <v>0</v>
          </cell>
          <cell r="J689">
            <v>6.45</v>
          </cell>
          <cell r="K689"/>
          <cell r="L689">
            <v>6.55</v>
          </cell>
          <cell r="M689"/>
          <cell r="N689">
            <v>6.55</v>
          </cell>
          <cell r="O689"/>
          <cell r="P689"/>
          <cell r="Q689"/>
          <cell r="R689">
            <v>6.85</v>
          </cell>
          <cell r="S689"/>
          <cell r="T689"/>
          <cell r="U689"/>
          <cell r="V689">
            <v>15</v>
          </cell>
          <cell r="W689"/>
          <cell r="X689" t="str">
            <v>LIVATEX</v>
          </cell>
          <cell r="Y689"/>
          <cell r="Z689" t="str">
            <v>LINDA 10/4/18</v>
          </cell>
          <cell r="AA689"/>
          <cell r="AB689">
            <v>43200</v>
          </cell>
          <cell r="AC689">
            <v>4707</v>
          </cell>
        </row>
        <row r="690">
          <cell r="B690">
            <v>2937</v>
          </cell>
          <cell r="C690" t="str">
            <v>CPE-413</v>
          </cell>
          <cell r="D690"/>
          <cell r="E690" t="str">
            <v>60'sx60/90x88</v>
          </cell>
          <cell r="F690" t="str">
            <v>C100%</v>
          </cell>
          <cell r="G690" t="str">
            <v>100%COTTON</v>
          </cell>
          <cell r="H690" t="str">
            <v>50/51</v>
          </cell>
          <cell r="I690">
            <v>120</v>
          </cell>
          <cell r="J690">
            <v>5</v>
          </cell>
          <cell r="K690"/>
          <cell r="L690">
            <v>5.0999999999999996</v>
          </cell>
          <cell r="M690"/>
          <cell r="N690">
            <v>5.0999999999999996</v>
          </cell>
          <cell r="O690"/>
          <cell r="P690"/>
          <cell r="Q690"/>
          <cell r="R690">
            <v>5.4</v>
          </cell>
          <cell r="S690"/>
          <cell r="T690"/>
          <cell r="U690"/>
          <cell r="V690">
            <v>15</v>
          </cell>
          <cell r="W690"/>
          <cell r="X690" t="str">
            <v>LIVATEX</v>
          </cell>
          <cell r="Y690"/>
          <cell r="Z690" t="str">
            <v>LINDA 10/4/18</v>
          </cell>
          <cell r="AA690"/>
          <cell r="AB690">
            <v>43200</v>
          </cell>
          <cell r="AC690">
            <v>4713</v>
          </cell>
        </row>
        <row r="691">
          <cell r="B691">
            <v>2936</v>
          </cell>
          <cell r="C691" t="str">
            <v>CPE-412</v>
          </cell>
          <cell r="D691"/>
          <cell r="E691" t="str">
            <v>60'sx60/90x88</v>
          </cell>
          <cell r="F691" t="str">
            <v>C100%</v>
          </cell>
          <cell r="G691" t="str">
            <v>100%COTTON</v>
          </cell>
          <cell r="H691" t="str">
            <v>50/51</v>
          </cell>
          <cell r="I691">
            <v>145</v>
          </cell>
          <cell r="J691">
            <v>5.7</v>
          </cell>
          <cell r="K691"/>
          <cell r="L691">
            <v>5.8</v>
          </cell>
          <cell r="M691"/>
          <cell r="N691">
            <v>5.8</v>
          </cell>
          <cell r="O691"/>
          <cell r="P691"/>
          <cell r="Q691"/>
          <cell r="R691">
            <v>6.1</v>
          </cell>
          <cell r="S691"/>
          <cell r="T691"/>
          <cell r="U691"/>
          <cell r="V691">
            <v>15</v>
          </cell>
          <cell r="W691"/>
          <cell r="X691" t="str">
            <v>LIVATEX</v>
          </cell>
          <cell r="Y691"/>
          <cell r="Z691" t="str">
            <v>LINDA 10/4/18</v>
          </cell>
          <cell r="AA691"/>
          <cell r="AB691">
            <v>43200</v>
          </cell>
          <cell r="AC691">
            <v>4714</v>
          </cell>
        </row>
        <row r="692">
          <cell r="B692">
            <v>4270</v>
          </cell>
          <cell r="C692" t="str">
            <v>OLP-YT00511</v>
          </cell>
          <cell r="D692" t="str">
            <v>CHAMBREYDENIM</v>
          </cell>
          <cell r="E692"/>
          <cell r="F692" t="str">
            <v>TENCEL100%</v>
          </cell>
          <cell r="G692" t="str">
            <v>100% tencel</v>
          </cell>
          <cell r="H692" t="str">
            <v>58/59</v>
          </cell>
          <cell r="I692">
            <v>160</v>
          </cell>
          <cell r="J692">
            <v>2.62</v>
          </cell>
          <cell r="K692"/>
          <cell r="L692">
            <v>2.65</v>
          </cell>
          <cell r="M692"/>
          <cell r="N692">
            <v>2.72</v>
          </cell>
          <cell r="O692"/>
          <cell r="P692"/>
          <cell r="Q692"/>
          <cell r="R692">
            <v>3.45</v>
          </cell>
          <cell r="S692"/>
          <cell r="T692"/>
          <cell r="U692"/>
          <cell r="V692">
            <v>15</v>
          </cell>
          <cell r="W692"/>
          <cell r="X692" t="str">
            <v>OWEN</v>
          </cell>
          <cell r="Y692"/>
          <cell r="Z692" t="str">
            <v>JOAN 9/4/18</v>
          </cell>
          <cell r="AA692"/>
          <cell r="AB692">
            <v>43199</v>
          </cell>
          <cell r="AC692">
            <v>4720</v>
          </cell>
        </row>
        <row r="693">
          <cell r="B693">
            <v>4269</v>
          </cell>
          <cell r="C693" t="str">
            <v>OLP-YT00227</v>
          </cell>
          <cell r="D693" t="str">
            <v>CHAMBREYDENIM</v>
          </cell>
          <cell r="E693"/>
          <cell r="F693" t="str">
            <v>TENCEL100%</v>
          </cell>
          <cell r="G693" t="str">
            <v>100% tencel</v>
          </cell>
          <cell r="H693" t="str">
            <v>57/58</v>
          </cell>
          <cell r="I693">
            <v>195</v>
          </cell>
          <cell r="J693">
            <v>2.79</v>
          </cell>
          <cell r="K693"/>
          <cell r="L693">
            <v>2.82</v>
          </cell>
          <cell r="M693"/>
          <cell r="N693">
            <v>2.89</v>
          </cell>
          <cell r="O693"/>
          <cell r="P693"/>
          <cell r="Q693"/>
          <cell r="R693">
            <v>3.67</v>
          </cell>
          <cell r="S693"/>
          <cell r="T693"/>
          <cell r="U693"/>
          <cell r="V693">
            <v>15</v>
          </cell>
          <cell r="W693"/>
          <cell r="X693" t="str">
            <v>OWEN</v>
          </cell>
          <cell r="Y693"/>
          <cell r="Z693" t="str">
            <v>JOAN 9/4/18</v>
          </cell>
          <cell r="AA693"/>
          <cell r="AB693">
            <v>43199</v>
          </cell>
          <cell r="AC693">
            <v>4721</v>
          </cell>
        </row>
        <row r="694">
          <cell r="B694">
            <v>4070</v>
          </cell>
          <cell r="C694" t="str">
            <v xml:space="preserve">HY-R171220 </v>
          </cell>
          <cell r="D694"/>
          <cell r="E694"/>
          <cell r="F694" t="str">
            <v>T100%</v>
          </cell>
          <cell r="G694" t="str">
            <v>100% POLYESTER</v>
          </cell>
          <cell r="H694" t="str">
            <v>49/50</v>
          </cell>
          <cell r="I694"/>
          <cell r="J694">
            <v>3.75</v>
          </cell>
          <cell r="K694"/>
          <cell r="L694">
            <v>3.82</v>
          </cell>
          <cell r="M694"/>
          <cell r="N694">
            <v>3.82</v>
          </cell>
          <cell r="O694"/>
          <cell r="P694"/>
          <cell r="Q694"/>
          <cell r="R694">
            <v>4</v>
          </cell>
          <cell r="S694"/>
          <cell r="T694"/>
          <cell r="U694"/>
          <cell r="V694">
            <v>15</v>
          </cell>
          <cell r="W694"/>
          <cell r="X694" t="str">
            <v xml:space="preserve">HANSHOW </v>
          </cell>
          <cell r="Y694" t="str">
            <v>DMCARE-TRI-01</v>
          </cell>
          <cell r="Z694" t="str">
            <v>JESSIE 9/4/18</v>
          </cell>
          <cell r="AA694"/>
          <cell r="AB694">
            <v>43199</v>
          </cell>
          <cell r="AC694">
            <v>4719</v>
          </cell>
        </row>
        <row r="695">
          <cell r="B695">
            <v>3854</v>
          </cell>
          <cell r="C695" t="str">
            <v>HY-7KC1007</v>
          </cell>
          <cell r="D695"/>
          <cell r="E695"/>
          <cell r="F695" t="str">
            <v>C/N 60/40</v>
          </cell>
          <cell r="G695" t="str">
            <v>60%COTTON  40%NYLON</v>
          </cell>
          <cell r="H695" t="str">
            <v>56/57</v>
          </cell>
          <cell r="I695">
            <v>146</v>
          </cell>
          <cell r="J695">
            <v>3.25</v>
          </cell>
          <cell r="K695"/>
          <cell r="L695">
            <v>3.3</v>
          </cell>
          <cell r="M695"/>
          <cell r="N695">
            <v>3.3</v>
          </cell>
          <cell r="O695"/>
          <cell r="P695"/>
          <cell r="Q695"/>
          <cell r="R695">
            <v>3.6</v>
          </cell>
          <cell r="S695"/>
          <cell r="T695"/>
          <cell r="U695"/>
          <cell r="V695">
            <v>15</v>
          </cell>
          <cell r="W695"/>
          <cell r="X695" t="str">
            <v xml:space="preserve">HANSHOW </v>
          </cell>
          <cell r="Y695" t="str">
            <v>DMCARE-TRI-01</v>
          </cell>
          <cell r="Z695" t="str">
            <v>JESSIE 9/4/18</v>
          </cell>
          <cell r="AA695"/>
          <cell r="AB695">
            <v>43199</v>
          </cell>
          <cell r="AC695">
            <v>4717</v>
          </cell>
        </row>
        <row r="696">
          <cell r="B696">
            <v>3844</v>
          </cell>
          <cell r="C696" t="str">
            <v>HY-9A17523</v>
          </cell>
          <cell r="D696"/>
          <cell r="E696"/>
          <cell r="F696" t="str">
            <v>T100%</v>
          </cell>
          <cell r="G696" t="str">
            <v xml:space="preserve">100% POLYESTER </v>
          </cell>
          <cell r="H696" t="str">
            <v>48/49</v>
          </cell>
          <cell r="I696"/>
          <cell r="J696">
            <v>5.07</v>
          </cell>
          <cell r="K696"/>
          <cell r="L696">
            <v>5.15</v>
          </cell>
          <cell r="M696"/>
          <cell r="N696">
            <v>5.15</v>
          </cell>
          <cell r="O696"/>
          <cell r="P696"/>
          <cell r="Q696"/>
          <cell r="R696">
            <v>5.35</v>
          </cell>
          <cell r="S696"/>
          <cell r="T696"/>
          <cell r="U696"/>
          <cell r="V696">
            <v>15</v>
          </cell>
          <cell r="W696"/>
          <cell r="X696" t="str">
            <v xml:space="preserve">HANSHOW </v>
          </cell>
          <cell r="Y696" t="str">
            <v>DMCARE-TRI-01</v>
          </cell>
          <cell r="Z696" t="str">
            <v>JESSIE 9/4/18</v>
          </cell>
          <cell r="AA696"/>
          <cell r="AB696">
            <v>43199</v>
          </cell>
          <cell r="AC696">
            <v>4718</v>
          </cell>
        </row>
        <row r="697">
          <cell r="B697">
            <v>3794</v>
          </cell>
          <cell r="C697" t="str">
            <v>TS-405</v>
          </cell>
          <cell r="D697"/>
          <cell r="E697"/>
          <cell r="F697" t="str">
            <v>R100%</v>
          </cell>
          <cell r="G697" t="str">
            <v xml:space="preserve">100% RAYON </v>
          </cell>
          <cell r="H697" t="str">
            <v>140CM</v>
          </cell>
          <cell r="I697">
            <v>200</v>
          </cell>
          <cell r="J697">
            <v>2.0099999999999998</v>
          </cell>
          <cell r="K697">
            <v>2.14</v>
          </cell>
          <cell r="L697">
            <v>2.0299999999999998</v>
          </cell>
          <cell r="M697">
            <v>2.17</v>
          </cell>
          <cell r="N697">
            <v>2.0499999999999998</v>
          </cell>
          <cell r="O697">
            <v>2.2000000000000002</v>
          </cell>
          <cell r="P697"/>
          <cell r="Q697"/>
          <cell r="R697">
            <v>2.2000000000000002</v>
          </cell>
          <cell r="S697">
            <v>2.4500000000000002</v>
          </cell>
          <cell r="T697"/>
          <cell r="U697"/>
          <cell r="V697">
            <v>15</v>
          </cell>
          <cell r="W697"/>
          <cell r="X697" t="str">
            <v>GAVIN</v>
          </cell>
          <cell r="Y697"/>
          <cell r="Z697" t="str">
            <v>GAVIN 9/4/18</v>
          </cell>
          <cell r="AA697"/>
          <cell r="AB697">
            <v>43199</v>
          </cell>
          <cell r="AC697">
            <v>4716</v>
          </cell>
        </row>
        <row r="698">
          <cell r="B698">
            <v>1005</v>
          </cell>
          <cell r="C698" t="str">
            <v>TS-154</v>
          </cell>
          <cell r="D698" t="str">
            <v>COTTON VOILE</v>
          </cell>
          <cell r="E698" t="str">
            <v>80S</v>
          </cell>
          <cell r="F698" t="str">
            <v>C100%</v>
          </cell>
          <cell r="G698" t="str">
            <v>100% COTTON VOILE</v>
          </cell>
          <cell r="H698" t="str">
            <v>148CM</v>
          </cell>
          <cell r="I698">
            <v>54</v>
          </cell>
          <cell r="J698">
            <v>1.46</v>
          </cell>
          <cell r="K698">
            <v>1.59</v>
          </cell>
          <cell r="L698">
            <v>1.48</v>
          </cell>
          <cell r="M698">
            <v>1.62</v>
          </cell>
          <cell r="N698">
            <v>1.5</v>
          </cell>
          <cell r="O698">
            <v>1.65</v>
          </cell>
          <cell r="P698"/>
          <cell r="Q698"/>
          <cell r="R698">
            <v>1.65</v>
          </cell>
          <cell r="S698">
            <v>1.9</v>
          </cell>
          <cell r="T698"/>
          <cell r="U698"/>
          <cell r="V698">
            <v>15</v>
          </cell>
          <cell r="W698"/>
          <cell r="X698" t="str">
            <v>GAVIN</v>
          </cell>
          <cell r="Y698"/>
          <cell r="Z698" t="str">
            <v>GAVIN 9/4/18</v>
          </cell>
          <cell r="AA698"/>
          <cell r="AB698">
            <v>43199</v>
          </cell>
          <cell r="AC698">
            <v>4715</v>
          </cell>
        </row>
        <row r="699">
          <cell r="B699">
            <v>3696</v>
          </cell>
          <cell r="C699" t="str">
            <v>CS1746</v>
          </cell>
          <cell r="D699" t="str">
            <v>COTTON POPLIN</v>
          </cell>
          <cell r="E699" t="str">
            <v>60x60/128x110</v>
          </cell>
          <cell r="F699" t="str">
            <v>C100%</v>
          </cell>
          <cell r="G699" t="str">
            <v>100% COTTON POPLIN PRINT</v>
          </cell>
          <cell r="H699" t="str">
            <v>57/58</v>
          </cell>
          <cell r="I699">
            <v>90</v>
          </cell>
          <cell r="J699">
            <v>1.82</v>
          </cell>
          <cell r="K699">
            <v>1.98</v>
          </cell>
          <cell r="L699">
            <v>1.85</v>
          </cell>
          <cell r="M699">
            <v>2.0499999999999998</v>
          </cell>
          <cell r="N699">
            <v>1.89</v>
          </cell>
          <cell r="O699">
            <v>2.14</v>
          </cell>
          <cell r="P699"/>
          <cell r="Q699"/>
          <cell r="R699">
            <v>2.65</v>
          </cell>
          <cell r="S699">
            <v>3.2</v>
          </cell>
          <cell r="T699"/>
          <cell r="U699"/>
          <cell r="V699">
            <v>15</v>
          </cell>
          <cell r="W699"/>
          <cell r="X699" t="str">
            <v>SONG LI</v>
          </cell>
          <cell r="Y699" t="str">
            <v>DMCARE-TRI-02</v>
          </cell>
          <cell r="Z699" t="str">
            <v>SONG 8/4/18</v>
          </cell>
          <cell r="AA699"/>
          <cell r="AB699">
            <v>43198</v>
          </cell>
          <cell r="AC699">
            <v>4722</v>
          </cell>
        </row>
        <row r="700">
          <cell r="B700">
            <v>4282</v>
          </cell>
          <cell r="C700" t="str">
            <v>BG3743</v>
          </cell>
          <cell r="D700" t="str">
            <v>Y/D COTTON</v>
          </cell>
          <cell r="E700" t="str">
            <v>50S*50S 150*86</v>
          </cell>
          <cell r="F700" t="str">
            <v>C100%</v>
          </cell>
          <cell r="G700" t="str">
            <v xml:space="preserve">100% COTTON </v>
          </cell>
          <cell r="H700" t="str">
            <v>57/58</v>
          </cell>
          <cell r="I700">
            <v>106</v>
          </cell>
          <cell r="J700">
            <v>2.4500000000000002</v>
          </cell>
          <cell r="K700">
            <v>2.8</v>
          </cell>
          <cell r="L700">
            <v>2.48</v>
          </cell>
          <cell r="M700">
            <v>2.85</v>
          </cell>
          <cell r="N700">
            <v>2.5</v>
          </cell>
          <cell r="O700">
            <v>2.9</v>
          </cell>
          <cell r="P700"/>
          <cell r="Q700"/>
          <cell r="R700">
            <v>2.8</v>
          </cell>
          <cell r="S700">
            <v>3.4</v>
          </cell>
          <cell r="T700"/>
          <cell r="U700"/>
          <cell r="V700">
            <v>15</v>
          </cell>
          <cell r="W700"/>
          <cell r="X700" t="str">
            <v>EDWIN</v>
          </cell>
          <cell r="Y700" t="str">
            <v>DMCARE-TRI-02</v>
          </cell>
          <cell r="Z700" t="str">
            <v>EDWIN 7/4/18</v>
          </cell>
          <cell r="AA700"/>
          <cell r="AB700">
            <v>43197</v>
          </cell>
          <cell r="AC700">
            <v>4738</v>
          </cell>
        </row>
        <row r="701">
          <cell r="B701">
            <v>4281</v>
          </cell>
          <cell r="C701" t="str">
            <v>BG2053</v>
          </cell>
          <cell r="D701" t="str">
            <v>CHAMBRAY</v>
          </cell>
          <cell r="E701" t="str">
            <v>40S*40S 80*70</v>
          </cell>
          <cell r="F701" t="str">
            <v>C100%</v>
          </cell>
          <cell r="G701" t="str">
            <v xml:space="preserve">100% COTTON </v>
          </cell>
          <cell r="H701" t="str">
            <v>54/55</v>
          </cell>
          <cell r="I701">
            <v>87</v>
          </cell>
          <cell r="J701">
            <v>2.2999999999999998</v>
          </cell>
          <cell r="K701">
            <v>2.65</v>
          </cell>
          <cell r="L701">
            <v>2.33</v>
          </cell>
          <cell r="M701">
            <v>2.7</v>
          </cell>
          <cell r="N701">
            <v>2.35</v>
          </cell>
          <cell r="O701">
            <v>2.75</v>
          </cell>
          <cell r="P701"/>
          <cell r="Q701"/>
          <cell r="R701">
            <v>2.65</v>
          </cell>
          <cell r="S701">
            <v>3.25</v>
          </cell>
          <cell r="T701"/>
          <cell r="U701"/>
          <cell r="V701">
            <v>15</v>
          </cell>
          <cell r="W701"/>
          <cell r="X701" t="str">
            <v>EDWIN</v>
          </cell>
          <cell r="Y701" t="str">
            <v>DMCARE-TRI-02</v>
          </cell>
          <cell r="Z701" t="str">
            <v>EDWIN 7/4/18</v>
          </cell>
          <cell r="AA701"/>
          <cell r="AB701">
            <v>43197</v>
          </cell>
          <cell r="AC701">
            <v>4733</v>
          </cell>
        </row>
        <row r="702">
          <cell r="B702">
            <v>4280</v>
          </cell>
          <cell r="C702" t="str">
            <v>BG3876</v>
          </cell>
          <cell r="D702" t="str">
            <v>Y/D WITH LUREX</v>
          </cell>
          <cell r="E702" t="str">
            <v>C60+80D*C60+T60</v>
          </cell>
          <cell r="F702" t="str">
            <v>C/T 70/30</v>
          </cell>
          <cell r="G702" t="str">
            <v xml:space="preserve">70% COTTON  30% POLYESTER </v>
          </cell>
          <cell r="H702" t="str">
            <v>55/56</v>
          </cell>
          <cell r="I702">
            <v>65</v>
          </cell>
          <cell r="J702">
            <v>2.15</v>
          </cell>
          <cell r="K702">
            <v>2.5</v>
          </cell>
          <cell r="L702">
            <v>2.1800000000000002</v>
          </cell>
          <cell r="M702">
            <v>2.5499999999999998</v>
          </cell>
          <cell r="N702">
            <v>2.2000000000000002</v>
          </cell>
          <cell r="O702">
            <v>2.6</v>
          </cell>
          <cell r="P702"/>
          <cell r="Q702"/>
          <cell r="R702">
            <v>2.5</v>
          </cell>
          <cell r="S702">
            <v>3.1</v>
          </cell>
          <cell r="T702"/>
          <cell r="U702"/>
          <cell r="V702">
            <v>15</v>
          </cell>
          <cell r="W702"/>
          <cell r="X702" t="str">
            <v>EDWIN</v>
          </cell>
          <cell r="Y702" t="str">
            <v>DMCARE-TRI-02</v>
          </cell>
          <cell r="Z702" t="str">
            <v>EDWIN 7/4/18</v>
          </cell>
          <cell r="AA702"/>
          <cell r="AB702">
            <v>43197</v>
          </cell>
          <cell r="AC702">
            <v>4730</v>
          </cell>
        </row>
        <row r="703">
          <cell r="B703">
            <v>4279</v>
          </cell>
          <cell r="C703" t="str">
            <v>BG3719</v>
          </cell>
          <cell r="D703" t="str">
            <v>CHAMBRAY WITH EMB.</v>
          </cell>
          <cell r="E703" t="str">
            <v>50S*40S/2+21S/2*YD32S</v>
          </cell>
          <cell r="F703" t="str">
            <v>C100%</v>
          </cell>
          <cell r="G703" t="str">
            <v xml:space="preserve">100% COTTON </v>
          </cell>
          <cell r="H703" t="str">
            <v>55/56</v>
          </cell>
          <cell r="I703">
            <v>112</v>
          </cell>
          <cell r="J703">
            <v>2.65</v>
          </cell>
          <cell r="K703">
            <v>3.1</v>
          </cell>
          <cell r="L703">
            <v>2.68</v>
          </cell>
          <cell r="M703">
            <v>3.05</v>
          </cell>
          <cell r="N703">
            <v>2.7</v>
          </cell>
          <cell r="O703">
            <v>3.2</v>
          </cell>
          <cell r="P703"/>
          <cell r="Q703"/>
          <cell r="R703">
            <v>3</v>
          </cell>
          <cell r="S703">
            <v>3.6</v>
          </cell>
          <cell r="T703"/>
          <cell r="U703"/>
          <cell r="V703">
            <v>15</v>
          </cell>
          <cell r="W703"/>
          <cell r="X703" t="str">
            <v>EDWIN</v>
          </cell>
          <cell r="Y703" t="str">
            <v>DMCARE-TRI-02</v>
          </cell>
          <cell r="Z703" t="str">
            <v>EDWIN 7/4/18</v>
          </cell>
          <cell r="AA703"/>
          <cell r="AB703">
            <v>43197</v>
          </cell>
          <cell r="AC703">
            <v>4740</v>
          </cell>
        </row>
        <row r="704">
          <cell r="B704">
            <v>4278</v>
          </cell>
          <cell r="C704" t="str">
            <v>BG2356</v>
          </cell>
          <cell r="D704" t="str">
            <v>CHAMBRAY</v>
          </cell>
          <cell r="E704"/>
          <cell r="F704" t="str">
            <v>C100%</v>
          </cell>
          <cell r="G704" t="str">
            <v xml:space="preserve">100% COTTON </v>
          </cell>
          <cell r="H704" t="str">
            <v>57/58</v>
          </cell>
          <cell r="I704">
            <v>60</v>
          </cell>
          <cell r="J704">
            <v>2.0499999999999998</v>
          </cell>
          <cell r="K704">
            <v>2.4</v>
          </cell>
          <cell r="L704">
            <v>2.08</v>
          </cell>
          <cell r="M704">
            <v>2.4500000000000002</v>
          </cell>
          <cell r="N704">
            <v>2.1</v>
          </cell>
          <cell r="O704">
            <v>2.5</v>
          </cell>
          <cell r="P704"/>
          <cell r="Q704"/>
          <cell r="R704">
            <v>2.4</v>
          </cell>
          <cell r="S704">
            <v>3</v>
          </cell>
          <cell r="T704"/>
          <cell r="U704"/>
          <cell r="V704">
            <v>15</v>
          </cell>
          <cell r="W704"/>
          <cell r="X704" t="str">
            <v>EDWIN</v>
          </cell>
          <cell r="Y704" t="str">
            <v>DMCARE-TRI-02</v>
          </cell>
          <cell r="Z704" t="str">
            <v>EDWIN 7/4/18</v>
          </cell>
          <cell r="AA704"/>
          <cell r="AB704">
            <v>43197</v>
          </cell>
          <cell r="AC704">
            <v>4727</v>
          </cell>
        </row>
        <row r="705">
          <cell r="B705">
            <v>4277</v>
          </cell>
          <cell r="C705" t="str">
            <v>BG2052</v>
          </cell>
          <cell r="D705" t="str">
            <v>CHAMBRAY</v>
          </cell>
          <cell r="E705" t="str">
            <v>60*60/90*88</v>
          </cell>
          <cell r="F705" t="str">
            <v>C100%</v>
          </cell>
          <cell r="G705" t="str">
            <v xml:space="preserve">100% COTTON </v>
          </cell>
          <cell r="H705" t="str">
            <v>54/55</v>
          </cell>
          <cell r="I705">
            <v>72</v>
          </cell>
          <cell r="J705">
            <v>2.25</v>
          </cell>
          <cell r="K705">
            <v>2.6</v>
          </cell>
          <cell r="L705">
            <v>2.2799999999999998</v>
          </cell>
          <cell r="M705">
            <v>2.65</v>
          </cell>
          <cell r="N705">
            <v>2.2999999999999998</v>
          </cell>
          <cell r="O705">
            <v>2.7</v>
          </cell>
          <cell r="P705"/>
          <cell r="Q705"/>
          <cell r="R705">
            <v>2.6</v>
          </cell>
          <cell r="S705">
            <v>3.2</v>
          </cell>
          <cell r="T705"/>
          <cell r="U705"/>
          <cell r="V705">
            <v>15</v>
          </cell>
          <cell r="W705"/>
          <cell r="X705" t="str">
            <v>EDWIN</v>
          </cell>
          <cell r="Y705" t="str">
            <v>DMCARE-TRI-02</v>
          </cell>
          <cell r="Z705" t="str">
            <v>EDWIN 7/4/18</v>
          </cell>
          <cell r="AA705"/>
          <cell r="AB705">
            <v>43197</v>
          </cell>
          <cell r="AC705">
            <v>4731</v>
          </cell>
        </row>
        <row r="706">
          <cell r="B706">
            <v>4276</v>
          </cell>
          <cell r="C706" t="str">
            <v>BG3718</v>
          </cell>
          <cell r="D706" t="str">
            <v>Y/D W/ PRINT</v>
          </cell>
          <cell r="E706" t="str">
            <v>C40S+R40S*C32S+C32S</v>
          </cell>
          <cell r="F706" t="str">
            <v>C/R 74/26</v>
          </cell>
          <cell r="G706" t="str">
            <v xml:space="preserve">74% COTTON  26% RAYON </v>
          </cell>
          <cell r="H706" t="str">
            <v>55/56</v>
          </cell>
          <cell r="I706">
            <v>85</v>
          </cell>
          <cell r="J706">
            <v>2.0499999999999998</v>
          </cell>
          <cell r="K706">
            <v>2.4</v>
          </cell>
          <cell r="L706">
            <v>2.08</v>
          </cell>
          <cell r="M706">
            <v>2.4500000000000002</v>
          </cell>
          <cell r="N706">
            <v>2.1</v>
          </cell>
          <cell r="O706">
            <v>2.5</v>
          </cell>
          <cell r="P706"/>
          <cell r="Q706"/>
          <cell r="R706">
            <v>2.4</v>
          </cell>
          <cell r="S706">
            <v>3</v>
          </cell>
          <cell r="T706"/>
          <cell r="U706"/>
          <cell r="V706">
            <v>15</v>
          </cell>
          <cell r="W706"/>
          <cell r="X706" t="str">
            <v>EDWIN</v>
          </cell>
          <cell r="Y706"/>
          <cell r="Z706" t="str">
            <v>EDWIN 7/4/18</v>
          </cell>
          <cell r="AA706"/>
          <cell r="AB706">
            <v>43197</v>
          </cell>
          <cell r="AC706">
            <v>4728</v>
          </cell>
        </row>
        <row r="707">
          <cell r="B707">
            <v>2979</v>
          </cell>
          <cell r="C707" t="str">
            <v>BG3635</v>
          </cell>
          <cell r="D707"/>
          <cell r="E707"/>
          <cell r="F707" t="str">
            <v>R100%</v>
          </cell>
          <cell r="G707" t="str">
            <v>100% RAYON</v>
          </cell>
          <cell r="H707" t="str">
            <v>44/45</v>
          </cell>
          <cell r="I707">
            <v>120</v>
          </cell>
          <cell r="J707">
            <v>2.1</v>
          </cell>
          <cell r="K707">
            <v>2.5</v>
          </cell>
          <cell r="L707">
            <v>2.08</v>
          </cell>
          <cell r="M707">
            <v>2.5499999999999998</v>
          </cell>
          <cell r="N707">
            <v>2.1</v>
          </cell>
          <cell r="O707">
            <v>2.6</v>
          </cell>
          <cell r="P707"/>
          <cell r="Q707"/>
          <cell r="R707">
            <v>2.4</v>
          </cell>
          <cell r="S707">
            <v>3.3</v>
          </cell>
          <cell r="T707"/>
          <cell r="U707"/>
          <cell r="V707">
            <v>15</v>
          </cell>
          <cell r="W707"/>
          <cell r="X707" t="str">
            <v>EDWIN</v>
          </cell>
          <cell r="Y707" t="str">
            <v>DMCARE-TRI-03</v>
          </cell>
          <cell r="Z707" t="str">
            <v>EDWIN 7/4/18</v>
          </cell>
          <cell r="AA707"/>
          <cell r="AB707">
            <v>43197</v>
          </cell>
          <cell r="AC707">
            <v>4726</v>
          </cell>
        </row>
        <row r="708">
          <cell r="B708">
            <v>2800</v>
          </cell>
          <cell r="C708" t="str">
            <v>BG1852</v>
          </cell>
          <cell r="D708"/>
          <cell r="E708"/>
          <cell r="F708" t="str">
            <v>C100%</v>
          </cell>
          <cell r="G708" t="str">
            <v>100% COTTON</v>
          </cell>
          <cell r="H708" t="str">
            <v>55/56</v>
          </cell>
          <cell r="I708">
            <v>87</v>
          </cell>
          <cell r="J708">
            <v>2.35</v>
          </cell>
          <cell r="K708">
            <v>2.7</v>
          </cell>
          <cell r="L708">
            <v>2.38</v>
          </cell>
          <cell r="M708">
            <v>2.75</v>
          </cell>
          <cell r="N708">
            <v>2.4</v>
          </cell>
          <cell r="O708">
            <v>2.8</v>
          </cell>
          <cell r="P708"/>
          <cell r="Q708"/>
          <cell r="R708">
            <v>2.8</v>
          </cell>
          <cell r="S708">
            <v>3.6</v>
          </cell>
          <cell r="T708"/>
          <cell r="U708"/>
          <cell r="V708">
            <v>15</v>
          </cell>
          <cell r="W708"/>
          <cell r="X708" t="str">
            <v>EDWIN</v>
          </cell>
          <cell r="Y708" t="str">
            <v>DMCARE-TRI-02</v>
          </cell>
          <cell r="Z708" t="str">
            <v>EDWIN 7/4/18</v>
          </cell>
          <cell r="AA708"/>
          <cell r="AB708">
            <v>43197</v>
          </cell>
          <cell r="AC708">
            <v>4734</v>
          </cell>
        </row>
        <row r="709">
          <cell r="B709">
            <v>2795</v>
          </cell>
          <cell r="C709" t="str">
            <v>BG2906</v>
          </cell>
          <cell r="D709"/>
          <cell r="E709"/>
          <cell r="F709" t="str">
            <v>C100%</v>
          </cell>
          <cell r="G709" t="str">
            <v>100% COTTON</v>
          </cell>
          <cell r="H709" t="str">
            <v>57/58</v>
          </cell>
          <cell r="I709">
            <v>73</v>
          </cell>
          <cell r="J709">
            <v>1.63</v>
          </cell>
          <cell r="K709">
            <v>2</v>
          </cell>
          <cell r="L709">
            <v>1.66</v>
          </cell>
          <cell r="M709">
            <v>2.0499999999999998</v>
          </cell>
          <cell r="N709">
            <v>1.68</v>
          </cell>
          <cell r="O709">
            <v>2.1</v>
          </cell>
          <cell r="P709"/>
          <cell r="Q709"/>
          <cell r="R709">
            <v>1.9</v>
          </cell>
          <cell r="S709">
            <v>2.5</v>
          </cell>
          <cell r="T709"/>
          <cell r="U709"/>
          <cell r="V709">
            <v>15</v>
          </cell>
          <cell r="W709"/>
          <cell r="X709" t="str">
            <v>EDWIN</v>
          </cell>
          <cell r="Y709" t="str">
            <v>DMCARE-TRI-02</v>
          </cell>
          <cell r="Z709" t="str">
            <v>EDWIN 7/4/18</v>
          </cell>
          <cell r="AA709"/>
          <cell r="AB709">
            <v>43197</v>
          </cell>
          <cell r="AC709">
            <v>4723</v>
          </cell>
        </row>
        <row r="710">
          <cell r="B710">
            <v>2709</v>
          </cell>
          <cell r="C710" t="str">
            <v>HLT3770</v>
          </cell>
          <cell r="D710"/>
          <cell r="E710"/>
          <cell r="F710" t="str">
            <v>C100%</v>
          </cell>
          <cell r="G710" t="str">
            <v>100% COTTON</v>
          </cell>
          <cell r="H710" t="str">
            <v>142CM</v>
          </cell>
          <cell r="I710">
            <v>123</v>
          </cell>
          <cell r="J710">
            <v>2.4145539906103286</v>
          </cell>
          <cell r="K710">
            <v>2.5131455399061036</v>
          </cell>
          <cell r="L710">
            <v>2.4645539906103284</v>
          </cell>
          <cell r="M710">
            <v>2.6131455399061037</v>
          </cell>
          <cell r="N710">
            <v>2.5645539906103285</v>
          </cell>
          <cell r="O710">
            <v>2.7131455399061037</v>
          </cell>
          <cell r="P710"/>
          <cell r="Q710"/>
          <cell r="R710">
            <v>3.5645539906103285</v>
          </cell>
          <cell r="S710">
            <v>3.7131455399061037</v>
          </cell>
          <cell r="T710"/>
          <cell r="U710"/>
          <cell r="V710">
            <v>15</v>
          </cell>
          <cell r="W710"/>
          <cell r="X710" t="str">
            <v>CANDY</v>
          </cell>
          <cell r="Y710" t="str">
            <v>DMCARE-TRI-01</v>
          </cell>
          <cell r="Z710" t="str">
            <v>LEI WANG 7/4/18</v>
          </cell>
          <cell r="AA710"/>
          <cell r="AB710">
            <v>43197</v>
          </cell>
          <cell r="AC710">
            <v>4739</v>
          </cell>
        </row>
        <row r="711">
          <cell r="B711">
            <v>2708</v>
          </cell>
          <cell r="C711" t="str">
            <v>HLT3771</v>
          </cell>
          <cell r="D711"/>
          <cell r="E711"/>
          <cell r="F711" t="str">
            <v>C100%</v>
          </cell>
          <cell r="G711" t="str">
            <v>100% COTTON</v>
          </cell>
          <cell r="H711" t="str">
            <v>134CM</v>
          </cell>
          <cell r="I711">
            <v>100</v>
          </cell>
          <cell r="J711">
            <v>2.1641627543035997</v>
          </cell>
          <cell r="K711">
            <v>2.2627543035993742</v>
          </cell>
          <cell r="L711">
            <v>2.2141627543035995</v>
          </cell>
          <cell r="M711">
            <v>2.3627543035993743</v>
          </cell>
          <cell r="N711">
            <v>2.3141627543035996</v>
          </cell>
          <cell r="O711">
            <v>2.4627543035993744</v>
          </cell>
          <cell r="P711"/>
          <cell r="Q711"/>
          <cell r="R711">
            <v>3.3141627543035996</v>
          </cell>
          <cell r="S711">
            <v>3.4627543035993744</v>
          </cell>
          <cell r="T711"/>
          <cell r="U711"/>
          <cell r="V711">
            <v>15</v>
          </cell>
          <cell r="W711"/>
          <cell r="X711" t="str">
            <v>CANDY</v>
          </cell>
          <cell r="Y711" t="str">
            <v>DMCARE-TRI-01</v>
          </cell>
          <cell r="Z711" t="str">
            <v>LEI WANG 7/4/18</v>
          </cell>
          <cell r="AA711"/>
          <cell r="AB711">
            <v>43197</v>
          </cell>
          <cell r="AC711">
            <v>4732</v>
          </cell>
        </row>
        <row r="712">
          <cell r="B712">
            <v>1785</v>
          </cell>
          <cell r="C712" t="str">
            <v>BG2242</v>
          </cell>
          <cell r="D712"/>
          <cell r="E712"/>
          <cell r="F712" t="str">
            <v>R100%</v>
          </cell>
          <cell r="G712" t="str">
            <v>100% RAYON</v>
          </cell>
          <cell r="H712" t="str">
            <v>50/51</v>
          </cell>
          <cell r="I712">
            <v>105</v>
          </cell>
          <cell r="J712">
            <v>2.1</v>
          </cell>
          <cell r="K712">
            <v>2.5</v>
          </cell>
          <cell r="L712">
            <v>2.08</v>
          </cell>
          <cell r="M712">
            <v>2.5499999999999998</v>
          </cell>
          <cell r="N712">
            <v>2.1</v>
          </cell>
          <cell r="O712">
            <v>2.6</v>
          </cell>
          <cell r="P712"/>
          <cell r="Q712"/>
          <cell r="R712">
            <v>2.4</v>
          </cell>
          <cell r="S712">
            <v>3.3</v>
          </cell>
          <cell r="T712"/>
          <cell r="U712"/>
          <cell r="V712">
            <v>15</v>
          </cell>
          <cell r="W712"/>
          <cell r="X712" t="str">
            <v>EDWIN</v>
          </cell>
          <cell r="Y712" t="str">
            <v>DMCARE-TRI-03</v>
          </cell>
          <cell r="Z712" t="str">
            <v>EDWIN 7/4/18</v>
          </cell>
          <cell r="AA712"/>
          <cell r="AB712">
            <v>43197</v>
          </cell>
          <cell r="AC712">
            <v>4725</v>
          </cell>
        </row>
        <row r="713">
          <cell r="B713">
            <v>1696</v>
          </cell>
          <cell r="C713" t="str">
            <v>BG2704</v>
          </cell>
          <cell r="D713"/>
          <cell r="E713"/>
          <cell r="F713" t="str">
            <v>C100%</v>
          </cell>
          <cell r="G713" t="str">
            <v>100% COTTON</v>
          </cell>
          <cell r="H713" t="str">
            <v>57/58</v>
          </cell>
          <cell r="I713">
            <v>98</v>
          </cell>
          <cell r="J713">
            <v>2.4</v>
          </cell>
          <cell r="K713">
            <v>2.75</v>
          </cell>
          <cell r="L713">
            <v>2.4300000000000002</v>
          </cell>
          <cell r="M713">
            <v>2.8</v>
          </cell>
          <cell r="N713">
            <v>2.4500000000000002</v>
          </cell>
          <cell r="O713">
            <v>2.85</v>
          </cell>
          <cell r="P713"/>
          <cell r="Q713"/>
          <cell r="R713">
            <v>2.75</v>
          </cell>
          <cell r="S713">
            <v>3.4</v>
          </cell>
          <cell r="T713"/>
          <cell r="U713"/>
          <cell r="V713">
            <v>15</v>
          </cell>
          <cell r="W713"/>
          <cell r="X713" t="str">
            <v>EDWIN</v>
          </cell>
          <cell r="Y713" t="str">
            <v>DMCARE-TRI-02</v>
          </cell>
          <cell r="Z713" t="str">
            <v>EDWIN 7/4/18</v>
          </cell>
          <cell r="AA713"/>
          <cell r="AB713">
            <v>43197</v>
          </cell>
          <cell r="AC713">
            <v>4735</v>
          </cell>
        </row>
        <row r="714">
          <cell r="B714">
            <v>1695</v>
          </cell>
          <cell r="C714" t="str">
            <v>BG2075</v>
          </cell>
          <cell r="D714"/>
          <cell r="E714"/>
          <cell r="F714" t="str">
            <v>C100%</v>
          </cell>
          <cell r="G714" t="str">
            <v>100% COTTON</v>
          </cell>
          <cell r="H714" t="str">
            <v>57/58</v>
          </cell>
          <cell r="I714">
            <v>70</v>
          </cell>
          <cell r="J714">
            <v>2.4</v>
          </cell>
          <cell r="K714">
            <v>2.75</v>
          </cell>
          <cell r="L714">
            <v>2.4300000000000002</v>
          </cell>
          <cell r="M714">
            <v>2.8</v>
          </cell>
          <cell r="N714">
            <v>2.4500000000000002</v>
          </cell>
          <cell r="O714">
            <v>2.85</v>
          </cell>
          <cell r="P714"/>
          <cell r="Q714"/>
          <cell r="R714">
            <v>2.75</v>
          </cell>
          <cell r="S714">
            <v>3.4</v>
          </cell>
          <cell r="T714"/>
          <cell r="U714"/>
          <cell r="V714">
            <v>15</v>
          </cell>
          <cell r="W714"/>
          <cell r="X714" t="str">
            <v>EDWIN</v>
          </cell>
          <cell r="Y714" t="str">
            <v>DMCARE-TRI-02</v>
          </cell>
          <cell r="Z714" t="str">
            <v>EDWIN 7/4/18</v>
          </cell>
          <cell r="AA714"/>
          <cell r="AB714">
            <v>43197</v>
          </cell>
          <cell r="AC714">
            <v>4736</v>
          </cell>
        </row>
        <row r="715">
          <cell r="B715">
            <v>1037</v>
          </cell>
          <cell r="C715" t="str">
            <v>BG1763</v>
          </cell>
          <cell r="D715"/>
          <cell r="E715"/>
          <cell r="F715" t="str">
            <v>C/N 70/30</v>
          </cell>
          <cell r="G715" t="str">
            <v>70% COTTON 30% NYLON</v>
          </cell>
          <cell r="H715" t="str">
            <v>57/58</v>
          </cell>
          <cell r="I715">
            <v>104</v>
          </cell>
          <cell r="J715">
            <v>2.4500000000000002</v>
          </cell>
          <cell r="K715">
            <v>2.8</v>
          </cell>
          <cell r="L715">
            <v>2.48</v>
          </cell>
          <cell r="M715">
            <v>2.85</v>
          </cell>
          <cell r="N715">
            <v>2.5</v>
          </cell>
          <cell r="O715">
            <v>2.9</v>
          </cell>
          <cell r="P715"/>
          <cell r="Q715"/>
          <cell r="R715">
            <v>2.8</v>
          </cell>
          <cell r="S715">
            <v>3.6</v>
          </cell>
          <cell r="T715"/>
          <cell r="U715"/>
          <cell r="V715">
            <v>15</v>
          </cell>
          <cell r="W715"/>
          <cell r="X715" t="str">
            <v>EDWIN</v>
          </cell>
          <cell r="Y715" t="str">
            <v>DMCARE-TRI-01</v>
          </cell>
          <cell r="Z715" t="str">
            <v>EDWIN 7/4/18</v>
          </cell>
          <cell r="AA715"/>
          <cell r="AB715">
            <v>43197</v>
          </cell>
          <cell r="AC715">
            <v>4737</v>
          </cell>
        </row>
        <row r="716">
          <cell r="B716">
            <v>1035</v>
          </cell>
          <cell r="C716" t="str">
            <v>BG2036</v>
          </cell>
          <cell r="D716"/>
          <cell r="E716"/>
          <cell r="F716" t="str">
            <v>C/N 70/30</v>
          </cell>
          <cell r="G716" t="str">
            <v>70% COTTON 30% NYLON</v>
          </cell>
          <cell r="H716" t="str">
            <v>57/58</v>
          </cell>
          <cell r="I716">
            <v>90</v>
          </cell>
          <cell r="J716">
            <v>2.15</v>
          </cell>
          <cell r="K716">
            <v>2.5</v>
          </cell>
          <cell r="L716">
            <v>2.1800000000000002</v>
          </cell>
          <cell r="M716">
            <v>2.5499999999999998</v>
          </cell>
          <cell r="N716">
            <v>2.2000000000000002</v>
          </cell>
          <cell r="O716">
            <v>2.6</v>
          </cell>
          <cell r="P716"/>
          <cell r="Q716"/>
          <cell r="R716">
            <v>2.5</v>
          </cell>
          <cell r="S716">
            <v>3.3</v>
          </cell>
          <cell r="T716"/>
          <cell r="U716"/>
          <cell r="V716">
            <v>15</v>
          </cell>
          <cell r="W716"/>
          <cell r="X716" t="str">
            <v>EDWIN</v>
          </cell>
          <cell r="Y716" t="str">
            <v>DMCARE-TRI-01</v>
          </cell>
          <cell r="Z716" t="str">
            <v>EDWIN 7/4/18</v>
          </cell>
          <cell r="AA716"/>
          <cell r="AB716">
            <v>43197</v>
          </cell>
          <cell r="AC716">
            <v>4729</v>
          </cell>
        </row>
        <row r="717">
          <cell r="B717">
            <v>3795</v>
          </cell>
          <cell r="C717" t="str">
            <v>TS-406</v>
          </cell>
          <cell r="D717"/>
          <cell r="E717"/>
          <cell r="F717" t="str">
            <v>TENCEL 100%</v>
          </cell>
          <cell r="G717" t="str">
            <v xml:space="preserve">100% TENCEL </v>
          </cell>
          <cell r="H717" t="str">
            <v>140CM</v>
          </cell>
          <cell r="I717">
            <v>190</v>
          </cell>
          <cell r="J717">
            <v>3.06</v>
          </cell>
          <cell r="K717">
            <v>3.22</v>
          </cell>
          <cell r="L717">
            <v>3.08</v>
          </cell>
          <cell r="M717">
            <v>3.25</v>
          </cell>
          <cell r="N717">
            <v>3.1</v>
          </cell>
          <cell r="O717">
            <v>3.28</v>
          </cell>
          <cell r="P717"/>
          <cell r="Q717"/>
          <cell r="R717">
            <v>3.25</v>
          </cell>
          <cell r="S717">
            <v>3.53</v>
          </cell>
          <cell r="T717"/>
          <cell r="U717"/>
          <cell r="V717">
            <v>15</v>
          </cell>
          <cell r="W717"/>
          <cell r="X717" t="str">
            <v>GAVIN</v>
          </cell>
          <cell r="Y717"/>
          <cell r="Z717" t="str">
            <v>GAVIN 6/4/18</v>
          </cell>
          <cell r="AA717"/>
          <cell r="AB717">
            <v>43196</v>
          </cell>
          <cell r="AC717">
            <v>4743</v>
          </cell>
        </row>
        <row r="718">
          <cell r="B718">
            <v>3391</v>
          </cell>
          <cell r="C718" t="str">
            <v>TS-370</v>
          </cell>
          <cell r="D718"/>
          <cell r="E718"/>
          <cell r="F718" t="str">
            <v>TENCEL 100%</v>
          </cell>
          <cell r="G718" t="str">
            <v xml:space="preserve">100% TENCEL </v>
          </cell>
          <cell r="H718" t="str">
            <v>52/53</v>
          </cell>
          <cell r="I718">
            <v>160</v>
          </cell>
          <cell r="J718">
            <v>2.74</v>
          </cell>
          <cell r="K718">
            <v>2.87</v>
          </cell>
          <cell r="L718">
            <v>2.76</v>
          </cell>
          <cell r="M718">
            <v>2.9</v>
          </cell>
          <cell r="N718">
            <v>2.78</v>
          </cell>
          <cell r="O718">
            <v>2.93</v>
          </cell>
          <cell r="P718"/>
          <cell r="Q718"/>
          <cell r="R718">
            <v>2.93</v>
          </cell>
          <cell r="S718">
            <v>3.18</v>
          </cell>
          <cell r="T718"/>
          <cell r="U718"/>
          <cell r="V718">
            <v>15</v>
          </cell>
          <cell r="W718"/>
          <cell r="X718" t="str">
            <v>GAVIN</v>
          </cell>
          <cell r="Y718"/>
          <cell r="Z718" t="str">
            <v>GAVIN 6/4/18</v>
          </cell>
          <cell r="AA718"/>
          <cell r="AB718">
            <v>43196</v>
          </cell>
          <cell r="AC718">
            <v>4742</v>
          </cell>
        </row>
        <row r="719">
          <cell r="B719">
            <v>1613</v>
          </cell>
          <cell r="C719" t="str">
            <v>TS-191</v>
          </cell>
          <cell r="D719"/>
          <cell r="E719"/>
          <cell r="F719" t="str">
            <v>TENCEL 100%</v>
          </cell>
          <cell r="G719" t="str">
            <v xml:space="preserve">100% TENCEL </v>
          </cell>
          <cell r="H719" t="str">
            <v>57/58</v>
          </cell>
          <cell r="I719">
            <v>175</v>
          </cell>
          <cell r="J719">
            <v>2.38</v>
          </cell>
          <cell r="K719" t="str">
            <v>$2,51</v>
          </cell>
          <cell r="L719">
            <v>2.4</v>
          </cell>
          <cell r="M719">
            <v>2.54</v>
          </cell>
          <cell r="N719">
            <v>2.42</v>
          </cell>
          <cell r="O719">
            <v>2.57</v>
          </cell>
          <cell r="P719"/>
          <cell r="Q719"/>
          <cell r="R719">
            <v>2.57</v>
          </cell>
          <cell r="S719">
            <v>2.82</v>
          </cell>
          <cell r="T719"/>
          <cell r="U719"/>
          <cell r="V719">
            <v>15</v>
          </cell>
          <cell r="W719"/>
          <cell r="X719" t="str">
            <v>GAVIN</v>
          </cell>
          <cell r="Y719"/>
          <cell r="Z719" t="str">
            <v>GAVIN 6/4/18</v>
          </cell>
          <cell r="AA719"/>
          <cell r="AB719">
            <v>43196</v>
          </cell>
          <cell r="AC719">
            <v>4741</v>
          </cell>
        </row>
        <row r="720">
          <cell r="B720">
            <v>4268</v>
          </cell>
          <cell r="C720" t="str">
            <v>ST-KN2446</v>
          </cell>
          <cell r="D720" t="str">
            <v>PONTE</v>
          </cell>
          <cell r="E720"/>
          <cell r="F720" t="str">
            <v>T/R/S 71/24/5</v>
          </cell>
          <cell r="G720" t="str">
            <v>71% POLYESTER 24% RAYON 5% SPANDEX</v>
          </cell>
          <cell r="H720" t="str">
            <v>61</v>
          </cell>
          <cell r="I720">
            <v>260</v>
          </cell>
          <cell r="J720">
            <v>1.9899999999999998</v>
          </cell>
          <cell r="K720">
            <v>2.19</v>
          </cell>
          <cell r="L720">
            <v>2.0499999999999998</v>
          </cell>
          <cell r="M720">
            <v>2.25</v>
          </cell>
          <cell r="N720">
            <v>2.09</v>
          </cell>
          <cell r="O720">
            <v>2.29</v>
          </cell>
          <cell r="P720"/>
          <cell r="Q720"/>
          <cell r="R720">
            <v>2.13</v>
          </cell>
          <cell r="S720">
            <v>2.33</v>
          </cell>
          <cell r="T720"/>
          <cell r="U720"/>
          <cell r="V720"/>
          <cell r="W720"/>
          <cell r="X720" t="str">
            <v>LILY</v>
          </cell>
          <cell r="Y720" t="str">
            <v>DMCARE-TRI-03</v>
          </cell>
          <cell r="Z720" t="str">
            <v>LILY 4/4/18</v>
          </cell>
          <cell r="AA720"/>
          <cell r="AB720">
            <v>43194</v>
          </cell>
          <cell r="AC720">
            <v>4749</v>
          </cell>
        </row>
        <row r="721">
          <cell r="B721">
            <v>4267</v>
          </cell>
          <cell r="C721" t="str">
            <v>ST-LM060</v>
          </cell>
          <cell r="D721" t="str">
            <v>PONTE</v>
          </cell>
          <cell r="E721"/>
          <cell r="F721" t="str">
            <v>T/R/S 73/22/5</v>
          </cell>
          <cell r="G721" t="str">
            <v>73% POLYESTER  22% RAYON 5% SPANDEX</v>
          </cell>
          <cell r="H721" t="str">
            <v>58</v>
          </cell>
          <cell r="I721">
            <v>270</v>
          </cell>
          <cell r="J721">
            <v>2.0099999999999998</v>
          </cell>
          <cell r="K721">
            <v>2.21</v>
          </cell>
          <cell r="L721">
            <v>2.0699999999999998</v>
          </cell>
          <cell r="M721">
            <v>2.27</v>
          </cell>
          <cell r="N721">
            <v>2.11</v>
          </cell>
          <cell r="O721">
            <v>2.31</v>
          </cell>
          <cell r="P721"/>
          <cell r="Q721"/>
          <cell r="R721">
            <v>2.15</v>
          </cell>
          <cell r="S721">
            <v>2.35</v>
          </cell>
          <cell r="T721"/>
          <cell r="U721"/>
          <cell r="V721"/>
          <cell r="W721"/>
          <cell r="X721" t="str">
            <v>LILY</v>
          </cell>
          <cell r="Y721" t="str">
            <v>DMCARE-TRI-03</v>
          </cell>
          <cell r="Z721" t="str">
            <v>LILY 4/4/18</v>
          </cell>
          <cell r="AA721"/>
          <cell r="AB721">
            <v>43194</v>
          </cell>
          <cell r="AC721">
            <v>4750</v>
          </cell>
        </row>
        <row r="722">
          <cell r="B722">
            <v>4266</v>
          </cell>
          <cell r="C722" t="str">
            <v>ST-LM041</v>
          </cell>
          <cell r="D722" t="str">
            <v>PONTE</v>
          </cell>
          <cell r="E722"/>
          <cell r="F722" t="str">
            <v>T/R/S 85/11/4</v>
          </cell>
          <cell r="G722" t="str">
            <v>85% POLYESTER 11% RAYON 4% SPANDEX</v>
          </cell>
          <cell r="H722" t="str">
            <v>58</v>
          </cell>
          <cell r="I722">
            <v>310</v>
          </cell>
          <cell r="J722">
            <v>2.15</v>
          </cell>
          <cell r="K722">
            <v>2.35</v>
          </cell>
          <cell r="L722">
            <v>2.21</v>
          </cell>
          <cell r="M722">
            <v>2.41</v>
          </cell>
          <cell r="N722">
            <v>2.25</v>
          </cell>
          <cell r="O722">
            <v>2.4500000000000002</v>
          </cell>
          <cell r="P722"/>
          <cell r="Q722"/>
          <cell r="R722">
            <v>2.29</v>
          </cell>
          <cell r="S722">
            <v>2.4900000000000002</v>
          </cell>
          <cell r="T722"/>
          <cell r="U722"/>
          <cell r="V722"/>
          <cell r="W722"/>
          <cell r="X722" t="str">
            <v>LILY</v>
          </cell>
          <cell r="Y722" t="str">
            <v>DMCARE-TRI-03</v>
          </cell>
          <cell r="Z722" t="str">
            <v>LILY 4/4/18</v>
          </cell>
          <cell r="AA722"/>
          <cell r="AB722">
            <v>43194</v>
          </cell>
          <cell r="AC722">
            <v>4769</v>
          </cell>
        </row>
        <row r="723">
          <cell r="B723">
            <v>4265</v>
          </cell>
          <cell r="C723" t="str">
            <v>ST-LM011</v>
          </cell>
          <cell r="D723" t="str">
            <v>PONTE</v>
          </cell>
          <cell r="E723"/>
          <cell r="F723" t="str">
            <v>R/T/S 67/29/4</v>
          </cell>
          <cell r="G723" t="str">
            <v>67% RAYON  29% POLYESTER  4% SPANDEX</v>
          </cell>
          <cell r="H723" t="str">
            <v>60</v>
          </cell>
          <cell r="I723">
            <v>280</v>
          </cell>
          <cell r="J723">
            <v>2.67</v>
          </cell>
          <cell r="K723">
            <v>2.87</v>
          </cell>
          <cell r="L723">
            <v>2.73</v>
          </cell>
          <cell r="M723">
            <v>2.93</v>
          </cell>
          <cell r="N723">
            <v>2.77</v>
          </cell>
          <cell r="O723">
            <v>2.97</v>
          </cell>
          <cell r="P723"/>
          <cell r="Q723"/>
          <cell r="R723">
            <v>2.81</v>
          </cell>
          <cell r="S723">
            <v>3.0100000000000002</v>
          </cell>
          <cell r="T723"/>
          <cell r="U723"/>
          <cell r="V723"/>
          <cell r="W723"/>
          <cell r="X723" t="str">
            <v>LILY</v>
          </cell>
          <cell r="Y723" t="str">
            <v>DMCARE-TRI-03</v>
          </cell>
          <cell r="Z723" t="str">
            <v>LILY 4/4/18</v>
          </cell>
          <cell r="AA723"/>
          <cell r="AB723">
            <v>43194</v>
          </cell>
          <cell r="AC723">
            <v>4761</v>
          </cell>
        </row>
        <row r="724">
          <cell r="B724">
            <v>4264</v>
          </cell>
          <cell r="C724" t="str">
            <v>ST-LM055</v>
          </cell>
          <cell r="D724" t="str">
            <v>PONTE</v>
          </cell>
          <cell r="E724"/>
          <cell r="F724" t="str">
            <v>T/S 96/4</v>
          </cell>
          <cell r="G724" t="str">
            <v>96% POLYESTER 4% SPANDEX</v>
          </cell>
          <cell r="H724" t="str">
            <v>58</v>
          </cell>
          <cell r="I724">
            <v>350</v>
          </cell>
          <cell r="J724">
            <v>2.11</v>
          </cell>
          <cell r="K724">
            <v>2.31</v>
          </cell>
          <cell r="L724">
            <v>2.17</v>
          </cell>
          <cell r="M724">
            <v>2.37</v>
          </cell>
          <cell r="N724">
            <v>2.21</v>
          </cell>
          <cell r="O724">
            <v>2.41</v>
          </cell>
          <cell r="P724"/>
          <cell r="Q724"/>
          <cell r="R724">
            <v>2.25</v>
          </cell>
          <cell r="S724">
            <v>2.4500000000000002</v>
          </cell>
          <cell r="T724"/>
          <cell r="U724"/>
          <cell r="V724"/>
          <cell r="W724"/>
          <cell r="X724" t="str">
            <v>LILY</v>
          </cell>
          <cell r="Y724" t="str">
            <v>DMCARE-TRI-03</v>
          </cell>
          <cell r="Z724" t="str">
            <v>LILY 4/4/18</v>
          </cell>
          <cell r="AA724"/>
          <cell r="AB724">
            <v>43194</v>
          </cell>
          <cell r="AC724">
            <v>4763</v>
          </cell>
        </row>
        <row r="725">
          <cell r="B725">
            <v>4263</v>
          </cell>
          <cell r="C725" t="str">
            <v>ST-LM054</v>
          </cell>
          <cell r="D725" t="str">
            <v>PONTE</v>
          </cell>
          <cell r="E725"/>
          <cell r="F725" t="str">
            <v>T/S 95/5</v>
          </cell>
          <cell r="G725" t="str">
            <v>95% POLYESTER  5% SPANDEX</v>
          </cell>
          <cell r="H725" t="str">
            <v>58</v>
          </cell>
          <cell r="I725">
            <v>280</v>
          </cell>
          <cell r="J725">
            <v>1.46</v>
          </cell>
          <cell r="K725">
            <v>1.66</v>
          </cell>
          <cell r="L725">
            <v>1.52</v>
          </cell>
          <cell r="M725">
            <v>1.72</v>
          </cell>
          <cell r="N725">
            <v>1.56</v>
          </cell>
          <cell r="O725">
            <v>1.76</v>
          </cell>
          <cell r="P725"/>
          <cell r="Q725"/>
          <cell r="R725">
            <v>1.6</v>
          </cell>
          <cell r="S725">
            <v>1.8</v>
          </cell>
          <cell r="T725"/>
          <cell r="U725"/>
          <cell r="V725"/>
          <cell r="W725"/>
          <cell r="X725" t="str">
            <v>LILY</v>
          </cell>
          <cell r="Y725" t="str">
            <v>DMCARE-TRI-03</v>
          </cell>
          <cell r="Z725" t="str">
            <v>LILY 4/4/18</v>
          </cell>
          <cell r="AA725"/>
          <cell r="AB725">
            <v>43194</v>
          </cell>
          <cell r="AC725">
            <v>4816</v>
          </cell>
        </row>
        <row r="726">
          <cell r="B726">
            <v>4262</v>
          </cell>
          <cell r="C726" t="str">
            <v>ST-LM056</v>
          </cell>
          <cell r="D726" t="str">
            <v>PONTE</v>
          </cell>
          <cell r="E726"/>
          <cell r="F726" t="str">
            <v>T/R/S 78/18/4</v>
          </cell>
          <cell r="G726" t="str">
            <v>78% POLYESTER 18% RAYON 4% SPANDEX</v>
          </cell>
          <cell r="H726" t="str">
            <v>58</v>
          </cell>
          <cell r="I726">
            <v>290</v>
          </cell>
          <cell r="J726">
            <v>2.11</v>
          </cell>
          <cell r="K726">
            <v>2.31</v>
          </cell>
          <cell r="L726">
            <v>2.17</v>
          </cell>
          <cell r="M726">
            <v>2.37</v>
          </cell>
          <cell r="N726">
            <v>2.21</v>
          </cell>
          <cell r="O726">
            <v>2.41</v>
          </cell>
          <cell r="P726"/>
          <cell r="Q726"/>
          <cell r="R726">
            <v>2.25</v>
          </cell>
          <cell r="S726">
            <v>2.4500000000000002</v>
          </cell>
          <cell r="T726"/>
          <cell r="U726"/>
          <cell r="V726"/>
          <cell r="W726"/>
          <cell r="X726" t="str">
            <v>LILY</v>
          </cell>
          <cell r="Y726" t="str">
            <v>DMCARE-TRI-03</v>
          </cell>
          <cell r="Z726" t="str">
            <v>LILY 4/4/18</v>
          </cell>
          <cell r="AA726"/>
          <cell r="AB726">
            <v>43194</v>
          </cell>
          <cell r="AC726">
            <v>4765</v>
          </cell>
        </row>
        <row r="727">
          <cell r="B727">
            <v>4261</v>
          </cell>
          <cell r="C727" t="str">
            <v>ST-LM051</v>
          </cell>
          <cell r="D727" t="str">
            <v>PONTE</v>
          </cell>
          <cell r="E727"/>
          <cell r="F727" t="str">
            <v>T/R/N/S 62/20/11/7</v>
          </cell>
          <cell r="G727" t="str">
            <v>62% POLYESTER 20% RAYON 11% NYLON 7% SPANDEX</v>
          </cell>
          <cell r="H727" t="str">
            <v>64</v>
          </cell>
          <cell r="I727">
            <v>280</v>
          </cell>
          <cell r="J727">
            <v>3.08</v>
          </cell>
          <cell r="K727">
            <v>3.2800000000000002</v>
          </cell>
          <cell r="L727">
            <v>3.14</v>
          </cell>
          <cell r="M727">
            <v>3.3400000000000003</v>
          </cell>
          <cell r="N727">
            <v>3.18</v>
          </cell>
          <cell r="O727">
            <v>3.3800000000000003</v>
          </cell>
          <cell r="P727"/>
          <cell r="Q727"/>
          <cell r="R727">
            <v>3.22</v>
          </cell>
          <cell r="S727">
            <v>3.4200000000000004</v>
          </cell>
          <cell r="T727"/>
          <cell r="U727"/>
          <cell r="V727"/>
          <cell r="W727"/>
          <cell r="X727" t="str">
            <v>LILY</v>
          </cell>
          <cell r="Y727" t="str">
            <v>DMCARE-TRI-03</v>
          </cell>
          <cell r="Z727" t="str">
            <v>LILY 4/4/18</v>
          </cell>
          <cell r="AA727"/>
          <cell r="AB727">
            <v>43194</v>
          </cell>
          <cell r="AC727">
            <v>4818</v>
          </cell>
        </row>
        <row r="728">
          <cell r="B728">
            <v>4260</v>
          </cell>
          <cell r="C728" t="str">
            <v>ST-LM014</v>
          </cell>
          <cell r="D728" t="str">
            <v>PONTE</v>
          </cell>
          <cell r="E728"/>
          <cell r="F728" t="str">
            <v>R/T/S 64/31/5</v>
          </cell>
          <cell r="G728" t="str">
            <v xml:space="preserve">64% RAYON 31% POLYESTER 5% SPANDEX </v>
          </cell>
          <cell r="H728" t="str">
            <v>62</v>
          </cell>
          <cell r="I728">
            <v>280</v>
          </cell>
          <cell r="J728">
            <v>3.15</v>
          </cell>
          <cell r="K728">
            <v>3.35</v>
          </cell>
          <cell r="L728">
            <v>3.21</v>
          </cell>
          <cell r="M728">
            <v>3.41</v>
          </cell>
          <cell r="N728">
            <v>3.25</v>
          </cell>
          <cell r="O728">
            <v>3.45</v>
          </cell>
          <cell r="P728"/>
          <cell r="Q728"/>
          <cell r="R728">
            <v>3.29</v>
          </cell>
          <cell r="S728">
            <v>3.49</v>
          </cell>
          <cell r="T728"/>
          <cell r="U728"/>
          <cell r="V728"/>
          <cell r="W728"/>
          <cell r="X728" t="str">
            <v>LILY</v>
          </cell>
          <cell r="Y728" t="str">
            <v>DMCARE-TRI-03</v>
          </cell>
          <cell r="Z728" t="str">
            <v>LILY 4/4/18</v>
          </cell>
          <cell r="AA728"/>
          <cell r="AB728">
            <v>43194</v>
          </cell>
          <cell r="AC728">
            <v>4809</v>
          </cell>
        </row>
        <row r="729">
          <cell r="B729">
            <v>4259</v>
          </cell>
          <cell r="C729" t="str">
            <v>ST-LM052</v>
          </cell>
          <cell r="D729" t="str">
            <v>PONTE</v>
          </cell>
          <cell r="E729"/>
          <cell r="F729" t="str">
            <v>T/R/S 75/20/5</v>
          </cell>
          <cell r="G729" t="str">
            <v xml:space="preserve">75% POLYESTER 20% RAYON 5% SPANDEX </v>
          </cell>
          <cell r="H729" t="str">
            <v>59</v>
          </cell>
          <cell r="I729">
            <v>245</v>
          </cell>
          <cell r="J729">
            <v>1.7599999999999998</v>
          </cell>
          <cell r="K729">
            <v>1.9599999999999997</v>
          </cell>
          <cell r="L729">
            <v>1.8199999999999998</v>
          </cell>
          <cell r="M729">
            <v>2.02</v>
          </cell>
          <cell r="N729">
            <v>1.8599999999999999</v>
          </cell>
          <cell r="O729">
            <v>2.06</v>
          </cell>
          <cell r="P729"/>
          <cell r="Q729"/>
          <cell r="R729">
            <v>1.9</v>
          </cell>
          <cell r="S729">
            <v>2.1</v>
          </cell>
          <cell r="T729"/>
          <cell r="U729"/>
          <cell r="V729"/>
          <cell r="W729"/>
          <cell r="X729" t="str">
            <v>LILY</v>
          </cell>
          <cell r="Y729" t="str">
            <v>DMCARE-TRI-03</v>
          </cell>
          <cell r="Z729" t="str">
            <v>LILY 4/4/18</v>
          </cell>
          <cell r="AA729"/>
          <cell r="AB729">
            <v>43194</v>
          </cell>
          <cell r="AC729">
            <v>4747</v>
          </cell>
        </row>
        <row r="730">
          <cell r="B730">
            <v>4258</v>
          </cell>
          <cell r="C730" t="str">
            <v>ST-LM064</v>
          </cell>
          <cell r="D730" t="str">
            <v>PONTE</v>
          </cell>
          <cell r="E730"/>
          <cell r="F730" t="str">
            <v>T/R/S 82/13/5</v>
          </cell>
          <cell r="G730" t="str">
            <v>82% POLYESTER 13% RAYON 5% SPANDEX</v>
          </cell>
          <cell r="H730" t="str">
            <v>58</v>
          </cell>
          <cell r="I730">
            <v>260</v>
          </cell>
          <cell r="J730">
            <v>1.9</v>
          </cell>
          <cell r="K730">
            <v>2.1</v>
          </cell>
          <cell r="L730">
            <v>1.96</v>
          </cell>
          <cell r="M730">
            <v>2.16</v>
          </cell>
          <cell r="N730">
            <v>2</v>
          </cell>
          <cell r="O730">
            <v>2.2000000000000002</v>
          </cell>
          <cell r="P730"/>
          <cell r="Q730"/>
          <cell r="R730">
            <v>2.04</v>
          </cell>
          <cell r="S730">
            <v>2.2400000000000002</v>
          </cell>
          <cell r="T730"/>
          <cell r="U730"/>
          <cell r="V730"/>
          <cell r="W730"/>
          <cell r="X730" t="str">
            <v>LILY</v>
          </cell>
          <cell r="Y730" t="str">
            <v>DMCARE-TRI-03</v>
          </cell>
          <cell r="Z730" t="str">
            <v>LILY 4/4/18</v>
          </cell>
          <cell r="AA730"/>
          <cell r="AB730">
            <v>43194</v>
          </cell>
          <cell r="AC730">
            <v>4748</v>
          </cell>
        </row>
        <row r="731">
          <cell r="B731">
            <v>4257</v>
          </cell>
          <cell r="C731" t="str">
            <v>ST-LM057</v>
          </cell>
          <cell r="D731" t="str">
            <v>PONTE</v>
          </cell>
          <cell r="E731"/>
          <cell r="F731" t="str">
            <v>T/R/S 82/13/5</v>
          </cell>
          <cell r="G731" t="str">
            <v>82% POLYESTER  13% RAYON 5% SPANDEX</v>
          </cell>
          <cell r="H731" t="str">
            <v>58</v>
          </cell>
          <cell r="I731">
            <v>310</v>
          </cell>
          <cell r="J731">
            <v>2.1799999999999997</v>
          </cell>
          <cell r="K731">
            <v>2.38</v>
          </cell>
          <cell r="L731">
            <v>2.2399999999999998</v>
          </cell>
          <cell r="M731">
            <v>2.44</v>
          </cell>
          <cell r="N731">
            <v>2.2799999999999998</v>
          </cell>
          <cell r="O731">
            <v>2.48</v>
          </cell>
          <cell r="P731"/>
          <cell r="Q731"/>
          <cell r="R731">
            <v>2.3199999999999998</v>
          </cell>
          <cell r="S731">
            <v>2.52</v>
          </cell>
          <cell r="T731"/>
          <cell r="U731"/>
          <cell r="V731"/>
          <cell r="W731"/>
          <cell r="X731" t="str">
            <v>LILY</v>
          </cell>
          <cell r="Y731" t="str">
            <v>DMCARE-TRI-03</v>
          </cell>
          <cell r="Z731" t="str">
            <v>LILY 4/4/18</v>
          </cell>
          <cell r="AA731"/>
          <cell r="AB731">
            <v>43194</v>
          </cell>
          <cell r="AC731">
            <v>4793</v>
          </cell>
        </row>
        <row r="732">
          <cell r="B732">
            <v>4256</v>
          </cell>
          <cell r="C732" t="str">
            <v>ST-LM043</v>
          </cell>
          <cell r="D732" t="str">
            <v>PONTE</v>
          </cell>
          <cell r="E732"/>
          <cell r="F732" t="str">
            <v>T/S 95/5</v>
          </cell>
          <cell r="G732" t="str">
            <v>95% POLYESTER  5% SPANDEX</v>
          </cell>
          <cell r="H732" t="str">
            <v>60</v>
          </cell>
          <cell r="I732">
            <v>280</v>
          </cell>
          <cell r="J732">
            <v>1.9699999999999998</v>
          </cell>
          <cell r="K732">
            <v>2.17</v>
          </cell>
          <cell r="L732">
            <v>2.0299999999999998</v>
          </cell>
          <cell r="M732">
            <v>2.23</v>
          </cell>
          <cell r="N732">
            <v>2.0699999999999998</v>
          </cell>
          <cell r="O732">
            <v>2.27</v>
          </cell>
          <cell r="P732"/>
          <cell r="Q732"/>
          <cell r="R732">
            <v>2.11</v>
          </cell>
          <cell r="S732">
            <v>2.31</v>
          </cell>
          <cell r="T732"/>
          <cell r="U732"/>
          <cell r="V732"/>
          <cell r="W732"/>
          <cell r="X732" t="str">
            <v>LILY</v>
          </cell>
          <cell r="Y732" t="str">
            <v>DMCARE-TRI-03</v>
          </cell>
          <cell r="Z732" t="str">
            <v>LILY 4/4/18</v>
          </cell>
          <cell r="AA732"/>
          <cell r="AB732">
            <v>43194</v>
          </cell>
          <cell r="AC732">
            <v>4764</v>
          </cell>
        </row>
        <row r="733">
          <cell r="B733">
            <v>4255</v>
          </cell>
          <cell r="C733" t="str">
            <v>ST-LM012</v>
          </cell>
          <cell r="D733" t="str">
            <v>PONTE</v>
          </cell>
          <cell r="E733"/>
          <cell r="F733" t="str">
            <v>R/T/S 58/35/7</v>
          </cell>
          <cell r="G733" t="str">
            <v>58% RAYON 35% POLYESTER 7% SPANDEX</v>
          </cell>
          <cell r="H733" t="str">
            <v>63</v>
          </cell>
          <cell r="I733">
            <v>290</v>
          </cell>
          <cell r="J733">
            <v>2.8</v>
          </cell>
          <cell r="K733">
            <v>3</v>
          </cell>
          <cell r="L733">
            <v>2.86</v>
          </cell>
          <cell r="M733">
            <v>3.06</v>
          </cell>
          <cell r="N733">
            <v>2.9</v>
          </cell>
          <cell r="O733">
            <v>3.1</v>
          </cell>
          <cell r="P733"/>
          <cell r="Q733"/>
          <cell r="R733">
            <v>2.94</v>
          </cell>
          <cell r="S733">
            <v>3.14</v>
          </cell>
          <cell r="T733"/>
          <cell r="U733"/>
          <cell r="V733"/>
          <cell r="W733"/>
          <cell r="X733" t="str">
            <v>LILY</v>
          </cell>
          <cell r="Y733" t="str">
            <v>DMCARE-TRI-03</v>
          </cell>
          <cell r="Z733" t="str">
            <v>LILY 4/4/18</v>
          </cell>
          <cell r="AA733"/>
          <cell r="AB733">
            <v>43194</v>
          </cell>
          <cell r="AC733">
            <v>4768</v>
          </cell>
        </row>
        <row r="734">
          <cell r="B734">
            <v>4254</v>
          </cell>
          <cell r="C734" t="str">
            <v>ST-LM059</v>
          </cell>
          <cell r="D734" t="str">
            <v>PONTE</v>
          </cell>
          <cell r="E734"/>
          <cell r="F734" t="str">
            <v>T/R/S 86/10/4</v>
          </cell>
          <cell r="G734" t="str">
            <v>86% POLYESTER  10% RAYON  4% SPANDEX</v>
          </cell>
          <cell r="H734" t="str">
            <v>58</v>
          </cell>
          <cell r="I734">
            <v>330</v>
          </cell>
          <cell r="J734">
            <v>2.3899999999999997</v>
          </cell>
          <cell r="K734">
            <v>2.59</v>
          </cell>
          <cell r="L734">
            <v>2.4499999999999997</v>
          </cell>
          <cell r="M734">
            <v>2.65</v>
          </cell>
          <cell r="N734">
            <v>2.4899999999999998</v>
          </cell>
          <cell r="O734">
            <v>2.69</v>
          </cell>
          <cell r="P734"/>
          <cell r="Q734"/>
          <cell r="R734">
            <v>2.5299999999999998</v>
          </cell>
          <cell r="S734">
            <v>2.73</v>
          </cell>
          <cell r="T734"/>
          <cell r="U734"/>
          <cell r="V734"/>
          <cell r="W734"/>
          <cell r="X734" t="str">
            <v>LILY</v>
          </cell>
          <cell r="Y734" t="str">
            <v>DMCARE-TRI-03</v>
          </cell>
          <cell r="Z734" t="str">
            <v>LILY 4/4/18</v>
          </cell>
          <cell r="AA734"/>
          <cell r="AB734">
            <v>43194</v>
          </cell>
          <cell r="AC734">
            <v>4829</v>
          </cell>
        </row>
        <row r="735">
          <cell r="B735">
            <v>4253</v>
          </cell>
          <cell r="C735" t="str">
            <v>ST-LM062</v>
          </cell>
          <cell r="D735" t="str">
            <v>PONTE</v>
          </cell>
          <cell r="E735"/>
          <cell r="F735" t="str">
            <v>T/R/S 75/20/5</v>
          </cell>
          <cell r="G735" t="str">
            <v>75% POLYESTER 20% RAYON 5% SPANDEX</v>
          </cell>
          <cell r="H735" t="str">
            <v>59</v>
          </cell>
          <cell r="I735">
            <v>325</v>
          </cell>
          <cell r="J735">
            <v>2.6</v>
          </cell>
          <cell r="K735">
            <v>2.8000000000000003</v>
          </cell>
          <cell r="L735">
            <v>2.66</v>
          </cell>
          <cell r="M735">
            <v>2.8600000000000003</v>
          </cell>
          <cell r="N735">
            <v>2.7</v>
          </cell>
          <cell r="O735">
            <v>2.9000000000000004</v>
          </cell>
          <cell r="P735"/>
          <cell r="Q735"/>
          <cell r="R735">
            <v>2.74</v>
          </cell>
          <cell r="S735">
            <v>2.9400000000000004</v>
          </cell>
          <cell r="T735"/>
          <cell r="U735"/>
          <cell r="V735"/>
          <cell r="W735"/>
          <cell r="X735" t="str">
            <v>LILY</v>
          </cell>
          <cell r="Y735" t="str">
            <v>DMCARE-TRI-03</v>
          </cell>
          <cell r="Z735" t="str">
            <v>LILY 4/4/18</v>
          </cell>
          <cell r="AA735"/>
          <cell r="AB735">
            <v>43194</v>
          </cell>
          <cell r="AC735">
            <v>4832</v>
          </cell>
        </row>
        <row r="736">
          <cell r="B736">
            <v>4252</v>
          </cell>
          <cell r="C736" t="str">
            <v>ST-E006</v>
          </cell>
          <cell r="D736" t="str">
            <v>CREPE ( LIKE 1895C )</v>
          </cell>
          <cell r="E736"/>
          <cell r="F736" t="str">
            <v>T100%</v>
          </cell>
          <cell r="G736" t="str">
            <v xml:space="preserve">100% POLYESTER </v>
          </cell>
          <cell r="H736" t="str">
            <v>57</v>
          </cell>
          <cell r="I736">
            <v>120</v>
          </cell>
          <cell r="J736">
            <v>1.1499999999999999</v>
          </cell>
          <cell r="K736">
            <v>1.3499999999999999</v>
          </cell>
          <cell r="L736">
            <v>1.1499999999999999</v>
          </cell>
          <cell r="M736">
            <v>1.3499999999999999</v>
          </cell>
          <cell r="N736">
            <v>1.1499999999999999</v>
          </cell>
          <cell r="O736">
            <v>1.3499999999999999</v>
          </cell>
          <cell r="P736"/>
          <cell r="Q736"/>
          <cell r="R736"/>
          <cell r="S736"/>
          <cell r="T736"/>
          <cell r="U736"/>
          <cell r="V736"/>
          <cell r="W736"/>
          <cell r="X736" t="str">
            <v>LILY</v>
          </cell>
          <cell r="Y736" t="str">
            <v>DMCARE-TRI-03</v>
          </cell>
          <cell r="Z736" t="str">
            <v>LILY 4/4/18</v>
          </cell>
          <cell r="AA736"/>
          <cell r="AB736">
            <v>43194</v>
          </cell>
          <cell r="AC736">
            <v>4796</v>
          </cell>
        </row>
        <row r="737">
          <cell r="B737">
            <v>4249</v>
          </cell>
          <cell r="C737" t="str">
            <v>ST-WV3954</v>
          </cell>
          <cell r="D737" t="str">
            <v>CRINKLE RAYON/POLY</v>
          </cell>
          <cell r="E737"/>
          <cell r="F737" t="str">
            <v>R/T 71/29</v>
          </cell>
          <cell r="G737" t="str">
            <v>71% RAYON 29% POLYESTER</v>
          </cell>
          <cell r="H737" t="str">
            <v>55</v>
          </cell>
          <cell r="I737">
            <v>150</v>
          </cell>
          <cell r="J737">
            <v>1.5399999999999998</v>
          </cell>
          <cell r="K737">
            <v>1.7399999999999998</v>
          </cell>
          <cell r="L737">
            <v>1.5999999999999999</v>
          </cell>
          <cell r="M737">
            <v>1.7999999999999998</v>
          </cell>
          <cell r="N737">
            <v>1.64</v>
          </cell>
          <cell r="O737">
            <v>1.8399999999999999</v>
          </cell>
          <cell r="P737"/>
          <cell r="Q737"/>
          <cell r="R737">
            <v>1.68</v>
          </cell>
          <cell r="S737">
            <v>1.88</v>
          </cell>
          <cell r="T737"/>
          <cell r="U737"/>
          <cell r="V737"/>
          <cell r="W737"/>
          <cell r="X737" t="str">
            <v>LILY</v>
          </cell>
          <cell r="Y737" t="str">
            <v>DMCARE-TRI-03</v>
          </cell>
          <cell r="Z737" t="str">
            <v>LILY 4/4/18</v>
          </cell>
          <cell r="AA737"/>
          <cell r="AB737">
            <v>43194</v>
          </cell>
          <cell r="AC737">
            <v>4800</v>
          </cell>
        </row>
        <row r="738">
          <cell r="B738">
            <v>4248</v>
          </cell>
          <cell r="C738" t="str">
            <v>ST-WV3406</v>
          </cell>
          <cell r="D738" t="str">
            <v>SATEEN</v>
          </cell>
          <cell r="E738"/>
          <cell r="F738" t="str">
            <v>T100%</v>
          </cell>
          <cell r="G738" t="str">
            <v xml:space="preserve">100% POLYESTER </v>
          </cell>
          <cell r="H738" t="str">
            <v>57</v>
          </cell>
          <cell r="I738">
            <v>95</v>
          </cell>
          <cell r="J738">
            <v>1.42</v>
          </cell>
          <cell r="K738">
            <v>1.6199999999999999</v>
          </cell>
          <cell r="L738">
            <v>1.48</v>
          </cell>
          <cell r="M738">
            <v>1.68</v>
          </cell>
          <cell r="N738">
            <v>1.52</v>
          </cell>
          <cell r="O738">
            <v>1.72</v>
          </cell>
          <cell r="P738"/>
          <cell r="Q738"/>
          <cell r="R738">
            <v>1.56</v>
          </cell>
          <cell r="S738">
            <v>1.76</v>
          </cell>
          <cell r="T738"/>
          <cell r="U738"/>
          <cell r="V738"/>
          <cell r="W738"/>
          <cell r="X738" t="str">
            <v>LILY</v>
          </cell>
          <cell r="Y738" t="str">
            <v>DMCARE-TRI-03</v>
          </cell>
          <cell r="Z738" t="str">
            <v>LILY 4/4/18</v>
          </cell>
          <cell r="AA738"/>
          <cell r="AB738">
            <v>43194</v>
          </cell>
          <cell r="AC738">
            <v>4828</v>
          </cell>
        </row>
        <row r="739">
          <cell r="B739">
            <v>4247</v>
          </cell>
          <cell r="C739" t="str">
            <v>ST-WV231-H</v>
          </cell>
          <cell r="D739" t="str">
            <v>CRINKLE RAYON</v>
          </cell>
          <cell r="E739"/>
          <cell r="F739" t="str">
            <v>R100%</v>
          </cell>
          <cell r="G739" t="str">
            <v xml:space="preserve">100% RAYON </v>
          </cell>
          <cell r="H739" t="str">
            <v>49</v>
          </cell>
          <cell r="I739">
            <v>135</v>
          </cell>
          <cell r="J739">
            <v>1.74</v>
          </cell>
          <cell r="K739">
            <v>1.94</v>
          </cell>
          <cell r="L739">
            <v>1.8</v>
          </cell>
          <cell r="M739">
            <v>2</v>
          </cell>
          <cell r="N739">
            <v>1.84</v>
          </cell>
          <cell r="O739">
            <v>2.04</v>
          </cell>
          <cell r="P739"/>
          <cell r="Q739"/>
          <cell r="R739">
            <v>1.88</v>
          </cell>
          <cell r="S739">
            <v>2.08</v>
          </cell>
          <cell r="T739"/>
          <cell r="U739"/>
          <cell r="V739"/>
          <cell r="W739"/>
          <cell r="X739" t="str">
            <v>LILY</v>
          </cell>
          <cell r="Y739" t="str">
            <v>DMCARE-TRI-03</v>
          </cell>
          <cell r="Z739" t="str">
            <v>LILY 4/4/18</v>
          </cell>
          <cell r="AA739"/>
          <cell r="AB739">
            <v>43194</v>
          </cell>
          <cell r="AC739">
            <v>4802</v>
          </cell>
        </row>
        <row r="740">
          <cell r="B740">
            <v>4246</v>
          </cell>
          <cell r="C740" t="str">
            <v>ST-WV3556</v>
          </cell>
          <cell r="D740" t="str">
            <v>SLUB RAYON</v>
          </cell>
          <cell r="E740"/>
          <cell r="F740" t="str">
            <v>R100%</v>
          </cell>
          <cell r="G740" t="str">
            <v xml:space="preserve">100% RAYON </v>
          </cell>
          <cell r="H740" t="str">
            <v>55</v>
          </cell>
          <cell r="I740">
            <v>80</v>
          </cell>
          <cell r="J740">
            <v>1.39</v>
          </cell>
          <cell r="K740">
            <v>1.5899999999999999</v>
          </cell>
          <cell r="L740">
            <v>1.45</v>
          </cell>
          <cell r="M740">
            <v>1.65</v>
          </cell>
          <cell r="N740">
            <v>1.49</v>
          </cell>
          <cell r="O740">
            <v>1.69</v>
          </cell>
          <cell r="P740"/>
          <cell r="Q740"/>
          <cell r="R740">
            <v>1.53</v>
          </cell>
          <cell r="S740">
            <v>1.73</v>
          </cell>
          <cell r="T740"/>
          <cell r="U740"/>
          <cell r="V740"/>
          <cell r="W740"/>
          <cell r="X740" t="str">
            <v>LILY</v>
          </cell>
          <cell r="Y740" t="str">
            <v>DMCARE-TRI-03</v>
          </cell>
          <cell r="Z740" t="str">
            <v>LILY 4/4/18</v>
          </cell>
          <cell r="AA740"/>
          <cell r="AB740">
            <v>43194</v>
          </cell>
          <cell r="AC740">
            <v>4801</v>
          </cell>
        </row>
        <row r="741">
          <cell r="B741">
            <v>4245</v>
          </cell>
          <cell r="C741" t="str">
            <v>ST-WV2036</v>
          </cell>
          <cell r="D741" t="str">
            <v>BUBBLE CREPE</v>
          </cell>
          <cell r="E741"/>
          <cell r="F741" t="str">
            <v>T/S 97/3</v>
          </cell>
          <cell r="G741" t="str">
            <v>97% POLYESTER  3% SPANDEX</v>
          </cell>
          <cell r="H741" t="str">
            <v>57</v>
          </cell>
          <cell r="I741">
            <v>125</v>
          </cell>
          <cell r="J741">
            <v>1.1499999999999999</v>
          </cell>
          <cell r="K741">
            <v>1.3499999999999999</v>
          </cell>
          <cell r="L741">
            <v>1.21</v>
          </cell>
          <cell r="M741">
            <v>1.41</v>
          </cell>
          <cell r="N741">
            <v>1.25</v>
          </cell>
          <cell r="O741">
            <v>1.45</v>
          </cell>
          <cell r="P741"/>
          <cell r="Q741"/>
          <cell r="R741">
            <v>1.29</v>
          </cell>
          <cell r="S741">
            <v>1.49</v>
          </cell>
          <cell r="T741"/>
          <cell r="U741"/>
          <cell r="V741"/>
          <cell r="W741"/>
          <cell r="X741" t="str">
            <v>LILY</v>
          </cell>
          <cell r="Y741" t="str">
            <v>DMCARE-TRI-03</v>
          </cell>
          <cell r="Z741" t="str">
            <v>LILY 4/4/18</v>
          </cell>
          <cell r="AA741"/>
          <cell r="AB741">
            <v>43194</v>
          </cell>
          <cell r="AC741">
            <v>4751</v>
          </cell>
        </row>
        <row r="742">
          <cell r="B742">
            <v>4244</v>
          </cell>
          <cell r="C742" t="str">
            <v>ST-WV3575</v>
          </cell>
          <cell r="D742" t="str">
            <v>SLUB COTTON</v>
          </cell>
          <cell r="E742"/>
          <cell r="F742" t="str">
            <v>C100%</v>
          </cell>
          <cell r="G742" t="str">
            <v>100% COTTON</v>
          </cell>
          <cell r="H742" t="str">
            <v>55</v>
          </cell>
          <cell r="I742">
            <v>70</v>
          </cell>
          <cell r="J742">
            <v>1.43</v>
          </cell>
          <cell r="K742">
            <v>1.63</v>
          </cell>
          <cell r="L742">
            <v>1.49</v>
          </cell>
          <cell r="M742">
            <v>1.69</v>
          </cell>
          <cell r="N742">
            <v>1.53</v>
          </cell>
          <cell r="O742">
            <v>1.73</v>
          </cell>
          <cell r="P742"/>
          <cell r="Q742"/>
          <cell r="R742">
            <v>1.57</v>
          </cell>
          <cell r="S742">
            <v>1.77</v>
          </cell>
          <cell r="T742"/>
          <cell r="U742"/>
          <cell r="V742"/>
          <cell r="W742"/>
          <cell r="X742" t="str">
            <v>LILY</v>
          </cell>
          <cell r="Y742" t="str">
            <v>DMCARE-TRI-03</v>
          </cell>
          <cell r="Z742" t="str">
            <v>LILY 4/4/18</v>
          </cell>
          <cell r="AA742"/>
          <cell r="AB742">
            <v>43194</v>
          </cell>
          <cell r="AC742">
            <v>4744</v>
          </cell>
        </row>
        <row r="743">
          <cell r="B743">
            <v>4243</v>
          </cell>
          <cell r="C743" t="str">
            <v>ST-WV3910</v>
          </cell>
          <cell r="D743" t="str">
            <v>POLY CREPE</v>
          </cell>
          <cell r="E743"/>
          <cell r="F743" t="str">
            <v>T100%</v>
          </cell>
          <cell r="G743" t="str">
            <v xml:space="preserve">100% POLYESTER </v>
          </cell>
          <cell r="H743" t="str">
            <v>57</v>
          </cell>
          <cell r="I743">
            <v>130</v>
          </cell>
          <cell r="J743">
            <v>1.3499999999999999</v>
          </cell>
          <cell r="K743">
            <v>1.5499999999999998</v>
          </cell>
          <cell r="L743">
            <v>1.41</v>
          </cell>
          <cell r="M743">
            <v>1.6099999999999999</v>
          </cell>
          <cell r="N743">
            <v>1.45</v>
          </cell>
          <cell r="O743">
            <v>1.65</v>
          </cell>
          <cell r="P743"/>
          <cell r="Q743"/>
          <cell r="R743">
            <v>1.49</v>
          </cell>
          <cell r="S743">
            <v>1.69</v>
          </cell>
          <cell r="T743"/>
          <cell r="U743"/>
          <cell r="V743"/>
          <cell r="W743"/>
          <cell r="X743" t="str">
            <v>LILY</v>
          </cell>
          <cell r="Y743" t="str">
            <v>DMCARE-TRI-03</v>
          </cell>
          <cell r="Z743" t="str">
            <v>LILY 4/4/18</v>
          </cell>
          <cell r="AA743"/>
          <cell r="AB743">
            <v>43194</v>
          </cell>
          <cell r="AC743">
            <v>4827</v>
          </cell>
        </row>
        <row r="744">
          <cell r="B744">
            <v>4242</v>
          </cell>
          <cell r="C744" t="str">
            <v>ST-WV3912</v>
          </cell>
          <cell r="D744" t="str">
            <v>Y/D POLY</v>
          </cell>
          <cell r="E744"/>
          <cell r="F744" t="str">
            <v>T100%</v>
          </cell>
          <cell r="G744" t="str">
            <v xml:space="preserve">100% POLYESTER </v>
          </cell>
          <cell r="H744" t="str">
            <v>57</v>
          </cell>
          <cell r="I744">
            <v>120</v>
          </cell>
          <cell r="J744">
            <v>1.3499999999999999</v>
          </cell>
          <cell r="K744">
            <v>1.5499999999999998</v>
          </cell>
          <cell r="L744">
            <v>1.41</v>
          </cell>
          <cell r="M744">
            <v>1.6099999999999999</v>
          </cell>
          <cell r="N744">
            <v>1.45</v>
          </cell>
          <cell r="O744">
            <v>1.65</v>
          </cell>
          <cell r="P744"/>
          <cell r="Q744"/>
          <cell r="R744">
            <v>1.49</v>
          </cell>
          <cell r="S744">
            <v>1.69</v>
          </cell>
          <cell r="T744"/>
          <cell r="U744"/>
          <cell r="V744"/>
          <cell r="W744"/>
          <cell r="X744" t="str">
            <v>LILY</v>
          </cell>
          <cell r="Y744" t="str">
            <v>DMCARE-TRI-03</v>
          </cell>
          <cell r="Z744" t="str">
            <v>LILY 4/4/18</v>
          </cell>
          <cell r="AA744"/>
          <cell r="AB744">
            <v>43194</v>
          </cell>
          <cell r="AC744">
            <v>4815</v>
          </cell>
        </row>
        <row r="745">
          <cell r="B745">
            <v>4241</v>
          </cell>
          <cell r="C745" t="str">
            <v>ST-LS02054</v>
          </cell>
          <cell r="D745" t="str">
            <v>LACE</v>
          </cell>
          <cell r="E745"/>
          <cell r="F745" t="str">
            <v>T100%</v>
          </cell>
          <cell r="G745" t="str">
            <v xml:space="preserve">100% POLYESTER </v>
          </cell>
          <cell r="H745" t="str">
            <v>57</v>
          </cell>
          <cell r="I745">
            <v>121</v>
          </cell>
          <cell r="J745">
            <v>0.96</v>
          </cell>
          <cell r="K745">
            <v>1.1599999999999999</v>
          </cell>
          <cell r="L745">
            <v>1.02</v>
          </cell>
          <cell r="M745">
            <v>1.22</v>
          </cell>
          <cell r="N745">
            <v>1.06</v>
          </cell>
          <cell r="O745">
            <v>1.26</v>
          </cell>
          <cell r="P745"/>
          <cell r="Q745"/>
          <cell r="R745">
            <v>1.1000000000000001</v>
          </cell>
          <cell r="S745">
            <v>1.3</v>
          </cell>
          <cell r="T745"/>
          <cell r="U745"/>
          <cell r="V745"/>
          <cell r="W745"/>
          <cell r="X745" t="str">
            <v>LILY</v>
          </cell>
          <cell r="Y745" t="str">
            <v>DMCARE-TRI-03</v>
          </cell>
          <cell r="Z745" t="str">
            <v>LILY 4/4/18</v>
          </cell>
          <cell r="AA745"/>
          <cell r="AB745">
            <v>43194</v>
          </cell>
          <cell r="AC745">
            <v>4810</v>
          </cell>
        </row>
        <row r="746">
          <cell r="B746">
            <v>4240</v>
          </cell>
          <cell r="C746" t="str">
            <v>ST-L097-1</v>
          </cell>
          <cell r="D746" t="str">
            <v>CHIFFON</v>
          </cell>
          <cell r="E746"/>
          <cell r="F746" t="str">
            <v>T100%</v>
          </cell>
          <cell r="G746" t="str">
            <v xml:space="preserve">100% POLYESTER </v>
          </cell>
          <cell r="H746" t="str">
            <v>57</v>
          </cell>
          <cell r="I746">
            <v>90</v>
          </cell>
          <cell r="J746">
            <v>1.1399999999999999</v>
          </cell>
          <cell r="K746">
            <v>1.3399999999999999</v>
          </cell>
          <cell r="L746">
            <v>1.2</v>
          </cell>
          <cell r="M746">
            <v>1.4</v>
          </cell>
          <cell r="N746">
            <v>1.24</v>
          </cell>
          <cell r="O746">
            <v>1.44</v>
          </cell>
          <cell r="P746"/>
          <cell r="Q746"/>
          <cell r="R746">
            <v>1.28</v>
          </cell>
          <cell r="S746">
            <v>1.48</v>
          </cell>
          <cell r="T746"/>
          <cell r="U746"/>
          <cell r="V746"/>
          <cell r="W746"/>
          <cell r="X746" t="str">
            <v>LILY</v>
          </cell>
          <cell r="Y746" t="str">
            <v>DMCARE-TRI-03</v>
          </cell>
          <cell r="Z746" t="str">
            <v>LILY 4/4/18</v>
          </cell>
          <cell r="AA746"/>
          <cell r="AB746">
            <v>43194</v>
          </cell>
          <cell r="AC746">
            <v>4825</v>
          </cell>
        </row>
        <row r="747">
          <cell r="B747">
            <v>4239</v>
          </cell>
          <cell r="C747" t="str">
            <v>ST-KH0166</v>
          </cell>
          <cell r="D747" t="str">
            <v>CRINKLE CHIFFON</v>
          </cell>
          <cell r="E747"/>
          <cell r="F747" t="str">
            <v>T100%</v>
          </cell>
          <cell r="G747" t="str">
            <v xml:space="preserve">100% POLYESTER </v>
          </cell>
          <cell r="H747" t="str">
            <v>56</v>
          </cell>
          <cell r="I747">
            <v>80</v>
          </cell>
          <cell r="J747">
            <v>0.96</v>
          </cell>
          <cell r="K747">
            <v>1.1599999999999999</v>
          </cell>
          <cell r="L747">
            <v>1.02</v>
          </cell>
          <cell r="M747">
            <v>1.22</v>
          </cell>
          <cell r="N747">
            <v>1.06</v>
          </cell>
          <cell r="O747">
            <v>1.26</v>
          </cell>
          <cell r="P747"/>
          <cell r="Q747"/>
          <cell r="R747">
            <v>1.1000000000000001</v>
          </cell>
          <cell r="S747">
            <v>1.3</v>
          </cell>
          <cell r="T747"/>
          <cell r="U747"/>
          <cell r="V747"/>
          <cell r="W747"/>
          <cell r="X747" t="str">
            <v>LILY</v>
          </cell>
          <cell r="Y747" t="str">
            <v>DMCARE-TRI-03</v>
          </cell>
          <cell r="Z747" t="str">
            <v>LILY 4/4/18</v>
          </cell>
          <cell r="AA747"/>
          <cell r="AB747">
            <v>43194</v>
          </cell>
          <cell r="AC747">
            <v>4807</v>
          </cell>
        </row>
        <row r="748">
          <cell r="B748">
            <v>4238</v>
          </cell>
          <cell r="C748" t="str">
            <v>ST-KW0197</v>
          </cell>
          <cell r="D748" t="str">
            <v>CHIFFON</v>
          </cell>
          <cell r="E748"/>
          <cell r="F748" t="str">
            <v>T100%</v>
          </cell>
          <cell r="G748" t="str">
            <v xml:space="preserve">100% POLYESTER </v>
          </cell>
          <cell r="H748" t="str">
            <v>57</v>
          </cell>
          <cell r="I748">
            <v>70</v>
          </cell>
          <cell r="J748">
            <v>1.0599999999999998</v>
          </cell>
          <cell r="K748">
            <v>1.2599999999999998</v>
          </cell>
          <cell r="L748">
            <v>1.1199999999999999</v>
          </cell>
          <cell r="M748">
            <v>1.3199999999999998</v>
          </cell>
          <cell r="N748">
            <v>1.1599999999999999</v>
          </cell>
          <cell r="O748">
            <v>1.3599999999999999</v>
          </cell>
          <cell r="P748"/>
          <cell r="Q748"/>
          <cell r="R748">
            <v>1.2</v>
          </cell>
          <cell r="S748">
            <v>1.4</v>
          </cell>
          <cell r="T748"/>
          <cell r="U748"/>
          <cell r="V748"/>
          <cell r="W748"/>
          <cell r="X748" t="str">
            <v>LILY</v>
          </cell>
          <cell r="Y748" t="str">
            <v>DMCARE-TRI-03</v>
          </cell>
          <cell r="Z748" t="str">
            <v>LILY 4/4/18</v>
          </cell>
          <cell r="AA748"/>
          <cell r="AB748">
            <v>43194</v>
          </cell>
          <cell r="AC748">
            <v>4823</v>
          </cell>
        </row>
        <row r="749">
          <cell r="B749">
            <v>4237</v>
          </cell>
          <cell r="C749" t="str">
            <v>ST-LS02062</v>
          </cell>
          <cell r="D749" t="str">
            <v>LACE</v>
          </cell>
          <cell r="E749"/>
          <cell r="F749" t="str">
            <v>T100%</v>
          </cell>
          <cell r="G749" t="str">
            <v xml:space="preserve">100% POLYESTER </v>
          </cell>
          <cell r="H749" t="str">
            <v>57</v>
          </cell>
          <cell r="I749">
            <v>88</v>
          </cell>
          <cell r="J749">
            <v>0.78</v>
          </cell>
          <cell r="K749">
            <v>0.98</v>
          </cell>
          <cell r="L749">
            <v>0.84</v>
          </cell>
          <cell r="M749">
            <v>1.04</v>
          </cell>
          <cell r="N749">
            <v>0.88</v>
          </cell>
          <cell r="O749">
            <v>1.08</v>
          </cell>
          <cell r="P749"/>
          <cell r="Q749"/>
          <cell r="R749">
            <v>0.92</v>
          </cell>
          <cell r="S749">
            <v>1.1200000000000001</v>
          </cell>
          <cell r="T749"/>
          <cell r="U749"/>
          <cell r="V749"/>
          <cell r="W749"/>
          <cell r="X749" t="str">
            <v>LILY</v>
          </cell>
          <cell r="Y749" t="str">
            <v>DMCARE-TRI-03</v>
          </cell>
          <cell r="Z749" t="str">
            <v>LILY 4/4/18</v>
          </cell>
          <cell r="AA749"/>
          <cell r="AB749">
            <v>43194</v>
          </cell>
          <cell r="AC749">
            <v>4766</v>
          </cell>
        </row>
        <row r="750">
          <cell r="B750">
            <v>4236</v>
          </cell>
          <cell r="C750" t="str">
            <v>ST-KW0633</v>
          </cell>
          <cell r="D750" t="str">
            <v>CHIFFON</v>
          </cell>
          <cell r="E750"/>
          <cell r="F750" t="str">
            <v>T100%</v>
          </cell>
          <cell r="G750" t="str">
            <v xml:space="preserve">100% POLYESTER </v>
          </cell>
          <cell r="H750" t="str">
            <v>57</v>
          </cell>
          <cell r="I750">
            <v>85</v>
          </cell>
          <cell r="J750">
            <v>1.4899999999999998</v>
          </cell>
          <cell r="K750">
            <v>1.6899999999999997</v>
          </cell>
          <cell r="L750">
            <v>1.5499999999999998</v>
          </cell>
          <cell r="M750">
            <v>1.7499999999999998</v>
          </cell>
          <cell r="N750">
            <v>1.5899999999999999</v>
          </cell>
          <cell r="O750">
            <v>1.7899999999999998</v>
          </cell>
          <cell r="P750"/>
          <cell r="Q750"/>
          <cell r="R750">
            <v>1.63</v>
          </cell>
          <cell r="S750">
            <v>1.8299999999999998</v>
          </cell>
          <cell r="T750"/>
          <cell r="U750"/>
          <cell r="V750"/>
          <cell r="W750"/>
          <cell r="X750" t="str">
            <v>LILY</v>
          </cell>
          <cell r="Y750" t="str">
            <v>DMCARE-TRI-03</v>
          </cell>
          <cell r="Z750" t="str">
            <v>LILY 4/4/18</v>
          </cell>
          <cell r="AA750"/>
          <cell r="AB750">
            <v>43194</v>
          </cell>
          <cell r="AC750">
            <v>4826</v>
          </cell>
        </row>
        <row r="751">
          <cell r="B751">
            <v>4235</v>
          </cell>
          <cell r="C751" t="str">
            <v>ST-WV2403</v>
          </cell>
          <cell r="D751" t="str">
            <v>CHIFFON</v>
          </cell>
          <cell r="E751"/>
          <cell r="F751" t="str">
            <v>T100%</v>
          </cell>
          <cell r="G751" t="str">
            <v xml:space="preserve">100% POLYESTER </v>
          </cell>
          <cell r="H751" t="str">
            <v>57</v>
          </cell>
          <cell r="I751">
            <v>85</v>
          </cell>
          <cell r="J751">
            <v>0.96</v>
          </cell>
          <cell r="K751">
            <v>1.1599999999999999</v>
          </cell>
          <cell r="L751">
            <v>1.02</v>
          </cell>
          <cell r="M751">
            <v>1.22</v>
          </cell>
          <cell r="N751">
            <v>1.06</v>
          </cell>
          <cell r="O751">
            <v>1.26</v>
          </cell>
          <cell r="P751"/>
          <cell r="Q751"/>
          <cell r="R751">
            <v>1.1000000000000001</v>
          </cell>
          <cell r="S751">
            <v>1.3</v>
          </cell>
          <cell r="T751"/>
          <cell r="U751"/>
          <cell r="V751"/>
          <cell r="W751"/>
          <cell r="X751" t="str">
            <v>LILY</v>
          </cell>
          <cell r="Y751" t="str">
            <v>DMCARE-TRI-03</v>
          </cell>
          <cell r="Z751" t="str">
            <v>LILY 4/4/18</v>
          </cell>
          <cell r="AA751"/>
          <cell r="AB751">
            <v>43194</v>
          </cell>
          <cell r="AC751">
            <v>4822</v>
          </cell>
        </row>
        <row r="752">
          <cell r="B752">
            <v>4234</v>
          </cell>
          <cell r="C752" t="str">
            <v>ST-WY007-3</v>
          </cell>
          <cell r="D752" t="str">
            <v>CHIFFON ( SAME 3403 )</v>
          </cell>
          <cell r="E752"/>
          <cell r="F752" t="str">
            <v>T100%</v>
          </cell>
          <cell r="G752" t="str">
            <v xml:space="preserve">100% POLYESTER </v>
          </cell>
          <cell r="H752" t="str">
            <v>57</v>
          </cell>
          <cell r="I752">
            <v>72</v>
          </cell>
          <cell r="J752">
            <v>0.84999999999999987</v>
          </cell>
          <cell r="K752">
            <v>1.0499999999999998</v>
          </cell>
          <cell r="L752">
            <v>0.90999999999999992</v>
          </cell>
          <cell r="M752">
            <v>1.1099999999999999</v>
          </cell>
          <cell r="N752">
            <v>0.95</v>
          </cell>
          <cell r="O752">
            <v>1.1499999999999999</v>
          </cell>
          <cell r="P752"/>
          <cell r="Q752"/>
          <cell r="R752"/>
          <cell r="S752"/>
          <cell r="T752"/>
          <cell r="U752"/>
          <cell r="V752"/>
          <cell r="W752" t="str">
            <v>$150 surcharge if under MOQ 1500m</v>
          </cell>
          <cell r="X752" t="str">
            <v>LILY</v>
          </cell>
          <cell r="Y752" t="str">
            <v>DMCARE-TRI-03</v>
          </cell>
          <cell r="Z752" t="str">
            <v>LILY 4/4/18</v>
          </cell>
          <cell r="AA752"/>
          <cell r="AB752">
            <v>43194</v>
          </cell>
          <cell r="AC752">
            <v>4803</v>
          </cell>
        </row>
        <row r="753">
          <cell r="B753">
            <v>4233</v>
          </cell>
          <cell r="C753" t="str">
            <v>ST-KQ01152</v>
          </cell>
          <cell r="D753" t="str">
            <v>CHIFFON</v>
          </cell>
          <cell r="E753"/>
          <cell r="F753" t="str">
            <v>T100%</v>
          </cell>
          <cell r="G753" t="str">
            <v xml:space="preserve">100% POLYESTER </v>
          </cell>
          <cell r="H753" t="str">
            <v>56</v>
          </cell>
          <cell r="I753">
            <v>80</v>
          </cell>
          <cell r="J753">
            <v>1.0699999999999998</v>
          </cell>
          <cell r="K753">
            <v>1.2699999999999998</v>
          </cell>
          <cell r="L753">
            <v>1.1299999999999999</v>
          </cell>
          <cell r="M753">
            <v>1.3299999999999998</v>
          </cell>
          <cell r="N753">
            <v>1.17</v>
          </cell>
          <cell r="O753">
            <v>1.3699999999999999</v>
          </cell>
          <cell r="P753"/>
          <cell r="Q753"/>
          <cell r="R753">
            <v>1.21</v>
          </cell>
          <cell r="S753">
            <v>1.41</v>
          </cell>
          <cell r="T753"/>
          <cell r="U753"/>
          <cell r="V753"/>
          <cell r="W753"/>
          <cell r="X753" t="str">
            <v>LILY</v>
          </cell>
          <cell r="Y753" t="str">
            <v>DMCARE-TRI-03</v>
          </cell>
          <cell r="Z753" t="str">
            <v>LILY 4/4/18</v>
          </cell>
          <cell r="AA753"/>
          <cell r="AB753">
            <v>43194</v>
          </cell>
          <cell r="AC753">
            <v>4824</v>
          </cell>
        </row>
        <row r="754">
          <cell r="B754">
            <v>4232</v>
          </cell>
          <cell r="C754" t="str">
            <v>ST-KW0420</v>
          </cell>
          <cell r="D754" t="str">
            <v>CRINKLE CHIFFON</v>
          </cell>
          <cell r="E754"/>
          <cell r="F754" t="str">
            <v>T100%</v>
          </cell>
          <cell r="G754" t="str">
            <v xml:space="preserve">100% POLYESTER </v>
          </cell>
          <cell r="H754" t="str">
            <v>57</v>
          </cell>
          <cell r="I754">
            <v>100</v>
          </cell>
          <cell r="J754">
            <v>1.4</v>
          </cell>
          <cell r="K754">
            <v>1.5999999999999999</v>
          </cell>
          <cell r="L754">
            <v>1.46</v>
          </cell>
          <cell r="M754">
            <v>1.66</v>
          </cell>
          <cell r="N754">
            <v>1.5</v>
          </cell>
          <cell r="O754">
            <v>1.7</v>
          </cell>
          <cell r="P754"/>
          <cell r="Q754"/>
          <cell r="R754">
            <v>1.54</v>
          </cell>
          <cell r="S754">
            <v>1.74</v>
          </cell>
          <cell r="T754"/>
          <cell r="U754"/>
          <cell r="V754"/>
          <cell r="W754"/>
          <cell r="X754" t="str">
            <v>LILY</v>
          </cell>
          <cell r="Y754" t="str">
            <v>DMCARE-TRI-03</v>
          </cell>
          <cell r="Z754" t="str">
            <v>LILY 4/4/18</v>
          </cell>
          <cell r="AA754"/>
          <cell r="AB754">
            <v>43194</v>
          </cell>
          <cell r="AC754">
            <v>4797</v>
          </cell>
        </row>
        <row r="755">
          <cell r="B755"/>
          <cell r="C755" t="str">
            <v>ST-KW0329</v>
          </cell>
          <cell r="D755"/>
          <cell r="E755"/>
          <cell r="F755" t="str">
            <v>T100%</v>
          </cell>
          <cell r="G755" t="str">
            <v xml:space="preserve">100% POLYESTER </v>
          </cell>
          <cell r="H755" t="str">
            <v>57</v>
          </cell>
          <cell r="I755">
            <v>95</v>
          </cell>
          <cell r="J755">
            <v>1.1100000000000001</v>
          </cell>
          <cell r="K755">
            <v>1.31</v>
          </cell>
          <cell r="L755">
            <v>1.17</v>
          </cell>
          <cell r="M755">
            <v>1.27</v>
          </cell>
          <cell r="N755">
            <v>1.21</v>
          </cell>
          <cell r="O755">
            <v>1.41</v>
          </cell>
          <cell r="P755"/>
          <cell r="Q755"/>
          <cell r="R755">
            <v>1.25</v>
          </cell>
          <cell r="S755">
            <v>1.45</v>
          </cell>
          <cell r="T755"/>
          <cell r="U755"/>
          <cell r="V755"/>
          <cell r="W755"/>
          <cell r="X755" t="str">
            <v>LILY</v>
          </cell>
          <cell r="Y755" t="str">
            <v>DMCARE-TRI-03</v>
          </cell>
          <cell r="Z755" t="str">
            <v>LILY 4/4/18</v>
          </cell>
          <cell r="AA755"/>
          <cell r="AB755">
            <v>43194</v>
          </cell>
          <cell r="AC755">
            <v>4767</v>
          </cell>
        </row>
        <row r="756">
          <cell r="B756"/>
          <cell r="C756" t="str">
            <v>ST-LS02111</v>
          </cell>
          <cell r="D756"/>
          <cell r="E756"/>
          <cell r="F756" t="str">
            <v>T100%</v>
          </cell>
          <cell r="G756" t="str">
            <v xml:space="preserve">100% POLYESTER </v>
          </cell>
          <cell r="H756" t="str">
            <v>57</v>
          </cell>
          <cell r="I756">
            <v>139</v>
          </cell>
          <cell r="J756">
            <v>1.1199999999999999</v>
          </cell>
          <cell r="K756">
            <v>1.3199999999999998</v>
          </cell>
          <cell r="L756">
            <v>1.18</v>
          </cell>
          <cell r="M756">
            <v>1.38</v>
          </cell>
          <cell r="N756">
            <v>1.22</v>
          </cell>
          <cell r="O756">
            <v>1.42</v>
          </cell>
          <cell r="P756"/>
          <cell r="Q756"/>
          <cell r="R756">
            <v>1.26</v>
          </cell>
          <cell r="S756">
            <v>1.46</v>
          </cell>
          <cell r="T756"/>
          <cell r="U756"/>
          <cell r="V756"/>
          <cell r="W756"/>
          <cell r="X756" t="str">
            <v>LILY</v>
          </cell>
          <cell r="Y756" t="str">
            <v>DMCARE-TRI-03</v>
          </cell>
          <cell r="Z756" t="str">
            <v>LILY 4/4/18</v>
          </cell>
          <cell r="AA756"/>
          <cell r="AB756">
            <v>43194</v>
          </cell>
          <cell r="AC756">
            <v>4780</v>
          </cell>
        </row>
        <row r="757">
          <cell r="B757"/>
          <cell r="C757" t="str">
            <v>ST-WV3279</v>
          </cell>
          <cell r="D757"/>
          <cell r="E757"/>
          <cell r="F757" t="str">
            <v>T100%</v>
          </cell>
          <cell r="G757" t="str">
            <v xml:space="preserve">100% POLYESTER </v>
          </cell>
          <cell r="H757" t="str">
            <v>54</v>
          </cell>
          <cell r="I757">
            <v>125</v>
          </cell>
          <cell r="J757">
            <v>1.18</v>
          </cell>
          <cell r="K757">
            <v>1.38</v>
          </cell>
          <cell r="L757">
            <v>1.24</v>
          </cell>
          <cell r="M757">
            <v>1.44</v>
          </cell>
          <cell r="N757">
            <v>1.28</v>
          </cell>
          <cell r="O757">
            <v>1.48</v>
          </cell>
          <cell r="P757"/>
          <cell r="Q757"/>
          <cell r="R757">
            <v>1.32</v>
          </cell>
          <cell r="S757">
            <v>1.52</v>
          </cell>
          <cell r="T757"/>
          <cell r="U757"/>
          <cell r="V757"/>
          <cell r="W757"/>
          <cell r="X757" t="str">
            <v>LILY</v>
          </cell>
          <cell r="Y757" t="str">
            <v>DMCARE-TRI-03</v>
          </cell>
          <cell r="Z757" t="str">
            <v>LILY 4/4/18</v>
          </cell>
          <cell r="AA757"/>
          <cell r="AB757">
            <v>43194</v>
          </cell>
          <cell r="AC757">
            <v>4776</v>
          </cell>
        </row>
        <row r="758">
          <cell r="B758"/>
          <cell r="C758" t="str">
            <v>ST-JH0224</v>
          </cell>
          <cell r="D758"/>
          <cell r="E758"/>
          <cell r="F758" t="str">
            <v>T100%</v>
          </cell>
          <cell r="G758" t="str">
            <v xml:space="preserve">100% POLYESTER </v>
          </cell>
          <cell r="H758" t="str">
            <v>57</v>
          </cell>
          <cell r="I758">
            <v>85</v>
          </cell>
          <cell r="J758">
            <v>1.2499999999999998</v>
          </cell>
          <cell r="K758">
            <v>1.4499999999999997</v>
          </cell>
          <cell r="L758">
            <v>1.3099999999999998</v>
          </cell>
          <cell r="M758">
            <v>1.5099999999999998</v>
          </cell>
          <cell r="N758">
            <v>1.3499999999999999</v>
          </cell>
          <cell r="O758">
            <v>1.5499999999999998</v>
          </cell>
          <cell r="P758"/>
          <cell r="Q758"/>
          <cell r="R758">
            <v>1.39</v>
          </cell>
          <cell r="S758">
            <v>1.5899999999999999</v>
          </cell>
          <cell r="T758"/>
          <cell r="U758"/>
          <cell r="V758"/>
          <cell r="W758"/>
          <cell r="X758" t="str">
            <v>LILY</v>
          </cell>
          <cell r="Y758" t="str">
            <v>DMCARE-TRI-03</v>
          </cell>
          <cell r="Z758" t="str">
            <v>LILY 4/4/18</v>
          </cell>
          <cell r="AA758"/>
          <cell r="AB758">
            <v>43194</v>
          </cell>
          <cell r="AC758">
            <v>4777</v>
          </cell>
        </row>
        <row r="759">
          <cell r="B759"/>
          <cell r="C759" t="str">
            <v>ST-WV3913</v>
          </cell>
          <cell r="D759"/>
          <cell r="E759"/>
          <cell r="F759" t="str">
            <v>T100%</v>
          </cell>
          <cell r="G759" t="str">
            <v xml:space="preserve">100% POLYESTER </v>
          </cell>
          <cell r="H759" t="str">
            <v>57</v>
          </cell>
          <cell r="I759">
            <v>120</v>
          </cell>
          <cell r="J759">
            <v>1.2999999999999998</v>
          </cell>
          <cell r="K759">
            <v>1.4999999999999998</v>
          </cell>
          <cell r="L759">
            <v>1.3599999999999999</v>
          </cell>
          <cell r="M759">
            <v>1.5599999999999998</v>
          </cell>
          <cell r="N759">
            <v>1.4</v>
          </cell>
          <cell r="O759">
            <v>1.5999999999999999</v>
          </cell>
          <cell r="P759"/>
          <cell r="Q759"/>
          <cell r="R759">
            <v>1.44</v>
          </cell>
          <cell r="S759">
            <v>1.64</v>
          </cell>
          <cell r="T759"/>
          <cell r="U759"/>
          <cell r="V759"/>
          <cell r="W759"/>
          <cell r="X759" t="str">
            <v>LILY</v>
          </cell>
          <cell r="Y759" t="str">
            <v>DMCARE-TRI-03</v>
          </cell>
          <cell r="Z759" t="str">
            <v>LILY 4/4/18</v>
          </cell>
          <cell r="AA759"/>
          <cell r="AB759">
            <v>43194</v>
          </cell>
          <cell r="AC759">
            <v>4778</v>
          </cell>
        </row>
        <row r="760">
          <cell r="B760"/>
          <cell r="C760" t="str">
            <v>ST-LS02032</v>
          </cell>
          <cell r="D760"/>
          <cell r="E760"/>
          <cell r="F760" t="str">
            <v>N/S 92/8</v>
          </cell>
          <cell r="G760" t="str">
            <v>92% NYLON  8% SPANDEX</v>
          </cell>
          <cell r="H760" t="str">
            <v>57</v>
          </cell>
          <cell r="I760">
            <v>70</v>
          </cell>
          <cell r="J760">
            <v>1.3199999999999998</v>
          </cell>
          <cell r="K760">
            <v>1.5199999999999998</v>
          </cell>
          <cell r="L760">
            <v>1.38</v>
          </cell>
          <cell r="M760">
            <v>1.5799999999999998</v>
          </cell>
          <cell r="N760">
            <v>1.42</v>
          </cell>
          <cell r="O760">
            <v>1.6199999999999999</v>
          </cell>
          <cell r="P760"/>
          <cell r="Q760"/>
          <cell r="R760">
            <v>1.46</v>
          </cell>
          <cell r="S760">
            <v>1.66</v>
          </cell>
          <cell r="T760"/>
          <cell r="U760"/>
          <cell r="V760"/>
          <cell r="W760"/>
          <cell r="X760" t="str">
            <v>LILY</v>
          </cell>
          <cell r="Y760" t="str">
            <v>DMCARE-TRI-03</v>
          </cell>
          <cell r="Z760" t="str">
            <v>LILY 4/4/18</v>
          </cell>
          <cell r="AA760"/>
          <cell r="AB760">
            <v>43194</v>
          </cell>
          <cell r="AC760">
            <v>4782</v>
          </cell>
        </row>
        <row r="761">
          <cell r="B761"/>
          <cell r="C761" t="str">
            <v>ST-WV3904</v>
          </cell>
          <cell r="D761"/>
          <cell r="E761"/>
          <cell r="F761" t="str">
            <v>T100%</v>
          </cell>
          <cell r="G761" t="str">
            <v xml:space="preserve">100% POLYESTER </v>
          </cell>
          <cell r="H761" t="str">
            <v>57</v>
          </cell>
          <cell r="I761">
            <v>130</v>
          </cell>
          <cell r="J761">
            <v>1.3499999999999999</v>
          </cell>
          <cell r="K761">
            <v>1.5499999999999998</v>
          </cell>
          <cell r="L761">
            <v>1.41</v>
          </cell>
          <cell r="M761">
            <v>1.6099999999999999</v>
          </cell>
          <cell r="N761">
            <v>1.45</v>
          </cell>
          <cell r="O761">
            <v>1.65</v>
          </cell>
          <cell r="P761"/>
          <cell r="Q761"/>
          <cell r="R761">
            <v>1.49</v>
          </cell>
          <cell r="S761">
            <v>1.69</v>
          </cell>
          <cell r="T761"/>
          <cell r="U761"/>
          <cell r="V761"/>
          <cell r="W761"/>
          <cell r="X761" t="str">
            <v>LILY</v>
          </cell>
          <cell r="Y761" t="str">
            <v>DMCARE-TRI-03</v>
          </cell>
          <cell r="Z761" t="str">
            <v>LILY 4/4/18</v>
          </cell>
          <cell r="AA761"/>
          <cell r="AB761">
            <v>43194</v>
          </cell>
          <cell r="AC761">
            <v>4759</v>
          </cell>
        </row>
        <row r="762">
          <cell r="B762"/>
          <cell r="C762" t="str">
            <v>ST-WV3380</v>
          </cell>
          <cell r="D762"/>
          <cell r="E762"/>
          <cell r="F762" t="str">
            <v>T/S 93/7</v>
          </cell>
          <cell r="G762" t="str">
            <v>93% POLYESTER  7% SPANDEX</v>
          </cell>
          <cell r="H762" t="str">
            <v>57</v>
          </cell>
          <cell r="I762">
            <v>100</v>
          </cell>
          <cell r="J762">
            <v>1.41</v>
          </cell>
          <cell r="K762">
            <v>1.6099999999999999</v>
          </cell>
          <cell r="L762">
            <v>1.47</v>
          </cell>
          <cell r="M762">
            <v>1.67</v>
          </cell>
          <cell r="N762">
            <v>1.51</v>
          </cell>
          <cell r="O762">
            <v>1.71</v>
          </cell>
          <cell r="P762"/>
          <cell r="Q762"/>
          <cell r="R762">
            <v>1.55</v>
          </cell>
          <cell r="S762">
            <v>1.75</v>
          </cell>
          <cell r="T762"/>
          <cell r="U762"/>
          <cell r="V762"/>
          <cell r="W762"/>
          <cell r="X762" t="str">
            <v>LILY</v>
          </cell>
          <cell r="Y762" t="str">
            <v>DMCARE-TRI-03</v>
          </cell>
          <cell r="Z762" t="str">
            <v>LILY 4/4/18</v>
          </cell>
          <cell r="AA762"/>
          <cell r="AB762">
            <v>43194</v>
          </cell>
          <cell r="AC762">
            <v>4758</v>
          </cell>
        </row>
        <row r="763">
          <cell r="B763"/>
          <cell r="C763" t="str">
            <v>ST-WV3425</v>
          </cell>
          <cell r="D763"/>
          <cell r="E763"/>
          <cell r="F763" t="str">
            <v>T100%</v>
          </cell>
          <cell r="G763" t="str">
            <v xml:space="preserve">100% POLYESTER </v>
          </cell>
          <cell r="H763">
            <v>57</v>
          </cell>
          <cell r="I763">
            <v>65</v>
          </cell>
          <cell r="J763">
            <v>1.42</v>
          </cell>
          <cell r="K763">
            <v>1.6199999999999999</v>
          </cell>
          <cell r="L763">
            <v>1.48</v>
          </cell>
          <cell r="M763">
            <v>1.68</v>
          </cell>
          <cell r="N763">
            <v>1.52</v>
          </cell>
          <cell r="O763">
            <v>1.72</v>
          </cell>
          <cell r="P763"/>
          <cell r="Q763"/>
          <cell r="R763">
            <v>1.56</v>
          </cell>
          <cell r="S763">
            <v>1.76</v>
          </cell>
          <cell r="T763"/>
          <cell r="U763"/>
          <cell r="V763"/>
          <cell r="W763"/>
          <cell r="X763" t="str">
            <v>LILY</v>
          </cell>
          <cell r="Y763" t="str">
            <v>DMCARE-TRI-03</v>
          </cell>
          <cell r="Z763" t="str">
            <v>LILY 4/4/18</v>
          </cell>
          <cell r="AA763"/>
          <cell r="AB763">
            <v>43194</v>
          </cell>
          <cell r="AC763">
            <v>4752</v>
          </cell>
        </row>
        <row r="764">
          <cell r="B764"/>
          <cell r="C764" t="str">
            <v>ST-WV3908</v>
          </cell>
          <cell r="D764"/>
          <cell r="E764"/>
          <cell r="F764" t="str">
            <v>T100%</v>
          </cell>
          <cell r="G764" t="str">
            <v xml:space="preserve">100% POLYESTER </v>
          </cell>
          <cell r="H764" t="str">
            <v>57</v>
          </cell>
          <cell r="I764">
            <v>150</v>
          </cell>
          <cell r="J764">
            <v>1.44</v>
          </cell>
          <cell r="K764">
            <v>1.64</v>
          </cell>
          <cell r="L764">
            <v>1.5</v>
          </cell>
          <cell r="M764">
            <v>1.7</v>
          </cell>
          <cell r="N764">
            <v>1.54</v>
          </cell>
          <cell r="O764">
            <v>1.74</v>
          </cell>
          <cell r="P764"/>
          <cell r="Q764"/>
          <cell r="R764">
            <v>1.58</v>
          </cell>
          <cell r="S764">
            <v>1.78</v>
          </cell>
          <cell r="T764"/>
          <cell r="U764"/>
          <cell r="V764"/>
          <cell r="W764"/>
          <cell r="X764" t="str">
            <v>LILY</v>
          </cell>
          <cell r="Y764" t="str">
            <v>DMCARE-TRI-03</v>
          </cell>
          <cell r="Z764" t="str">
            <v>LILY 4/4/18</v>
          </cell>
          <cell r="AA764"/>
          <cell r="AB764">
            <v>43194</v>
          </cell>
          <cell r="AC764">
            <v>4779</v>
          </cell>
        </row>
        <row r="765">
          <cell r="B765"/>
          <cell r="C765" t="str">
            <v>ST-WV3423</v>
          </cell>
          <cell r="D765"/>
          <cell r="E765"/>
          <cell r="F765" t="str">
            <v>T100%</v>
          </cell>
          <cell r="G765" t="str">
            <v xml:space="preserve">100% POLYESTER </v>
          </cell>
          <cell r="H765" t="str">
            <v>57</v>
          </cell>
          <cell r="I765">
            <v>100</v>
          </cell>
          <cell r="J765">
            <v>1.47</v>
          </cell>
          <cell r="K765">
            <v>1.67</v>
          </cell>
          <cell r="L765">
            <v>1.53</v>
          </cell>
          <cell r="M765">
            <v>1.73</v>
          </cell>
          <cell r="N765">
            <v>1.57</v>
          </cell>
          <cell r="O765">
            <v>1.77</v>
          </cell>
          <cell r="P765"/>
          <cell r="Q765"/>
          <cell r="R765">
            <v>1.61</v>
          </cell>
          <cell r="S765">
            <v>1.81</v>
          </cell>
          <cell r="T765"/>
          <cell r="U765"/>
          <cell r="V765"/>
          <cell r="W765"/>
          <cell r="X765" t="str">
            <v>LILY</v>
          </cell>
          <cell r="Y765" t="str">
            <v>DMCARE-TRI-03</v>
          </cell>
          <cell r="Z765" t="str">
            <v>LILY 4/4/18</v>
          </cell>
          <cell r="AA765"/>
          <cell r="AB765">
            <v>43194</v>
          </cell>
          <cell r="AC765">
            <v>4757</v>
          </cell>
        </row>
        <row r="766">
          <cell r="B766"/>
          <cell r="C766" t="str">
            <v>ST-LS02144</v>
          </cell>
          <cell r="D766"/>
          <cell r="E766"/>
          <cell r="F766" t="str">
            <v>N/S 95/5</v>
          </cell>
          <cell r="G766" t="str">
            <v>95% NYLON 5% SPANDEX</v>
          </cell>
          <cell r="H766" t="str">
            <v>58</v>
          </cell>
          <cell r="I766">
            <v>115</v>
          </cell>
          <cell r="J766">
            <v>1.5199999999999998</v>
          </cell>
          <cell r="K766">
            <v>1.7199999999999998</v>
          </cell>
          <cell r="L766">
            <v>1.5799999999999998</v>
          </cell>
          <cell r="M766">
            <v>1.7799999999999998</v>
          </cell>
          <cell r="N766">
            <v>1.6199999999999999</v>
          </cell>
          <cell r="O766">
            <v>1.8199999999999998</v>
          </cell>
          <cell r="P766"/>
          <cell r="Q766"/>
          <cell r="R766">
            <v>1.66</v>
          </cell>
          <cell r="S766">
            <v>1.8599999999999999</v>
          </cell>
          <cell r="T766"/>
          <cell r="U766"/>
          <cell r="V766"/>
          <cell r="W766"/>
          <cell r="X766" t="str">
            <v>LILY</v>
          </cell>
          <cell r="Y766" t="str">
            <v>DMCARE-TRI-03</v>
          </cell>
          <cell r="Z766" t="str">
            <v>LILY 4/4/18</v>
          </cell>
          <cell r="AA766"/>
          <cell r="AB766">
            <v>43194</v>
          </cell>
          <cell r="AC766">
            <v>4762</v>
          </cell>
        </row>
        <row r="767">
          <cell r="B767"/>
          <cell r="C767" t="str">
            <v>ST-WV3623</v>
          </cell>
          <cell r="D767"/>
          <cell r="E767"/>
          <cell r="F767" t="str">
            <v>T100%</v>
          </cell>
          <cell r="G767" t="str">
            <v xml:space="preserve">100% POLYESTER </v>
          </cell>
          <cell r="H767" t="str">
            <v>57</v>
          </cell>
          <cell r="I767">
            <v>73</v>
          </cell>
          <cell r="J767">
            <v>1.53</v>
          </cell>
          <cell r="K767">
            <v>1.73</v>
          </cell>
          <cell r="L767">
            <v>1.59</v>
          </cell>
          <cell r="M767">
            <v>1.79</v>
          </cell>
          <cell r="N767">
            <v>1.63</v>
          </cell>
          <cell r="O767">
            <v>1.83</v>
          </cell>
          <cell r="P767"/>
          <cell r="Q767"/>
          <cell r="R767">
            <v>1.67</v>
          </cell>
          <cell r="S767">
            <v>1.87</v>
          </cell>
          <cell r="T767"/>
          <cell r="U767"/>
          <cell r="V767"/>
          <cell r="W767"/>
          <cell r="X767" t="str">
            <v>LILY</v>
          </cell>
          <cell r="Y767" t="str">
            <v>DMCARE-TRI-03</v>
          </cell>
          <cell r="Z767" t="str">
            <v>LILY 4/4/18</v>
          </cell>
          <cell r="AA767"/>
          <cell r="AB767">
            <v>43194</v>
          </cell>
          <cell r="AC767">
            <v>4806</v>
          </cell>
        </row>
        <row r="768">
          <cell r="B768"/>
          <cell r="C768" t="str">
            <v>ST-WV3584</v>
          </cell>
          <cell r="D768"/>
          <cell r="E768"/>
          <cell r="F768" t="str">
            <v>C100%</v>
          </cell>
          <cell r="G768" t="str">
            <v>100% COTTON</v>
          </cell>
          <cell r="H768" t="str">
            <v>57</v>
          </cell>
          <cell r="I768">
            <v>65</v>
          </cell>
          <cell r="J768">
            <v>1.5599999999999998</v>
          </cell>
          <cell r="K768">
            <v>1.7599999999999998</v>
          </cell>
          <cell r="L768">
            <v>1.6199999999999999</v>
          </cell>
          <cell r="M768">
            <v>1.8199999999999998</v>
          </cell>
          <cell r="N768">
            <v>1.66</v>
          </cell>
          <cell r="O768">
            <v>1.8599999999999999</v>
          </cell>
          <cell r="P768"/>
          <cell r="Q768"/>
          <cell r="R768">
            <v>1.7</v>
          </cell>
          <cell r="S768">
            <v>1.9</v>
          </cell>
          <cell r="T768"/>
          <cell r="U768"/>
          <cell r="V768"/>
          <cell r="W768"/>
          <cell r="X768" t="str">
            <v>LILY</v>
          </cell>
          <cell r="Y768" t="str">
            <v>DMCARE-TRI-03</v>
          </cell>
          <cell r="Z768" t="str">
            <v>LILY 4/4/18</v>
          </cell>
          <cell r="AA768"/>
          <cell r="AB768">
            <v>43194</v>
          </cell>
          <cell r="AC768">
            <v>4745</v>
          </cell>
        </row>
        <row r="769">
          <cell r="B769"/>
          <cell r="C769" t="str">
            <v>ST-WV3424</v>
          </cell>
          <cell r="D769"/>
          <cell r="E769"/>
          <cell r="F769" t="str">
            <v>T100%</v>
          </cell>
          <cell r="G769" t="str">
            <v xml:space="preserve">100% POLYESTER </v>
          </cell>
          <cell r="H769" t="str">
            <v>56</v>
          </cell>
          <cell r="I769">
            <v>85</v>
          </cell>
          <cell r="J769">
            <v>1.5799999999999998</v>
          </cell>
          <cell r="K769">
            <v>1.7799999999999998</v>
          </cell>
          <cell r="L769">
            <v>1.64</v>
          </cell>
          <cell r="M769">
            <v>1.8399999999999999</v>
          </cell>
          <cell r="N769">
            <v>1.68</v>
          </cell>
          <cell r="O769">
            <v>1.88</v>
          </cell>
          <cell r="P769"/>
          <cell r="Q769"/>
          <cell r="R769">
            <v>1.72</v>
          </cell>
          <cell r="S769">
            <v>1.92</v>
          </cell>
          <cell r="T769"/>
          <cell r="U769"/>
          <cell r="V769"/>
          <cell r="W769"/>
          <cell r="X769" t="str">
            <v>LILY</v>
          </cell>
          <cell r="Y769" t="str">
            <v>DMCARE-TRI-03</v>
          </cell>
          <cell r="Z769" t="str">
            <v>LILY 4/4/18</v>
          </cell>
          <cell r="AA769"/>
          <cell r="AB769">
            <v>43194</v>
          </cell>
          <cell r="AC769">
            <v>4783</v>
          </cell>
        </row>
        <row r="770">
          <cell r="B770"/>
          <cell r="C770" t="str">
            <v>ST-KN1976</v>
          </cell>
          <cell r="D770"/>
          <cell r="E770"/>
          <cell r="F770" t="str">
            <v>T/S 98/2</v>
          </cell>
          <cell r="G770" t="str">
            <v>98% POLYESTER 2% SPANDEX</v>
          </cell>
          <cell r="H770" t="str">
            <v>57</v>
          </cell>
          <cell r="I770">
            <v>250</v>
          </cell>
          <cell r="J770">
            <v>1.5799999999999998</v>
          </cell>
          <cell r="K770">
            <v>1.7799999999999998</v>
          </cell>
          <cell r="L770">
            <v>1.64</v>
          </cell>
          <cell r="M770">
            <v>1.8399999999999999</v>
          </cell>
          <cell r="N770">
            <v>1.68</v>
          </cell>
          <cell r="O770">
            <v>1.88</v>
          </cell>
          <cell r="P770"/>
          <cell r="Q770"/>
          <cell r="R770">
            <v>1.72</v>
          </cell>
          <cell r="S770">
            <v>1.92</v>
          </cell>
          <cell r="T770"/>
          <cell r="U770"/>
          <cell r="V770"/>
          <cell r="W770"/>
          <cell r="X770" t="str">
            <v>LILY</v>
          </cell>
          <cell r="Y770" t="str">
            <v>DMCARE-TRI-03</v>
          </cell>
          <cell r="Z770" t="str">
            <v>LILY 4/4/18</v>
          </cell>
          <cell r="AA770"/>
          <cell r="AB770">
            <v>43194</v>
          </cell>
          <cell r="AC770">
            <v>4786</v>
          </cell>
        </row>
        <row r="771">
          <cell r="B771"/>
          <cell r="C771" t="str">
            <v>ST-WV3416</v>
          </cell>
          <cell r="D771"/>
          <cell r="E771"/>
          <cell r="F771" t="str">
            <v>T100%</v>
          </cell>
          <cell r="G771" t="str">
            <v xml:space="preserve">100% POLYESTER </v>
          </cell>
          <cell r="H771" t="str">
            <v>57</v>
          </cell>
          <cell r="I771">
            <v>80</v>
          </cell>
          <cell r="J771">
            <v>1.5899999999999999</v>
          </cell>
          <cell r="K771">
            <v>1.7899999999999998</v>
          </cell>
          <cell r="L771">
            <v>1.65</v>
          </cell>
          <cell r="M771">
            <v>1.8499999999999999</v>
          </cell>
          <cell r="N771">
            <v>1.69</v>
          </cell>
          <cell r="O771">
            <v>1.89</v>
          </cell>
          <cell r="P771"/>
          <cell r="Q771"/>
          <cell r="R771">
            <v>1.73</v>
          </cell>
          <cell r="S771">
            <v>1.93</v>
          </cell>
          <cell r="T771"/>
          <cell r="U771"/>
          <cell r="V771"/>
          <cell r="W771"/>
          <cell r="X771" t="str">
            <v>LILY</v>
          </cell>
          <cell r="Y771" t="str">
            <v>DMCARE-TRI-03</v>
          </cell>
          <cell r="Z771" t="str">
            <v>LILY 4/4/18</v>
          </cell>
          <cell r="AA771"/>
          <cell r="AB771">
            <v>43194</v>
          </cell>
          <cell r="AC771">
            <v>4771</v>
          </cell>
        </row>
        <row r="772">
          <cell r="B772"/>
          <cell r="C772" t="str">
            <v>ST-WV3433</v>
          </cell>
          <cell r="D772"/>
          <cell r="E772"/>
          <cell r="F772" t="str">
            <v>T100%</v>
          </cell>
          <cell r="G772" t="str">
            <v xml:space="preserve">100% POLYESTER </v>
          </cell>
          <cell r="H772">
            <v>57</v>
          </cell>
          <cell r="I772">
            <v>100</v>
          </cell>
          <cell r="J772">
            <v>1.5999999999999999</v>
          </cell>
          <cell r="K772">
            <v>1.7999999999999998</v>
          </cell>
          <cell r="L772">
            <v>1.66</v>
          </cell>
          <cell r="M772">
            <v>1.8599999999999999</v>
          </cell>
          <cell r="N772">
            <v>1.7</v>
          </cell>
          <cell r="O772">
            <v>1.9</v>
          </cell>
          <cell r="P772"/>
          <cell r="Q772"/>
          <cell r="R772">
            <v>1.74</v>
          </cell>
          <cell r="S772">
            <v>1.94</v>
          </cell>
          <cell r="T772"/>
          <cell r="U772"/>
          <cell r="V772"/>
          <cell r="W772"/>
          <cell r="X772" t="str">
            <v>LILY</v>
          </cell>
          <cell r="Y772" t="str">
            <v>DMCARE-TRI-03</v>
          </cell>
          <cell r="Z772" t="str">
            <v>LILY 4/4/18</v>
          </cell>
          <cell r="AA772"/>
          <cell r="AB772">
            <v>43194</v>
          </cell>
          <cell r="AC772">
            <v>4753</v>
          </cell>
        </row>
        <row r="773">
          <cell r="B773"/>
          <cell r="C773" t="str">
            <v>ST-WV3590</v>
          </cell>
          <cell r="D773"/>
          <cell r="E773"/>
          <cell r="F773" t="str">
            <v>R/LUREX 99/1</v>
          </cell>
          <cell r="G773" t="str">
            <v>99% RAYON 1% LUREX</v>
          </cell>
          <cell r="H773" t="str">
            <v>55</v>
          </cell>
          <cell r="I773">
            <v>115</v>
          </cell>
          <cell r="J773">
            <v>1.6099999999999999</v>
          </cell>
          <cell r="K773">
            <v>1.8099999999999998</v>
          </cell>
          <cell r="L773">
            <v>1.67</v>
          </cell>
          <cell r="M773">
            <v>1.8699999999999999</v>
          </cell>
          <cell r="N773">
            <v>1.71</v>
          </cell>
          <cell r="O773">
            <v>1.91</v>
          </cell>
          <cell r="P773"/>
          <cell r="Q773"/>
          <cell r="R773">
            <v>1.75</v>
          </cell>
          <cell r="S773">
            <v>1.95</v>
          </cell>
          <cell r="T773"/>
          <cell r="U773"/>
          <cell r="V773"/>
          <cell r="W773"/>
          <cell r="X773" t="str">
            <v>LILY</v>
          </cell>
          <cell r="Y773" t="str">
            <v>DMCARE-TRI-03</v>
          </cell>
          <cell r="Z773" t="str">
            <v>LILY 4/4/18</v>
          </cell>
          <cell r="AA773"/>
          <cell r="AB773">
            <v>43194</v>
          </cell>
          <cell r="AC773">
            <v>4755</v>
          </cell>
        </row>
        <row r="774">
          <cell r="B774"/>
          <cell r="C774" t="str">
            <v>ST-WV1759-1</v>
          </cell>
          <cell r="D774"/>
          <cell r="E774"/>
          <cell r="F774" t="str">
            <v>T/S 97/3</v>
          </cell>
          <cell r="G774" t="str">
            <v>93% POLYESTER  7% SPANDEX</v>
          </cell>
          <cell r="H774" t="str">
            <v>56</v>
          </cell>
          <cell r="I774">
            <v>135</v>
          </cell>
          <cell r="J774">
            <v>1.64</v>
          </cell>
          <cell r="K774">
            <v>1.8399999999999999</v>
          </cell>
          <cell r="L774">
            <v>1.7</v>
          </cell>
          <cell r="M774">
            <v>1.9</v>
          </cell>
          <cell r="N774">
            <v>1.74</v>
          </cell>
          <cell r="O774">
            <v>1.94</v>
          </cell>
          <cell r="P774"/>
          <cell r="Q774"/>
          <cell r="R774">
            <v>1.78</v>
          </cell>
          <cell r="S774">
            <v>1.98</v>
          </cell>
          <cell r="T774"/>
          <cell r="U774"/>
          <cell r="V774"/>
          <cell r="W774"/>
          <cell r="X774" t="str">
            <v>LILY</v>
          </cell>
          <cell r="Y774" t="str">
            <v>DMCARE-TRI-03</v>
          </cell>
          <cell r="Z774" t="str">
            <v>LILY 4/4/18</v>
          </cell>
          <cell r="AA774"/>
          <cell r="AB774">
            <v>43194</v>
          </cell>
          <cell r="AC774">
            <v>4814</v>
          </cell>
        </row>
        <row r="775">
          <cell r="B775"/>
          <cell r="C775" t="str">
            <v>ST-LS02102</v>
          </cell>
          <cell r="D775"/>
          <cell r="E775"/>
          <cell r="F775" t="str">
            <v>N/S 95/5</v>
          </cell>
          <cell r="G775" t="str">
            <v>95% NYLON 5% SPANDEX</v>
          </cell>
          <cell r="H775" t="str">
            <v>57</v>
          </cell>
          <cell r="I775">
            <v>128</v>
          </cell>
          <cell r="J775">
            <v>1.65</v>
          </cell>
          <cell r="K775">
            <v>1.8499999999999999</v>
          </cell>
          <cell r="L775">
            <v>1.71</v>
          </cell>
          <cell r="M775">
            <v>1.91</v>
          </cell>
          <cell r="N775">
            <v>1.75</v>
          </cell>
          <cell r="O775">
            <v>1.95</v>
          </cell>
          <cell r="P775"/>
          <cell r="Q775"/>
          <cell r="R775">
            <v>1.79</v>
          </cell>
          <cell r="S775">
            <v>1.99</v>
          </cell>
          <cell r="T775"/>
          <cell r="U775"/>
          <cell r="V775"/>
          <cell r="W775"/>
          <cell r="X775" t="str">
            <v>LILY</v>
          </cell>
          <cell r="Y775" t="str">
            <v>DMCARE-TRI-03</v>
          </cell>
          <cell r="Z775" t="str">
            <v>LILY 4/4/18</v>
          </cell>
          <cell r="AA775"/>
          <cell r="AB775">
            <v>43194</v>
          </cell>
          <cell r="AC775">
            <v>4792</v>
          </cell>
        </row>
        <row r="776">
          <cell r="B776"/>
          <cell r="C776" t="str">
            <v>ST-WV3583</v>
          </cell>
          <cell r="D776"/>
          <cell r="E776"/>
          <cell r="F776" t="str">
            <v>C100%</v>
          </cell>
          <cell r="G776" t="str">
            <v>100% COTTON</v>
          </cell>
          <cell r="H776" t="str">
            <v>54</v>
          </cell>
          <cell r="I776">
            <v>85</v>
          </cell>
          <cell r="J776">
            <v>1.67</v>
          </cell>
          <cell r="K776">
            <v>1.8699999999999999</v>
          </cell>
          <cell r="L776">
            <v>1.73</v>
          </cell>
          <cell r="M776">
            <v>1.93</v>
          </cell>
          <cell r="N776">
            <v>1.77</v>
          </cell>
          <cell r="O776">
            <v>1.97</v>
          </cell>
          <cell r="P776"/>
          <cell r="Q776"/>
          <cell r="R776">
            <v>1.81</v>
          </cell>
          <cell r="S776">
            <v>2.0100000000000002</v>
          </cell>
          <cell r="T776"/>
          <cell r="U776"/>
          <cell r="V776"/>
          <cell r="W776"/>
          <cell r="X776" t="str">
            <v>LILY</v>
          </cell>
          <cell r="Y776" t="str">
            <v>DMCARE-TRI-03</v>
          </cell>
          <cell r="Z776" t="str">
            <v>LILY 4/4/18</v>
          </cell>
          <cell r="AA776"/>
          <cell r="AB776">
            <v>43194</v>
          </cell>
          <cell r="AC776">
            <v>4746</v>
          </cell>
        </row>
        <row r="777">
          <cell r="B777"/>
          <cell r="C777" t="str">
            <v>ST-WV3614</v>
          </cell>
          <cell r="D777"/>
          <cell r="E777"/>
          <cell r="F777" t="str">
            <v>T100%</v>
          </cell>
          <cell r="G777" t="str">
            <v xml:space="preserve">100% POLYESTER </v>
          </cell>
          <cell r="H777" t="str">
            <v>57</v>
          </cell>
          <cell r="I777">
            <v>87</v>
          </cell>
          <cell r="J777">
            <v>1.69</v>
          </cell>
          <cell r="K777">
            <v>1.89</v>
          </cell>
          <cell r="L777">
            <v>1.75</v>
          </cell>
          <cell r="M777">
            <v>1.95</v>
          </cell>
          <cell r="N777">
            <v>1.79</v>
          </cell>
          <cell r="O777">
            <v>1.99</v>
          </cell>
          <cell r="P777"/>
          <cell r="Q777"/>
          <cell r="R777">
            <v>1.83</v>
          </cell>
          <cell r="S777">
            <v>2.0300000000000002</v>
          </cell>
          <cell r="T777"/>
          <cell r="U777"/>
          <cell r="V777"/>
          <cell r="W777"/>
          <cell r="X777" t="str">
            <v>LILY</v>
          </cell>
          <cell r="Y777" t="str">
            <v>DMCARE-TRI-03</v>
          </cell>
          <cell r="Z777" t="str">
            <v>LILY 4/4/18</v>
          </cell>
          <cell r="AA777"/>
          <cell r="AB777">
            <v>43194</v>
          </cell>
          <cell r="AC777">
            <v>4817</v>
          </cell>
        </row>
        <row r="778">
          <cell r="B778"/>
          <cell r="C778" t="str">
            <v>ST-WV3907</v>
          </cell>
          <cell r="D778"/>
          <cell r="E778"/>
          <cell r="F778" t="str">
            <v>T100%</v>
          </cell>
          <cell r="G778" t="str">
            <v xml:space="preserve">100% POLYESTER </v>
          </cell>
          <cell r="H778" t="str">
            <v>57</v>
          </cell>
          <cell r="I778">
            <v>150</v>
          </cell>
          <cell r="J778">
            <v>1.71</v>
          </cell>
          <cell r="K778">
            <v>1.91</v>
          </cell>
          <cell r="L778">
            <v>1.77</v>
          </cell>
          <cell r="M778">
            <v>1.97</v>
          </cell>
          <cell r="N778">
            <v>1.81</v>
          </cell>
          <cell r="O778">
            <v>2.0100000000000002</v>
          </cell>
          <cell r="P778"/>
          <cell r="Q778"/>
          <cell r="R778">
            <v>1.85</v>
          </cell>
          <cell r="S778">
            <v>2.0500000000000003</v>
          </cell>
          <cell r="T778"/>
          <cell r="U778"/>
          <cell r="V778"/>
          <cell r="W778"/>
          <cell r="X778" t="str">
            <v>LILY</v>
          </cell>
          <cell r="Y778" t="str">
            <v>DMCARE-TRI-03</v>
          </cell>
          <cell r="Z778" t="str">
            <v>LILY 4/4/18</v>
          </cell>
          <cell r="AA778"/>
          <cell r="AB778">
            <v>43194</v>
          </cell>
          <cell r="AC778">
            <v>4756</v>
          </cell>
        </row>
        <row r="779">
          <cell r="B779"/>
          <cell r="C779" t="str">
            <v>ST-WV3905</v>
          </cell>
          <cell r="D779"/>
          <cell r="E779"/>
          <cell r="F779" t="str">
            <v>T100%</v>
          </cell>
          <cell r="G779" t="str">
            <v xml:space="preserve">100% POLYESTER </v>
          </cell>
          <cell r="H779" t="str">
            <v>57</v>
          </cell>
          <cell r="I779">
            <v>150</v>
          </cell>
          <cell r="J779">
            <v>1.71</v>
          </cell>
          <cell r="K779">
            <v>1.91</v>
          </cell>
          <cell r="L779">
            <v>1.77</v>
          </cell>
          <cell r="M779">
            <v>1.97</v>
          </cell>
          <cell r="N779">
            <v>1.81</v>
          </cell>
          <cell r="O779">
            <v>2.0100000000000002</v>
          </cell>
          <cell r="P779"/>
          <cell r="Q779"/>
          <cell r="R779">
            <v>1.85</v>
          </cell>
          <cell r="S779">
            <v>2.0500000000000003</v>
          </cell>
          <cell r="T779"/>
          <cell r="U779"/>
          <cell r="V779"/>
          <cell r="W779"/>
          <cell r="X779" t="str">
            <v>LILY</v>
          </cell>
          <cell r="Y779" t="str">
            <v>DMCARE-TRI-03</v>
          </cell>
          <cell r="Z779" t="str">
            <v>LILY 4/4/18</v>
          </cell>
          <cell r="AA779"/>
          <cell r="AB779">
            <v>43194</v>
          </cell>
          <cell r="AC779">
            <v>4760</v>
          </cell>
        </row>
        <row r="780">
          <cell r="B780"/>
          <cell r="C780" t="str">
            <v>ST-WV3906</v>
          </cell>
          <cell r="D780"/>
          <cell r="E780"/>
          <cell r="F780" t="str">
            <v>T100%</v>
          </cell>
          <cell r="G780" t="str">
            <v xml:space="preserve">100% POLYESTER </v>
          </cell>
          <cell r="H780" t="str">
            <v>57</v>
          </cell>
          <cell r="I780">
            <v>150</v>
          </cell>
          <cell r="J780">
            <v>1.71</v>
          </cell>
          <cell r="K780">
            <v>1.91</v>
          </cell>
          <cell r="L780">
            <v>1.77</v>
          </cell>
          <cell r="M780">
            <v>1.97</v>
          </cell>
          <cell r="N780">
            <v>1.81</v>
          </cell>
          <cell r="O780">
            <v>2.0100000000000002</v>
          </cell>
          <cell r="P780"/>
          <cell r="Q780"/>
          <cell r="R780">
            <v>1.85</v>
          </cell>
          <cell r="S780">
            <v>2.0500000000000003</v>
          </cell>
          <cell r="T780"/>
          <cell r="U780"/>
          <cell r="V780"/>
          <cell r="W780"/>
          <cell r="X780" t="str">
            <v>LILY</v>
          </cell>
          <cell r="Y780" t="str">
            <v>DMCARE-TRI-03</v>
          </cell>
          <cell r="Z780" t="str">
            <v>LILY 4/4/18</v>
          </cell>
          <cell r="AA780"/>
          <cell r="AB780">
            <v>43194</v>
          </cell>
          <cell r="AC780">
            <v>4775</v>
          </cell>
        </row>
        <row r="781">
          <cell r="B781"/>
          <cell r="C781" t="str">
            <v>ST-WV3581</v>
          </cell>
          <cell r="D781"/>
          <cell r="E781"/>
          <cell r="F781" t="str">
            <v>R/C 75/25</v>
          </cell>
          <cell r="G781" t="str">
            <v>75% RAYON  25% COTTON</v>
          </cell>
          <cell r="H781" t="str">
            <v>55</v>
          </cell>
          <cell r="I781">
            <v>90</v>
          </cell>
          <cell r="J781">
            <v>1.72</v>
          </cell>
          <cell r="K781">
            <v>1.92</v>
          </cell>
          <cell r="L781">
            <v>1.78</v>
          </cell>
          <cell r="M781">
            <v>1.98</v>
          </cell>
          <cell r="N781">
            <v>1.82</v>
          </cell>
          <cell r="O781">
            <v>2.02</v>
          </cell>
          <cell r="P781"/>
          <cell r="Q781"/>
          <cell r="R781">
            <v>1.86</v>
          </cell>
          <cell r="S781">
            <v>2.06</v>
          </cell>
          <cell r="T781"/>
          <cell r="U781"/>
          <cell r="V781"/>
          <cell r="W781"/>
          <cell r="X781" t="str">
            <v>LILY</v>
          </cell>
          <cell r="Y781" t="str">
            <v>DMCARE-TRI-03</v>
          </cell>
          <cell r="Z781" t="str">
            <v>LILY 4/4/18</v>
          </cell>
          <cell r="AA781"/>
          <cell r="AB781">
            <v>43194</v>
          </cell>
          <cell r="AC781">
            <v>4813</v>
          </cell>
        </row>
        <row r="782">
          <cell r="B782"/>
          <cell r="C782" t="str">
            <v>ST-WV3949</v>
          </cell>
          <cell r="D782"/>
          <cell r="E782"/>
          <cell r="F782" t="str">
            <v>T100%</v>
          </cell>
          <cell r="G782" t="str">
            <v xml:space="preserve">100% POLYESTER </v>
          </cell>
          <cell r="H782" t="str">
            <v>54</v>
          </cell>
          <cell r="I782">
            <v>145</v>
          </cell>
          <cell r="J782">
            <v>1.73</v>
          </cell>
          <cell r="K782">
            <v>1.93</v>
          </cell>
          <cell r="L782">
            <v>1.79</v>
          </cell>
          <cell r="M782">
            <v>1.99</v>
          </cell>
          <cell r="N782">
            <v>1.83</v>
          </cell>
          <cell r="O782">
            <v>2.0300000000000002</v>
          </cell>
          <cell r="P782"/>
          <cell r="Q782"/>
          <cell r="R782">
            <v>1.87</v>
          </cell>
          <cell r="S782">
            <v>2.0700000000000003</v>
          </cell>
          <cell r="T782"/>
          <cell r="U782"/>
          <cell r="V782"/>
          <cell r="W782"/>
          <cell r="X782" t="str">
            <v>LILY</v>
          </cell>
          <cell r="Y782" t="str">
            <v>DMCARE-TRI-03</v>
          </cell>
          <cell r="Z782" t="str">
            <v>LILY 4/4/18</v>
          </cell>
          <cell r="AA782"/>
          <cell r="AB782">
            <v>43194</v>
          </cell>
          <cell r="AC782">
            <v>4770</v>
          </cell>
        </row>
        <row r="783">
          <cell r="B783"/>
          <cell r="C783" t="str">
            <v>ST-WV3399</v>
          </cell>
          <cell r="D783"/>
          <cell r="E783"/>
          <cell r="F783" t="str">
            <v>T100%</v>
          </cell>
          <cell r="G783" t="str">
            <v xml:space="preserve">100% POLYESTER </v>
          </cell>
          <cell r="H783" t="str">
            <v>57</v>
          </cell>
          <cell r="I783">
            <v>65</v>
          </cell>
          <cell r="J783">
            <v>1.73</v>
          </cell>
          <cell r="K783">
            <v>1.93</v>
          </cell>
          <cell r="L783">
            <v>1.79</v>
          </cell>
          <cell r="M783">
            <v>1.99</v>
          </cell>
          <cell r="N783">
            <v>1.83</v>
          </cell>
          <cell r="O783">
            <v>2.0300000000000002</v>
          </cell>
          <cell r="P783"/>
          <cell r="Q783"/>
          <cell r="R783">
            <v>1.87</v>
          </cell>
          <cell r="S783">
            <v>2.0700000000000003</v>
          </cell>
          <cell r="T783"/>
          <cell r="U783"/>
          <cell r="V783"/>
          <cell r="W783"/>
          <cell r="X783" t="str">
            <v>LILY</v>
          </cell>
          <cell r="Y783" t="str">
            <v>DMCARE-TRI-03</v>
          </cell>
          <cell r="Z783" t="str">
            <v>LILY 4/4/18</v>
          </cell>
          <cell r="AA783"/>
          <cell r="AB783">
            <v>43194</v>
          </cell>
          <cell r="AC783">
            <v>4791</v>
          </cell>
        </row>
        <row r="784">
          <cell r="B784"/>
          <cell r="C784" t="str">
            <v>ST-KN2405</v>
          </cell>
          <cell r="D784"/>
          <cell r="E784"/>
          <cell r="F784" t="str">
            <v>T/S 90/10</v>
          </cell>
          <cell r="G784" t="str">
            <v>90% POLYESTER 10% SPANDEX</v>
          </cell>
          <cell r="H784" t="str">
            <v>58</v>
          </cell>
          <cell r="I784">
            <v>230</v>
          </cell>
          <cell r="J784">
            <v>1.7499999999999998</v>
          </cell>
          <cell r="K784">
            <v>1.9499999999999997</v>
          </cell>
          <cell r="L784">
            <v>1.8099999999999998</v>
          </cell>
          <cell r="M784">
            <v>2.0099999999999998</v>
          </cell>
          <cell r="N784">
            <v>1.8499999999999999</v>
          </cell>
          <cell r="O784">
            <v>2.0499999999999998</v>
          </cell>
          <cell r="P784"/>
          <cell r="Q784"/>
          <cell r="R784">
            <v>1.89</v>
          </cell>
          <cell r="S784">
            <v>2.09</v>
          </cell>
          <cell r="T784"/>
          <cell r="U784"/>
          <cell r="V784"/>
          <cell r="W784"/>
          <cell r="X784" t="str">
            <v>LILY</v>
          </cell>
          <cell r="Y784" t="str">
            <v>DMCARE-TRI-03</v>
          </cell>
          <cell r="Z784" t="str">
            <v>LILY 4/4/18</v>
          </cell>
          <cell r="AA784"/>
          <cell r="AB784">
            <v>43194</v>
          </cell>
          <cell r="AC784">
            <v>4784</v>
          </cell>
        </row>
        <row r="785">
          <cell r="B785"/>
          <cell r="C785" t="str">
            <v>ST-KN2400</v>
          </cell>
          <cell r="D785"/>
          <cell r="E785"/>
          <cell r="F785" t="str">
            <v>T/S 90/10</v>
          </cell>
          <cell r="G785" t="str">
            <v>90% POLYESTER 10% SPANDEX</v>
          </cell>
          <cell r="H785" t="str">
            <v>58</v>
          </cell>
          <cell r="I785">
            <v>230</v>
          </cell>
          <cell r="J785">
            <v>1.7499999999999998</v>
          </cell>
          <cell r="K785">
            <v>1.9499999999999997</v>
          </cell>
          <cell r="L785">
            <v>1.8099999999999998</v>
          </cell>
          <cell r="M785">
            <v>2.0099999999999998</v>
          </cell>
          <cell r="N785">
            <v>1.8499999999999999</v>
          </cell>
          <cell r="O785">
            <v>2.0499999999999998</v>
          </cell>
          <cell r="P785"/>
          <cell r="Q785"/>
          <cell r="R785">
            <v>1.89</v>
          </cell>
          <cell r="S785">
            <v>2.09</v>
          </cell>
          <cell r="T785"/>
          <cell r="U785"/>
          <cell r="V785"/>
          <cell r="W785"/>
          <cell r="X785" t="str">
            <v>LILY</v>
          </cell>
          <cell r="Y785" t="str">
            <v>DMCARE-TRI-03</v>
          </cell>
          <cell r="Z785" t="str">
            <v>LILY 4/4/18</v>
          </cell>
          <cell r="AA785"/>
          <cell r="AB785">
            <v>43194</v>
          </cell>
          <cell r="AC785">
            <v>4785</v>
          </cell>
        </row>
        <row r="786">
          <cell r="B786"/>
          <cell r="C786" t="str">
            <v>ST-KN2402</v>
          </cell>
          <cell r="D786"/>
          <cell r="E786"/>
          <cell r="F786" t="str">
            <v>T/S 90/10</v>
          </cell>
          <cell r="G786" t="str">
            <v>90% POLYESTER 10% SPANDEX</v>
          </cell>
          <cell r="H786" t="str">
            <v>58</v>
          </cell>
          <cell r="I786">
            <v>230</v>
          </cell>
          <cell r="J786">
            <v>1.7499999999999998</v>
          </cell>
          <cell r="K786">
            <v>1.9499999999999997</v>
          </cell>
          <cell r="L786">
            <v>1.8099999999999998</v>
          </cell>
          <cell r="M786">
            <v>2.0099999999999998</v>
          </cell>
          <cell r="N786">
            <v>1.8499999999999999</v>
          </cell>
          <cell r="O786">
            <v>2.0499999999999998</v>
          </cell>
          <cell r="P786"/>
          <cell r="Q786"/>
          <cell r="R786">
            <v>1.89</v>
          </cell>
          <cell r="S786">
            <v>2.09</v>
          </cell>
          <cell r="T786"/>
          <cell r="U786"/>
          <cell r="V786"/>
          <cell r="W786"/>
          <cell r="X786" t="str">
            <v>LILY</v>
          </cell>
          <cell r="Y786" t="str">
            <v>DMCARE-TRI-03</v>
          </cell>
          <cell r="Z786" t="str">
            <v>LILY 4/4/18</v>
          </cell>
          <cell r="AA786"/>
          <cell r="AB786">
            <v>43194</v>
          </cell>
          <cell r="AC786">
            <v>4804</v>
          </cell>
        </row>
        <row r="787">
          <cell r="B787"/>
          <cell r="C787" t="str">
            <v>ST-KN2163</v>
          </cell>
          <cell r="D787"/>
          <cell r="E787"/>
          <cell r="F787" t="str">
            <v>T/S 95/5</v>
          </cell>
          <cell r="G787" t="str">
            <v>95% POLYESTER 5% SPANDEX</v>
          </cell>
          <cell r="H787" t="str">
            <v>61</v>
          </cell>
          <cell r="I787">
            <v>270</v>
          </cell>
          <cell r="J787">
            <v>1.7999999999999998</v>
          </cell>
          <cell r="K787">
            <v>1.9999999999999998</v>
          </cell>
          <cell r="L787">
            <v>1.8599999999999999</v>
          </cell>
          <cell r="M787">
            <v>2.06</v>
          </cell>
          <cell r="N787">
            <v>1.9</v>
          </cell>
          <cell r="O787">
            <v>2.1</v>
          </cell>
          <cell r="P787"/>
          <cell r="Q787"/>
          <cell r="R787">
            <v>1.94</v>
          </cell>
          <cell r="S787">
            <v>2.14</v>
          </cell>
          <cell r="T787"/>
          <cell r="U787"/>
          <cell r="V787"/>
          <cell r="W787"/>
          <cell r="X787" t="str">
            <v>LILY</v>
          </cell>
          <cell r="Y787" t="str">
            <v>DMCARE-TRI-03</v>
          </cell>
          <cell r="Z787" t="str">
            <v>LILY 4/4/18</v>
          </cell>
          <cell r="AA787"/>
          <cell r="AB787">
            <v>43194</v>
          </cell>
          <cell r="AC787">
            <v>4781</v>
          </cell>
        </row>
        <row r="788">
          <cell r="B788"/>
          <cell r="C788" t="str">
            <v>ST-WV3594</v>
          </cell>
          <cell r="D788"/>
          <cell r="E788"/>
          <cell r="F788" t="str">
            <v>C/R 95/5</v>
          </cell>
          <cell r="G788" t="str">
            <v>95% COTTON 5% RAYON</v>
          </cell>
          <cell r="H788" t="str">
            <v>55</v>
          </cell>
          <cell r="I788">
            <v>95</v>
          </cell>
          <cell r="J788">
            <v>1.9299999999999997</v>
          </cell>
          <cell r="K788">
            <v>2.13</v>
          </cell>
          <cell r="L788">
            <v>1.9899999999999998</v>
          </cell>
          <cell r="M788">
            <v>2.19</v>
          </cell>
          <cell r="N788">
            <v>2.0299999999999998</v>
          </cell>
          <cell r="O788">
            <v>2.23</v>
          </cell>
          <cell r="P788"/>
          <cell r="Q788"/>
          <cell r="R788">
            <v>2.0699999999999998</v>
          </cell>
          <cell r="S788">
            <v>2.27</v>
          </cell>
          <cell r="T788"/>
          <cell r="U788"/>
          <cell r="V788"/>
          <cell r="W788"/>
          <cell r="X788" t="str">
            <v>LILY</v>
          </cell>
          <cell r="Y788" t="str">
            <v>DMCARE-TRI-03</v>
          </cell>
          <cell r="Z788" t="str">
            <v>LILY 4/4/18</v>
          </cell>
          <cell r="AA788"/>
          <cell r="AB788">
            <v>43194</v>
          </cell>
          <cell r="AC788">
            <v>4774</v>
          </cell>
        </row>
        <row r="789">
          <cell r="B789"/>
          <cell r="C789" t="str">
            <v>ST-LM068</v>
          </cell>
          <cell r="D789"/>
          <cell r="E789"/>
          <cell r="F789" t="str">
            <v>T/S 95/5</v>
          </cell>
          <cell r="G789" t="str">
            <v>95% POLYESTER 5% SPANDEX</v>
          </cell>
          <cell r="H789" t="str">
            <v>58</v>
          </cell>
          <cell r="I789">
            <v>230</v>
          </cell>
          <cell r="J789">
            <v>1.9699999999999998</v>
          </cell>
          <cell r="K789">
            <v>2.17</v>
          </cell>
          <cell r="L789">
            <v>2.0299999999999998</v>
          </cell>
          <cell r="M789">
            <v>2.23</v>
          </cell>
          <cell r="N789">
            <v>2.0699999999999998</v>
          </cell>
          <cell r="O789">
            <v>2.27</v>
          </cell>
          <cell r="P789"/>
          <cell r="Q789"/>
          <cell r="R789">
            <v>2.11</v>
          </cell>
          <cell r="S789">
            <v>2.31</v>
          </cell>
          <cell r="T789"/>
          <cell r="U789"/>
          <cell r="V789"/>
          <cell r="W789"/>
          <cell r="X789" t="str">
            <v>LILY</v>
          </cell>
          <cell r="Y789" t="str">
            <v>DMCARE-TRI-03</v>
          </cell>
          <cell r="Z789" t="str">
            <v>LILY 4/4/18</v>
          </cell>
          <cell r="AA789"/>
          <cell r="AB789">
            <v>43194</v>
          </cell>
          <cell r="AC789">
            <v>4773</v>
          </cell>
        </row>
        <row r="790">
          <cell r="B790"/>
          <cell r="C790" t="str">
            <v>ST-WV3761</v>
          </cell>
          <cell r="D790"/>
          <cell r="E790"/>
          <cell r="F790" t="str">
            <v>R/V 50/50</v>
          </cell>
          <cell r="G790" t="str">
            <v xml:space="preserve">50% RAYON  50% VISCOSE </v>
          </cell>
          <cell r="H790" t="str">
            <v>53</v>
          </cell>
          <cell r="I790">
            <v>125</v>
          </cell>
          <cell r="J790">
            <v>1.9899999999999998</v>
          </cell>
          <cell r="K790">
            <v>2.19</v>
          </cell>
          <cell r="L790">
            <v>2.0499999999999998</v>
          </cell>
          <cell r="M790">
            <v>2.25</v>
          </cell>
          <cell r="N790">
            <v>2.09</v>
          </cell>
          <cell r="O790">
            <v>2.29</v>
          </cell>
          <cell r="P790"/>
          <cell r="Q790"/>
          <cell r="R790">
            <v>2.13</v>
          </cell>
          <cell r="S790">
            <v>2.33</v>
          </cell>
          <cell r="T790"/>
          <cell r="U790"/>
          <cell r="V790"/>
          <cell r="W790"/>
          <cell r="X790" t="str">
            <v>LILY</v>
          </cell>
          <cell r="Y790" t="str">
            <v>DMCARE-TRI-03</v>
          </cell>
          <cell r="Z790" t="str">
            <v>LILY 4/4/18</v>
          </cell>
          <cell r="AA790"/>
          <cell r="AB790">
            <v>43194</v>
          </cell>
          <cell r="AC790">
            <v>4754</v>
          </cell>
        </row>
        <row r="791">
          <cell r="B791"/>
          <cell r="C791" t="str">
            <v>ST-WV3445</v>
          </cell>
          <cell r="D791"/>
          <cell r="E791"/>
          <cell r="F791" t="str">
            <v>T/S 93/7</v>
          </cell>
          <cell r="G791" t="str">
            <v>93% POLYESTER 7% SPANDEX</v>
          </cell>
          <cell r="H791" t="str">
            <v>57</v>
          </cell>
          <cell r="I791">
            <v>150</v>
          </cell>
          <cell r="J791">
            <v>2.0099999999999998</v>
          </cell>
          <cell r="K791">
            <v>2.21</v>
          </cell>
          <cell r="L791">
            <v>2.0699999999999998</v>
          </cell>
          <cell r="M791">
            <v>2.27</v>
          </cell>
          <cell r="N791">
            <v>2.11</v>
          </cell>
          <cell r="O791">
            <v>2.31</v>
          </cell>
          <cell r="P791"/>
          <cell r="Q791"/>
          <cell r="R791">
            <v>2.15</v>
          </cell>
          <cell r="S791">
            <v>2.35</v>
          </cell>
          <cell r="T791"/>
          <cell r="U791"/>
          <cell r="V791"/>
          <cell r="W791"/>
          <cell r="X791" t="str">
            <v>LILY</v>
          </cell>
          <cell r="Y791" t="str">
            <v>DMCARE-TRI-03</v>
          </cell>
          <cell r="Z791" t="str">
            <v>LILY 4/4/18</v>
          </cell>
          <cell r="AA791"/>
          <cell r="AB791">
            <v>43194</v>
          </cell>
          <cell r="AC791">
            <v>4805</v>
          </cell>
        </row>
        <row r="792">
          <cell r="B792"/>
          <cell r="C792" t="str">
            <v>ST-WV3446</v>
          </cell>
          <cell r="D792"/>
          <cell r="E792"/>
          <cell r="F792" t="str">
            <v>T100%</v>
          </cell>
          <cell r="G792" t="str">
            <v xml:space="preserve">100% POLYESTER </v>
          </cell>
          <cell r="H792" t="str">
            <v>57</v>
          </cell>
          <cell r="I792">
            <v>120</v>
          </cell>
          <cell r="J792">
            <v>2.0499999999999998</v>
          </cell>
          <cell r="K792">
            <v>2.25</v>
          </cell>
          <cell r="L792">
            <v>2.11</v>
          </cell>
          <cell r="M792">
            <v>2.31</v>
          </cell>
          <cell r="N792">
            <v>2.15</v>
          </cell>
          <cell r="O792">
            <v>2.35</v>
          </cell>
          <cell r="P792"/>
          <cell r="Q792"/>
          <cell r="R792">
            <v>2.19</v>
          </cell>
          <cell r="S792">
            <v>2.39</v>
          </cell>
          <cell r="T792"/>
          <cell r="U792"/>
          <cell r="V792"/>
          <cell r="W792"/>
          <cell r="X792" t="str">
            <v>LILY</v>
          </cell>
          <cell r="Y792" t="str">
            <v>DMCARE-TRI-03</v>
          </cell>
          <cell r="Z792" t="str">
            <v>LILY 4/4/18</v>
          </cell>
          <cell r="AA792"/>
          <cell r="AB792">
            <v>43194</v>
          </cell>
          <cell r="AC792">
            <v>4812</v>
          </cell>
        </row>
        <row r="793">
          <cell r="B793"/>
          <cell r="C793" t="str">
            <v>ST-WV3587</v>
          </cell>
          <cell r="D793"/>
          <cell r="E793"/>
          <cell r="F793" t="str">
            <v>C100%</v>
          </cell>
          <cell r="G793" t="str">
            <v>100% COTTON</v>
          </cell>
          <cell r="H793" t="str">
            <v>55</v>
          </cell>
          <cell r="I793">
            <v>80</v>
          </cell>
          <cell r="J793">
            <v>2.08</v>
          </cell>
          <cell r="K793">
            <v>2.2800000000000002</v>
          </cell>
          <cell r="L793">
            <v>2.14</v>
          </cell>
          <cell r="M793">
            <v>2.3400000000000003</v>
          </cell>
          <cell r="N793">
            <v>2.1800000000000002</v>
          </cell>
          <cell r="O793">
            <v>2.3800000000000003</v>
          </cell>
          <cell r="P793"/>
          <cell r="Q793"/>
          <cell r="R793">
            <v>2.2200000000000002</v>
          </cell>
          <cell r="S793">
            <v>2.4200000000000004</v>
          </cell>
          <cell r="T793"/>
          <cell r="U793"/>
          <cell r="V793"/>
          <cell r="W793"/>
          <cell r="X793" t="str">
            <v>LILY</v>
          </cell>
          <cell r="Y793" t="str">
            <v>DMCARE-TRI-03</v>
          </cell>
          <cell r="Z793" t="str">
            <v>LILY 4/4/18</v>
          </cell>
          <cell r="AA793"/>
          <cell r="AB793">
            <v>43194</v>
          </cell>
          <cell r="AC793">
            <v>4833</v>
          </cell>
        </row>
        <row r="794">
          <cell r="B794"/>
          <cell r="C794" t="str">
            <v>ST-LM065</v>
          </cell>
          <cell r="D794"/>
          <cell r="E794"/>
          <cell r="F794" t="str">
            <v>T/R/S 74/24/2</v>
          </cell>
          <cell r="G794" t="str">
            <v>74% POLYESTER 24% RAYON 2% SPANDEX</v>
          </cell>
          <cell r="H794" t="str">
            <v>60</v>
          </cell>
          <cell r="I794">
            <v>270</v>
          </cell>
          <cell r="J794">
            <v>2.11</v>
          </cell>
          <cell r="K794">
            <v>2.31</v>
          </cell>
          <cell r="L794">
            <v>2.17</v>
          </cell>
          <cell r="M794">
            <v>2.37</v>
          </cell>
          <cell r="N794">
            <v>2.21</v>
          </cell>
          <cell r="O794">
            <v>2.41</v>
          </cell>
          <cell r="P794"/>
          <cell r="Q794"/>
          <cell r="R794">
            <v>2.25</v>
          </cell>
          <cell r="S794">
            <v>2.4500000000000002</v>
          </cell>
          <cell r="T794"/>
          <cell r="U794"/>
          <cell r="V794"/>
          <cell r="W794"/>
          <cell r="X794" t="str">
            <v>LILY</v>
          </cell>
          <cell r="Y794" t="str">
            <v>DMCARE-TRI-03</v>
          </cell>
          <cell r="Z794" t="str">
            <v>LILY 4/4/18</v>
          </cell>
          <cell r="AA794"/>
          <cell r="AB794">
            <v>43194</v>
          </cell>
          <cell r="AC794">
            <v>4830</v>
          </cell>
        </row>
        <row r="795">
          <cell r="B795"/>
          <cell r="C795" t="str">
            <v>ST-LM061</v>
          </cell>
          <cell r="D795"/>
          <cell r="E795"/>
          <cell r="F795" t="str">
            <v>T/R/S 76/20/4</v>
          </cell>
          <cell r="G795" t="str">
            <v>76% POLYESTER 20% RAYON 4% SPANDEX</v>
          </cell>
          <cell r="H795" t="str">
            <v>62</v>
          </cell>
          <cell r="I795">
            <v>260</v>
          </cell>
          <cell r="J795">
            <v>2.11</v>
          </cell>
          <cell r="K795">
            <v>2.31</v>
          </cell>
          <cell r="L795">
            <v>2.17</v>
          </cell>
          <cell r="M795">
            <v>2.37</v>
          </cell>
          <cell r="N795">
            <v>2.21</v>
          </cell>
          <cell r="O795">
            <v>2.41</v>
          </cell>
          <cell r="P795"/>
          <cell r="Q795"/>
          <cell r="R795">
            <v>2.25</v>
          </cell>
          <cell r="S795">
            <v>2.4500000000000002</v>
          </cell>
          <cell r="T795"/>
          <cell r="U795"/>
          <cell r="V795"/>
          <cell r="W795"/>
          <cell r="X795" t="str">
            <v>LILY</v>
          </cell>
          <cell r="Y795" t="str">
            <v>DMCARE-TRI-03</v>
          </cell>
          <cell r="Z795" t="str">
            <v>LILY 4/4/18</v>
          </cell>
          <cell r="AA795"/>
          <cell r="AB795">
            <v>43194</v>
          </cell>
          <cell r="AC795">
            <v>4831</v>
          </cell>
        </row>
        <row r="796">
          <cell r="B796"/>
          <cell r="C796" t="str">
            <v>ST-LM073</v>
          </cell>
          <cell r="D796"/>
          <cell r="E796"/>
          <cell r="F796" t="str">
            <v>T/S 95/5</v>
          </cell>
          <cell r="G796" t="str">
            <v>95% POLYESTER 5% SPANDEX</v>
          </cell>
          <cell r="H796" t="str">
            <v>59</v>
          </cell>
          <cell r="I796">
            <v>240</v>
          </cell>
          <cell r="J796">
            <v>2.1799999999999997</v>
          </cell>
          <cell r="K796">
            <v>2.38</v>
          </cell>
          <cell r="L796">
            <v>2.2399999999999998</v>
          </cell>
          <cell r="M796">
            <v>2.44</v>
          </cell>
          <cell r="N796">
            <v>2.2799999999999998</v>
          </cell>
          <cell r="O796">
            <v>2.48</v>
          </cell>
          <cell r="P796"/>
          <cell r="Q796"/>
          <cell r="R796">
            <v>2.3199999999999998</v>
          </cell>
          <cell r="S796">
            <v>2.52</v>
          </cell>
          <cell r="T796"/>
          <cell r="U796"/>
          <cell r="V796"/>
          <cell r="W796"/>
          <cell r="X796" t="str">
            <v>LILY</v>
          </cell>
          <cell r="Y796" t="str">
            <v>DMCARE-TRI-03</v>
          </cell>
          <cell r="Z796" t="str">
            <v>LILY 4/4/18</v>
          </cell>
          <cell r="AA796"/>
          <cell r="AB796">
            <v>43194</v>
          </cell>
          <cell r="AC796">
            <v>4788</v>
          </cell>
        </row>
        <row r="797">
          <cell r="B797"/>
          <cell r="C797" t="str">
            <v>ST-WV3348</v>
          </cell>
          <cell r="D797"/>
          <cell r="E797"/>
          <cell r="F797" t="str">
            <v>T100%</v>
          </cell>
          <cell r="G797" t="str">
            <v xml:space="preserve">100% POLYESTER </v>
          </cell>
          <cell r="H797" t="str">
            <v>57</v>
          </cell>
          <cell r="I797">
            <v>230</v>
          </cell>
          <cell r="J797">
            <v>2.21</v>
          </cell>
          <cell r="K797">
            <v>2.41</v>
          </cell>
          <cell r="L797">
            <v>2.27</v>
          </cell>
          <cell r="M797">
            <v>2.4700000000000002</v>
          </cell>
          <cell r="N797">
            <v>2.31</v>
          </cell>
          <cell r="O797">
            <v>2.5100000000000002</v>
          </cell>
          <cell r="P797"/>
          <cell r="Q797"/>
          <cell r="R797">
            <v>2.35</v>
          </cell>
          <cell r="S797">
            <v>2.5500000000000003</v>
          </cell>
          <cell r="T797"/>
          <cell r="U797"/>
          <cell r="V797"/>
          <cell r="W797"/>
          <cell r="X797" t="str">
            <v>LILY</v>
          </cell>
          <cell r="Y797" t="str">
            <v>DMCARE-TRI-03</v>
          </cell>
          <cell r="Z797" t="str">
            <v>LILY 4/4/18</v>
          </cell>
          <cell r="AA797"/>
          <cell r="AB797">
            <v>43194</v>
          </cell>
          <cell r="AC797">
            <v>4790</v>
          </cell>
        </row>
        <row r="798">
          <cell r="B798"/>
          <cell r="C798" t="str">
            <v>ST-WV3591</v>
          </cell>
          <cell r="D798"/>
          <cell r="E798"/>
          <cell r="F798" t="str">
            <v>C100%</v>
          </cell>
          <cell r="G798" t="str">
            <v>100% COTTON</v>
          </cell>
          <cell r="H798" t="str">
            <v>54</v>
          </cell>
          <cell r="I798">
            <v>70</v>
          </cell>
          <cell r="J798">
            <v>2.3199999999999998</v>
          </cell>
          <cell r="K798">
            <v>2.52</v>
          </cell>
          <cell r="L798">
            <v>2.38</v>
          </cell>
          <cell r="M798">
            <v>2.58</v>
          </cell>
          <cell r="N798">
            <v>2.42</v>
          </cell>
          <cell r="O798">
            <v>2.62</v>
          </cell>
          <cell r="P798"/>
          <cell r="Q798"/>
          <cell r="R798">
            <v>2.46</v>
          </cell>
          <cell r="S798">
            <v>2.66</v>
          </cell>
          <cell r="T798"/>
          <cell r="U798"/>
          <cell r="V798"/>
          <cell r="W798"/>
          <cell r="X798" t="str">
            <v>LILY</v>
          </cell>
          <cell r="Y798" t="str">
            <v>DMCARE-TRI-03</v>
          </cell>
          <cell r="Z798" t="str">
            <v>LILY 4/4/18</v>
          </cell>
          <cell r="AA798"/>
          <cell r="AB798">
            <v>43194</v>
          </cell>
          <cell r="AC798">
            <v>4834</v>
          </cell>
        </row>
        <row r="799">
          <cell r="B799"/>
          <cell r="C799" t="str">
            <v>ST-LS0972</v>
          </cell>
          <cell r="D799"/>
          <cell r="E799"/>
          <cell r="F799"/>
          <cell r="G799"/>
          <cell r="H799" t="str">
            <v>57</v>
          </cell>
          <cell r="I799">
            <v>2.1399999999999997</v>
          </cell>
          <cell r="J799">
            <v>2.34</v>
          </cell>
          <cell r="K799">
            <v>2.54</v>
          </cell>
          <cell r="L799">
            <v>2.1999999999999997</v>
          </cell>
          <cell r="M799">
            <v>2.4</v>
          </cell>
          <cell r="N799">
            <v>2.2399999999999998</v>
          </cell>
          <cell r="O799">
            <v>2.44</v>
          </cell>
          <cell r="P799"/>
          <cell r="Q799"/>
          <cell r="R799">
            <v>2.2799999999999998</v>
          </cell>
          <cell r="S799">
            <v>2.48</v>
          </cell>
          <cell r="T799"/>
          <cell r="U799"/>
          <cell r="V799"/>
          <cell r="W799"/>
          <cell r="X799" t="str">
            <v>LILY</v>
          </cell>
          <cell r="Y799" t="str">
            <v>DMCARE-TRI-03</v>
          </cell>
          <cell r="Z799" t="str">
            <v>LILY 4/4/18</v>
          </cell>
          <cell r="AA799"/>
          <cell r="AB799">
            <v>43194</v>
          </cell>
          <cell r="AC799">
            <v>4811</v>
          </cell>
        </row>
        <row r="800">
          <cell r="B800"/>
          <cell r="C800" t="str">
            <v>ST-LM072</v>
          </cell>
          <cell r="D800"/>
          <cell r="E800"/>
          <cell r="F800" t="str">
            <v>R/N/S 75/20/5</v>
          </cell>
          <cell r="G800" t="str">
            <v>75% RAYON 20% NYLON 5% SPANDEX</v>
          </cell>
          <cell r="H800" t="str">
            <v>60</v>
          </cell>
          <cell r="I800">
            <v>220</v>
          </cell>
          <cell r="J800">
            <v>2.67</v>
          </cell>
          <cell r="K800">
            <v>2.87</v>
          </cell>
          <cell r="L800">
            <v>2.73</v>
          </cell>
          <cell r="M800">
            <v>2.93</v>
          </cell>
          <cell r="N800">
            <v>2.77</v>
          </cell>
          <cell r="O800">
            <v>2.97</v>
          </cell>
          <cell r="P800"/>
          <cell r="Q800"/>
          <cell r="R800">
            <v>2.81</v>
          </cell>
          <cell r="S800">
            <v>3.0100000000000002</v>
          </cell>
          <cell r="T800"/>
          <cell r="U800"/>
          <cell r="V800"/>
          <cell r="W800"/>
          <cell r="X800" t="str">
            <v>LILY</v>
          </cell>
          <cell r="Y800" t="str">
            <v>DMCARE-TRI-03</v>
          </cell>
          <cell r="Z800" t="str">
            <v>LILY 4/4/18</v>
          </cell>
          <cell r="AA800"/>
          <cell r="AB800">
            <v>43194</v>
          </cell>
          <cell r="AC800">
            <v>4772</v>
          </cell>
        </row>
        <row r="801">
          <cell r="B801"/>
          <cell r="C801" t="str">
            <v>ST-LM005</v>
          </cell>
          <cell r="D801"/>
          <cell r="E801"/>
          <cell r="F801" t="str">
            <v>R/N/S 57/35/8</v>
          </cell>
          <cell r="G801" t="str">
            <v>57% RAYON 35% NYLON  8% SPANDEX</v>
          </cell>
          <cell r="H801" t="str">
            <v>70</v>
          </cell>
          <cell r="I801">
            <v>180</v>
          </cell>
          <cell r="J801">
            <v>2.67</v>
          </cell>
          <cell r="K801">
            <v>2.87</v>
          </cell>
          <cell r="L801">
            <v>2.73</v>
          </cell>
          <cell r="M801">
            <v>2.93</v>
          </cell>
          <cell r="N801">
            <v>2.77</v>
          </cell>
          <cell r="O801">
            <v>2.97</v>
          </cell>
          <cell r="P801"/>
          <cell r="Q801"/>
          <cell r="R801">
            <v>2.81</v>
          </cell>
          <cell r="S801">
            <v>3.0100000000000002</v>
          </cell>
          <cell r="T801"/>
          <cell r="U801"/>
          <cell r="V801"/>
          <cell r="W801"/>
          <cell r="X801" t="str">
            <v>LILY</v>
          </cell>
          <cell r="Y801" t="str">
            <v>DMCARE-TRI-03</v>
          </cell>
          <cell r="Z801" t="str">
            <v>LILY 4/4/18</v>
          </cell>
          <cell r="AA801"/>
          <cell r="AB801">
            <v>43194</v>
          </cell>
          <cell r="AC801">
            <v>4799</v>
          </cell>
        </row>
        <row r="802">
          <cell r="B802"/>
          <cell r="C802" t="str">
            <v>ST-LM063</v>
          </cell>
          <cell r="D802"/>
          <cell r="E802"/>
          <cell r="F802" t="str">
            <v>T/C 70/30</v>
          </cell>
          <cell r="G802" t="str">
            <v>70% POLYESTER 30% COTTON</v>
          </cell>
          <cell r="H802" t="str">
            <v>66</v>
          </cell>
          <cell r="I802">
            <v>295</v>
          </cell>
          <cell r="J802">
            <v>2.7399999999999998</v>
          </cell>
          <cell r="K802">
            <v>2.94</v>
          </cell>
          <cell r="L802">
            <v>2.8</v>
          </cell>
          <cell r="M802">
            <v>3</v>
          </cell>
          <cell r="N802">
            <v>2.84</v>
          </cell>
          <cell r="O802">
            <v>3.04</v>
          </cell>
          <cell r="P802"/>
          <cell r="Q802"/>
          <cell r="R802">
            <v>2.88</v>
          </cell>
          <cell r="S802">
            <v>3.08</v>
          </cell>
          <cell r="T802"/>
          <cell r="U802"/>
          <cell r="V802"/>
          <cell r="W802"/>
          <cell r="X802" t="str">
            <v>LILY</v>
          </cell>
          <cell r="Y802" t="str">
            <v>DMCARE-TRI-03</v>
          </cell>
          <cell r="Z802" t="str">
            <v>LILY 4/4/18</v>
          </cell>
          <cell r="AA802"/>
          <cell r="AB802">
            <v>43194</v>
          </cell>
          <cell r="AC802">
            <v>4794</v>
          </cell>
        </row>
        <row r="803">
          <cell r="B803"/>
          <cell r="C803" t="str">
            <v>ST-LM071</v>
          </cell>
          <cell r="D803"/>
          <cell r="E803"/>
          <cell r="F803" t="str">
            <v>R/N/S 68/27/5</v>
          </cell>
          <cell r="G803" t="str">
            <v>68% RAYON 27% NYLON 5% SPANDEX</v>
          </cell>
          <cell r="H803" t="str">
            <v>58</v>
          </cell>
          <cell r="I803">
            <v>250</v>
          </cell>
          <cell r="J803">
            <v>2.86</v>
          </cell>
          <cell r="K803">
            <v>3.06</v>
          </cell>
          <cell r="L803">
            <v>2.92</v>
          </cell>
          <cell r="M803">
            <v>3.12</v>
          </cell>
          <cell r="N803">
            <v>2.96</v>
          </cell>
          <cell r="O803">
            <v>3.16</v>
          </cell>
          <cell r="P803"/>
          <cell r="Q803"/>
          <cell r="R803">
            <v>3</v>
          </cell>
          <cell r="S803">
            <v>3.2</v>
          </cell>
          <cell r="T803"/>
          <cell r="U803"/>
          <cell r="V803"/>
          <cell r="W803"/>
          <cell r="X803" t="str">
            <v>LILY</v>
          </cell>
          <cell r="Y803" t="str">
            <v>DMCARE-TRI-03</v>
          </cell>
          <cell r="Z803" t="str">
            <v>LILY 4/4/18</v>
          </cell>
          <cell r="AA803"/>
          <cell r="AB803">
            <v>43194</v>
          </cell>
          <cell r="AC803">
            <v>4787</v>
          </cell>
        </row>
        <row r="804">
          <cell r="B804"/>
          <cell r="C804" t="str">
            <v>ST-LM070</v>
          </cell>
          <cell r="D804"/>
          <cell r="E804"/>
          <cell r="F804" t="str">
            <v>R/N/S 70/25/5</v>
          </cell>
          <cell r="G804" t="str">
            <v>70% RAYON 25% NYLON 5% SPANDEX</v>
          </cell>
          <cell r="H804" t="str">
            <v>59</v>
          </cell>
          <cell r="I804">
            <v>240</v>
          </cell>
          <cell r="J804">
            <v>2.8699999999999997</v>
          </cell>
          <cell r="K804">
            <v>3.07</v>
          </cell>
          <cell r="L804">
            <v>2.9299999999999997</v>
          </cell>
          <cell r="M804">
            <v>3.13</v>
          </cell>
          <cell r="N804">
            <v>2.9699999999999998</v>
          </cell>
          <cell r="O804">
            <v>3.17</v>
          </cell>
          <cell r="P804"/>
          <cell r="Q804"/>
          <cell r="R804">
            <v>3.01</v>
          </cell>
          <cell r="S804">
            <v>3.21</v>
          </cell>
          <cell r="T804"/>
          <cell r="U804"/>
          <cell r="V804"/>
          <cell r="W804"/>
          <cell r="X804" t="str">
            <v>LILY</v>
          </cell>
          <cell r="Y804" t="str">
            <v>DMCARE-TRI-03</v>
          </cell>
          <cell r="Z804" t="str">
            <v>LILY 4/4/18</v>
          </cell>
          <cell r="AA804"/>
          <cell r="AB804">
            <v>43194</v>
          </cell>
          <cell r="AC804">
            <v>4789</v>
          </cell>
        </row>
        <row r="805">
          <cell r="B805"/>
          <cell r="C805" t="str">
            <v>ST-LM047</v>
          </cell>
          <cell r="D805"/>
          <cell r="E805"/>
          <cell r="F805" t="str">
            <v>R/N/S 68/27/5</v>
          </cell>
          <cell r="G805" t="str">
            <v>68% RAYON 27% NYLON 5% SPANDEX</v>
          </cell>
          <cell r="H805" t="str">
            <v>59</v>
          </cell>
          <cell r="I805">
            <v>350</v>
          </cell>
          <cell r="J805">
            <v>3.15</v>
          </cell>
          <cell r="K805">
            <v>3.35</v>
          </cell>
          <cell r="L805">
            <v>3.21</v>
          </cell>
          <cell r="M805">
            <v>3.41</v>
          </cell>
          <cell r="N805">
            <v>3.25</v>
          </cell>
          <cell r="O805">
            <v>3.45</v>
          </cell>
          <cell r="P805"/>
          <cell r="Q805"/>
          <cell r="R805">
            <v>3.29</v>
          </cell>
          <cell r="S805">
            <v>3.49</v>
          </cell>
          <cell r="T805"/>
          <cell r="U805"/>
          <cell r="V805"/>
          <cell r="W805"/>
          <cell r="X805" t="str">
            <v>LILY</v>
          </cell>
          <cell r="Y805" t="str">
            <v>DMCARE-TRI-03</v>
          </cell>
          <cell r="Z805" t="str">
            <v>LILY 4/4/18</v>
          </cell>
          <cell r="AA805"/>
          <cell r="AB805">
            <v>43194</v>
          </cell>
          <cell r="AC805">
            <v>4795</v>
          </cell>
        </row>
        <row r="806">
          <cell r="B806"/>
          <cell r="C806" t="str">
            <v>ST-LM050</v>
          </cell>
          <cell r="D806"/>
          <cell r="E806"/>
          <cell r="F806" t="str">
            <v>T/R/N/S 72/12/9/7</v>
          </cell>
          <cell r="G806" t="str">
            <v>72% POLYESTER 12% RAYON 9% NYLON 7% SPANDEX</v>
          </cell>
          <cell r="H806" t="str">
            <v>62</v>
          </cell>
          <cell r="I806">
            <v>280</v>
          </cell>
          <cell r="J806">
            <v>3.2199999999999998</v>
          </cell>
          <cell r="K806">
            <v>3.42</v>
          </cell>
          <cell r="L806">
            <v>3.28</v>
          </cell>
          <cell r="M806">
            <v>3.48</v>
          </cell>
          <cell r="N806">
            <v>3.32</v>
          </cell>
          <cell r="O806">
            <v>3.52</v>
          </cell>
          <cell r="P806"/>
          <cell r="Q806"/>
          <cell r="R806">
            <v>3.36</v>
          </cell>
          <cell r="S806">
            <v>3.56</v>
          </cell>
          <cell r="T806"/>
          <cell r="U806"/>
          <cell r="V806"/>
          <cell r="W806"/>
          <cell r="X806" t="str">
            <v>LILY</v>
          </cell>
          <cell r="Y806" t="str">
            <v>DMCARE-TRI-03</v>
          </cell>
          <cell r="Z806" t="str">
            <v>LILY 4/4/18</v>
          </cell>
          <cell r="AA806"/>
          <cell r="AB806">
            <v>43194</v>
          </cell>
          <cell r="AC806">
            <v>4798</v>
          </cell>
        </row>
        <row r="807">
          <cell r="B807"/>
          <cell r="C807" t="str">
            <v>ST-LM048</v>
          </cell>
          <cell r="D807"/>
          <cell r="E807"/>
          <cell r="F807" t="str">
            <v>N/S 87.8/12.2</v>
          </cell>
          <cell r="G807" t="str">
            <v>87.8 % NYLON  12.2 % SPANDEX</v>
          </cell>
          <cell r="H807" t="str">
            <v>59</v>
          </cell>
          <cell r="I807">
            <v>250</v>
          </cell>
          <cell r="J807">
            <v>3.2199999999999998</v>
          </cell>
          <cell r="K807">
            <v>3.42</v>
          </cell>
          <cell r="L807">
            <v>3.28</v>
          </cell>
          <cell r="M807">
            <v>3.48</v>
          </cell>
          <cell r="N807">
            <v>3.32</v>
          </cell>
          <cell r="O807">
            <v>3.52</v>
          </cell>
          <cell r="P807"/>
          <cell r="Q807"/>
          <cell r="R807">
            <v>3.36</v>
          </cell>
          <cell r="S807">
            <v>3.56</v>
          </cell>
          <cell r="T807"/>
          <cell r="U807"/>
          <cell r="V807"/>
          <cell r="W807"/>
          <cell r="X807" t="str">
            <v>LILY</v>
          </cell>
          <cell r="Y807" t="str">
            <v>DMCARE-TRI-03</v>
          </cell>
          <cell r="Z807" t="str">
            <v>LILY 4/4/18</v>
          </cell>
          <cell r="AA807"/>
          <cell r="AB807">
            <v>43194</v>
          </cell>
          <cell r="AC807">
            <v>4808</v>
          </cell>
        </row>
        <row r="808">
          <cell r="B808"/>
          <cell r="C808" t="str">
            <v>ST-JS065</v>
          </cell>
          <cell r="D808"/>
          <cell r="E808"/>
          <cell r="F808" t="str">
            <v>T100%</v>
          </cell>
          <cell r="G808" t="str">
            <v xml:space="preserve">100% POLYESTER </v>
          </cell>
          <cell r="H808" t="str">
            <v>57</v>
          </cell>
          <cell r="I808">
            <v>85</v>
          </cell>
          <cell r="J808"/>
          <cell r="K808"/>
          <cell r="L808"/>
          <cell r="M808"/>
          <cell r="N808"/>
          <cell r="O808"/>
          <cell r="P808"/>
          <cell r="Q808"/>
          <cell r="R808"/>
          <cell r="S808"/>
          <cell r="T808"/>
          <cell r="U808"/>
          <cell r="V808"/>
          <cell r="W808"/>
          <cell r="X808" t="str">
            <v>LILY</v>
          </cell>
          <cell r="Y808"/>
          <cell r="Z808" t="str">
            <v>LILY 4/4/18</v>
          </cell>
          <cell r="AA808"/>
          <cell r="AB808">
            <v>43194</v>
          </cell>
          <cell r="AC808">
            <v>4819</v>
          </cell>
        </row>
        <row r="809">
          <cell r="B809"/>
          <cell r="C809" t="str">
            <v>ST-WY2221</v>
          </cell>
          <cell r="D809"/>
          <cell r="E809"/>
          <cell r="F809" t="str">
            <v>T100%</v>
          </cell>
          <cell r="G809" t="str">
            <v xml:space="preserve">100% POLYESTER </v>
          </cell>
          <cell r="H809" t="str">
            <v>57</v>
          </cell>
          <cell r="I809">
            <v>100</v>
          </cell>
          <cell r="J809"/>
          <cell r="K809"/>
          <cell r="L809"/>
          <cell r="M809"/>
          <cell r="N809"/>
          <cell r="O809"/>
          <cell r="P809"/>
          <cell r="Q809"/>
          <cell r="R809"/>
          <cell r="S809"/>
          <cell r="T809"/>
          <cell r="U809"/>
          <cell r="V809"/>
          <cell r="W809"/>
          <cell r="X809" t="str">
            <v>LILY</v>
          </cell>
          <cell r="Y809"/>
          <cell r="Z809" t="str">
            <v>LILY 4/4/18</v>
          </cell>
          <cell r="AA809"/>
          <cell r="AB809">
            <v>43194</v>
          </cell>
          <cell r="AC809">
            <v>4820</v>
          </cell>
        </row>
        <row r="810">
          <cell r="B810"/>
          <cell r="C810" t="str">
            <v>ST-KH0739-1</v>
          </cell>
          <cell r="D810"/>
          <cell r="E810"/>
          <cell r="F810" t="str">
            <v>T100%</v>
          </cell>
          <cell r="G810" t="str">
            <v xml:space="preserve">100% POLYESTER </v>
          </cell>
          <cell r="H810" t="str">
            <v>57</v>
          </cell>
          <cell r="I810">
            <v>140</v>
          </cell>
          <cell r="J810"/>
          <cell r="K810"/>
          <cell r="L810"/>
          <cell r="M810"/>
          <cell r="N810"/>
          <cell r="O810"/>
          <cell r="P810"/>
          <cell r="Q810"/>
          <cell r="R810"/>
          <cell r="S810"/>
          <cell r="T810"/>
          <cell r="U810"/>
          <cell r="V810"/>
          <cell r="W810"/>
          <cell r="X810" t="str">
            <v>LILY</v>
          </cell>
          <cell r="Y810"/>
          <cell r="Z810" t="str">
            <v>LILY 4/4/18</v>
          </cell>
          <cell r="AA810"/>
          <cell r="AB810">
            <v>43194</v>
          </cell>
          <cell r="AC810">
            <v>4821</v>
          </cell>
        </row>
        <row r="811">
          <cell r="B811">
            <v>4251</v>
          </cell>
          <cell r="C811" t="str">
            <v xml:space="preserve">WW-21436 FOIL </v>
          </cell>
          <cell r="D811" t="str">
            <v>CREPE WITH FOIL</v>
          </cell>
          <cell r="E811"/>
          <cell r="F811" t="str">
            <v>T100%</v>
          </cell>
          <cell r="G811" t="str">
            <v xml:space="preserve">100% POLYESTER </v>
          </cell>
          <cell r="H811" t="str">
            <v>57/58</v>
          </cell>
          <cell r="I811">
            <v>120</v>
          </cell>
          <cell r="J811">
            <v>1.23</v>
          </cell>
          <cell r="K811">
            <v>1.73</v>
          </cell>
          <cell r="L811">
            <v>1.25</v>
          </cell>
          <cell r="M811">
            <v>1.75</v>
          </cell>
          <cell r="N811">
            <v>1.25</v>
          </cell>
          <cell r="O811">
            <v>1.75</v>
          </cell>
          <cell r="P811"/>
          <cell r="Q811"/>
          <cell r="R811">
            <v>1.35</v>
          </cell>
          <cell r="S811">
            <v>1.85</v>
          </cell>
          <cell r="T811"/>
          <cell r="U811"/>
          <cell r="V811">
            <v>15</v>
          </cell>
          <cell r="W811"/>
          <cell r="X811" t="str">
            <v>PANI</v>
          </cell>
          <cell r="Y811" t="str">
            <v>DMCARE-TRI-01</v>
          </cell>
          <cell r="Z811" t="str">
            <v>AMY 2/4/18</v>
          </cell>
          <cell r="AA811"/>
          <cell r="AB811">
            <v>43192</v>
          </cell>
          <cell r="AC811">
            <v>4835</v>
          </cell>
        </row>
        <row r="812">
          <cell r="B812">
            <v>3347</v>
          </cell>
          <cell r="C812" t="str">
            <v>BG2994</v>
          </cell>
          <cell r="D812"/>
          <cell r="E812"/>
          <cell r="F812" t="str">
            <v>R100%</v>
          </cell>
          <cell r="G812" t="str">
            <v>100% RAYON</v>
          </cell>
          <cell r="H812" t="str">
            <v>54/55</v>
          </cell>
          <cell r="I812">
            <v>109</v>
          </cell>
          <cell r="J812">
            <v>2.0299999999999998</v>
          </cell>
          <cell r="K812">
            <v>2.35</v>
          </cell>
          <cell r="L812">
            <v>2.06</v>
          </cell>
          <cell r="M812">
            <v>2.4</v>
          </cell>
          <cell r="N812">
            <v>2.08</v>
          </cell>
          <cell r="O812">
            <v>2.4500000000000002</v>
          </cell>
          <cell r="P812"/>
          <cell r="Q812"/>
          <cell r="R812">
            <v>2.5</v>
          </cell>
          <cell r="S812">
            <v>3.2</v>
          </cell>
          <cell r="T812"/>
          <cell r="U812"/>
          <cell r="V812">
            <v>15</v>
          </cell>
          <cell r="W812"/>
          <cell r="X812" t="str">
            <v>EDWIN</v>
          </cell>
          <cell r="Y812" t="str">
            <v>DMCARE-TRI-01</v>
          </cell>
          <cell r="Z812" t="str">
            <v>EDWIN 2/4/18</v>
          </cell>
          <cell r="AA812"/>
          <cell r="AB812">
            <v>43192</v>
          </cell>
          <cell r="AC812">
            <v>4837</v>
          </cell>
        </row>
        <row r="813">
          <cell r="B813">
            <v>2976</v>
          </cell>
          <cell r="C813" t="str">
            <v>BG3258 (FLOCKING)</v>
          </cell>
          <cell r="D813"/>
          <cell r="E813"/>
          <cell r="F813" t="str">
            <v>T/S 94/6</v>
          </cell>
          <cell r="G813" t="str">
            <v>94% POLYESTER 6% SPANDEX</v>
          </cell>
          <cell r="H813" t="str">
            <v>58/59</v>
          </cell>
          <cell r="I813">
            <v>210</v>
          </cell>
          <cell r="J813">
            <v>2.9</v>
          </cell>
          <cell r="K813"/>
          <cell r="L813">
            <v>2.95</v>
          </cell>
          <cell r="M813"/>
          <cell r="N813">
            <v>3</v>
          </cell>
          <cell r="O813"/>
          <cell r="P813"/>
          <cell r="Q813"/>
          <cell r="R813">
            <v>3.3</v>
          </cell>
          <cell r="S813"/>
          <cell r="T813"/>
          <cell r="U813"/>
          <cell r="V813">
            <v>15</v>
          </cell>
          <cell r="W813"/>
          <cell r="X813" t="str">
            <v>EDWIN</v>
          </cell>
          <cell r="Y813"/>
          <cell r="Z813" t="str">
            <v>EDWIN 2/4/18</v>
          </cell>
          <cell r="AA813"/>
          <cell r="AB813">
            <v>43192</v>
          </cell>
          <cell r="AC813">
            <v>4836</v>
          </cell>
        </row>
        <row r="814">
          <cell r="B814">
            <v>2803</v>
          </cell>
          <cell r="C814" t="str">
            <v>BG3432</v>
          </cell>
          <cell r="D814"/>
          <cell r="E814"/>
          <cell r="F814" t="str">
            <v>R100%</v>
          </cell>
          <cell r="G814" t="str">
            <v>100% RAYON</v>
          </cell>
          <cell r="H814" t="str">
            <v>53/54</v>
          </cell>
          <cell r="I814">
            <v>84</v>
          </cell>
          <cell r="J814">
            <v>1.92</v>
          </cell>
          <cell r="K814">
            <v>2.25</v>
          </cell>
          <cell r="L814">
            <v>1.93</v>
          </cell>
          <cell r="M814">
            <v>2.2999999999999998</v>
          </cell>
          <cell r="N814">
            <v>1.95</v>
          </cell>
          <cell r="O814">
            <v>2.35</v>
          </cell>
          <cell r="P814"/>
          <cell r="Q814"/>
          <cell r="R814">
            <v>2.35</v>
          </cell>
          <cell r="S814">
            <v>3.05</v>
          </cell>
          <cell r="T814"/>
          <cell r="U814"/>
          <cell r="V814">
            <v>15</v>
          </cell>
          <cell r="W814"/>
          <cell r="X814" t="str">
            <v>EDWIN</v>
          </cell>
          <cell r="Y814" t="str">
            <v>DMCARE-TRI-01</v>
          </cell>
          <cell r="Z814" t="str">
            <v>EDWIN 2/4/18</v>
          </cell>
          <cell r="AA814"/>
          <cell r="AB814">
            <v>43192</v>
          </cell>
          <cell r="AC814">
            <v>4838</v>
          </cell>
        </row>
        <row r="815">
          <cell r="B815">
            <v>3533</v>
          </cell>
          <cell r="C815" t="str">
            <v>TEN - 299</v>
          </cell>
          <cell r="D815" t="str">
            <v>TENCEL</v>
          </cell>
          <cell r="E815" t="str">
            <v xml:space="preserve"> 30x30/ 130X78</v>
          </cell>
          <cell r="F815" t="str">
            <v>TENCEL 100%</v>
          </cell>
          <cell r="G815" t="str">
            <v xml:space="preserve">100% TENCEL </v>
          </cell>
          <cell r="H815" t="str">
            <v>56/57</v>
          </cell>
          <cell r="I815">
            <v>168</v>
          </cell>
          <cell r="J815">
            <v>3.41</v>
          </cell>
          <cell r="K815">
            <v>3.88</v>
          </cell>
          <cell r="L815">
            <v>3.46</v>
          </cell>
          <cell r="M815">
            <v>3.93</v>
          </cell>
          <cell r="N815">
            <v>3.46</v>
          </cell>
          <cell r="O815">
            <v>3.93</v>
          </cell>
          <cell r="P815"/>
          <cell r="Q815"/>
          <cell r="R815">
            <v>3.76</v>
          </cell>
          <cell r="S815">
            <v>4.53</v>
          </cell>
          <cell r="T815"/>
          <cell r="U815"/>
          <cell r="V815">
            <v>15</v>
          </cell>
          <cell r="W815"/>
          <cell r="X815" t="str">
            <v>LIVALTEX</v>
          </cell>
          <cell r="Y815" t="str">
            <v>TRI -02</v>
          </cell>
          <cell r="Z815" t="str">
            <v>ROSE 31/3/18</v>
          </cell>
          <cell r="AA815"/>
          <cell r="AB815">
            <v>43190</v>
          </cell>
          <cell r="AC815">
            <v>4845</v>
          </cell>
        </row>
        <row r="816">
          <cell r="B816">
            <v>3398</v>
          </cell>
          <cell r="C816" t="str">
            <v>BG3350</v>
          </cell>
          <cell r="D816"/>
          <cell r="E816"/>
          <cell r="F816" t="str">
            <v>TENCEL 100%</v>
          </cell>
          <cell r="G816" t="str">
            <v xml:space="preserve">100% TENCEL </v>
          </cell>
          <cell r="H816" t="str">
            <v>54/55</v>
          </cell>
          <cell r="I816">
            <v>167</v>
          </cell>
          <cell r="J816">
            <v>3.35</v>
          </cell>
          <cell r="K816">
            <v>3.7</v>
          </cell>
          <cell r="L816">
            <v>3.38</v>
          </cell>
          <cell r="M816">
            <v>3.75</v>
          </cell>
          <cell r="N816">
            <v>3.4</v>
          </cell>
          <cell r="O816">
            <v>3.8</v>
          </cell>
          <cell r="P816"/>
          <cell r="Q816"/>
          <cell r="R816">
            <v>3.6</v>
          </cell>
          <cell r="S816">
            <v>4.3</v>
          </cell>
          <cell r="T816"/>
          <cell r="U816"/>
          <cell r="V816">
            <v>15</v>
          </cell>
          <cell r="W816"/>
          <cell r="X816" t="str">
            <v>EDWIN</v>
          </cell>
          <cell r="Y816"/>
          <cell r="Z816" t="str">
            <v>EDWIN 31/3/18</v>
          </cell>
          <cell r="AA816"/>
          <cell r="AB816">
            <v>43190</v>
          </cell>
          <cell r="AC816">
            <v>4844</v>
          </cell>
        </row>
        <row r="817">
          <cell r="B817">
            <v>2504</v>
          </cell>
          <cell r="C817">
            <v>16102505</v>
          </cell>
          <cell r="D817"/>
          <cell r="E817"/>
          <cell r="F817" t="str">
            <v>C100%</v>
          </cell>
          <cell r="G817" t="str">
            <v xml:space="preserve">100% COTTON </v>
          </cell>
          <cell r="H817" t="str">
            <v>56/57</v>
          </cell>
          <cell r="I817">
            <v>140</v>
          </cell>
          <cell r="J817">
            <v>2.2599999999999998</v>
          </cell>
          <cell r="K817"/>
          <cell r="L817">
            <v>2.35</v>
          </cell>
          <cell r="M817"/>
          <cell r="N817">
            <v>2.4700000000000002</v>
          </cell>
          <cell r="O817"/>
          <cell r="P817"/>
          <cell r="Q817"/>
          <cell r="R817"/>
          <cell r="S817"/>
          <cell r="T817"/>
          <cell r="U817"/>
          <cell r="V817">
            <v>15</v>
          </cell>
          <cell r="W817"/>
          <cell r="X817" t="str">
            <v>OWEN</v>
          </cell>
          <cell r="Y817" t="str">
            <v>DMCCARE-TRI-02</v>
          </cell>
          <cell r="Z817" t="str">
            <v>JOAN 31/3/18</v>
          </cell>
          <cell r="AA817"/>
          <cell r="AB817">
            <v>43190</v>
          </cell>
          <cell r="AC817">
            <v>4840</v>
          </cell>
        </row>
        <row r="818">
          <cell r="B818">
            <v>2503</v>
          </cell>
          <cell r="C818" t="str">
            <v>16102502JLH</v>
          </cell>
          <cell r="D818"/>
          <cell r="E818"/>
          <cell r="F818" t="str">
            <v>C100%</v>
          </cell>
          <cell r="G818" t="str">
            <v xml:space="preserve">100% COTTON </v>
          </cell>
          <cell r="H818" t="str">
            <v>57/58</v>
          </cell>
          <cell r="I818">
            <v>112</v>
          </cell>
          <cell r="J818">
            <v>2.39</v>
          </cell>
          <cell r="K818"/>
          <cell r="L818">
            <v>2.4700000000000002</v>
          </cell>
          <cell r="M818"/>
          <cell r="N818">
            <v>2.58</v>
          </cell>
          <cell r="O818"/>
          <cell r="P818"/>
          <cell r="Q818"/>
          <cell r="R818"/>
          <cell r="S818"/>
          <cell r="T818"/>
          <cell r="U818"/>
          <cell r="V818">
            <v>15</v>
          </cell>
          <cell r="W818"/>
          <cell r="X818" t="str">
            <v>OWEN</v>
          </cell>
          <cell r="Y818" t="str">
            <v>DMCCARE-TRI-02</v>
          </cell>
          <cell r="Z818" t="str">
            <v>JOAN 31/3/18</v>
          </cell>
          <cell r="AA818"/>
          <cell r="AB818">
            <v>43190</v>
          </cell>
          <cell r="AC818">
            <v>4841</v>
          </cell>
        </row>
        <row r="819">
          <cell r="B819">
            <v>2500</v>
          </cell>
          <cell r="C819" t="str">
            <v>16102507JLH</v>
          </cell>
          <cell r="D819"/>
          <cell r="E819"/>
          <cell r="F819" t="str">
            <v>C100%</v>
          </cell>
          <cell r="G819" t="str">
            <v xml:space="preserve">100% COTTON </v>
          </cell>
          <cell r="H819" t="str">
            <v>57/58</v>
          </cell>
          <cell r="I819">
            <v>105</v>
          </cell>
          <cell r="J819">
            <v>2.17</v>
          </cell>
          <cell r="K819"/>
          <cell r="L819">
            <v>2.27</v>
          </cell>
          <cell r="M819"/>
          <cell r="N819">
            <v>2.42</v>
          </cell>
          <cell r="O819"/>
          <cell r="P819"/>
          <cell r="Q819"/>
          <cell r="R819"/>
          <cell r="S819"/>
          <cell r="T819"/>
          <cell r="U819"/>
          <cell r="V819">
            <v>15</v>
          </cell>
          <cell r="W819"/>
          <cell r="X819" t="str">
            <v>OWEN</v>
          </cell>
          <cell r="Y819" t="str">
            <v>DMCCARE-TRI-02</v>
          </cell>
          <cell r="Z819" t="str">
            <v>JOAN 31/3/18</v>
          </cell>
          <cell r="AA819"/>
          <cell r="AB819">
            <v>43190</v>
          </cell>
          <cell r="AC819">
            <v>4839</v>
          </cell>
        </row>
        <row r="820">
          <cell r="B820">
            <v>2499</v>
          </cell>
          <cell r="C820" t="str">
            <v>16102504JLH</v>
          </cell>
          <cell r="D820"/>
          <cell r="E820"/>
          <cell r="F820" t="str">
            <v>C100%</v>
          </cell>
          <cell r="G820" t="str">
            <v xml:space="preserve">100% COTTON </v>
          </cell>
          <cell r="H820" t="str">
            <v>57/58</v>
          </cell>
          <cell r="I820">
            <v>130</v>
          </cell>
          <cell r="J820">
            <v>4.01</v>
          </cell>
          <cell r="K820"/>
          <cell r="L820">
            <v>4.12</v>
          </cell>
          <cell r="M820"/>
          <cell r="N820">
            <v>4.2300000000000004</v>
          </cell>
          <cell r="O820"/>
          <cell r="P820"/>
          <cell r="Q820"/>
          <cell r="R820"/>
          <cell r="S820"/>
          <cell r="T820"/>
          <cell r="U820"/>
          <cell r="V820">
            <v>15</v>
          </cell>
          <cell r="W820"/>
          <cell r="X820" t="str">
            <v>OWEN</v>
          </cell>
          <cell r="Y820" t="str">
            <v>DMCCARE-TRI-02</v>
          </cell>
          <cell r="Z820" t="str">
            <v>JOAN 31/3/18</v>
          </cell>
          <cell r="AA820"/>
          <cell r="AB820">
            <v>43190</v>
          </cell>
          <cell r="AC820">
            <v>4847</v>
          </cell>
        </row>
        <row r="821">
          <cell r="B821">
            <v>2101</v>
          </cell>
          <cell r="C821" t="str">
            <v>16803TZ</v>
          </cell>
          <cell r="D821"/>
          <cell r="E821"/>
          <cell r="F821" t="str">
            <v>C100%</v>
          </cell>
          <cell r="G821" t="str">
            <v xml:space="preserve">100% COTTON </v>
          </cell>
          <cell r="H821" t="str">
            <v>57/58</v>
          </cell>
          <cell r="I821">
            <v>148</v>
          </cell>
          <cell r="J821">
            <v>2.64</v>
          </cell>
          <cell r="K821">
            <v>2.2400000000000002</v>
          </cell>
          <cell r="L821">
            <v>2.71</v>
          </cell>
          <cell r="M821">
            <v>3.1</v>
          </cell>
          <cell r="N821">
            <v>2.82</v>
          </cell>
          <cell r="O821">
            <v>3.25</v>
          </cell>
          <cell r="P821"/>
          <cell r="Q821"/>
          <cell r="R821"/>
          <cell r="S821"/>
          <cell r="T821"/>
          <cell r="U821"/>
          <cell r="V821">
            <v>15</v>
          </cell>
          <cell r="W821"/>
          <cell r="X821" t="str">
            <v>OWEN</v>
          </cell>
          <cell r="Y821" t="str">
            <v>DMCCARE-TRI-02</v>
          </cell>
          <cell r="Z821" t="str">
            <v>JOAN 31/3/18</v>
          </cell>
          <cell r="AA821"/>
          <cell r="AB821">
            <v>43190</v>
          </cell>
          <cell r="AC821">
            <v>4842</v>
          </cell>
        </row>
        <row r="822">
          <cell r="B822">
            <v>2024</v>
          </cell>
          <cell r="C822" t="str">
            <v>BG2450</v>
          </cell>
          <cell r="D822"/>
          <cell r="E822"/>
          <cell r="F822" t="str">
            <v>TENCEL 100%</v>
          </cell>
          <cell r="G822" t="str">
            <v xml:space="preserve">100% TENCEL </v>
          </cell>
          <cell r="H822" t="str">
            <v>57/58</v>
          </cell>
          <cell r="I822">
            <v>195</v>
          </cell>
          <cell r="J822">
            <v>3.55</v>
          </cell>
          <cell r="K822">
            <v>3.9</v>
          </cell>
          <cell r="L822">
            <v>3.58</v>
          </cell>
          <cell r="M822">
            <v>3.95</v>
          </cell>
          <cell r="N822">
            <v>3.6</v>
          </cell>
          <cell r="O822">
            <v>4</v>
          </cell>
          <cell r="P822"/>
          <cell r="Q822"/>
          <cell r="R822">
            <v>3.8</v>
          </cell>
          <cell r="S822">
            <v>4.5</v>
          </cell>
          <cell r="T822"/>
          <cell r="U822"/>
          <cell r="V822">
            <v>15</v>
          </cell>
          <cell r="W822"/>
          <cell r="X822" t="str">
            <v>EDWIN</v>
          </cell>
          <cell r="Y822"/>
          <cell r="Z822" t="str">
            <v>EDWIN 31/3/18</v>
          </cell>
          <cell r="AA822"/>
          <cell r="AB822">
            <v>43190</v>
          </cell>
          <cell r="AC822">
            <v>4846</v>
          </cell>
        </row>
        <row r="823">
          <cell r="B823">
            <v>1745</v>
          </cell>
          <cell r="C823" t="str">
            <v>CFTS-210-DY</v>
          </cell>
          <cell r="D823"/>
          <cell r="E823"/>
          <cell r="F823" t="str">
            <v>TENCEL 100%</v>
          </cell>
          <cell r="G823" t="str">
            <v>100% TENCEL</v>
          </cell>
          <cell r="H823" t="str">
            <v>56/57</v>
          </cell>
          <cell r="I823">
            <v>200</v>
          </cell>
          <cell r="J823">
            <v>3.14</v>
          </cell>
          <cell r="K823"/>
          <cell r="L823">
            <v>2.93</v>
          </cell>
          <cell r="M823"/>
          <cell r="N823">
            <v>3.17</v>
          </cell>
          <cell r="O823"/>
          <cell r="P823"/>
          <cell r="Q823"/>
          <cell r="R823"/>
          <cell r="S823"/>
          <cell r="T823"/>
          <cell r="U823"/>
          <cell r="V823">
            <v>15</v>
          </cell>
          <cell r="W823"/>
          <cell r="X823" t="str">
            <v>OWEN</v>
          </cell>
          <cell r="Y823" t="str">
            <v>DMCCARE-TRI-02</v>
          </cell>
          <cell r="Z823" t="str">
            <v>JOAN 31/3/18</v>
          </cell>
          <cell r="AA823"/>
          <cell r="AB823">
            <v>43190</v>
          </cell>
          <cell r="AC823">
            <v>4843</v>
          </cell>
        </row>
        <row r="824">
          <cell r="B824">
            <v>4250</v>
          </cell>
          <cell r="C824" t="str">
            <v>ST-712692</v>
          </cell>
          <cell r="D824" t="str">
            <v>STRETCH CREPE</v>
          </cell>
          <cell r="E824" t="str">
            <v>(100D+40D)*(100D+40D)</v>
          </cell>
          <cell r="F824" t="str">
            <v>T/S 97/3</v>
          </cell>
          <cell r="G824" t="str">
            <v>97% POLYESTER 3% SPANDEX</v>
          </cell>
          <cell r="H824" t="str">
            <v>57/58</v>
          </cell>
          <cell r="I824">
            <v>135</v>
          </cell>
          <cell r="J824">
            <v>1.05</v>
          </cell>
          <cell r="K824">
            <v>1.35</v>
          </cell>
          <cell r="L824">
            <v>1.08</v>
          </cell>
          <cell r="M824">
            <v>1.36</v>
          </cell>
          <cell r="N824">
            <v>1.0900000000000001</v>
          </cell>
          <cell r="O824">
            <v>1.37</v>
          </cell>
          <cell r="P824"/>
          <cell r="Q824"/>
          <cell r="R824">
            <v>1.1499999999999999</v>
          </cell>
          <cell r="S824">
            <v>1.53</v>
          </cell>
          <cell r="T824" t="str">
            <v>have</v>
          </cell>
          <cell r="U824"/>
          <cell r="V824">
            <v>15</v>
          </cell>
          <cell r="W824"/>
          <cell r="X824" t="str">
            <v>SIGER</v>
          </cell>
          <cell r="Y824"/>
          <cell r="Z824" t="str">
            <v>CARA 29/3/18</v>
          </cell>
          <cell r="AA824"/>
          <cell r="AB824">
            <v>43188</v>
          </cell>
          <cell r="AC824">
            <v>4862</v>
          </cell>
        </row>
        <row r="825">
          <cell r="B825">
            <v>4097</v>
          </cell>
          <cell r="C825" t="str">
            <v>TS-497</v>
          </cell>
          <cell r="D825"/>
          <cell r="E825"/>
          <cell r="F825" t="str">
            <v>T/S 95/5</v>
          </cell>
          <cell r="G825" t="str">
            <v>95% POLYESTER 5% SPANDEX</v>
          </cell>
          <cell r="H825" t="str">
            <v xml:space="preserve">180CM </v>
          </cell>
          <cell r="I825">
            <v>145</v>
          </cell>
          <cell r="J825">
            <v>1.1100000000000001</v>
          </cell>
          <cell r="K825">
            <v>1.29</v>
          </cell>
          <cell r="L825">
            <v>1.1299999999999999</v>
          </cell>
          <cell r="M825">
            <v>1.32</v>
          </cell>
          <cell r="N825">
            <v>1.1499999999999999</v>
          </cell>
          <cell r="O825">
            <v>1.35</v>
          </cell>
          <cell r="P825"/>
          <cell r="Q825"/>
          <cell r="R825">
            <v>1.3</v>
          </cell>
          <cell r="S825">
            <v>1.6</v>
          </cell>
          <cell r="T825"/>
          <cell r="U825"/>
          <cell r="V825">
            <v>15</v>
          </cell>
          <cell r="W825"/>
          <cell r="X825" t="str">
            <v>GAVIN</v>
          </cell>
          <cell r="Y825"/>
          <cell r="Z825" t="str">
            <v>GAVIN 29/3/18</v>
          </cell>
          <cell r="AA825"/>
          <cell r="AB825">
            <v>43188</v>
          </cell>
          <cell r="AC825">
            <v>4850</v>
          </cell>
        </row>
        <row r="826">
          <cell r="B826">
            <v>3771</v>
          </cell>
          <cell r="C826" t="str">
            <v>TS-488</v>
          </cell>
          <cell r="D826"/>
          <cell r="E826"/>
          <cell r="F826" t="str">
            <v>T100%</v>
          </cell>
          <cell r="G826" t="str">
            <v>100% POLYESTER</v>
          </cell>
          <cell r="H826" t="str">
            <v>57/58</v>
          </cell>
          <cell r="I826" t="str">
            <v>75(+-3g)</v>
          </cell>
          <cell r="J826">
            <v>1.06</v>
          </cell>
          <cell r="K826">
            <v>1.24</v>
          </cell>
          <cell r="L826">
            <v>1.08</v>
          </cell>
          <cell r="M826">
            <v>1.27</v>
          </cell>
          <cell r="N826">
            <v>1.1000000000000001</v>
          </cell>
          <cell r="O826">
            <v>1.3</v>
          </cell>
          <cell r="P826"/>
          <cell r="Q826"/>
          <cell r="R826">
            <v>1.25</v>
          </cell>
          <cell r="S826">
            <v>1.55</v>
          </cell>
          <cell r="T826"/>
          <cell r="U826"/>
          <cell r="V826">
            <v>15</v>
          </cell>
          <cell r="W826"/>
          <cell r="X826" t="str">
            <v>GAVIN</v>
          </cell>
          <cell r="Y826"/>
          <cell r="Z826" t="str">
            <v>GAVIN 29/3/18</v>
          </cell>
          <cell r="AA826"/>
          <cell r="AB826">
            <v>43188</v>
          </cell>
          <cell r="AC826">
            <v>4851</v>
          </cell>
        </row>
        <row r="827">
          <cell r="B827">
            <v>3714</v>
          </cell>
          <cell r="C827" t="str">
            <v>TS-396</v>
          </cell>
          <cell r="D827"/>
          <cell r="E827"/>
          <cell r="F827" t="str">
            <v>T100%</v>
          </cell>
          <cell r="G827" t="str">
            <v xml:space="preserve">100% POLYESTER </v>
          </cell>
          <cell r="H827" t="str">
            <v>155-160CM</v>
          </cell>
          <cell r="I827">
            <v>135</v>
          </cell>
          <cell r="J827">
            <v>0.95</v>
          </cell>
          <cell r="K827">
            <v>1.1299999999999999</v>
          </cell>
          <cell r="L827">
            <v>0.97</v>
          </cell>
          <cell r="M827">
            <v>1.1599999999999999</v>
          </cell>
          <cell r="N827">
            <v>0.99</v>
          </cell>
          <cell r="O827">
            <v>1.19</v>
          </cell>
          <cell r="P827"/>
          <cell r="Q827"/>
          <cell r="R827">
            <v>1.1399999999999999</v>
          </cell>
          <cell r="S827">
            <v>1.44</v>
          </cell>
          <cell r="T827"/>
          <cell r="U827"/>
          <cell r="V827">
            <v>15</v>
          </cell>
          <cell r="W827"/>
          <cell r="X827" t="str">
            <v>GAVIN</v>
          </cell>
          <cell r="Y827"/>
          <cell r="Z827" t="str">
            <v>GAVIN 29/3/18</v>
          </cell>
          <cell r="AA827"/>
          <cell r="AB827">
            <v>43188</v>
          </cell>
          <cell r="AC827">
            <v>4853</v>
          </cell>
        </row>
        <row r="828">
          <cell r="B828">
            <v>3624</v>
          </cell>
          <cell r="C828" t="str">
            <v>TS-392</v>
          </cell>
          <cell r="D828"/>
          <cell r="E828"/>
          <cell r="F828" t="str">
            <v>T100%</v>
          </cell>
          <cell r="G828" t="str">
            <v xml:space="preserve">100% POLYESTER </v>
          </cell>
          <cell r="H828" t="str">
            <v>57/58</v>
          </cell>
          <cell r="I828">
            <v>0</v>
          </cell>
          <cell r="J828">
            <v>0.88</v>
          </cell>
          <cell r="K828">
            <v>1.06</v>
          </cell>
          <cell r="L828">
            <v>0.9</v>
          </cell>
          <cell r="M828">
            <v>1.0900000000000001</v>
          </cell>
          <cell r="N828">
            <v>0.92</v>
          </cell>
          <cell r="O828">
            <v>1.1200000000000001</v>
          </cell>
          <cell r="P828"/>
          <cell r="Q828"/>
          <cell r="R828">
            <v>1.07</v>
          </cell>
          <cell r="S828">
            <v>1.37</v>
          </cell>
          <cell r="T828"/>
          <cell r="U828"/>
          <cell r="V828">
            <v>15</v>
          </cell>
          <cell r="W828"/>
          <cell r="X828" t="str">
            <v>GAVIN</v>
          </cell>
          <cell r="Y828"/>
          <cell r="Z828" t="str">
            <v>GAVIN 29/3/18</v>
          </cell>
          <cell r="AA828"/>
          <cell r="AB828">
            <v>43188</v>
          </cell>
          <cell r="AC828">
            <v>4854</v>
          </cell>
        </row>
        <row r="829">
          <cell r="B829">
            <v>3385</v>
          </cell>
          <cell r="C829" t="str">
            <v>TS-367</v>
          </cell>
          <cell r="D829"/>
          <cell r="E829"/>
          <cell r="F829" t="str">
            <v>T100%</v>
          </cell>
          <cell r="G829" t="str">
            <v>100% POLYESTER</v>
          </cell>
          <cell r="H829" t="str">
            <v>57/58</v>
          </cell>
          <cell r="I829">
            <v>91</v>
          </cell>
          <cell r="J829">
            <v>1.18</v>
          </cell>
          <cell r="K829">
            <v>1.36</v>
          </cell>
          <cell r="L829">
            <v>1.2</v>
          </cell>
          <cell r="M829">
            <v>1.39</v>
          </cell>
          <cell r="N829">
            <v>1.22</v>
          </cell>
          <cell r="O829">
            <v>1.42</v>
          </cell>
          <cell r="P829"/>
          <cell r="Q829"/>
          <cell r="R829">
            <v>1.37</v>
          </cell>
          <cell r="S829">
            <v>1.67</v>
          </cell>
          <cell r="T829"/>
          <cell r="U829"/>
          <cell r="V829">
            <v>15</v>
          </cell>
          <cell r="W829"/>
          <cell r="X829" t="str">
            <v>GAVIN</v>
          </cell>
          <cell r="Y829"/>
          <cell r="Z829" t="str">
            <v>GAVIN 29/3/18</v>
          </cell>
          <cell r="AA829"/>
          <cell r="AB829">
            <v>43188</v>
          </cell>
          <cell r="AC829">
            <v>4859</v>
          </cell>
        </row>
        <row r="830">
          <cell r="B830">
            <v>3379</v>
          </cell>
          <cell r="C830" t="str">
            <v>TS-366</v>
          </cell>
          <cell r="D830"/>
          <cell r="E830"/>
          <cell r="F830" t="str">
            <v>T100%</v>
          </cell>
          <cell r="G830" t="str">
            <v xml:space="preserve">100% POLYESTER </v>
          </cell>
          <cell r="H830" t="str">
            <v>57/58</v>
          </cell>
          <cell r="I830">
            <v>67</v>
          </cell>
          <cell r="J830">
            <v>1.26</v>
          </cell>
          <cell r="K830">
            <v>1.44</v>
          </cell>
          <cell r="L830">
            <v>1.28</v>
          </cell>
          <cell r="M830">
            <v>1.47</v>
          </cell>
          <cell r="N830">
            <v>1.3</v>
          </cell>
          <cell r="O830">
            <v>1.5</v>
          </cell>
          <cell r="P830"/>
          <cell r="Q830"/>
          <cell r="R830">
            <v>1.45</v>
          </cell>
          <cell r="S830">
            <v>1.75</v>
          </cell>
          <cell r="T830"/>
          <cell r="U830"/>
          <cell r="V830">
            <v>15</v>
          </cell>
          <cell r="W830"/>
          <cell r="X830" t="str">
            <v>GAVIN</v>
          </cell>
          <cell r="Y830"/>
          <cell r="Z830" t="str">
            <v>GAVIN 29/3/18</v>
          </cell>
          <cell r="AA830"/>
          <cell r="AB830">
            <v>43188</v>
          </cell>
          <cell r="AC830">
            <v>4860</v>
          </cell>
        </row>
        <row r="831">
          <cell r="B831">
            <v>3333</v>
          </cell>
          <cell r="C831" t="str">
            <v>TS-028C</v>
          </cell>
          <cell r="D831"/>
          <cell r="E831"/>
          <cell r="F831" t="str">
            <v>T100%</v>
          </cell>
          <cell r="G831" t="str">
            <v>100% POLYESTER</v>
          </cell>
          <cell r="H831" t="str">
            <v>57/58</v>
          </cell>
          <cell r="I831">
            <v>116</v>
          </cell>
          <cell r="J831">
            <v>1.1100000000000001</v>
          </cell>
          <cell r="K831">
            <v>1.29</v>
          </cell>
          <cell r="L831">
            <v>1.1299999999999999</v>
          </cell>
          <cell r="M831">
            <v>1.32</v>
          </cell>
          <cell r="N831">
            <v>1.1499999999999999</v>
          </cell>
          <cell r="O831">
            <v>1.35</v>
          </cell>
          <cell r="P831"/>
          <cell r="Q831"/>
          <cell r="R831">
            <v>1.3</v>
          </cell>
          <cell r="S831">
            <v>1.6</v>
          </cell>
          <cell r="T831"/>
          <cell r="U831"/>
          <cell r="V831">
            <v>15</v>
          </cell>
          <cell r="W831"/>
          <cell r="X831" t="str">
            <v>GAVIN</v>
          </cell>
          <cell r="Y831"/>
          <cell r="Z831" t="str">
            <v>GAVIN 29/3/18</v>
          </cell>
          <cell r="AA831"/>
          <cell r="AB831">
            <v>43188</v>
          </cell>
          <cell r="AC831">
            <v>4855</v>
          </cell>
        </row>
        <row r="832">
          <cell r="B832">
            <v>3287</v>
          </cell>
          <cell r="C832" t="str">
            <v>TS-346</v>
          </cell>
          <cell r="D832"/>
          <cell r="E832"/>
          <cell r="F832" t="str">
            <v>T100%</v>
          </cell>
          <cell r="G832" t="str">
            <v>100% POLYESTER</v>
          </cell>
          <cell r="H832" t="str">
            <v>57/58</v>
          </cell>
          <cell r="I832">
            <v>89</v>
          </cell>
          <cell r="J832">
            <v>1.61</v>
          </cell>
          <cell r="K832">
            <v>1.89</v>
          </cell>
          <cell r="L832">
            <v>1.63</v>
          </cell>
          <cell r="M832">
            <v>1.92</v>
          </cell>
          <cell r="N832">
            <v>1.65</v>
          </cell>
          <cell r="O832">
            <v>1.95</v>
          </cell>
          <cell r="P832"/>
          <cell r="Q832"/>
          <cell r="R832">
            <v>1.9</v>
          </cell>
          <cell r="S832">
            <v>2.2000000000000002</v>
          </cell>
          <cell r="T832"/>
          <cell r="U832"/>
          <cell r="V832">
            <v>15</v>
          </cell>
          <cell r="W832"/>
          <cell r="X832" t="str">
            <v>GAVIN</v>
          </cell>
          <cell r="Y832"/>
          <cell r="Z832" t="str">
            <v>GAVIN 29/3/18</v>
          </cell>
          <cell r="AA832"/>
          <cell r="AB832">
            <v>43188</v>
          </cell>
          <cell r="AC832">
            <v>4856</v>
          </cell>
        </row>
        <row r="833">
          <cell r="B833">
            <v>2986</v>
          </cell>
          <cell r="C833" t="str">
            <v>TS-335</v>
          </cell>
          <cell r="D833"/>
          <cell r="E833"/>
          <cell r="F833" t="str">
            <v>T100%</v>
          </cell>
          <cell r="G833" t="str">
            <v xml:space="preserve">100% POLYESTER </v>
          </cell>
          <cell r="H833" t="str">
            <v>57/58</v>
          </cell>
          <cell r="I833">
            <v>127</v>
          </cell>
          <cell r="J833">
            <v>1.28</v>
          </cell>
          <cell r="K833">
            <v>1.46</v>
          </cell>
          <cell r="L833">
            <v>1.3</v>
          </cell>
          <cell r="M833">
            <v>1.49</v>
          </cell>
          <cell r="N833">
            <v>1.32</v>
          </cell>
          <cell r="O833">
            <v>1.52</v>
          </cell>
          <cell r="P833"/>
          <cell r="Q833"/>
          <cell r="R833">
            <v>1.47</v>
          </cell>
          <cell r="S833">
            <v>1.77</v>
          </cell>
          <cell r="T833"/>
          <cell r="U833"/>
          <cell r="V833">
            <v>15</v>
          </cell>
          <cell r="W833"/>
          <cell r="X833" t="str">
            <v>GAVIN</v>
          </cell>
          <cell r="Y833"/>
          <cell r="Z833" t="str">
            <v>GAVIN 29/3/18</v>
          </cell>
          <cell r="AA833"/>
          <cell r="AB833">
            <v>43188</v>
          </cell>
          <cell r="AC833">
            <v>4857</v>
          </cell>
        </row>
        <row r="834">
          <cell r="B834">
            <v>2594</v>
          </cell>
          <cell r="C834" t="str">
            <v>TS-311</v>
          </cell>
          <cell r="D834"/>
          <cell r="E834"/>
          <cell r="F834" t="str">
            <v>C100%</v>
          </cell>
          <cell r="G834" t="str">
            <v xml:space="preserve">100% COTTON  </v>
          </cell>
          <cell r="H834" t="str">
            <v>57/58</v>
          </cell>
          <cell r="I834">
            <v>90</v>
          </cell>
          <cell r="J834">
            <v>1.28</v>
          </cell>
          <cell r="K834">
            <v>1.39</v>
          </cell>
          <cell r="L834">
            <v>1.3</v>
          </cell>
          <cell r="M834">
            <v>1.42</v>
          </cell>
          <cell r="N834">
            <v>1.32</v>
          </cell>
          <cell r="O834">
            <v>1.45</v>
          </cell>
          <cell r="P834"/>
          <cell r="Q834"/>
          <cell r="R834">
            <v>1.47</v>
          </cell>
          <cell r="S834">
            <v>1.7</v>
          </cell>
          <cell r="T834"/>
          <cell r="U834"/>
          <cell r="V834">
            <v>15</v>
          </cell>
          <cell r="W834"/>
          <cell r="X834" t="str">
            <v>GAVIN</v>
          </cell>
          <cell r="Y834"/>
          <cell r="Z834" t="str">
            <v>GAVIN 29/3/18</v>
          </cell>
          <cell r="AA834"/>
          <cell r="AB834">
            <v>43188</v>
          </cell>
          <cell r="AC834">
            <v>4848</v>
          </cell>
        </row>
        <row r="835">
          <cell r="B835">
            <v>2444</v>
          </cell>
          <cell r="C835" t="str">
            <v>PH-065</v>
          </cell>
          <cell r="D835"/>
          <cell r="E835"/>
          <cell r="F835" t="str">
            <v>T100%</v>
          </cell>
          <cell r="G835" t="str">
            <v>100% POLYESTER</v>
          </cell>
          <cell r="H835" t="str">
            <v>57/58</v>
          </cell>
          <cell r="I835">
            <v>125</v>
          </cell>
          <cell r="J835">
            <v>1.1399999999999999</v>
          </cell>
          <cell r="K835">
            <v>1.32</v>
          </cell>
          <cell r="L835">
            <v>1.1599999999999999</v>
          </cell>
          <cell r="M835">
            <v>1.35</v>
          </cell>
          <cell r="N835">
            <v>1.18</v>
          </cell>
          <cell r="O835">
            <v>1.38</v>
          </cell>
          <cell r="P835"/>
          <cell r="Q835"/>
          <cell r="R835">
            <v>1.33</v>
          </cell>
          <cell r="S835">
            <v>1.63</v>
          </cell>
          <cell r="T835"/>
          <cell r="U835"/>
          <cell r="V835">
            <v>15</v>
          </cell>
          <cell r="W835"/>
          <cell r="X835" t="str">
            <v>GAVIN</v>
          </cell>
          <cell r="Y835"/>
          <cell r="Z835" t="str">
            <v>GAVIN 29/3/18</v>
          </cell>
          <cell r="AA835"/>
          <cell r="AB835">
            <v>43188</v>
          </cell>
          <cell r="AC835">
            <v>4861</v>
          </cell>
        </row>
        <row r="836">
          <cell r="B836">
            <v>1906</v>
          </cell>
          <cell r="C836" t="str">
            <v>TS-220</v>
          </cell>
          <cell r="D836"/>
          <cell r="E836"/>
          <cell r="F836" t="str">
            <v>T100%</v>
          </cell>
          <cell r="G836" t="str">
            <v>100% POLYESTER</v>
          </cell>
          <cell r="H836" t="str">
            <v>57/58</v>
          </cell>
          <cell r="I836">
            <v>38</v>
          </cell>
          <cell r="J836">
            <v>1.1399999999999999</v>
          </cell>
          <cell r="K836">
            <v>1.32</v>
          </cell>
          <cell r="L836">
            <v>1.1599999999999999</v>
          </cell>
          <cell r="M836">
            <v>1.35</v>
          </cell>
          <cell r="N836">
            <v>1.18</v>
          </cell>
          <cell r="O836">
            <v>1.38</v>
          </cell>
          <cell r="P836"/>
          <cell r="Q836"/>
          <cell r="R836">
            <v>1.33</v>
          </cell>
          <cell r="S836">
            <v>1.63</v>
          </cell>
          <cell r="T836"/>
          <cell r="U836"/>
          <cell r="V836">
            <v>15</v>
          </cell>
          <cell r="W836"/>
          <cell r="X836" t="str">
            <v>GAVIN</v>
          </cell>
          <cell r="Y836"/>
          <cell r="Z836" t="str">
            <v>GAVIN 29/3/18</v>
          </cell>
          <cell r="AA836"/>
          <cell r="AB836">
            <v>43188</v>
          </cell>
          <cell r="AC836">
            <v>4849</v>
          </cell>
        </row>
        <row r="837">
          <cell r="B837">
            <v>793</v>
          </cell>
          <cell r="C837" t="str">
            <v>TS-147</v>
          </cell>
          <cell r="D837"/>
          <cell r="E837"/>
          <cell r="F837" t="str">
            <v>T100%</v>
          </cell>
          <cell r="G837" t="str">
            <v>100% POLYESTER</v>
          </cell>
          <cell r="H837" t="str">
            <v>57/58</v>
          </cell>
          <cell r="I837">
            <v>135</v>
          </cell>
          <cell r="J837">
            <v>1.28</v>
          </cell>
          <cell r="K837">
            <v>1.46</v>
          </cell>
          <cell r="L837">
            <v>1.3</v>
          </cell>
          <cell r="M837">
            <v>1.49</v>
          </cell>
          <cell r="N837">
            <v>1.32</v>
          </cell>
          <cell r="O837">
            <v>1.52</v>
          </cell>
          <cell r="P837"/>
          <cell r="Q837"/>
          <cell r="R837">
            <v>1.47</v>
          </cell>
          <cell r="S837">
            <v>1.77</v>
          </cell>
          <cell r="T837"/>
          <cell r="U837"/>
          <cell r="V837">
            <v>15</v>
          </cell>
          <cell r="W837"/>
          <cell r="X837" t="str">
            <v>GAVIN</v>
          </cell>
          <cell r="Y837"/>
          <cell r="Z837" t="str">
            <v>GAVIN 29/3/18</v>
          </cell>
          <cell r="AA837"/>
          <cell r="AB837">
            <v>43188</v>
          </cell>
          <cell r="AC837">
            <v>4852</v>
          </cell>
        </row>
        <row r="838">
          <cell r="B838">
            <v>137</v>
          </cell>
          <cell r="C838" t="str">
            <v>TS-044B</v>
          </cell>
          <cell r="D838"/>
          <cell r="E838"/>
          <cell r="F838" t="str">
            <v>T100%</v>
          </cell>
          <cell r="G838" t="str">
            <v>100% POLYESTER</v>
          </cell>
          <cell r="H838" t="str">
            <v>57/58</v>
          </cell>
          <cell r="I838">
            <v>85</v>
          </cell>
          <cell r="J838">
            <v>1.01</v>
          </cell>
          <cell r="K838">
            <v>1.19</v>
          </cell>
          <cell r="L838">
            <v>1.03</v>
          </cell>
          <cell r="M838">
            <v>1.22</v>
          </cell>
          <cell r="N838">
            <v>1.05</v>
          </cell>
          <cell r="O838">
            <v>1.25</v>
          </cell>
          <cell r="P838"/>
          <cell r="Q838"/>
          <cell r="R838">
            <v>1.2</v>
          </cell>
          <cell r="S838">
            <v>1.5</v>
          </cell>
          <cell r="T838"/>
          <cell r="U838"/>
          <cell r="V838">
            <v>15</v>
          </cell>
          <cell r="W838"/>
          <cell r="X838" t="str">
            <v>GAVIN</v>
          </cell>
          <cell r="Y838"/>
          <cell r="Z838" t="str">
            <v>GAVIN 29/3/18</v>
          </cell>
          <cell r="AA838"/>
          <cell r="AB838">
            <v>43188</v>
          </cell>
          <cell r="AC838">
            <v>4858</v>
          </cell>
        </row>
        <row r="839">
          <cell r="B839">
            <v>83</v>
          </cell>
          <cell r="C839" t="str">
            <v>TS-029</v>
          </cell>
          <cell r="D839" t="str">
            <v>CDC</v>
          </cell>
          <cell r="E839"/>
          <cell r="F839" t="str">
            <v>T100%</v>
          </cell>
          <cell r="G839" t="str">
            <v>100% POLYESTER</v>
          </cell>
          <cell r="H839" t="str">
            <v>57/58</v>
          </cell>
          <cell r="I839">
            <v>70</v>
          </cell>
          <cell r="J839">
            <v>1.1399999999999999</v>
          </cell>
          <cell r="K839">
            <v>1.32</v>
          </cell>
          <cell r="L839">
            <v>1.1599999999999999</v>
          </cell>
          <cell r="M839">
            <v>1.35</v>
          </cell>
          <cell r="N839">
            <v>1.18</v>
          </cell>
          <cell r="O839">
            <v>1.38</v>
          </cell>
          <cell r="P839"/>
          <cell r="Q839"/>
          <cell r="R839">
            <v>1.33</v>
          </cell>
          <cell r="S839">
            <v>1.63</v>
          </cell>
          <cell r="T839"/>
          <cell r="U839"/>
          <cell r="V839">
            <v>15</v>
          </cell>
          <cell r="W839"/>
          <cell r="X839" t="str">
            <v>GAVIN</v>
          </cell>
          <cell r="Y839"/>
          <cell r="Z839" t="str">
            <v>GAVIN 29/3/18</v>
          </cell>
          <cell r="AA839"/>
          <cell r="AB839">
            <v>43188</v>
          </cell>
          <cell r="AC839">
            <v>4863</v>
          </cell>
        </row>
        <row r="840">
          <cell r="B840">
            <v>4230</v>
          </cell>
          <cell r="C840" t="str">
            <v>M15240</v>
          </cell>
          <cell r="D840"/>
          <cell r="E840" t="str">
            <v>scuba crepe print</v>
          </cell>
          <cell r="F840" t="str">
            <v>T/S 96/4</v>
          </cell>
          <cell r="G840" t="str">
            <v>96% POLYESTER 4% SPANDEX</v>
          </cell>
          <cell r="H840" t="str">
            <v>60</v>
          </cell>
          <cell r="I840">
            <v>220</v>
          </cell>
          <cell r="J840">
            <v>1.23</v>
          </cell>
          <cell r="K840">
            <v>1.36</v>
          </cell>
          <cell r="L840">
            <v>1.25</v>
          </cell>
          <cell r="M840">
            <v>1.4</v>
          </cell>
          <cell r="N840">
            <v>1.3</v>
          </cell>
          <cell r="O840">
            <v>1.48</v>
          </cell>
          <cell r="P840"/>
          <cell r="Q840"/>
          <cell r="R840">
            <v>1.5</v>
          </cell>
          <cell r="S840">
            <v>1.7</v>
          </cell>
          <cell r="T840"/>
          <cell r="U840"/>
          <cell r="V840">
            <v>15</v>
          </cell>
          <cell r="W840"/>
          <cell r="X840" t="str">
            <v>MARY</v>
          </cell>
          <cell r="Y840"/>
          <cell r="Z840" t="str">
            <v>MARY 27/3/18</v>
          </cell>
          <cell r="AA840"/>
          <cell r="AB840">
            <v>43186</v>
          </cell>
          <cell r="AC840">
            <v>4874</v>
          </cell>
        </row>
        <row r="841">
          <cell r="B841">
            <v>4229</v>
          </cell>
          <cell r="C841" t="str">
            <v>M17887</v>
          </cell>
          <cell r="D841" t="str">
            <v>CHIFFON</v>
          </cell>
          <cell r="E841"/>
          <cell r="F841" t="str">
            <v>T100%</v>
          </cell>
          <cell r="G841" t="str">
            <v>100% POLYESTER</v>
          </cell>
          <cell r="H841" t="str">
            <v>58/59</v>
          </cell>
          <cell r="I841">
            <v>73</v>
          </cell>
          <cell r="J841">
            <v>1.2</v>
          </cell>
          <cell r="K841">
            <v>1.35</v>
          </cell>
          <cell r="L841">
            <v>1.22</v>
          </cell>
          <cell r="M841">
            <v>1.39</v>
          </cell>
          <cell r="N841">
            <v>1.25</v>
          </cell>
          <cell r="O841">
            <v>1.47</v>
          </cell>
          <cell r="P841"/>
          <cell r="Q841"/>
          <cell r="R841">
            <v>1.45</v>
          </cell>
          <cell r="S841">
            <v>1.68</v>
          </cell>
          <cell r="T841"/>
          <cell r="U841"/>
          <cell r="V841">
            <v>15</v>
          </cell>
          <cell r="W841"/>
          <cell r="X841" t="str">
            <v>MARY</v>
          </cell>
          <cell r="Y841"/>
          <cell r="Z841" t="str">
            <v>MARY 27/3/18</v>
          </cell>
          <cell r="AA841"/>
          <cell r="AB841">
            <v>43186</v>
          </cell>
          <cell r="AC841">
            <v>4875</v>
          </cell>
        </row>
        <row r="842">
          <cell r="B842">
            <v>4228</v>
          </cell>
          <cell r="C842" t="str">
            <v>M17889</v>
          </cell>
          <cell r="D842" t="str">
            <v>CDC</v>
          </cell>
          <cell r="E842"/>
          <cell r="F842" t="str">
            <v>T100%</v>
          </cell>
          <cell r="G842" t="str">
            <v>100% POLYESTER</v>
          </cell>
          <cell r="H842" t="str">
            <v>57/58</v>
          </cell>
          <cell r="I842">
            <v>90</v>
          </cell>
          <cell r="J842">
            <v>1.02</v>
          </cell>
          <cell r="K842">
            <v>1.17</v>
          </cell>
          <cell r="L842">
            <v>1.03</v>
          </cell>
          <cell r="M842">
            <v>1.2</v>
          </cell>
          <cell r="N842">
            <v>1.08</v>
          </cell>
          <cell r="O842">
            <v>1.3</v>
          </cell>
          <cell r="P842"/>
          <cell r="Q842"/>
          <cell r="R842">
            <v>1.3</v>
          </cell>
          <cell r="S842">
            <v>1.62</v>
          </cell>
          <cell r="T842"/>
          <cell r="U842"/>
          <cell r="V842">
            <v>15</v>
          </cell>
          <cell r="W842"/>
          <cell r="X842" t="str">
            <v>MARY</v>
          </cell>
          <cell r="Y842"/>
          <cell r="Z842" t="str">
            <v>MARY 27/3/18</v>
          </cell>
          <cell r="AA842"/>
          <cell r="AB842">
            <v>43186</v>
          </cell>
          <cell r="AC842">
            <v>4883</v>
          </cell>
        </row>
        <row r="843">
          <cell r="B843">
            <v>4227</v>
          </cell>
          <cell r="C843" t="str">
            <v>M13279</v>
          </cell>
          <cell r="D843" t="str">
            <v>KNIT</v>
          </cell>
          <cell r="E843"/>
          <cell r="F843" t="str">
            <v>T/S 96/4</v>
          </cell>
          <cell r="G843" t="str">
            <v>96% POLYESTER 4% SPANDEX</v>
          </cell>
          <cell r="H843" t="str">
            <v>58/60</v>
          </cell>
          <cell r="I843">
            <v>130</v>
          </cell>
          <cell r="J843">
            <v>0.9</v>
          </cell>
          <cell r="K843">
            <v>1.1499999999999999</v>
          </cell>
          <cell r="L843">
            <v>0.92</v>
          </cell>
          <cell r="M843">
            <v>1.18</v>
          </cell>
          <cell r="N843">
            <v>0.96</v>
          </cell>
          <cell r="O843">
            <v>1.25</v>
          </cell>
          <cell r="P843"/>
          <cell r="Q843"/>
          <cell r="R843">
            <v>1.2</v>
          </cell>
          <cell r="S843">
            <v>1.5</v>
          </cell>
          <cell r="T843"/>
          <cell r="U843"/>
          <cell r="V843">
            <v>15</v>
          </cell>
          <cell r="W843"/>
          <cell r="X843" t="str">
            <v>MARY</v>
          </cell>
          <cell r="Y843"/>
          <cell r="Z843" t="str">
            <v>MARY 27/3/18</v>
          </cell>
          <cell r="AA843"/>
          <cell r="AB843">
            <v>43186</v>
          </cell>
          <cell r="AC843">
            <v>4873</v>
          </cell>
        </row>
        <row r="844">
          <cell r="B844">
            <v>4226</v>
          </cell>
          <cell r="C844" t="str">
            <v>ST-W8032</v>
          </cell>
          <cell r="D844" t="str">
            <v>STRETCH CREPE</v>
          </cell>
          <cell r="E844" t="str">
            <v>120D*(120D+80D)</v>
          </cell>
          <cell r="F844" t="str">
            <v>T100%</v>
          </cell>
          <cell r="G844" t="str">
            <v>100% POLYESTER</v>
          </cell>
          <cell r="H844" t="str">
            <v>57/58</v>
          </cell>
          <cell r="I844">
            <v>130</v>
          </cell>
          <cell r="J844">
            <v>1.07</v>
          </cell>
          <cell r="K844">
            <v>1.38</v>
          </cell>
          <cell r="L844">
            <v>1.0900000000000001</v>
          </cell>
          <cell r="M844">
            <v>1.4</v>
          </cell>
          <cell r="N844">
            <v>1.1299999999999999</v>
          </cell>
          <cell r="O844">
            <v>1.54</v>
          </cell>
          <cell r="P844"/>
          <cell r="Q844"/>
          <cell r="R844">
            <v>1.2</v>
          </cell>
          <cell r="S844">
            <v>1.62</v>
          </cell>
          <cell r="T844"/>
          <cell r="U844"/>
          <cell r="V844">
            <v>15</v>
          </cell>
          <cell r="W844"/>
          <cell r="X844" t="str">
            <v>SIGER</v>
          </cell>
          <cell r="Y844"/>
          <cell r="Z844" t="str">
            <v>CARA 27/3/18</v>
          </cell>
          <cell r="AA844"/>
          <cell r="AB844">
            <v>43186</v>
          </cell>
          <cell r="AC844">
            <v>4871</v>
          </cell>
        </row>
        <row r="845">
          <cell r="B845">
            <v>4225</v>
          </cell>
          <cell r="C845" t="str">
            <v>ST-W6624 D#3</v>
          </cell>
          <cell r="D845" t="str">
            <v>CHIFFON</v>
          </cell>
          <cell r="E845" t="str">
            <v xml:space="preserve">75D*75D </v>
          </cell>
          <cell r="F845" t="str">
            <v>T100%</v>
          </cell>
          <cell r="G845" t="str">
            <v>100% POLYESTER</v>
          </cell>
          <cell r="H845" t="str">
            <v>57/58</v>
          </cell>
          <cell r="I845">
            <v>78</v>
          </cell>
          <cell r="J845">
            <v>1.06</v>
          </cell>
          <cell r="K845">
            <v>1.34</v>
          </cell>
          <cell r="L845">
            <v>1.1000000000000001</v>
          </cell>
          <cell r="M845">
            <v>1.38</v>
          </cell>
          <cell r="N845">
            <v>1.1399999999999999</v>
          </cell>
          <cell r="O845">
            <v>1.54</v>
          </cell>
          <cell r="P845"/>
          <cell r="Q845"/>
          <cell r="R845">
            <v>1.21</v>
          </cell>
          <cell r="S845">
            <v>1.66</v>
          </cell>
          <cell r="T845"/>
          <cell r="U845"/>
          <cell r="V845">
            <v>15</v>
          </cell>
          <cell r="W845"/>
          <cell r="X845" t="str">
            <v>SIGER</v>
          </cell>
          <cell r="Y845"/>
          <cell r="Z845" t="str">
            <v>CARA 27/3/18</v>
          </cell>
          <cell r="AA845"/>
          <cell r="AB845">
            <v>43186</v>
          </cell>
          <cell r="AC845">
            <v>4868</v>
          </cell>
        </row>
        <row r="846">
          <cell r="B846">
            <v>4224</v>
          </cell>
          <cell r="C846" t="str">
            <v>ST-W6097</v>
          </cell>
          <cell r="D846" t="str">
            <v>STRETCH POLY</v>
          </cell>
          <cell r="E846" t="str">
            <v>(75D+40D)*(75D+40D)</v>
          </cell>
          <cell r="F846" t="str">
            <v>T/S 97/3</v>
          </cell>
          <cell r="G846" t="str">
            <v xml:space="preserve">97% POLYESTER3%SP </v>
          </cell>
          <cell r="H846" t="str">
            <v>57/58</v>
          </cell>
          <cell r="I846">
            <v>90</v>
          </cell>
          <cell r="J846">
            <v>1.06</v>
          </cell>
          <cell r="K846">
            <v>1.34</v>
          </cell>
          <cell r="L846">
            <v>1.1000000000000001</v>
          </cell>
          <cell r="M846">
            <v>1.39</v>
          </cell>
          <cell r="N846">
            <v>1.1399999999999999</v>
          </cell>
          <cell r="O846">
            <v>1.54</v>
          </cell>
          <cell r="P846"/>
          <cell r="Q846"/>
          <cell r="R846">
            <v>1.21</v>
          </cell>
          <cell r="S846">
            <v>1.66</v>
          </cell>
          <cell r="T846"/>
          <cell r="U846"/>
          <cell r="V846">
            <v>15</v>
          </cell>
          <cell r="W846"/>
          <cell r="X846" t="str">
            <v>SIGER</v>
          </cell>
          <cell r="Y846"/>
          <cell r="Z846" t="str">
            <v>CARA 27/3/18</v>
          </cell>
          <cell r="AA846"/>
          <cell r="AB846">
            <v>43186</v>
          </cell>
          <cell r="AC846">
            <v>4870</v>
          </cell>
        </row>
        <row r="847">
          <cell r="B847">
            <v>4223</v>
          </cell>
          <cell r="C847" t="str">
            <v>ST-4412</v>
          </cell>
          <cell r="D847" t="str">
            <v>CRINKLE CHIFFON</v>
          </cell>
          <cell r="E847" t="str">
            <v>75D*75D</v>
          </cell>
          <cell r="F847" t="str">
            <v>T100&amp;</v>
          </cell>
          <cell r="G847" t="str">
            <v>100% POLYESTER</v>
          </cell>
          <cell r="H847">
            <v>133</v>
          </cell>
          <cell r="I847">
            <v>70</v>
          </cell>
          <cell r="J847">
            <v>1.08</v>
          </cell>
          <cell r="K847">
            <v>1.39</v>
          </cell>
          <cell r="L847">
            <v>1.1100000000000001</v>
          </cell>
          <cell r="M847">
            <v>1.43</v>
          </cell>
          <cell r="N847">
            <v>1.1499999999999999</v>
          </cell>
          <cell r="O847">
            <v>1.59</v>
          </cell>
          <cell r="P847"/>
          <cell r="Q847"/>
          <cell r="R847">
            <v>1.22</v>
          </cell>
          <cell r="S847">
            <v>1.68</v>
          </cell>
          <cell r="T847"/>
          <cell r="U847"/>
          <cell r="V847">
            <v>15</v>
          </cell>
          <cell r="W847"/>
          <cell r="X847" t="str">
            <v>SIGER</v>
          </cell>
          <cell r="Y847"/>
          <cell r="Z847" t="str">
            <v>CARA 27/3/18</v>
          </cell>
          <cell r="AA847"/>
          <cell r="AB847">
            <v>43186</v>
          </cell>
          <cell r="AC847">
            <v>4864</v>
          </cell>
        </row>
        <row r="848">
          <cell r="B848">
            <v>4222</v>
          </cell>
          <cell r="C848" t="str">
            <v>ST-W6626 D#2</v>
          </cell>
          <cell r="D848" t="str">
            <v>CREPE</v>
          </cell>
          <cell r="E848" t="str">
            <v>75D*75D   1600T</v>
          </cell>
          <cell r="F848" t="str">
            <v>T100&amp;</v>
          </cell>
          <cell r="G848" t="str">
            <v>100% POLYESTER</v>
          </cell>
          <cell r="H848" t="str">
            <v>57/58</v>
          </cell>
          <cell r="I848">
            <v>88</v>
          </cell>
          <cell r="J848">
            <v>1.02</v>
          </cell>
          <cell r="K848">
            <v>1.32</v>
          </cell>
          <cell r="L848">
            <v>1.05</v>
          </cell>
          <cell r="M848">
            <v>1.35</v>
          </cell>
          <cell r="N848">
            <v>1.1000000000000001</v>
          </cell>
          <cell r="O848">
            <v>1.52</v>
          </cell>
          <cell r="P848"/>
          <cell r="Q848"/>
          <cell r="R848">
            <v>1.19</v>
          </cell>
          <cell r="S848">
            <v>1.6</v>
          </cell>
          <cell r="T848"/>
          <cell r="U848"/>
          <cell r="V848">
            <v>15</v>
          </cell>
          <cell r="W848"/>
          <cell r="X848" t="str">
            <v>SIGER</v>
          </cell>
          <cell r="Y848"/>
          <cell r="Z848" t="str">
            <v>CARA 27/3/18</v>
          </cell>
          <cell r="AA848"/>
          <cell r="AB848">
            <v>43186</v>
          </cell>
          <cell r="AC848">
            <v>4865</v>
          </cell>
        </row>
        <row r="849">
          <cell r="B849">
            <v>4221</v>
          </cell>
          <cell r="C849" t="str">
            <v>ST-66180 D#14</v>
          </cell>
          <cell r="D849" t="str">
            <v>STRETCH POLY</v>
          </cell>
          <cell r="E849" t="str">
            <v>(100D+40D)*(100D+40D)</v>
          </cell>
          <cell r="F849" t="str">
            <v>T/S 97/3</v>
          </cell>
          <cell r="G849" t="str">
            <v xml:space="preserve">97% POLYESTER3%SP </v>
          </cell>
          <cell r="H849" t="str">
            <v>57/58</v>
          </cell>
          <cell r="I849">
            <v>170</v>
          </cell>
          <cell r="J849">
            <v>1.03</v>
          </cell>
          <cell r="K849">
            <v>1.3</v>
          </cell>
          <cell r="L849">
            <v>1.06</v>
          </cell>
          <cell r="M849">
            <v>1.33</v>
          </cell>
          <cell r="N849">
            <v>1.08</v>
          </cell>
          <cell r="O849">
            <v>1.47</v>
          </cell>
          <cell r="P849"/>
          <cell r="Q849"/>
          <cell r="R849">
            <v>1.1499999999999999</v>
          </cell>
          <cell r="S849">
            <v>1.59</v>
          </cell>
          <cell r="T849"/>
          <cell r="U849"/>
          <cell r="V849">
            <v>15</v>
          </cell>
          <cell r="W849"/>
          <cell r="X849" t="str">
            <v>SIGER</v>
          </cell>
          <cell r="Y849"/>
          <cell r="Z849" t="str">
            <v>CARA 27/3/18</v>
          </cell>
          <cell r="AA849"/>
          <cell r="AB849">
            <v>43186</v>
          </cell>
          <cell r="AC849">
            <v>4866</v>
          </cell>
        </row>
        <row r="850">
          <cell r="B850">
            <v>4219</v>
          </cell>
          <cell r="C850" t="str">
            <v>ST-W6624 D#4</v>
          </cell>
          <cell r="D850" t="str">
            <v>美人条</v>
          </cell>
          <cell r="E850"/>
          <cell r="F850" t="str">
            <v>T100%</v>
          </cell>
          <cell r="G850" t="str">
            <v>100% POLYESTER</v>
          </cell>
          <cell r="H850" t="str">
            <v>57/58</v>
          </cell>
          <cell r="I850">
            <v>78</v>
          </cell>
          <cell r="J850">
            <v>1.06</v>
          </cell>
          <cell r="K850">
            <v>1.34</v>
          </cell>
          <cell r="L850">
            <v>1.1000000000000001</v>
          </cell>
          <cell r="M850">
            <v>1.38</v>
          </cell>
          <cell r="N850">
            <v>1.1399999999999999</v>
          </cell>
          <cell r="O850">
            <v>1.54</v>
          </cell>
          <cell r="P850"/>
          <cell r="Q850"/>
          <cell r="R850">
            <v>1.21</v>
          </cell>
          <cell r="S850">
            <v>1.66</v>
          </cell>
          <cell r="T850"/>
          <cell r="U850"/>
          <cell r="V850">
            <v>15</v>
          </cell>
          <cell r="W850"/>
          <cell r="X850" t="str">
            <v>SIGER</v>
          </cell>
          <cell r="Y850"/>
          <cell r="Z850" t="str">
            <v>CARA 27/3/18</v>
          </cell>
          <cell r="AA850"/>
          <cell r="AB850">
            <v>43186</v>
          </cell>
          <cell r="AC850">
            <v>4869</v>
          </cell>
        </row>
        <row r="851">
          <cell r="B851">
            <v>3404</v>
          </cell>
          <cell r="C851" t="str">
            <v>M-2016033</v>
          </cell>
          <cell r="D851"/>
          <cell r="E851"/>
          <cell r="F851" t="str">
            <v>T100%</v>
          </cell>
          <cell r="G851" t="str">
            <v>100% POLYESTER</v>
          </cell>
          <cell r="H851" t="str">
            <v>57/58</v>
          </cell>
          <cell r="I851">
            <v>45</v>
          </cell>
          <cell r="J851">
            <v>1.05</v>
          </cell>
          <cell r="K851">
            <v>1.3</v>
          </cell>
          <cell r="L851">
            <v>1.05</v>
          </cell>
          <cell r="M851">
            <v>1.3</v>
          </cell>
          <cell r="N851">
            <v>1.1000000000000001</v>
          </cell>
          <cell r="O851">
            <v>1.1500000000000001</v>
          </cell>
          <cell r="P851"/>
          <cell r="Q851"/>
          <cell r="R851">
            <v>1.2</v>
          </cell>
          <cell r="S851">
            <v>2.15</v>
          </cell>
          <cell r="T851"/>
          <cell r="U851"/>
          <cell r="V851">
            <v>15</v>
          </cell>
          <cell r="W851"/>
          <cell r="X851" t="str">
            <v>M-TEX</v>
          </cell>
          <cell r="Y851"/>
          <cell r="Z851" t="str">
            <v>LINDA 27/3/18</v>
          </cell>
          <cell r="AA851"/>
          <cell r="AB851">
            <v>43186</v>
          </cell>
          <cell r="AC851">
            <v>4876</v>
          </cell>
        </row>
        <row r="852">
          <cell r="B852">
            <v>3401</v>
          </cell>
          <cell r="C852" t="str">
            <v>M-1050-1</v>
          </cell>
          <cell r="D852"/>
          <cell r="E852"/>
          <cell r="F852" t="str">
            <v>T100%</v>
          </cell>
          <cell r="G852" t="str">
            <v>100% POLYESTER</v>
          </cell>
          <cell r="H852" t="str">
            <v>150CM</v>
          </cell>
          <cell r="I852">
            <v>78</v>
          </cell>
          <cell r="J852">
            <v>1.1000000000000001</v>
          </cell>
          <cell r="K852">
            <v>1.35</v>
          </cell>
          <cell r="L852">
            <v>1.1000000000000001</v>
          </cell>
          <cell r="M852">
            <v>1.35</v>
          </cell>
          <cell r="N852">
            <v>1.1499999999999999</v>
          </cell>
          <cell r="O852">
            <v>1.45</v>
          </cell>
          <cell r="P852"/>
          <cell r="Q852"/>
          <cell r="R852">
            <v>1.2</v>
          </cell>
          <cell r="S852">
            <v>2.35</v>
          </cell>
          <cell r="T852"/>
          <cell r="U852"/>
          <cell r="V852">
            <v>15</v>
          </cell>
          <cell r="W852"/>
          <cell r="X852" t="str">
            <v>M-TEX</v>
          </cell>
          <cell r="Y852"/>
          <cell r="Z852" t="str">
            <v>LINDA 27/3/18</v>
          </cell>
          <cell r="AA852"/>
          <cell r="AB852">
            <v>43186</v>
          </cell>
          <cell r="AC852">
            <v>4877</v>
          </cell>
        </row>
        <row r="853">
          <cell r="B853">
            <v>3397</v>
          </cell>
          <cell r="C853" t="str">
            <v>M-1747</v>
          </cell>
          <cell r="D853"/>
          <cell r="E853" t="str">
            <v>100D*100D</v>
          </cell>
          <cell r="F853" t="str">
            <v>T100%</v>
          </cell>
          <cell r="G853" t="str">
            <v>100% POLYESTER</v>
          </cell>
          <cell r="H853" t="str">
            <v>57/58</v>
          </cell>
          <cell r="I853">
            <v>100</v>
          </cell>
          <cell r="J853">
            <v>0.82</v>
          </cell>
          <cell r="K853">
            <v>1.08</v>
          </cell>
          <cell r="L853">
            <v>0.82</v>
          </cell>
          <cell r="M853">
            <v>1.08</v>
          </cell>
          <cell r="N853">
            <v>0.87</v>
          </cell>
          <cell r="O853">
            <v>1.33</v>
          </cell>
          <cell r="P853"/>
          <cell r="Q853"/>
          <cell r="R853">
            <v>0.92</v>
          </cell>
          <cell r="S853">
            <v>2.08</v>
          </cell>
          <cell r="T853"/>
          <cell r="U853"/>
          <cell r="V853">
            <v>15</v>
          </cell>
          <cell r="W853"/>
          <cell r="X853" t="str">
            <v>M-TEX</v>
          </cell>
          <cell r="Y853"/>
          <cell r="Z853" t="str">
            <v>LINDA 27/3/18</v>
          </cell>
          <cell r="AA853"/>
          <cell r="AB853">
            <v>43186</v>
          </cell>
          <cell r="AC853">
            <v>4878</v>
          </cell>
        </row>
        <row r="854">
          <cell r="B854">
            <v>3396</v>
          </cell>
          <cell r="C854" t="str">
            <v>M-2135</v>
          </cell>
          <cell r="D854"/>
          <cell r="E854" t="str">
            <v>75D*100D</v>
          </cell>
          <cell r="F854" t="str">
            <v>T100%</v>
          </cell>
          <cell r="G854" t="str">
            <v>100% POLYESTER</v>
          </cell>
          <cell r="H854" t="str">
            <v>57/58</v>
          </cell>
          <cell r="I854">
            <v>85</v>
          </cell>
          <cell r="J854">
            <v>0.82</v>
          </cell>
          <cell r="K854">
            <v>1.08</v>
          </cell>
          <cell r="L854">
            <v>0.82</v>
          </cell>
          <cell r="M854">
            <v>1.08</v>
          </cell>
          <cell r="N854">
            <v>0.87</v>
          </cell>
          <cell r="O854">
            <v>1.33</v>
          </cell>
          <cell r="P854"/>
          <cell r="Q854"/>
          <cell r="R854">
            <v>0.92</v>
          </cell>
          <cell r="S854">
            <v>2.08</v>
          </cell>
          <cell r="T854"/>
          <cell r="U854"/>
          <cell r="V854">
            <v>15</v>
          </cell>
          <cell r="W854"/>
          <cell r="X854" t="str">
            <v>M-TEX</v>
          </cell>
          <cell r="Y854"/>
          <cell r="Z854" t="str">
            <v>LINDA 27/3/18</v>
          </cell>
          <cell r="AA854"/>
          <cell r="AB854">
            <v>43186</v>
          </cell>
          <cell r="AC854">
            <v>4879</v>
          </cell>
        </row>
        <row r="855">
          <cell r="B855">
            <v>3395</v>
          </cell>
          <cell r="C855" t="str">
            <v>M-2190</v>
          </cell>
          <cell r="D855"/>
          <cell r="E855" t="str">
            <v>75D*75D</v>
          </cell>
          <cell r="F855" t="str">
            <v>T100%</v>
          </cell>
          <cell r="G855" t="str">
            <v>100% POLYESTER</v>
          </cell>
          <cell r="H855" t="str">
            <v>57/58</v>
          </cell>
          <cell r="I855">
            <v>85</v>
          </cell>
          <cell r="J855">
            <v>0.9</v>
          </cell>
          <cell r="K855">
            <v>1.1499999999999999</v>
          </cell>
          <cell r="L855">
            <v>0.9</v>
          </cell>
          <cell r="M855">
            <v>1.1499999999999999</v>
          </cell>
          <cell r="N855">
            <v>0.95</v>
          </cell>
          <cell r="O855">
            <v>1.2</v>
          </cell>
          <cell r="P855"/>
          <cell r="Q855"/>
          <cell r="R855">
            <v>1.1000000000000001</v>
          </cell>
          <cell r="S855">
            <v>2.15</v>
          </cell>
          <cell r="T855"/>
          <cell r="U855"/>
          <cell r="V855">
            <v>15</v>
          </cell>
          <cell r="W855"/>
          <cell r="X855" t="str">
            <v>M-TEX</v>
          </cell>
          <cell r="Y855"/>
          <cell r="Z855" t="str">
            <v>LINDA 27/3/18</v>
          </cell>
          <cell r="AA855"/>
          <cell r="AB855">
            <v>43186</v>
          </cell>
          <cell r="AC855">
            <v>4880</v>
          </cell>
        </row>
        <row r="856">
          <cell r="B856">
            <v>3394</v>
          </cell>
          <cell r="C856" t="str">
            <v>M-1746</v>
          </cell>
          <cell r="D856"/>
          <cell r="E856"/>
          <cell r="F856" t="str">
            <v>T100%</v>
          </cell>
          <cell r="G856" t="str">
            <v>100% POLYESTER</v>
          </cell>
          <cell r="H856" t="str">
            <v>57/58</v>
          </cell>
          <cell r="I856">
            <v>85</v>
          </cell>
          <cell r="J856">
            <v>0.9</v>
          </cell>
          <cell r="K856">
            <v>1.1499999999999999</v>
          </cell>
          <cell r="L856">
            <v>0.9</v>
          </cell>
          <cell r="M856">
            <v>1.1499999999999999</v>
          </cell>
          <cell r="N856">
            <v>0.95</v>
          </cell>
          <cell r="O856">
            <v>1.2</v>
          </cell>
          <cell r="P856"/>
          <cell r="Q856"/>
          <cell r="R856">
            <v>1.1000000000000001</v>
          </cell>
          <cell r="S856">
            <v>2.15</v>
          </cell>
          <cell r="T856"/>
          <cell r="U856"/>
          <cell r="V856">
            <v>15</v>
          </cell>
          <cell r="W856"/>
          <cell r="X856" t="str">
            <v>M-TEX</v>
          </cell>
          <cell r="Y856" t="str">
            <v>DMCARE-TRI-02</v>
          </cell>
          <cell r="Z856" t="str">
            <v>LINDA 27/3/18</v>
          </cell>
          <cell r="AA856"/>
          <cell r="AB856">
            <v>43186</v>
          </cell>
          <cell r="AC856">
            <v>4881</v>
          </cell>
        </row>
        <row r="857">
          <cell r="B857">
            <v>3392</v>
          </cell>
          <cell r="C857" t="str">
            <v>M-1745</v>
          </cell>
          <cell r="D857"/>
          <cell r="E857" t="str">
            <v>50D*50D</v>
          </cell>
          <cell r="F857" t="str">
            <v>T100%</v>
          </cell>
          <cell r="G857" t="str">
            <v>100% POLYESTER</v>
          </cell>
          <cell r="H857" t="str">
            <v>57/58</v>
          </cell>
          <cell r="I857">
            <v>70</v>
          </cell>
          <cell r="J857">
            <v>0.95</v>
          </cell>
          <cell r="K857">
            <v>1.2</v>
          </cell>
          <cell r="L857">
            <v>0.95</v>
          </cell>
          <cell r="M857">
            <v>1.2</v>
          </cell>
          <cell r="N857">
            <v>1</v>
          </cell>
          <cell r="O857">
            <v>1.25</v>
          </cell>
          <cell r="P857"/>
          <cell r="Q857"/>
          <cell r="R857">
            <v>1.05</v>
          </cell>
          <cell r="S857">
            <v>1.95</v>
          </cell>
          <cell r="T857"/>
          <cell r="U857"/>
          <cell r="V857">
            <v>15</v>
          </cell>
          <cell r="W857"/>
          <cell r="X857" t="str">
            <v>M-TEX</v>
          </cell>
          <cell r="Y857"/>
          <cell r="Z857" t="str">
            <v>LINDA 27/3/18</v>
          </cell>
          <cell r="AA857"/>
          <cell r="AB857">
            <v>43186</v>
          </cell>
          <cell r="AC857">
            <v>4882</v>
          </cell>
        </row>
        <row r="858">
          <cell r="B858">
            <v>1942</v>
          </cell>
          <cell r="C858" t="str">
            <v>BG2573</v>
          </cell>
          <cell r="D858" t="str">
            <v>ITY</v>
          </cell>
          <cell r="E858"/>
          <cell r="F858" t="str">
            <v>T/S 95/5</v>
          </cell>
          <cell r="G858" t="str">
            <v>95%POLYESTER  5%SPANDEX</v>
          </cell>
          <cell r="H858" t="str">
            <v>58/60</v>
          </cell>
          <cell r="I858">
            <v>210</v>
          </cell>
          <cell r="J858">
            <v>1.6</v>
          </cell>
          <cell r="K858">
            <v>1.85</v>
          </cell>
          <cell r="L858">
            <v>1.63</v>
          </cell>
          <cell r="M858">
            <v>1.9</v>
          </cell>
          <cell r="N858">
            <v>1.65</v>
          </cell>
          <cell r="O858">
            <v>1.95</v>
          </cell>
          <cell r="P858"/>
          <cell r="Q858"/>
          <cell r="R858">
            <v>1.8</v>
          </cell>
          <cell r="S858">
            <v>2.35</v>
          </cell>
          <cell r="T858"/>
          <cell r="U858"/>
          <cell r="V858">
            <v>15</v>
          </cell>
          <cell r="W858"/>
          <cell r="X858" t="str">
            <v>EDWIN</v>
          </cell>
          <cell r="Y858"/>
          <cell r="Z858" t="str">
            <v>EDWIN 27/3/18</v>
          </cell>
          <cell r="AA858"/>
          <cell r="AB858">
            <v>43186</v>
          </cell>
          <cell r="AC858">
            <v>4872</v>
          </cell>
        </row>
        <row r="859">
          <cell r="B859">
            <v>4218</v>
          </cell>
          <cell r="C859" t="str">
            <v>SH1550</v>
          </cell>
          <cell r="D859"/>
          <cell r="E859"/>
          <cell r="F859" t="str">
            <v>T100%</v>
          </cell>
          <cell r="G859" t="str">
            <v xml:space="preserve">100% POLYESTER </v>
          </cell>
          <cell r="H859" t="str">
            <v>57/58</v>
          </cell>
          <cell r="I859">
            <v>70</v>
          </cell>
          <cell r="J859">
            <v>0.98</v>
          </cell>
          <cell r="K859">
            <v>1.33</v>
          </cell>
          <cell r="L859">
            <v>1</v>
          </cell>
          <cell r="M859">
            <v>1.35</v>
          </cell>
          <cell r="N859">
            <v>1</v>
          </cell>
          <cell r="O859">
            <v>1.35</v>
          </cell>
          <cell r="P859"/>
          <cell r="Q859"/>
          <cell r="R859">
            <v>1.1000000000000001</v>
          </cell>
          <cell r="S859">
            <v>1.45</v>
          </cell>
          <cell r="T859"/>
          <cell r="U859"/>
          <cell r="V859">
            <v>15</v>
          </cell>
          <cell r="W859"/>
          <cell r="X859" t="str">
            <v>PANI</v>
          </cell>
          <cell r="Y859"/>
          <cell r="Z859" t="str">
            <v>AMY 26/3/18</v>
          </cell>
          <cell r="AA859"/>
          <cell r="AB859">
            <v>43185</v>
          </cell>
          <cell r="AC859">
            <v>4893</v>
          </cell>
        </row>
        <row r="860">
          <cell r="B860">
            <v>4217</v>
          </cell>
          <cell r="C860" t="str">
            <v>SH1551</v>
          </cell>
          <cell r="D860"/>
          <cell r="E860"/>
          <cell r="F860" t="str">
            <v>T100%</v>
          </cell>
          <cell r="G860" t="str">
            <v xml:space="preserve">100% POLYESTER </v>
          </cell>
          <cell r="H860" t="str">
            <v>57/58</v>
          </cell>
          <cell r="I860">
            <v>70</v>
          </cell>
          <cell r="J860">
            <v>0.98</v>
          </cell>
          <cell r="K860">
            <v>1.33</v>
          </cell>
          <cell r="L860">
            <v>1</v>
          </cell>
          <cell r="M860">
            <v>1.35</v>
          </cell>
          <cell r="N860">
            <v>1</v>
          </cell>
          <cell r="O860">
            <v>1.35</v>
          </cell>
          <cell r="P860"/>
          <cell r="Q860"/>
          <cell r="R860">
            <v>1.1000000000000001</v>
          </cell>
          <cell r="S860">
            <v>1.45</v>
          </cell>
          <cell r="T860"/>
          <cell r="U860"/>
          <cell r="V860">
            <v>15</v>
          </cell>
          <cell r="W860"/>
          <cell r="X860" t="str">
            <v>PANI</v>
          </cell>
          <cell r="Y860"/>
          <cell r="Z860" t="str">
            <v>AMY 26/3/18</v>
          </cell>
          <cell r="AA860"/>
          <cell r="AB860">
            <v>43185</v>
          </cell>
          <cell r="AC860">
            <v>4894</v>
          </cell>
        </row>
        <row r="861">
          <cell r="B861">
            <v>3723</v>
          </cell>
          <cell r="C861" t="str">
            <v>ST-79431</v>
          </cell>
          <cell r="D861"/>
          <cell r="E861" t="str">
            <v>bubble crepe print</v>
          </cell>
          <cell r="F861" t="str">
            <v>T/S 97/3</v>
          </cell>
          <cell r="G861" t="str">
            <v>97% POLYESTER 3% SPANDEX</v>
          </cell>
          <cell r="H861" t="str">
            <v>57/58</v>
          </cell>
          <cell r="I861">
            <v>115</v>
          </cell>
          <cell r="J861">
            <v>1.1499999999999999</v>
          </cell>
          <cell r="K861">
            <v>1.39</v>
          </cell>
          <cell r="L861">
            <v>1.17</v>
          </cell>
          <cell r="M861">
            <v>1.44</v>
          </cell>
          <cell r="N861">
            <v>1.21</v>
          </cell>
          <cell r="O861">
            <v>1.52</v>
          </cell>
          <cell r="P861"/>
          <cell r="Q861"/>
          <cell r="R861">
            <v>1.3</v>
          </cell>
          <cell r="S861">
            <v>1.63</v>
          </cell>
          <cell r="T861"/>
          <cell r="U861"/>
          <cell r="V861">
            <v>15</v>
          </cell>
          <cell r="W861"/>
          <cell r="X861" t="str">
            <v>SIGER</v>
          </cell>
          <cell r="Y861"/>
          <cell r="Z861" t="str">
            <v>CARA 26/3/18</v>
          </cell>
          <cell r="AA861"/>
          <cell r="AB861">
            <v>43185</v>
          </cell>
          <cell r="AC861">
            <v>4895</v>
          </cell>
        </row>
        <row r="862">
          <cell r="B862">
            <v>3256</v>
          </cell>
          <cell r="C862" t="str">
            <v>WW-20566</v>
          </cell>
          <cell r="D862"/>
          <cell r="E862"/>
          <cell r="F862" t="str">
            <v>T100%</v>
          </cell>
          <cell r="G862" t="str">
            <v>100% POLYESTER</v>
          </cell>
          <cell r="H862" t="str">
            <v>57/58</v>
          </cell>
          <cell r="I862">
            <v>70</v>
          </cell>
          <cell r="J862">
            <v>1.03</v>
          </cell>
          <cell r="K862">
            <v>1.33</v>
          </cell>
          <cell r="L862">
            <v>1.05</v>
          </cell>
          <cell r="M862">
            <v>1.35</v>
          </cell>
          <cell r="N862">
            <v>1.05</v>
          </cell>
          <cell r="O862">
            <v>1.35</v>
          </cell>
          <cell r="P862"/>
          <cell r="Q862"/>
          <cell r="R862">
            <v>1.1499999999999999</v>
          </cell>
          <cell r="S862">
            <v>1.45</v>
          </cell>
          <cell r="T862"/>
          <cell r="U862"/>
          <cell r="V862">
            <v>15</v>
          </cell>
          <cell r="W862"/>
          <cell r="X862" t="str">
            <v>PANI</v>
          </cell>
          <cell r="Y862"/>
          <cell r="Z862" t="str">
            <v>AMY 26/3/18</v>
          </cell>
          <cell r="AA862"/>
          <cell r="AB862">
            <v>43185</v>
          </cell>
          <cell r="AC862">
            <v>4890</v>
          </cell>
        </row>
        <row r="863">
          <cell r="B863">
            <v>3055</v>
          </cell>
          <cell r="C863" t="str">
            <v>KPW-22284</v>
          </cell>
          <cell r="D863"/>
          <cell r="E863" t="str">
            <v>45X45</v>
          </cell>
          <cell r="F863" t="str">
            <v>T/C 80/20</v>
          </cell>
          <cell r="G863" t="str">
            <v>80% POLYESTER 20% COTTON</v>
          </cell>
          <cell r="H863" t="str">
            <v>57/58</v>
          </cell>
          <cell r="I863">
            <v>70</v>
          </cell>
          <cell r="J863">
            <v>0.98</v>
          </cell>
          <cell r="K863">
            <v>1.28</v>
          </cell>
          <cell r="L863">
            <v>1</v>
          </cell>
          <cell r="M863">
            <v>1.3</v>
          </cell>
          <cell r="N863">
            <v>1</v>
          </cell>
          <cell r="O863">
            <v>1.3</v>
          </cell>
          <cell r="P863"/>
          <cell r="Q863"/>
          <cell r="R863">
            <v>1.1000000000000001</v>
          </cell>
          <cell r="S863">
            <v>1.4</v>
          </cell>
          <cell r="T863"/>
          <cell r="U863"/>
          <cell r="V863">
            <v>15</v>
          </cell>
          <cell r="W863"/>
          <cell r="X863" t="str">
            <v>PANI</v>
          </cell>
          <cell r="Y863"/>
          <cell r="Z863" t="str">
            <v>AMY 26/3/18</v>
          </cell>
          <cell r="AA863"/>
          <cell r="AB863">
            <v>43185</v>
          </cell>
          <cell r="AC863">
            <v>4891</v>
          </cell>
        </row>
        <row r="864">
          <cell r="B864">
            <v>3054</v>
          </cell>
          <cell r="C864" t="str">
            <v>WW-23433</v>
          </cell>
          <cell r="D864"/>
          <cell r="E864" t="str">
            <v>TC45</v>
          </cell>
          <cell r="F864" t="str">
            <v>T/C 65/35</v>
          </cell>
          <cell r="G864" t="str">
            <v>65% POLYESTER 35% COTTON</v>
          </cell>
          <cell r="H864" t="str">
            <v>57/58</v>
          </cell>
          <cell r="I864">
            <v>63</v>
          </cell>
          <cell r="J864">
            <v>0.98</v>
          </cell>
          <cell r="K864">
            <v>1.28</v>
          </cell>
          <cell r="L864">
            <v>1</v>
          </cell>
          <cell r="M864">
            <v>1.3</v>
          </cell>
          <cell r="N864">
            <v>1</v>
          </cell>
          <cell r="O864">
            <v>1.3</v>
          </cell>
          <cell r="P864"/>
          <cell r="Q864"/>
          <cell r="R864">
            <v>1.1000000000000001</v>
          </cell>
          <cell r="S864">
            <v>1.4</v>
          </cell>
          <cell r="T864"/>
          <cell r="U864"/>
          <cell r="V864">
            <v>15</v>
          </cell>
          <cell r="W864"/>
          <cell r="X864" t="str">
            <v>PANI</v>
          </cell>
          <cell r="Y864"/>
          <cell r="Z864" t="str">
            <v>AMY 26/3/18</v>
          </cell>
          <cell r="AA864"/>
          <cell r="AB864">
            <v>43185</v>
          </cell>
          <cell r="AC864">
            <v>4884</v>
          </cell>
        </row>
        <row r="865">
          <cell r="B865">
            <v>2982</v>
          </cell>
          <cell r="C865" t="str">
            <v>WW-21069</v>
          </cell>
          <cell r="D865" t="str">
            <v>CDC / FAILE</v>
          </cell>
          <cell r="E865"/>
          <cell r="F865" t="str">
            <v>T100%</v>
          </cell>
          <cell r="G865" t="str">
            <v>100% POLYESTER</v>
          </cell>
          <cell r="H865" t="str">
            <v>57/58</v>
          </cell>
          <cell r="I865">
            <v>72</v>
          </cell>
          <cell r="J865">
            <v>0.98</v>
          </cell>
          <cell r="K865">
            <v>1.28</v>
          </cell>
          <cell r="L865">
            <v>1</v>
          </cell>
          <cell r="M865">
            <v>1.3</v>
          </cell>
          <cell r="N865">
            <v>1</v>
          </cell>
          <cell r="O865">
            <v>1.3</v>
          </cell>
          <cell r="P865"/>
          <cell r="Q865"/>
          <cell r="R865">
            <v>1.1000000000000001</v>
          </cell>
          <cell r="S865">
            <v>1.4</v>
          </cell>
          <cell r="T865"/>
          <cell r="U865"/>
          <cell r="V865">
            <v>15</v>
          </cell>
          <cell r="W865"/>
          <cell r="X865" t="str">
            <v>PANI</v>
          </cell>
          <cell r="Y865"/>
          <cell r="Z865" t="str">
            <v>AMY 26/3/18</v>
          </cell>
          <cell r="AA865"/>
          <cell r="AB865">
            <v>43185</v>
          </cell>
          <cell r="AC865">
            <v>4892</v>
          </cell>
        </row>
        <row r="866">
          <cell r="B866">
            <v>2724</v>
          </cell>
          <cell r="C866" t="str">
            <v>ST-W6624 D#1</v>
          </cell>
          <cell r="D866"/>
          <cell r="E866"/>
          <cell r="F866" t="str">
            <v>T100%</v>
          </cell>
          <cell r="G866" t="str">
            <v>100% POLYESTER</v>
          </cell>
          <cell r="H866" t="str">
            <v>57/58</v>
          </cell>
          <cell r="I866">
            <v>78</v>
          </cell>
          <cell r="J866">
            <v>1.28</v>
          </cell>
          <cell r="K866">
            <v>1.55</v>
          </cell>
          <cell r="L866">
            <v>1.35</v>
          </cell>
          <cell r="M866">
            <v>1.6</v>
          </cell>
          <cell r="N866">
            <v>1.39</v>
          </cell>
          <cell r="O866">
            <v>1.76</v>
          </cell>
          <cell r="P866"/>
          <cell r="Q866"/>
          <cell r="R866">
            <v>1.45</v>
          </cell>
          <cell r="S866">
            <v>1.85</v>
          </cell>
          <cell r="T866"/>
          <cell r="U866"/>
          <cell r="V866">
            <v>15</v>
          </cell>
          <cell r="W866"/>
          <cell r="X866" t="str">
            <v>SIGER</v>
          </cell>
          <cell r="Y866"/>
          <cell r="Z866" t="str">
            <v>CARA 26/3/18</v>
          </cell>
          <cell r="AA866"/>
          <cell r="AB866">
            <v>43185</v>
          </cell>
          <cell r="AC866">
            <v>4897</v>
          </cell>
        </row>
        <row r="867">
          <cell r="B867">
            <v>2712</v>
          </cell>
          <cell r="C867" t="str">
            <v>HLT3768</v>
          </cell>
          <cell r="D867"/>
          <cell r="E867"/>
          <cell r="F867" t="str">
            <v>R100%</v>
          </cell>
          <cell r="G867" t="str">
            <v>100% RAYON (Dobby)</v>
          </cell>
          <cell r="H867" t="str">
            <v>143CM</v>
          </cell>
          <cell r="I867">
            <v>83</v>
          </cell>
          <cell r="J867">
            <v>1.7091549295774648</v>
          </cell>
          <cell r="K867">
            <v>1.7781690140845072</v>
          </cell>
          <cell r="L867">
            <v>1.7591549295774649</v>
          </cell>
          <cell r="M867">
            <v>1.8281690140845073</v>
          </cell>
          <cell r="N867">
            <v>1.859154929577465</v>
          </cell>
          <cell r="O867">
            <v>1.9281690140845074</v>
          </cell>
          <cell r="P867"/>
          <cell r="Q867"/>
          <cell r="R867">
            <v>2.1591549295774648</v>
          </cell>
          <cell r="S867">
            <v>2.6281690140845075</v>
          </cell>
          <cell r="T867"/>
          <cell r="U867"/>
          <cell r="V867">
            <v>15</v>
          </cell>
          <cell r="W867"/>
          <cell r="X867" t="str">
            <v>CANDY</v>
          </cell>
          <cell r="Y867" t="str">
            <v>DMCARE-TRI-01</v>
          </cell>
          <cell r="Z867" t="str">
            <v>CANDY 26/3/18</v>
          </cell>
          <cell r="AA867"/>
          <cell r="AB867">
            <v>43185</v>
          </cell>
          <cell r="AC867">
            <v>4900</v>
          </cell>
        </row>
        <row r="868">
          <cell r="B868">
            <v>2472</v>
          </cell>
          <cell r="C868" t="str">
            <v>ST-411205</v>
          </cell>
          <cell r="D868"/>
          <cell r="E868" t="str">
            <v>100D POLY 4 WAY SPANDEX PD</v>
          </cell>
          <cell r="F868" t="str">
            <v>T/S 97/3</v>
          </cell>
          <cell r="G868" t="str">
            <v>97% POLYESTER 3% SPAN</v>
          </cell>
          <cell r="H868" t="str">
            <v>57/58</v>
          </cell>
          <cell r="I868">
            <v>110</v>
          </cell>
          <cell r="J868">
            <v>1.03</v>
          </cell>
          <cell r="K868">
            <v>1.3</v>
          </cell>
          <cell r="L868">
            <v>1.06</v>
          </cell>
          <cell r="M868">
            <v>1.33</v>
          </cell>
          <cell r="N868">
            <v>1.08</v>
          </cell>
          <cell r="O868">
            <v>1.37</v>
          </cell>
          <cell r="P868"/>
          <cell r="Q868"/>
          <cell r="R868">
            <v>1.1499999999999999</v>
          </cell>
          <cell r="S868">
            <v>1.47</v>
          </cell>
          <cell r="T868"/>
          <cell r="U868"/>
          <cell r="V868">
            <v>15</v>
          </cell>
          <cell r="W868"/>
          <cell r="X868" t="str">
            <v>SIGER</v>
          </cell>
          <cell r="Y868"/>
          <cell r="Z868" t="str">
            <v>CARA 26/3/18</v>
          </cell>
          <cell r="AA868"/>
          <cell r="AB868">
            <v>43185</v>
          </cell>
          <cell r="AC868">
            <v>4898</v>
          </cell>
        </row>
        <row r="869">
          <cell r="B869">
            <v>2428</v>
          </cell>
          <cell r="C869" t="str">
            <v>M12451</v>
          </cell>
          <cell r="D869" t="str">
            <v>amezen crepe spandex</v>
          </cell>
          <cell r="E869"/>
          <cell r="F869" t="str">
            <v>T100%</v>
          </cell>
          <cell r="G869" t="str">
            <v>100% POLYESTER</v>
          </cell>
          <cell r="H869" t="str">
            <v>57/58</v>
          </cell>
          <cell r="I869">
            <v>85</v>
          </cell>
          <cell r="J869">
            <v>0.99</v>
          </cell>
          <cell r="K869">
            <v>1.1499999999999999</v>
          </cell>
          <cell r="L869">
            <v>1.02</v>
          </cell>
          <cell r="M869">
            <v>1.2</v>
          </cell>
          <cell r="N869">
            <v>1.07</v>
          </cell>
          <cell r="O869">
            <v>1.28</v>
          </cell>
          <cell r="P869"/>
          <cell r="Q869"/>
          <cell r="R869">
            <v>1.3</v>
          </cell>
          <cell r="S869">
            <v>1.52</v>
          </cell>
          <cell r="T869"/>
          <cell r="U869"/>
          <cell r="V869">
            <v>15</v>
          </cell>
          <cell r="W869"/>
          <cell r="X869" t="str">
            <v>MARY</v>
          </cell>
          <cell r="Y869"/>
          <cell r="Z869" t="str">
            <v>MARY 26/3/18</v>
          </cell>
          <cell r="AA869"/>
          <cell r="AB869">
            <v>43185</v>
          </cell>
          <cell r="AC869">
            <v>4888</v>
          </cell>
        </row>
        <row r="870">
          <cell r="B870">
            <v>2008</v>
          </cell>
          <cell r="C870" t="str">
            <v>JMR1608B</v>
          </cell>
          <cell r="D870" t="str">
            <v xml:space="preserve">wool dobby </v>
          </cell>
          <cell r="E870"/>
          <cell r="F870" t="str">
            <v>T100%</v>
          </cell>
          <cell r="G870" t="str">
            <v>100% POLYESTER</v>
          </cell>
          <cell r="H870" t="str">
            <v>57/58</v>
          </cell>
          <cell r="I870">
            <v>120</v>
          </cell>
          <cell r="J870">
            <v>1.22</v>
          </cell>
          <cell r="K870">
            <v>1.37</v>
          </cell>
          <cell r="L870">
            <v>1.25</v>
          </cell>
          <cell r="M870">
            <v>1.42</v>
          </cell>
          <cell r="N870">
            <v>1.29</v>
          </cell>
          <cell r="O870">
            <v>1.5</v>
          </cell>
          <cell r="P870"/>
          <cell r="Q870"/>
          <cell r="R870">
            <v>1.5</v>
          </cell>
          <cell r="S870">
            <v>1.75</v>
          </cell>
          <cell r="T870"/>
          <cell r="U870"/>
          <cell r="V870">
            <v>15</v>
          </cell>
          <cell r="W870"/>
          <cell r="X870" t="str">
            <v>MARY</v>
          </cell>
          <cell r="Y870"/>
          <cell r="Z870" t="str">
            <v>MARY 26/3/18</v>
          </cell>
          <cell r="AA870"/>
          <cell r="AB870">
            <v>43185</v>
          </cell>
          <cell r="AC870">
            <v>4889</v>
          </cell>
        </row>
        <row r="871">
          <cell r="B871">
            <v>1805</v>
          </cell>
          <cell r="C871" t="str">
            <v>YH74B24</v>
          </cell>
          <cell r="D871"/>
          <cell r="E871"/>
          <cell r="F871" t="str">
            <v>T100%</v>
          </cell>
          <cell r="G871" t="str">
            <v>100% POLYESTER</v>
          </cell>
          <cell r="H871" t="str">
            <v>57/58</v>
          </cell>
          <cell r="I871">
            <v>32</v>
          </cell>
          <cell r="J871">
            <v>0.75</v>
          </cell>
          <cell r="K871"/>
          <cell r="L871">
            <v>0.88</v>
          </cell>
          <cell r="M871"/>
          <cell r="N871">
            <v>1.2</v>
          </cell>
          <cell r="O871"/>
          <cell r="P871"/>
          <cell r="Q871"/>
          <cell r="R871">
            <v>1.2</v>
          </cell>
          <cell r="S871"/>
          <cell r="T871"/>
          <cell r="U871"/>
          <cell r="V871">
            <v>15</v>
          </cell>
          <cell r="W871"/>
          <cell r="X871" t="str">
            <v>ANGELA</v>
          </cell>
          <cell r="Y871"/>
          <cell r="Z871" t="str">
            <v>ANGELA 26/3/18</v>
          </cell>
          <cell r="AA871"/>
          <cell r="AB871">
            <v>43185</v>
          </cell>
          <cell r="AC871">
            <v>4885</v>
          </cell>
        </row>
        <row r="872">
          <cell r="B872">
            <v>1191</v>
          </cell>
          <cell r="C872" t="str">
            <v>ST-412269-A</v>
          </cell>
          <cell r="D872"/>
          <cell r="E872" t="str">
            <v>100D平纹四面弹染色</v>
          </cell>
          <cell r="F872" t="str">
            <v>T/S 97/3</v>
          </cell>
          <cell r="G872" t="str">
            <v>97% POLYESTER 3% SPAN</v>
          </cell>
          <cell r="H872" t="str">
            <v>57/58</v>
          </cell>
          <cell r="I872">
            <v>108</v>
          </cell>
          <cell r="J872">
            <v>1.02</v>
          </cell>
          <cell r="K872">
            <v>1.29</v>
          </cell>
          <cell r="L872">
            <v>1.05</v>
          </cell>
          <cell r="M872">
            <v>1.32</v>
          </cell>
          <cell r="N872">
            <v>1.07</v>
          </cell>
          <cell r="O872">
            <v>1.36</v>
          </cell>
          <cell r="P872"/>
          <cell r="Q872"/>
          <cell r="R872">
            <v>1.1399999999999999</v>
          </cell>
          <cell r="S872">
            <v>1.46</v>
          </cell>
          <cell r="T872"/>
          <cell r="U872"/>
          <cell r="V872">
            <v>15</v>
          </cell>
          <cell r="W872"/>
          <cell r="X872" t="str">
            <v>SIGER</v>
          </cell>
          <cell r="Y872"/>
          <cell r="Z872" t="str">
            <v>CARA 26/3/18</v>
          </cell>
          <cell r="AA872"/>
          <cell r="AB872">
            <v>43185</v>
          </cell>
          <cell r="AC872">
            <v>4899</v>
          </cell>
        </row>
        <row r="873">
          <cell r="B873">
            <v>1076</v>
          </cell>
          <cell r="C873" t="str">
            <v>ST-4421</v>
          </cell>
          <cell r="D873"/>
          <cell r="E873"/>
          <cell r="F873" t="str">
            <v>T100%</v>
          </cell>
          <cell r="G873" t="str">
            <v>100%POLYESTER</v>
          </cell>
          <cell r="H873" t="str">
            <v>57/58</v>
          </cell>
          <cell r="I873">
            <v>80</v>
          </cell>
          <cell r="J873">
            <v>1.02</v>
          </cell>
          <cell r="K873">
            <v>1.24</v>
          </cell>
          <cell r="L873">
            <v>1.02</v>
          </cell>
          <cell r="M873">
            <v>1.26</v>
          </cell>
          <cell r="N873">
            <v>1.07</v>
          </cell>
          <cell r="O873">
            <v>1.36</v>
          </cell>
          <cell r="P873"/>
          <cell r="Q873"/>
          <cell r="R873">
            <v>1.1599999999999999</v>
          </cell>
          <cell r="S873">
            <v>1.46</v>
          </cell>
          <cell r="T873"/>
          <cell r="U873"/>
          <cell r="V873">
            <v>15</v>
          </cell>
          <cell r="W873"/>
          <cell r="X873" t="str">
            <v>SIGER</v>
          </cell>
          <cell r="Y873"/>
          <cell r="Z873" t="str">
            <v>CARA 26/3/18</v>
          </cell>
          <cell r="AA873"/>
          <cell r="AB873">
            <v>43185</v>
          </cell>
          <cell r="AC873">
            <v>4896</v>
          </cell>
        </row>
        <row r="874">
          <cell r="B874">
            <v>391</v>
          </cell>
          <cell r="C874" t="str">
            <v>M06526</v>
          </cell>
          <cell r="D874" t="str">
            <v xml:space="preserve">bubble chiffon </v>
          </cell>
          <cell r="E874"/>
          <cell r="F874" t="str">
            <v>T100%</v>
          </cell>
          <cell r="G874" t="str">
            <v>100% POLYESTER</v>
          </cell>
          <cell r="H874" t="str">
            <v>58/59</v>
          </cell>
          <cell r="I874">
            <v>115</v>
          </cell>
          <cell r="J874">
            <v>1.33</v>
          </cell>
          <cell r="K874">
            <v>1.48</v>
          </cell>
          <cell r="L874">
            <v>1.36</v>
          </cell>
          <cell r="M874">
            <v>1.53</v>
          </cell>
          <cell r="N874">
            <v>1.4</v>
          </cell>
          <cell r="O874">
            <v>1.58</v>
          </cell>
          <cell r="P874"/>
          <cell r="Q874"/>
          <cell r="R874">
            <v>1.6</v>
          </cell>
          <cell r="S874">
            <v>1.8</v>
          </cell>
          <cell r="T874"/>
          <cell r="U874"/>
          <cell r="V874">
            <v>15</v>
          </cell>
          <cell r="W874"/>
          <cell r="X874" t="str">
            <v>MARY</v>
          </cell>
          <cell r="Y874"/>
          <cell r="Z874" t="str">
            <v>MARY 26/3/18</v>
          </cell>
          <cell r="AA874"/>
          <cell r="AB874">
            <v>43185</v>
          </cell>
          <cell r="AC874">
            <v>4886</v>
          </cell>
        </row>
        <row r="875">
          <cell r="B875">
            <v>29</v>
          </cell>
          <cell r="C875" t="str">
            <v>M01298</v>
          </cell>
          <cell r="D875" t="str">
            <v xml:space="preserve">wool peach </v>
          </cell>
          <cell r="E875"/>
          <cell r="F875" t="str">
            <v>T100%</v>
          </cell>
          <cell r="G875" t="str">
            <v>100% POLYESTER</v>
          </cell>
          <cell r="H875" t="str">
            <v>57/58</v>
          </cell>
          <cell r="I875">
            <v>165</v>
          </cell>
          <cell r="J875">
            <v>1.02</v>
          </cell>
          <cell r="K875">
            <v>1.17</v>
          </cell>
          <cell r="L875">
            <v>1.05</v>
          </cell>
          <cell r="M875">
            <v>1.22</v>
          </cell>
          <cell r="N875">
            <v>1.1000000000000001</v>
          </cell>
          <cell r="O875">
            <v>1.3</v>
          </cell>
          <cell r="P875"/>
          <cell r="Q875"/>
          <cell r="R875">
            <v>1.3</v>
          </cell>
          <cell r="S875">
            <v>1.55</v>
          </cell>
          <cell r="T875"/>
          <cell r="U875"/>
          <cell r="V875"/>
          <cell r="W875" t="str">
            <v>NO AVAILABLE</v>
          </cell>
          <cell r="X875" t="str">
            <v>MARY</v>
          </cell>
          <cell r="Y875"/>
          <cell r="Z875" t="str">
            <v>MARY 26/3/18</v>
          </cell>
          <cell r="AA875"/>
          <cell r="AB875">
            <v>43185</v>
          </cell>
          <cell r="AC875">
            <v>4887</v>
          </cell>
        </row>
        <row r="876">
          <cell r="B876">
            <v>4193</v>
          </cell>
          <cell r="C876" t="str">
            <v>M-1035</v>
          </cell>
          <cell r="D876"/>
          <cell r="E876"/>
          <cell r="F876" t="str">
            <v>T100%</v>
          </cell>
          <cell r="G876" t="str">
            <v xml:space="preserve">100% POLYESTER </v>
          </cell>
          <cell r="H876" t="str">
            <v>57/58</v>
          </cell>
          <cell r="I876">
            <v>75</v>
          </cell>
          <cell r="J876">
            <v>0.9</v>
          </cell>
          <cell r="K876">
            <v>1.1499999999999999</v>
          </cell>
          <cell r="L876">
            <v>0.9</v>
          </cell>
          <cell r="M876">
            <v>1.1499999999999999</v>
          </cell>
          <cell r="N876">
            <v>0.95000000000000007</v>
          </cell>
          <cell r="O876">
            <v>1.2000000000000002</v>
          </cell>
          <cell r="P876"/>
          <cell r="Q876"/>
          <cell r="R876">
            <v>1.25</v>
          </cell>
          <cell r="S876">
            <v>2.2000000000000002</v>
          </cell>
          <cell r="T876"/>
          <cell r="U876"/>
          <cell r="V876">
            <v>15</v>
          </cell>
          <cell r="W876"/>
          <cell r="X876" t="str">
            <v>M-TEX</v>
          </cell>
          <cell r="Y876" t="str">
            <v>DMCARE-TRI-02</v>
          </cell>
          <cell r="Z876" t="str">
            <v>LINDA 24/3/18</v>
          </cell>
          <cell r="AA876"/>
          <cell r="AB876">
            <v>43183</v>
          </cell>
          <cell r="AC876">
            <v>4902</v>
          </cell>
        </row>
        <row r="877">
          <cell r="B877">
            <v>4188</v>
          </cell>
          <cell r="C877" t="str">
            <v>M-1077</v>
          </cell>
          <cell r="D877"/>
          <cell r="E877"/>
          <cell r="F877" t="str">
            <v>T/S 95/5</v>
          </cell>
          <cell r="G877" t="str">
            <v>95% POLYESTER  5% SPANDEX</v>
          </cell>
          <cell r="H877" t="str">
            <v>58/59</v>
          </cell>
          <cell r="I877" t="str">
            <v>200-210</v>
          </cell>
          <cell r="J877">
            <v>1.7529999999999999</v>
          </cell>
          <cell r="K877">
            <v>1.9529999999999998</v>
          </cell>
          <cell r="L877">
            <v>1.7529999999999999</v>
          </cell>
          <cell r="M877">
            <v>1.9529999999999998</v>
          </cell>
          <cell r="N877">
            <v>1.8029999999999999</v>
          </cell>
          <cell r="O877">
            <v>2.0529999999999999</v>
          </cell>
          <cell r="P877"/>
          <cell r="Q877"/>
          <cell r="R877">
            <v>1.903</v>
          </cell>
          <cell r="S877">
            <v>3.0529999999999999</v>
          </cell>
          <cell r="T877"/>
          <cell r="U877"/>
          <cell r="V877">
            <v>15</v>
          </cell>
          <cell r="W877"/>
          <cell r="X877" t="str">
            <v>M-TEX</v>
          </cell>
          <cell r="Y877" t="str">
            <v>DMCARE-TRI-02</v>
          </cell>
          <cell r="Z877" t="str">
            <v>LINDA 24/3/18</v>
          </cell>
          <cell r="AA877"/>
          <cell r="AB877">
            <v>43183</v>
          </cell>
          <cell r="AC877">
            <v>4903</v>
          </cell>
        </row>
        <row r="878">
          <cell r="B878">
            <v>4064</v>
          </cell>
          <cell r="C878" t="str">
            <v>HLP17210</v>
          </cell>
          <cell r="D878" t="str">
            <v>SILK POLY</v>
          </cell>
          <cell r="E878"/>
          <cell r="F878" t="str">
            <v>T100%</v>
          </cell>
          <cell r="G878" t="str">
            <v>100%POLYESTER</v>
          </cell>
          <cell r="H878" t="str">
            <v>146CM</v>
          </cell>
          <cell r="I878">
            <v>115</v>
          </cell>
          <cell r="J878">
            <v>1.6901408450704227</v>
          </cell>
          <cell r="K878">
            <v>1.8309859154929577</v>
          </cell>
          <cell r="L878">
            <v>1.7901408450704228</v>
          </cell>
          <cell r="M878">
            <v>1.9309859154929578</v>
          </cell>
          <cell r="N878">
            <v>1.8901408450704229</v>
          </cell>
          <cell r="O878">
            <v>2.1809859154929576</v>
          </cell>
          <cell r="P878"/>
          <cell r="Q878"/>
          <cell r="R878">
            <v>2.6</v>
          </cell>
          <cell r="S878">
            <v>2.9</v>
          </cell>
          <cell r="T878"/>
          <cell r="U878"/>
          <cell r="V878">
            <v>15</v>
          </cell>
          <cell r="W878"/>
          <cell r="X878" t="str">
            <v>CANDY</v>
          </cell>
          <cell r="Y878"/>
          <cell r="Z878" t="str">
            <v>CANDY 24/3/18</v>
          </cell>
          <cell r="AA878"/>
          <cell r="AB878">
            <v>43183</v>
          </cell>
          <cell r="AC878">
            <v>4901</v>
          </cell>
        </row>
        <row r="879">
          <cell r="B879">
            <v>3405</v>
          </cell>
          <cell r="C879" t="str">
            <v>M-2015028A</v>
          </cell>
          <cell r="D879"/>
          <cell r="E879"/>
          <cell r="F879" t="str">
            <v>T/S 86/14</v>
          </cell>
          <cell r="G879" t="str">
            <v>86% POLY 14% SPANDEX</v>
          </cell>
          <cell r="H879" t="str">
            <v>148CM</v>
          </cell>
          <cell r="I879">
            <v>220</v>
          </cell>
          <cell r="J879">
            <v>1.9</v>
          </cell>
          <cell r="K879">
            <v>2.1</v>
          </cell>
          <cell r="L879">
            <v>1.9</v>
          </cell>
          <cell r="M879">
            <v>2.1</v>
          </cell>
          <cell r="N879">
            <v>2</v>
          </cell>
          <cell r="O879">
            <v>2.2000000000000002</v>
          </cell>
          <cell r="P879"/>
          <cell r="Q879"/>
          <cell r="R879">
            <v>2.2999999999999998</v>
          </cell>
          <cell r="S879">
            <v>3.15</v>
          </cell>
          <cell r="T879"/>
          <cell r="U879"/>
          <cell r="V879">
            <v>15</v>
          </cell>
          <cell r="W879"/>
          <cell r="X879" t="str">
            <v>M-TEX</v>
          </cell>
          <cell r="Y879" t="str">
            <v>DMCARE-TRI-02</v>
          </cell>
          <cell r="Z879" t="str">
            <v>LINDA 24/3/18</v>
          </cell>
          <cell r="AA879"/>
          <cell r="AB879">
            <v>43183</v>
          </cell>
          <cell r="AC879">
            <v>4904</v>
          </cell>
        </row>
        <row r="880">
          <cell r="B880">
            <v>3547</v>
          </cell>
          <cell r="C880" t="str">
            <v>FX-PX002B</v>
          </cell>
          <cell r="D880"/>
          <cell r="E880"/>
          <cell r="F880" t="str">
            <v>T100%</v>
          </cell>
          <cell r="G880" t="str">
            <v>100% POLYESTER</v>
          </cell>
          <cell r="H880" t="str">
            <v>50/52</v>
          </cell>
          <cell r="I880"/>
          <cell r="J880">
            <v>2.5</v>
          </cell>
          <cell r="K880"/>
          <cell r="L880">
            <v>2.6</v>
          </cell>
          <cell r="M880"/>
          <cell r="N880">
            <v>2.8</v>
          </cell>
          <cell r="O880"/>
          <cell r="P880"/>
          <cell r="Q880"/>
          <cell r="R880">
            <v>2.9</v>
          </cell>
          <cell r="S880"/>
          <cell r="T880"/>
          <cell r="U880"/>
          <cell r="V880">
            <v>15</v>
          </cell>
          <cell r="W880"/>
          <cell r="X880" t="str">
            <v>PANI</v>
          </cell>
          <cell r="Y880"/>
          <cell r="Z880" t="str">
            <v>JAME 21/3/18</v>
          </cell>
          <cell r="AA880"/>
          <cell r="AB880">
            <v>43180</v>
          </cell>
          <cell r="AC880">
            <v>4905</v>
          </cell>
        </row>
        <row r="881">
          <cell r="B881">
            <v>3243</v>
          </cell>
          <cell r="C881" t="str">
            <v>SH884</v>
          </cell>
          <cell r="D881"/>
          <cell r="E881"/>
          <cell r="F881" t="str">
            <v>T100%</v>
          </cell>
          <cell r="G881" t="str">
            <v>100% POLYESTER</v>
          </cell>
          <cell r="H881" t="str">
            <v>150CM</v>
          </cell>
          <cell r="I881">
            <v>110</v>
          </cell>
          <cell r="J881">
            <v>1.43</v>
          </cell>
          <cell r="K881">
            <v>1.73</v>
          </cell>
          <cell r="L881">
            <v>1.45</v>
          </cell>
          <cell r="M881">
            <v>1.75</v>
          </cell>
          <cell r="N881">
            <v>1.45</v>
          </cell>
          <cell r="O881">
            <v>1.75</v>
          </cell>
          <cell r="P881"/>
          <cell r="Q881"/>
          <cell r="R881">
            <v>1.55</v>
          </cell>
          <cell r="S881">
            <v>1.85</v>
          </cell>
          <cell r="T881"/>
          <cell r="U881"/>
          <cell r="V881">
            <v>15</v>
          </cell>
          <cell r="W881"/>
          <cell r="X881" t="str">
            <v>PANI</v>
          </cell>
          <cell r="Y881"/>
          <cell r="Z881" t="str">
            <v>JAME 21/3/18</v>
          </cell>
          <cell r="AA881"/>
          <cell r="AB881">
            <v>43180</v>
          </cell>
          <cell r="AC881">
            <v>4909</v>
          </cell>
        </row>
        <row r="882">
          <cell r="B882">
            <v>3078</v>
          </cell>
          <cell r="C882" t="str">
            <v>WW-21436</v>
          </cell>
          <cell r="D882"/>
          <cell r="E882"/>
          <cell r="F882" t="str">
            <v>T100%</v>
          </cell>
          <cell r="G882" t="str">
            <v>100% POLYESTER</v>
          </cell>
          <cell r="H882" t="str">
            <v>57/58</v>
          </cell>
          <cell r="I882">
            <v>120</v>
          </cell>
          <cell r="J882">
            <v>1.23</v>
          </cell>
          <cell r="K882">
            <v>1.48</v>
          </cell>
          <cell r="L882">
            <v>1.25</v>
          </cell>
          <cell r="M882">
            <v>1.5</v>
          </cell>
          <cell r="N882">
            <v>1.25</v>
          </cell>
          <cell r="O882">
            <v>1.5</v>
          </cell>
          <cell r="P882"/>
          <cell r="Q882"/>
          <cell r="R882">
            <v>1.35</v>
          </cell>
          <cell r="S882">
            <v>1.6</v>
          </cell>
          <cell r="T882"/>
          <cell r="U882"/>
          <cell r="V882">
            <v>15</v>
          </cell>
          <cell r="W882"/>
          <cell r="X882" t="str">
            <v>PANI</v>
          </cell>
          <cell r="Y882"/>
          <cell r="Z882" t="str">
            <v>JAME 21/3/18</v>
          </cell>
          <cell r="AA882"/>
          <cell r="AB882">
            <v>43180</v>
          </cell>
          <cell r="AC882">
            <v>4908</v>
          </cell>
        </row>
        <row r="883">
          <cell r="B883">
            <v>3075</v>
          </cell>
          <cell r="C883" t="str">
            <v>OLP-1742024RBE</v>
          </cell>
          <cell r="D883"/>
          <cell r="E883"/>
          <cell r="F883" t="str">
            <v>T100%</v>
          </cell>
          <cell r="G883" t="str">
            <v xml:space="preserve">100% POLYESTER </v>
          </cell>
          <cell r="H883" t="str">
            <v>57/58</v>
          </cell>
          <cell r="I883">
            <v>106</v>
          </cell>
          <cell r="J883">
            <v>1.51</v>
          </cell>
          <cell r="K883">
            <v>1.86</v>
          </cell>
          <cell r="L883">
            <v>1.62</v>
          </cell>
          <cell r="M883">
            <v>1.96</v>
          </cell>
          <cell r="N883">
            <v>1.79</v>
          </cell>
          <cell r="O883">
            <v>2.17</v>
          </cell>
          <cell r="P883"/>
          <cell r="Q883"/>
          <cell r="R883">
            <v>1.95</v>
          </cell>
          <cell r="S883">
            <v>2.66</v>
          </cell>
          <cell r="T883"/>
          <cell r="U883"/>
          <cell r="V883">
            <v>15</v>
          </cell>
          <cell r="W883"/>
          <cell r="X883" t="str">
            <v>OWEN</v>
          </cell>
          <cell r="Y883" t="str">
            <v>DMCARE-TRI-02</v>
          </cell>
          <cell r="Z883" t="str">
            <v>JOAN 21/3/18</v>
          </cell>
          <cell r="AA883"/>
          <cell r="AB883">
            <v>43180</v>
          </cell>
          <cell r="AC883">
            <v>4906</v>
          </cell>
        </row>
        <row r="884">
          <cell r="B884">
            <v>3075</v>
          </cell>
          <cell r="C884" t="str">
            <v>OLP-1742024RBE</v>
          </cell>
          <cell r="D884"/>
          <cell r="E884"/>
          <cell r="F884" t="str">
            <v>T100%</v>
          </cell>
          <cell r="G884" t="str">
            <v xml:space="preserve">100% POLYESTER </v>
          </cell>
          <cell r="H884" t="str">
            <v>57/58</v>
          </cell>
          <cell r="I884">
            <v>106</v>
          </cell>
          <cell r="J884">
            <v>1.51</v>
          </cell>
          <cell r="K884">
            <v>1.86</v>
          </cell>
          <cell r="L884">
            <v>1.62</v>
          </cell>
          <cell r="M884">
            <v>1.96</v>
          </cell>
          <cell r="N884">
            <v>1.79</v>
          </cell>
          <cell r="O884">
            <v>2.17</v>
          </cell>
          <cell r="P884"/>
          <cell r="Q884"/>
          <cell r="R884">
            <v>1.95</v>
          </cell>
          <cell r="S884">
            <v>2.66</v>
          </cell>
          <cell r="T884"/>
          <cell r="U884"/>
          <cell r="V884">
            <v>15</v>
          </cell>
          <cell r="W884"/>
          <cell r="X884" t="str">
            <v>OWEN</v>
          </cell>
          <cell r="Y884" t="str">
            <v>DMCARE-TRI-02</v>
          </cell>
          <cell r="Z884" t="str">
            <v>JOAN 21/3/18</v>
          </cell>
          <cell r="AA884"/>
          <cell r="AB884">
            <v>43180</v>
          </cell>
          <cell r="AC884">
            <v>4911</v>
          </cell>
        </row>
        <row r="885">
          <cell r="B885">
            <v>2392</v>
          </cell>
          <cell r="C885" t="str">
            <v>TS-270</v>
          </cell>
          <cell r="D885"/>
          <cell r="E885"/>
          <cell r="F885" t="str">
            <v>R/T 55/45</v>
          </cell>
          <cell r="G885" t="str">
            <v>55% RAYON 45% POLYESTER</v>
          </cell>
          <cell r="H885" t="str">
            <v>55/56</v>
          </cell>
          <cell r="I885">
            <v>135</v>
          </cell>
          <cell r="J885">
            <v>1.52</v>
          </cell>
          <cell r="K885">
            <v>1.7</v>
          </cell>
          <cell r="L885">
            <v>1.54</v>
          </cell>
          <cell r="M885">
            <v>1.73</v>
          </cell>
          <cell r="N885">
            <v>1.56</v>
          </cell>
          <cell r="O885">
            <v>1.76</v>
          </cell>
          <cell r="P885"/>
          <cell r="Q885"/>
          <cell r="R885">
            <v>1.71</v>
          </cell>
          <cell r="S885">
            <v>2.0099999999999998</v>
          </cell>
          <cell r="T885"/>
          <cell r="U885"/>
          <cell r="V885">
            <v>15</v>
          </cell>
          <cell r="W885"/>
          <cell r="X885" t="str">
            <v>GAVIN</v>
          </cell>
          <cell r="Y885"/>
          <cell r="Z885" t="str">
            <v>GAVIN 21/3/18</v>
          </cell>
          <cell r="AA885"/>
          <cell r="AB885">
            <v>43180</v>
          </cell>
          <cell r="AC885">
            <v>4910</v>
          </cell>
        </row>
        <row r="886">
          <cell r="B886">
            <v>1877</v>
          </cell>
          <cell r="C886" t="str">
            <v>#G52</v>
          </cell>
          <cell r="D886" t="str">
            <v>TERRY CREPE</v>
          </cell>
          <cell r="E886"/>
          <cell r="F886" t="str">
            <v>R100%</v>
          </cell>
          <cell r="G886" t="str">
            <v>100% RAYON</v>
          </cell>
          <cell r="H886" t="str">
            <v>52/53</v>
          </cell>
          <cell r="I886" t="str">
            <v>125-130</v>
          </cell>
          <cell r="J886">
            <v>2.25</v>
          </cell>
          <cell r="K886">
            <v>3.08</v>
          </cell>
          <cell r="L886">
            <v>2.27</v>
          </cell>
          <cell r="M886">
            <v>3.09</v>
          </cell>
          <cell r="N886">
            <v>2.2799999999999998</v>
          </cell>
          <cell r="O886">
            <v>3.1</v>
          </cell>
          <cell r="P886"/>
          <cell r="Q886"/>
          <cell r="R886">
            <v>2.33</v>
          </cell>
          <cell r="S886">
            <v>3.3</v>
          </cell>
          <cell r="T886"/>
          <cell r="U886"/>
          <cell r="V886">
            <v>15</v>
          </cell>
          <cell r="W886" t="str">
            <v>MOQ 1300M . $80-$150 charge if under MOQ.</v>
          </cell>
          <cell r="X886" t="str">
            <v>HOWARD</v>
          </cell>
          <cell r="Y886" t="str">
            <v>TRI - 01</v>
          </cell>
          <cell r="Z886" t="str">
            <v>HOWARD 21/3/18</v>
          </cell>
          <cell r="AA886"/>
          <cell r="AB886">
            <v>43180</v>
          </cell>
          <cell r="AC886">
            <v>4907</v>
          </cell>
        </row>
        <row r="887">
          <cell r="B887">
            <v>3375</v>
          </cell>
          <cell r="C887" t="str">
            <v>BG1657</v>
          </cell>
          <cell r="D887"/>
          <cell r="E887"/>
          <cell r="F887" t="str">
            <v>R/T 70/30</v>
          </cell>
          <cell r="G887" t="str">
            <v xml:space="preserve">70% RAYON  30%POLYESTER </v>
          </cell>
          <cell r="H887" t="str">
            <v>57/58</v>
          </cell>
          <cell r="I887">
            <v>90</v>
          </cell>
          <cell r="J887">
            <v>1.55</v>
          </cell>
          <cell r="K887">
            <v>1.8</v>
          </cell>
          <cell r="L887">
            <v>1.58</v>
          </cell>
          <cell r="M887">
            <v>1.85</v>
          </cell>
          <cell r="N887">
            <v>1.6</v>
          </cell>
          <cell r="O887">
            <v>1.9</v>
          </cell>
          <cell r="P887"/>
          <cell r="Q887"/>
          <cell r="R887">
            <v>1.85</v>
          </cell>
          <cell r="S887">
            <v>2.4</v>
          </cell>
          <cell r="T887"/>
          <cell r="U887"/>
          <cell r="V887">
            <v>15</v>
          </cell>
          <cell r="W887"/>
          <cell r="X887" t="str">
            <v>EDWIN</v>
          </cell>
          <cell r="Y887"/>
          <cell r="Z887" t="str">
            <v>EDWIN 20/3/18</v>
          </cell>
          <cell r="AA887"/>
          <cell r="AB887">
            <v>43179</v>
          </cell>
          <cell r="AC887">
            <v>4912</v>
          </cell>
        </row>
        <row r="888">
          <cell r="B888">
            <v>4231</v>
          </cell>
          <cell r="C888" t="str">
            <v>TPP07010</v>
          </cell>
          <cell r="D888" t="str">
            <v>CHIFFON WITH LUREX STRIPE</v>
          </cell>
          <cell r="E888" t="str">
            <v xml:space="preserve">75D x75D </v>
          </cell>
          <cell r="F888" t="str">
            <v>T/ LUREX 99/1</v>
          </cell>
          <cell r="G888" t="str">
            <v>99% POLYESTER 1% LUREX</v>
          </cell>
          <cell r="H888" t="str">
            <v>57/58</v>
          </cell>
          <cell r="I888" t="str">
            <v>66GSM</v>
          </cell>
          <cell r="J888">
            <v>1.82</v>
          </cell>
          <cell r="K888">
            <v>2.12</v>
          </cell>
          <cell r="L888">
            <v>1.84</v>
          </cell>
          <cell r="M888">
            <v>2.14</v>
          </cell>
          <cell r="N888">
            <v>1.86</v>
          </cell>
          <cell r="O888">
            <v>2.16</v>
          </cell>
          <cell r="P888"/>
          <cell r="Q888"/>
          <cell r="R888">
            <v>1.9</v>
          </cell>
          <cell r="S888">
            <v>2.36</v>
          </cell>
          <cell r="T888"/>
          <cell r="U888"/>
          <cell r="V888">
            <v>15</v>
          </cell>
          <cell r="W888"/>
          <cell r="X888" t="str">
            <v>JEFFREY (S)</v>
          </cell>
          <cell r="Y888"/>
          <cell r="Z888" t="str">
            <v>JEFFREY 19/3/18</v>
          </cell>
          <cell r="AA888"/>
          <cell r="AB888">
            <v>43178</v>
          </cell>
          <cell r="AC888">
            <v>4915</v>
          </cell>
        </row>
        <row r="889">
          <cell r="B889">
            <v>3243</v>
          </cell>
          <cell r="C889" t="str">
            <v>SH884</v>
          </cell>
          <cell r="D889"/>
          <cell r="E889"/>
          <cell r="F889" t="str">
            <v>T100%</v>
          </cell>
          <cell r="G889" t="str">
            <v>100% POLYESTER</v>
          </cell>
          <cell r="H889" t="str">
            <v>150CM</v>
          </cell>
          <cell r="I889">
            <v>110</v>
          </cell>
          <cell r="J889">
            <v>1.43</v>
          </cell>
          <cell r="K889">
            <v>1.73</v>
          </cell>
          <cell r="L889">
            <v>1.45</v>
          </cell>
          <cell r="M889">
            <v>1.75</v>
          </cell>
          <cell r="N889">
            <v>1.45</v>
          </cell>
          <cell r="O889">
            <v>1.75</v>
          </cell>
          <cell r="P889"/>
          <cell r="Q889"/>
          <cell r="R889">
            <v>1.55</v>
          </cell>
          <cell r="S889">
            <v>1.85</v>
          </cell>
          <cell r="T889"/>
          <cell r="U889"/>
          <cell r="V889">
            <v>15</v>
          </cell>
          <cell r="W889"/>
          <cell r="X889" t="str">
            <v>PANI</v>
          </cell>
          <cell r="Y889"/>
          <cell r="Z889" t="str">
            <v>AMY 19/3/18</v>
          </cell>
          <cell r="AA889"/>
          <cell r="AB889">
            <v>43178</v>
          </cell>
          <cell r="AC889">
            <v>4914</v>
          </cell>
        </row>
        <row r="890">
          <cell r="B890">
            <v>3078</v>
          </cell>
          <cell r="C890" t="str">
            <v>WW-21436</v>
          </cell>
          <cell r="D890"/>
          <cell r="E890"/>
          <cell r="F890" t="str">
            <v>T100%</v>
          </cell>
          <cell r="G890" t="str">
            <v>100% POLYESTER</v>
          </cell>
          <cell r="H890" t="str">
            <v>57/58</v>
          </cell>
          <cell r="I890">
            <v>120</v>
          </cell>
          <cell r="J890">
            <v>1.23</v>
          </cell>
          <cell r="K890">
            <v>1.48</v>
          </cell>
          <cell r="L890">
            <v>1.25</v>
          </cell>
          <cell r="M890">
            <v>1.5</v>
          </cell>
          <cell r="N890">
            <v>1.25</v>
          </cell>
          <cell r="O890">
            <v>1.5</v>
          </cell>
          <cell r="P890"/>
          <cell r="Q890"/>
          <cell r="R890">
            <v>1.35</v>
          </cell>
          <cell r="S890">
            <v>1.6</v>
          </cell>
          <cell r="T890"/>
          <cell r="U890"/>
          <cell r="V890">
            <v>15</v>
          </cell>
          <cell r="W890"/>
          <cell r="X890" t="str">
            <v>PANI</v>
          </cell>
          <cell r="Y890"/>
          <cell r="Z890" t="str">
            <v>AMY 19/3/18</v>
          </cell>
          <cell r="AA890"/>
          <cell r="AB890">
            <v>43178</v>
          </cell>
          <cell r="AC890">
            <v>4913</v>
          </cell>
        </row>
        <row r="891">
          <cell r="B891" t="str">
            <v>1895C</v>
          </cell>
          <cell r="C891" t="str">
            <v>TS-028C</v>
          </cell>
          <cell r="D891" t="str">
            <v>CREPE</v>
          </cell>
          <cell r="E891"/>
          <cell r="F891" t="str">
            <v>T100%</v>
          </cell>
          <cell r="G891" t="str">
            <v xml:space="preserve">100%POLYESTER </v>
          </cell>
          <cell r="H891" t="str">
            <v>57/58</v>
          </cell>
          <cell r="I891">
            <v>116</v>
          </cell>
          <cell r="J891">
            <v>1.1499999999999999</v>
          </cell>
          <cell r="K891">
            <v>1.33</v>
          </cell>
          <cell r="L891">
            <v>1.17</v>
          </cell>
          <cell r="M891">
            <v>1.36</v>
          </cell>
          <cell r="N891">
            <v>1.19</v>
          </cell>
          <cell r="O891">
            <v>1.39</v>
          </cell>
          <cell r="P891"/>
          <cell r="Q891"/>
          <cell r="R891">
            <v>1.34</v>
          </cell>
          <cell r="S891">
            <v>1.64</v>
          </cell>
          <cell r="T891"/>
          <cell r="U891"/>
          <cell r="V891">
            <v>15</v>
          </cell>
          <cell r="W891"/>
          <cell r="X891" t="str">
            <v>GAVIN</v>
          </cell>
          <cell r="Y891"/>
          <cell r="Z891" t="str">
            <v>GAVIN 17/3/18</v>
          </cell>
          <cell r="AA891"/>
          <cell r="AB891">
            <v>43176</v>
          </cell>
          <cell r="AC891">
            <v>4924</v>
          </cell>
        </row>
        <row r="892">
          <cell r="B892" t="str">
            <v>1895-1</v>
          </cell>
          <cell r="C892" t="str">
            <v>TS-028-1</v>
          </cell>
          <cell r="D892" t="str">
            <v>CREPE</v>
          </cell>
          <cell r="E892"/>
          <cell r="F892" t="str">
            <v>T100%</v>
          </cell>
          <cell r="G892" t="str">
            <v>100% POLYESTER</v>
          </cell>
          <cell r="H892" t="str">
            <v>57/58</v>
          </cell>
          <cell r="I892">
            <v>140</v>
          </cell>
          <cell r="J892">
            <v>1.5</v>
          </cell>
          <cell r="K892">
            <v>1.68</v>
          </cell>
          <cell r="L892">
            <v>1.52</v>
          </cell>
          <cell r="M892">
            <v>1.71</v>
          </cell>
          <cell r="N892">
            <v>1.54</v>
          </cell>
          <cell r="O892">
            <v>1.74</v>
          </cell>
          <cell r="P892"/>
          <cell r="Q892"/>
          <cell r="R892">
            <v>1.69</v>
          </cell>
          <cell r="S892">
            <v>1.99</v>
          </cell>
          <cell r="T892"/>
          <cell r="U892"/>
          <cell r="V892">
            <v>15</v>
          </cell>
          <cell r="W892"/>
          <cell r="X892" t="str">
            <v>GAVIN</v>
          </cell>
          <cell r="Y892"/>
          <cell r="Z892" t="str">
            <v>GAVIN 17/3/18</v>
          </cell>
          <cell r="AA892"/>
          <cell r="AB892">
            <v>43176</v>
          </cell>
          <cell r="AC892">
            <v>4916</v>
          </cell>
        </row>
        <row r="893">
          <cell r="B893">
            <v>4089</v>
          </cell>
          <cell r="C893" t="str">
            <v>HY-10ZF13130</v>
          </cell>
          <cell r="D893" t="str">
            <v>SATEEN</v>
          </cell>
          <cell r="E893"/>
          <cell r="F893" t="str">
            <v>T100%</v>
          </cell>
          <cell r="G893" t="str">
            <v xml:space="preserve">100% POLYESTER </v>
          </cell>
          <cell r="H893" t="str">
            <v>55/56</v>
          </cell>
          <cell r="I893">
            <v>150</v>
          </cell>
          <cell r="J893">
            <v>1.95</v>
          </cell>
          <cell r="K893">
            <v>2.35</v>
          </cell>
          <cell r="L893">
            <v>1.95</v>
          </cell>
          <cell r="M893">
            <v>2.35</v>
          </cell>
          <cell r="N893">
            <v>1.95</v>
          </cell>
          <cell r="O893">
            <v>2.35</v>
          </cell>
          <cell r="P893"/>
          <cell r="Q893"/>
          <cell r="R893">
            <v>2.25</v>
          </cell>
          <cell r="S893"/>
          <cell r="T893"/>
          <cell r="U893"/>
          <cell r="V893">
            <v>15</v>
          </cell>
          <cell r="W893"/>
          <cell r="X893" t="str">
            <v>HANSHOW</v>
          </cell>
          <cell r="Y893"/>
          <cell r="Z893" t="str">
            <v>JESSIE 17/3/18</v>
          </cell>
          <cell r="AA893"/>
          <cell r="AB893">
            <v>43176</v>
          </cell>
          <cell r="AC893">
            <v>4936</v>
          </cell>
        </row>
        <row r="894">
          <cell r="B894">
            <v>4080</v>
          </cell>
          <cell r="C894" t="str">
            <v>HY-10ZFH2607-1</v>
          </cell>
          <cell r="D894"/>
          <cell r="E894"/>
          <cell r="F894" t="str">
            <v>T100%</v>
          </cell>
          <cell r="G894" t="str">
            <v xml:space="preserve">100% POLYESTER </v>
          </cell>
          <cell r="H894" t="str">
            <v>51/52</v>
          </cell>
          <cell r="I894">
            <v>108</v>
          </cell>
          <cell r="J894">
            <v>2</v>
          </cell>
          <cell r="K894">
            <v>2.4700000000000002</v>
          </cell>
          <cell r="L894">
            <v>2</v>
          </cell>
          <cell r="M894">
            <v>2.4700000000000002</v>
          </cell>
          <cell r="N894">
            <v>2</v>
          </cell>
          <cell r="O894">
            <v>2.4700000000000002</v>
          </cell>
          <cell r="P894"/>
          <cell r="Q894"/>
          <cell r="R894">
            <v>2.2999999999999998</v>
          </cell>
          <cell r="S894"/>
          <cell r="T894"/>
          <cell r="U894"/>
          <cell r="V894">
            <v>15</v>
          </cell>
          <cell r="W894"/>
          <cell r="X894" t="str">
            <v>HANSHOW</v>
          </cell>
          <cell r="Y894"/>
          <cell r="Z894" t="str">
            <v>JESSIE 17/3/18</v>
          </cell>
          <cell r="AA894"/>
          <cell r="AB894">
            <v>43176</v>
          </cell>
          <cell r="AC894">
            <v>4935</v>
          </cell>
        </row>
        <row r="895">
          <cell r="B895">
            <v>3770</v>
          </cell>
          <cell r="C895" t="str">
            <v>TS-486</v>
          </cell>
          <cell r="D895"/>
          <cell r="E895"/>
          <cell r="F895" t="str">
            <v>T100%</v>
          </cell>
          <cell r="G895" t="str">
            <v xml:space="preserve">100% POLYESTER </v>
          </cell>
          <cell r="H895" t="str">
            <v>57/58</v>
          </cell>
          <cell r="I895" t="str">
            <v>220-230</v>
          </cell>
          <cell r="J895">
            <v>1.84</v>
          </cell>
          <cell r="K895">
            <v>2</v>
          </cell>
          <cell r="L895">
            <v>1.86</v>
          </cell>
          <cell r="M895">
            <v>2.0299999999999998</v>
          </cell>
          <cell r="N895">
            <v>1.88</v>
          </cell>
          <cell r="O895">
            <v>2.0499999999999998</v>
          </cell>
          <cell r="P895"/>
          <cell r="Q895"/>
          <cell r="R895">
            <v>2.0299999999999998</v>
          </cell>
          <cell r="S895">
            <v>2.2999999999999998</v>
          </cell>
          <cell r="T895"/>
          <cell r="U895"/>
          <cell r="V895">
            <v>15</v>
          </cell>
          <cell r="W895"/>
          <cell r="X895" t="str">
            <v>GAVIN</v>
          </cell>
          <cell r="Y895"/>
          <cell r="Z895" t="str">
            <v>GAVIN 17/3/18</v>
          </cell>
          <cell r="AA895"/>
          <cell r="AB895">
            <v>43176</v>
          </cell>
          <cell r="AC895">
            <v>4934</v>
          </cell>
        </row>
        <row r="896">
          <cell r="B896">
            <v>3715</v>
          </cell>
          <cell r="C896" t="str">
            <v>T-1815 R</v>
          </cell>
          <cell r="D896"/>
          <cell r="E896"/>
          <cell r="F896" t="str">
            <v>T100%</v>
          </cell>
          <cell r="G896" t="str">
            <v>100% POLYESTER</v>
          </cell>
          <cell r="H896" t="str">
            <v>57/58</v>
          </cell>
          <cell r="I896" t="str">
            <v>170GSM</v>
          </cell>
          <cell r="J896">
            <v>2.4</v>
          </cell>
          <cell r="K896"/>
          <cell r="L896">
            <v>2.4500000000000002</v>
          </cell>
          <cell r="M896"/>
          <cell r="N896">
            <v>2.4500000000000002</v>
          </cell>
          <cell r="O896"/>
          <cell r="P896"/>
          <cell r="Q896"/>
          <cell r="R896">
            <v>2.9</v>
          </cell>
          <cell r="S896"/>
          <cell r="T896"/>
          <cell r="U896"/>
          <cell r="V896"/>
          <cell r="W896"/>
          <cell r="X896" t="str">
            <v>LIVALTEX</v>
          </cell>
          <cell r="Y896"/>
          <cell r="Z896" t="str">
            <v>LINDA 17/3/18</v>
          </cell>
          <cell r="AA896"/>
          <cell r="AB896">
            <v>43176</v>
          </cell>
          <cell r="AC896">
            <v>4918</v>
          </cell>
        </row>
        <row r="897">
          <cell r="B897">
            <v>3433</v>
          </cell>
          <cell r="C897" t="str">
            <v>HLT027</v>
          </cell>
          <cell r="D897"/>
          <cell r="E897"/>
          <cell r="F897" t="str">
            <v>T/S 95/5</v>
          </cell>
          <cell r="G897" t="str">
            <v xml:space="preserve">95% POLYESTER  5% SPANDEX </v>
          </cell>
          <cell r="H897" t="str">
            <v>57/58</v>
          </cell>
          <cell r="I897">
            <v>215</v>
          </cell>
          <cell r="J897">
            <v>1.9685446009389673</v>
          </cell>
          <cell r="K897">
            <v>2.0248826291079811</v>
          </cell>
          <cell r="L897">
            <v>2.0185446009389674</v>
          </cell>
          <cell r="M897">
            <v>2.1248826291079812</v>
          </cell>
          <cell r="N897">
            <v>2.1185446009389675</v>
          </cell>
          <cell r="O897">
            <v>2.2248826291079813</v>
          </cell>
          <cell r="P897"/>
          <cell r="Q897"/>
          <cell r="R897">
            <v>3.1185446009389675</v>
          </cell>
          <cell r="S897">
            <v>3.2248826291079813</v>
          </cell>
          <cell r="T897"/>
          <cell r="U897"/>
          <cell r="V897">
            <v>15</v>
          </cell>
          <cell r="W897"/>
          <cell r="X897"/>
          <cell r="Y897"/>
          <cell r="Z897"/>
          <cell r="AA897"/>
          <cell r="AB897">
            <v>43176</v>
          </cell>
          <cell r="AC897">
            <v>4922</v>
          </cell>
        </row>
        <row r="898">
          <cell r="B898">
            <v>3257</v>
          </cell>
          <cell r="C898" t="str">
            <v>WW-20567</v>
          </cell>
          <cell r="D898"/>
          <cell r="E898"/>
          <cell r="F898" t="str">
            <v>T100%</v>
          </cell>
          <cell r="G898" t="str">
            <v>100% POLYESTER</v>
          </cell>
          <cell r="H898" t="str">
            <v>57/58</v>
          </cell>
          <cell r="I898">
            <v>72</v>
          </cell>
          <cell r="J898">
            <v>0.98</v>
          </cell>
          <cell r="K898">
            <v>1.28</v>
          </cell>
          <cell r="L898">
            <v>1</v>
          </cell>
          <cell r="M898">
            <v>1.3</v>
          </cell>
          <cell r="N898">
            <v>1</v>
          </cell>
          <cell r="O898">
            <v>1.3</v>
          </cell>
          <cell r="P898"/>
          <cell r="Q898"/>
          <cell r="R898">
            <v>1.1000000000000001</v>
          </cell>
          <cell r="S898">
            <v>1.4</v>
          </cell>
          <cell r="T898"/>
          <cell r="U898"/>
          <cell r="V898">
            <v>15</v>
          </cell>
          <cell r="W898"/>
          <cell r="X898" t="str">
            <v>PANI</v>
          </cell>
          <cell r="Y898"/>
          <cell r="Z898" t="str">
            <v>AMY 17/3/18</v>
          </cell>
          <cell r="AA898"/>
          <cell r="AB898">
            <v>43176</v>
          </cell>
          <cell r="AC898">
            <v>4928</v>
          </cell>
        </row>
        <row r="899">
          <cell r="B899">
            <v>3225</v>
          </cell>
          <cell r="C899" t="str">
            <v>TS-340</v>
          </cell>
          <cell r="D899"/>
          <cell r="E899"/>
          <cell r="F899" t="str">
            <v>T100%</v>
          </cell>
          <cell r="G899" t="str">
            <v xml:space="preserve">100% POLYESTER METALLIC </v>
          </cell>
          <cell r="H899" t="str">
            <v>57/58</v>
          </cell>
          <cell r="I899">
            <v>65</v>
          </cell>
          <cell r="J899">
            <v>1.51</v>
          </cell>
          <cell r="K899">
            <v>1.84</v>
          </cell>
          <cell r="L899">
            <v>1.53</v>
          </cell>
          <cell r="M899">
            <v>1.87</v>
          </cell>
          <cell r="N899">
            <v>1.55</v>
          </cell>
          <cell r="O899">
            <v>1.9</v>
          </cell>
          <cell r="P899"/>
          <cell r="Q899"/>
          <cell r="R899">
            <v>1.7</v>
          </cell>
          <cell r="S899">
            <v>2.15</v>
          </cell>
          <cell r="T899"/>
          <cell r="U899"/>
          <cell r="V899">
            <v>15</v>
          </cell>
          <cell r="W899"/>
          <cell r="X899" t="str">
            <v>GAVIN</v>
          </cell>
          <cell r="Y899"/>
          <cell r="Z899" t="str">
            <v>GAVIN 17/3/18</v>
          </cell>
          <cell r="AA899"/>
          <cell r="AB899">
            <v>43176</v>
          </cell>
          <cell r="AC899">
            <v>4930</v>
          </cell>
        </row>
        <row r="900">
          <cell r="B900">
            <v>3179</v>
          </cell>
          <cell r="C900" t="str">
            <v>OLP-1733108RBE</v>
          </cell>
          <cell r="D900"/>
          <cell r="E900"/>
          <cell r="F900" t="str">
            <v>T/S 94/6</v>
          </cell>
          <cell r="G900" t="str">
            <v>94% POLYESTER 6% SPANDEX</v>
          </cell>
          <cell r="H900" t="str">
            <v>57/58</v>
          </cell>
          <cell r="I900">
            <v>230</v>
          </cell>
          <cell r="J900">
            <v>2.13</v>
          </cell>
          <cell r="K900">
            <v>2.42</v>
          </cell>
          <cell r="L900">
            <v>2.1800000000000002</v>
          </cell>
          <cell r="M900">
            <v>2.5</v>
          </cell>
          <cell r="N900">
            <v>2.2799999999999998</v>
          </cell>
          <cell r="O900">
            <v>2.64</v>
          </cell>
          <cell r="P900"/>
          <cell r="Q900"/>
          <cell r="R900">
            <v>2.44</v>
          </cell>
          <cell r="S900">
            <v>3.21</v>
          </cell>
          <cell r="T900"/>
          <cell r="U900"/>
          <cell r="V900">
            <v>15</v>
          </cell>
          <cell r="W900"/>
          <cell r="X900" t="str">
            <v>OWEN</v>
          </cell>
          <cell r="Y900"/>
          <cell r="Z900" t="str">
            <v>OWEN 17/3/18</v>
          </cell>
          <cell r="AA900"/>
          <cell r="AB900">
            <v>43176</v>
          </cell>
          <cell r="AC900">
            <v>4926</v>
          </cell>
        </row>
        <row r="901">
          <cell r="B901">
            <v>3011</v>
          </cell>
          <cell r="C901" t="str">
            <v>T115</v>
          </cell>
          <cell r="D901"/>
          <cell r="E901"/>
          <cell r="F901" t="str">
            <v>T100%</v>
          </cell>
          <cell r="G901" t="str">
            <v xml:space="preserve">100%POLYESTER </v>
          </cell>
          <cell r="H901" t="str">
            <v>57/58</v>
          </cell>
          <cell r="I901">
            <v>97</v>
          </cell>
          <cell r="J901">
            <v>1.67</v>
          </cell>
          <cell r="K901">
            <v>1.88</v>
          </cell>
          <cell r="L901">
            <v>1.69</v>
          </cell>
          <cell r="M901">
            <v>1.93</v>
          </cell>
          <cell r="N901">
            <v>1.73</v>
          </cell>
          <cell r="O901">
            <v>1.97</v>
          </cell>
          <cell r="P901"/>
          <cell r="Q901"/>
          <cell r="R901">
            <v>1.82</v>
          </cell>
          <cell r="S901">
            <v>2.46</v>
          </cell>
          <cell r="T901"/>
          <cell r="U901"/>
          <cell r="V901">
            <v>15</v>
          </cell>
          <cell r="W901"/>
          <cell r="X901" t="str">
            <v>TERESA</v>
          </cell>
          <cell r="Y901"/>
          <cell r="Z901" t="str">
            <v>TERESA 17/3/18</v>
          </cell>
          <cell r="AA901"/>
          <cell r="AB901">
            <v>43176</v>
          </cell>
          <cell r="AC901">
            <v>4932</v>
          </cell>
        </row>
        <row r="902">
          <cell r="B902">
            <v>2770</v>
          </cell>
          <cell r="C902" t="str">
            <v>TS-026</v>
          </cell>
          <cell r="D902" t="str">
            <v>CHIFFON</v>
          </cell>
          <cell r="E902"/>
          <cell r="F902" t="str">
            <v>T100%</v>
          </cell>
          <cell r="G902" t="str">
            <v>100% POLYESTER</v>
          </cell>
          <cell r="H902" t="str">
            <v>57/58</v>
          </cell>
          <cell r="I902">
            <v>70</v>
          </cell>
          <cell r="J902">
            <v>0.92</v>
          </cell>
          <cell r="K902">
            <v>1.1000000000000001</v>
          </cell>
          <cell r="L902">
            <v>0.94</v>
          </cell>
          <cell r="M902">
            <v>1.1299999999999999</v>
          </cell>
          <cell r="N902">
            <v>0.96</v>
          </cell>
          <cell r="O902">
            <v>1.1599999999999999</v>
          </cell>
          <cell r="P902"/>
          <cell r="Q902"/>
          <cell r="R902">
            <v>1.1100000000000001</v>
          </cell>
          <cell r="S902">
            <v>1.41</v>
          </cell>
          <cell r="T902"/>
          <cell r="U902"/>
          <cell r="V902">
            <v>15</v>
          </cell>
          <cell r="W902"/>
          <cell r="X902" t="str">
            <v>GAVIN</v>
          </cell>
          <cell r="Y902"/>
          <cell r="Z902" t="str">
            <v>GAVIN 17/3/18</v>
          </cell>
          <cell r="AA902"/>
          <cell r="AB902">
            <v>43176</v>
          </cell>
          <cell r="AC902">
            <v>4917</v>
          </cell>
        </row>
        <row r="903">
          <cell r="B903">
            <v>2619</v>
          </cell>
          <cell r="C903" t="str">
            <v>TS-317</v>
          </cell>
          <cell r="D903"/>
          <cell r="E903" t="str">
            <v>70Dx21'S</v>
          </cell>
          <cell r="F903" t="str">
            <v>C/N 66/34</v>
          </cell>
          <cell r="G903" t="str">
            <v>66% COTTON 34% NYLON</v>
          </cell>
          <cell r="H903" t="str">
            <v>57/58</v>
          </cell>
          <cell r="I903">
            <v>160</v>
          </cell>
          <cell r="J903">
            <v>1.84</v>
          </cell>
          <cell r="K903">
            <v>2.15</v>
          </cell>
          <cell r="L903">
            <v>1.86</v>
          </cell>
          <cell r="M903">
            <v>2.1800000000000002</v>
          </cell>
          <cell r="N903">
            <v>1.88</v>
          </cell>
          <cell r="O903">
            <v>2.21</v>
          </cell>
          <cell r="P903"/>
          <cell r="Q903"/>
          <cell r="R903">
            <v>2.0299999999999998</v>
          </cell>
          <cell r="S903">
            <v>2.46</v>
          </cell>
          <cell r="T903"/>
          <cell r="U903"/>
          <cell r="V903">
            <v>15</v>
          </cell>
          <cell r="W903"/>
          <cell r="X903" t="str">
            <v>GAVIN</v>
          </cell>
          <cell r="Y903"/>
          <cell r="Z903" t="str">
            <v>GAVIN 17/3/18</v>
          </cell>
          <cell r="AA903"/>
          <cell r="AB903">
            <v>43176</v>
          </cell>
          <cell r="AC903">
            <v>4929</v>
          </cell>
        </row>
        <row r="904">
          <cell r="B904">
            <v>2455</v>
          </cell>
          <cell r="C904" t="str">
            <v>HLT3216</v>
          </cell>
          <cell r="D904" t="str">
            <v>BUBBLE CREPE</v>
          </cell>
          <cell r="E904"/>
          <cell r="F904" t="str">
            <v>T/S 97/3</v>
          </cell>
          <cell r="G904" t="str">
            <v>97% POLYESTER 3% SPANDEX</v>
          </cell>
          <cell r="H904" t="str">
            <v>57/58</v>
          </cell>
          <cell r="I904">
            <v>125</v>
          </cell>
          <cell r="J904">
            <v>1.5601300108342362</v>
          </cell>
          <cell r="K904">
            <v>1.6601300108342361</v>
          </cell>
          <cell r="L904">
            <v>1.6101300108342362</v>
          </cell>
          <cell r="M904">
            <v>1.7601300108342361</v>
          </cell>
          <cell r="N904">
            <v>1.7101300108342363</v>
          </cell>
          <cell r="O904">
            <v>1.8601300108342362</v>
          </cell>
          <cell r="P904"/>
          <cell r="Q904"/>
          <cell r="R904">
            <v>2.7101300108342361</v>
          </cell>
          <cell r="S904">
            <v>2.8601300108342365</v>
          </cell>
          <cell r="T904"/>
          <cell r="U904"/>
          <cell r="V904">
            <v>15</v>
          </cell>
          <cell r="W904"/>
          <cell r="X904" t="str">
            <v>CANDY</v>
          </cell>
          <cell r="Y904"/>
          <cell r="Z904" t="str">
            <v>LEI WANG 17/3/18</v>
          </cell>
          <cell r="AA904"/>
          <cell r="AB904">
            <v>43176</v>
          </cell>
          <cell r="AC904">
            <v>4938</v>
          </cell>
        </row>
        <row r="905">
          <cell r="B905">
            <v>2357</v>
          </cell>
          <cell r="C905" t="str">
            <v>SL-098</v>
          </cell>
          <cell r="D905"/>
          <cell r="E905"/>
          <cell r="F905" t="str">
            <v>P/S 96/4</v>
          </cell>
          <cell r="G905" t="str">
            <v>96% POLYESTER 4% SPANDEX</v>
          </cell>
          <cell r="H905" t="str">
            <v>57/58</v>
          </cell>
          <cell r="I905">
            <v>95</v>
          </cell>
          <cell r="J905">
            <v>1.71</v>
          </cell>
          <cell r="K905"/>
          <cell r="L905">
            <v>1.73</v>
          </cell>
          <cell r="M905"/>
          <cell r="N905">
            <v>1.75</v>
          </cell>
          <cell r="O905"/>
          <cell r="P905"/>
          <cell r="Q905"/>
          <cell r="R905"/>
          <cell r="S905"/>
          <cell r="T905"/>
          <cell r="U905"/>
          <cell r="V905">
            <v>15</v>
          </cell>
          <cell r="W905"/>
          <cell r="X905" t="str">
            <v>GAVIN</v>
          </cell>
          <cell r="Y905"/>
          <cell r="Z905" t="str">
            <v>GAVIN 17/3/18</v>
          </cell>
          <cell r="AA905"/>
          <cell r="AB905">
            <v>43176</v>
          </cell>
          <cell r="AC905">
            <v>4919</v>
          </cell>
        </row>
        <row r="906">
          <cell r="B906">
            <v>2228</v>
          </cell>
          <cell r="C906" t="str">
            <v>OLP-1652704YH-B</v>
          </cell>
          <cell r="D906" t="str">
            <v>LINEN</v>
          </cell>
          <cell r="E906"/>
          <cell r="F906" t="str">
            <v>L/V 55/45</v>
          </cell>
          <cell r="G906" t="str">
            <v>55% LINEN 45% VISCOSE (THIS HAS BEEN WASHED)</v>
          </cell>
          <cell r="H906" t="str">
            <v>51/52</v>
          </cell>
          <cell r="I906">
            <v>146</v>
          </cell>
          <cell r="J906">
            <v>2.76</v>
          </cell>
          <cell r="K906">
            <v>2.85</v>
          </cell>
          <cell r="L906">
            <v>2.61</v>
          </cell>
          <cell r="M906">
            <v>2.9</v>
          </cell>
          <cell r="N906">
            <v>2.87</v>
          </cell>
          <cell r="O906">
            <v>3.28</v>
          </cell>
          <cell r="P906"/>
          <cell r="Q906"/>
          <cell r="R906">
            <v>3.03</v>
          </cell>
          <cell r="S906">
            <v>4.03</v>
          </cell>
          <cell r="T906"/>
          <cell r="U906"/>
          <cell r="V906">
            <v>15</v>
          </cell>
          <cell r="W906"/>
          <cell r="X906" t="str">
            <v>OWEN</v>
          </cell>
          <cell r="Y906"/>
          <cell r="Z906" t="str">
            <v>OWEN 17/3/18</v>
          </cell>
          <cell r="AA906"/>
          <cell r="AB906">
            <v>43176</v>
          </cell>
          <cell r="AC906">
            <v>4927</v>
          </cell>
        </row>
        <row r="907">
          <cell r="B907">
            <v>1895</v>
          </cell>
          <cell r="C907" t="str">
            <v>TS-028</v>
          </cell>
          <cell r="D907" t="str">
            <v>CREPE</v>
          </cell>
          <cell r="E907"/>
          <cell r="F907" t="str">
            <v>T100%</v>
          </cell>
          <cell r="G907" t="str">
            <v>100% POLYESTER</v>
          </cell>
          <cell r="H907" t="str">
            <v>57/58</v>
          </cell>
          <cell r="I907">
            <v>120</v>
          </cell>
          <cell r="J907">
            <v>1.22</v>
          </cell>
          <cell r="K907">
            <v>1.4</v>
          </cell>
          <cell r="L907">
            <v>1.24</v>
          </cell>
          <cell r="M907">
            <v>1.43</v>
          </cell>
          <cell r="N907">
            <v>1.26</v>
          </cell>
          <cell r="O907">
            <v>1.46</v>
          </cell>
          <cell r="P907"/>
          <cell r="Q907"/>
          <cell r="R907">
            <v>1.41</v>
          </cell>
          <cell r="S907">
            <v>1.71</v>
          </cell>
          <cell r="T907"/>
          <cell r="U907"/>
          <cell r="V907">
            <v>15</v>
          </cell>
          <cell r="W907"/>
          <cell r="X907" t="str">
            <v>GAVIN</v>
          </cell>
          <cell r="Y907"/>
          <cell r="Z907" t="str">
            <v>GAVIN 17/3/18</v>
          </cell>
          <cell r="AA907"/>
          <cell r="AB907">
            <v>43176</v>
          </cell>
          <cell r="AC907">
            <v>4923</v>
          </cell>
        </row>
        <row r="908">
          <cell r="B908">
            <v>1615</v>
          </cell>
          <cell r="C908" t="str">
            <v>TS-054</v>
          </cell>
          <cell r="D908"/>
          <cell r="E908"/>
          <cell r="F908" t="str">
            <v>N/R 70/30</v>
          </cell>
          <cell r="G908" t="str">
            <v>70% NYLON 30% RAYON</v>
          </cell>
          <cell r="H908" t="str">
            <v>150CM</v>
          </cell>
          <cell r="I908">
            <v>112</v>
          </cell>
          <cell r="J908">
            <v>2.06</v>
          </cell>
          <cell r="K908">
            <v>2.2400000000000002</v>
          </cell>
          <cell r="L908">
            <v>2.08</v>
          </cell>
          <cell r="M908">
            <v>2.27</v>
          </cell>
          <cell r="N908">
            <v>2.1</v>
          </cell>
          <cell r="O908">
            <v>2.2999999999999998</v>
          </cell>
          <cell r="P908"/>
          <cell r="Q908"/>
          <cell r="R908">
            <v>2.25</v>
          </cell>
          <cell r="S908">
            <v>2.5499999999999998</v>
          </cell>
          <cell r="T908"/>
          <cell r="U908"/>
          <cell r="V908">
            <v>15</v>
          </cell>
          <cell r="W908"/>
          <cell r="X908" t="str">
            <v>GAVIN</v>
          </cell>
          <cell r="Y908"/>
          <cell r="Z908" t="str">
            <v>GAVIN 17/3/18</v>
          </cell>
          <cell r="AA908"/>
          <cell r="AB908">
            <v>43176</v>
          </cell>
          <cell r="AC908">
            <v>4925</v>
          </cell>
        </row>
        <row r="909">
          <cell r="B909">
            <v>1483</v>
          </cell>
          <cell r="C909" t="str">
            <v>TOULOUSE</v>
          </cell>
          <cell r="D909" t="str">
            <v>LINING</v>
          </cell>
          <cell r="E909" t="str">
            <v>50D</v>
          </cell>
          <cell r="F909" t="str">
            <v>T100%</v>
          </cell>
          <cell r="G909" t="str">
            <v>100% POLYESTER</v>
          </cell>
          <cell r="H909" t="str">
            <v>58/60</v>
          </cell>
          <cell r="I909">
            <v>90</v>
          </cell>
          <cell r="J909"/>
          <cell r="K909"/>
          <cell r="L909"/>
          <cell r="M909"/>
          <cell r="N909"/>
          <cell r="O909"/>
          <cell r="P909"/>
          <cell r="Q909"/>
          <cell r="R909">
            <v>0.61</v>
          </cell>
          <cell r="S909"/>
          <cell r="T909"/>
          <cell r="U909"/>
          <cell r="V909">
            <v>15</v>
          </cell>
          <cell r="W909" t="str">
            <v>13500vnd / m ( màu đậm )</v>
          </cell>
          <cell r="X909" t="str">
            <v>VSANG</v>
          </cell>
          <cell r="Y909"/>
          <cell r="Z909" t="str">
            <v>QUYNH 17/3/18</v>
          </cell>
          <cell r="AA909"/>
          <cell r="AB909">
            <v>43176</v>
          </cell>
          <cell r="AC909">
            <v>4920</v>
          </cell>
        </row>
        <row r="910">
          <cell r="B910">
            <v>1010</v>
          </cell>
          <cell r="C910" t="str">
            <v>R012</v>
          </cell>
          <cell r="D910" t="str">
            <v>CHALLIS RAYON</v>
          </cell>
          <cell r="E910" t="str">
            <v xml:space="preserve"> 30*30/68*68</v>
          </cell>
          <cell r="F910" t="str">
            <v>R100%</v>
          </cell>
          <cell r="G910" t="str">
            <v>100%RAYON</v>
          </cell>
          <cell r="H910" t="str">
            <v>53/54</v>
          </cell>
          <cell r="I910">
            <v>120</v>
          </cell>
          <cell r="J910">
            <v>1.2</v>
          </cell>
          <cell r="K910">
            <v>1.41</v>
          </cell>
          <cell r="L910">
            <v>1.22</v>
          </cell>
          <cell r="M910">
            <v>1.49</v>
          </cell>
          <cell r="N910">
            <v>1.27</v>
          </cell>
          <cell r="O910">
            <v>1.53</v>
          </cell>
          <cell r="P910"/>
          <cell r="Q910"/>
          <cell r="R910">
            <v>1.35</v>
          </cell>
          <cell r="S910">
            <v>2.02</v>
          </cell>
          <cell r="T910">
            <v>1.71</v>
          </cell>
          <cell r="U910">
            <v>1.99</v>
          </cell>
          <cell r="V910">
            <v>15</v>
          </cell>
          <cell r="W910"/>
          <cell r="X910" t="str">
            <v>TERESA</v>
          </cell>
          <cell r="Y910"/>
          <cell r="Z910" t="str">
            <v>TERESA 17/3/18</v>
          </cell>
          <cell r="AA910"/>
          <cell r="AB910">
            <v>43176</v>
          </cell>
          <cell r="AC910">
            <v>4933</v>
          </cell>
        </row>
        <row r="911">
          <cell r="B911">
            <v>342</v>
          </cell>
          <cell r="C911" t="str">
            <v>TS-089</v>
          </cell>
          <cell r="D911"/>
          <cell r="E911"/>
          <cell r="F911" t="str">
            <v>C/N/S 66/31/3</v>
          </cell>
          <cell r="G911" t="str">
            <v>66% COTTON 31% NYLON 3% SPANDEX</v>
          </cell>
          <cell r="H911" t="str">
            <v>57/58</v>
          </cell>
          <cell r="I911">
            <v>107</v>
          </cell>
          <cell r="J911">
            <v>1.68</v>
          </cell>
          <cell r="K911">
            <v>1.79</v>
          </cell>
          <cell r="L911">
            <v>1.7</v>
          </cell>
          <cell r="M911">
            <v>1.82</v>
          </cell>
          <cell r="N911">
            <v>1.72</v>
          </cell>
          <cell r="O911">
            <v>1.85</v>
          </cell>
          <cell r="P911"/>
          <cell r="Q911"/>
          <cell r="R911">
            <v>1.87</v>
          </cell>
          <cell r="S911">
            <v>2.12</v>
          </cell>
          <cell r="T911"/>
          <cell r="U911"/>
          <cell r="V911">
            <v>15</v>
          </cell>
          <cell r="W911"/>
          <cell r="X911" t="str">
            <v>GAVIN</v>
          </cell>
          <cell r="Y911"/>
          <cell r="Z911" t="str">
            <v>GAVIN 17/3/18</v>
          </cell>
          <cell r="AA911"/>
          <cell r="AB911">
            <v>43176</v>
          </cell>
          <cell r="AC911">
            <v>4931</v>
          </cell>
        </row>
        <row r="912">
          <cell r="B912">
            <v>261</v>
          </cell>
          <cell r="C912" t="str">
            <v>ST-4206</v>
          </cell>
          <cell r="D912" t="str">
            <v>CDC</v>
          </cell>
          <cell r="E912" t="str">
            <v xml:space="preserve">20*26+75d </v>
          </cell>
          <cell r="F912" t="str">
            <v>T100%</v>
          </cell>
          <cell r="G912" t="str">
            <v>100% POLYESTER</v>
          </cell>
          <cell r="H912" t="str">
            <v>57/58</v>
          </cell>
          <cell r="I912">
            <v>70</v>
          </cell>
          <cell r="J912">
            <v>1.31</v>
          </cell>
          <cell r="K912">
            <v>1.53</v>
          </cell>
          <cell r="L912">
            <v>1.31</v>
          </cell>
          <cell r="M912">
            <v>1.53</v>
          </cell>
          <cell r="N912">
            <v>1.31</v>
          </cell>
          <cell r="O912">
            <v>1.53</v>
          </cell>
          <cell r="P912"/>
          <cell r="Q912"/>
          <cell r="R912">
            <v>1.7</v>
          </cell>
          <cell r="S912">
            <v>1.83</v>
          </cell>
          <cell r="T912"/>
          <cell r="U912"/>
          <cell r="V912">
            <v>15</v>
          </cell>
          <cell r="W912"/>
          <cell r="X912" t="str">
            <v>SIGER</v>
          </cell>
          <cell r="Y912"/>
          <cell r="Z912" t="str">
            <v>SIGER 17/3/18</v>
          </cell>
          <cell r="AA912"/>
          <cell r="AB912">
            <v>43176</v>
          </cell>
          <cell r="AC912">
            <v>4937</v>
          </cell>
        </row>
        <row r="913">
          <cell r="B913">
            <v>4216</v>
          </cell>
          <cell r="C913" t="str">
            <v>TS-506</v>
          </cell>
          <cell r="D913" t="str">
            <v>CREPE W/ FOIL</v>
          </cell>
          <cell r="E913"/>
          <cell r="F913" t="str">
            <v>T100%</v>
          </cell>
          <cell r="G913" t="str">
            <v xml:space="preserve">100% POLYESTER W/FOIL </v>
          </cell>
          <cell r="H913" t="str">
            <v>57/58</v>
          </cell>
          <cell r="I913" t="str">
            <v>138GSM</v>
          </cell>
          <cell r="J913">
            <v>1.68</v>
          </cell>
          <cell r="K913">
            <v>1.86</v>
          </cell>
          <cell r="L913">
            <v>1.7</v>
          </cell>
          <cell r="M913">
            <v>1.89</v>
          </cell>
          <cell r="N913">
            <v>1.72</v>
          </cell>
          <cell r="O913">
            <v>1.92</v>
          </cell>
          <cell r="P913"/>
          <cell r="Q913"/>
          <cell r="R913">
            <v>1.87</v>
          </cell>
          <cell r="S913">
            <v>2.17</v>
          </cell>
          <cell r="T913"/>
          <cell r="U913"/>
          <cell r="V913">
            <v>15</v>
          </cell>
          <cell r="W913"/>
          <cell r="X913" t="str">
            <v>GAVIN</v>
          </cell>
          <cell r="Y913"/>
          <cell r="Z913" t="str">
            <v>GAVIN 16/3/18</v>
          </cell>
          <cell r="AA913"/>
          <cell r="AB913">
            <v>43175</v>
          </cell>
          <cell r="AC913">
            <v>4944</v>
          </cell>
        </row>
        <row r="914">
          <cell r="B914">
            <v>4215</v>
          </cell>
          <cell r="C914" t="str">
            <v>TS-507</v>
          </cell>
          <cell r="D914" t="str">
            <v>CHIIFFON W/ LUREX DOT</v>
          </cell>
          <cell r="E914"/>
          <cell r="F914" t="str">
            <v>T100%</v>
          </cell>
          <cell r="G914" t="str">
            <v xml:space="preserve">100% POLYESTER W/LUREX </v>
          </cell>
          <cell r="H914" t="str">
            <v>57/58</v>
          </cell>
          <cell r="I914" t="str">
            <v xml:space="preserve">72GSM </v>
          </cell>
          <cell r="J914">
            <v>3.56</v>
          </cell>
          <cell r="K914"/>
          <cell r="L914">
            <v>3.58</v>
          </cell>
          <cell r="M914"/>
          <cell r="N914">
            <v>3.6</v>
          </cell>
          <cell r="O914"/>
          <cell r="P914"/>
          <cell r="Q914"/>
          <cell r="R914">
            <v>3.75</v>
          </cell>
          <cell r="S914"/>
          <cell r="T914"/>
          <cell r="U914"/>
          <cell r="V914">
            <v>15</v>
          </cell>
          <cell r="W914"/>
          <cell r="X914" t="str">
            <v>GAVIN</v>
          </cell>
          <cell r="Y914"/>
          <cell r="Z914" t="str">
            <v>GAVIN 16/3/18</v>
          </cell>
          <cell r="AA914"/>
          <cell r="AB914">
            <v>43175</v>
          </cell>
          <cell r="AC914">
            <v>4940</v>
          </cell>
        </row>
        <row r="915">
          <cell r="B915">
            <v>4214</v>
          </cell>
          <cell r="C915" t="str">
            <v>TS-505</v>
          </cell>
          <cell r="D915" t="str">
            <v>CHIFFON W/ FOIL</v>
          </cell>
          <cell r="E915"/>
          <cell r="F915" t="str">
            <v>T100%</v>
          </cell>
          <cell r="G915" t="str">
            <v xml:space="preserve">100% POLYESTER W/FOIL </v>
          </cell>
          <cell r="H915" t="str">
            <v>57/58</v>
          </cell>
          <cell r="I915" t="str">
            <v>33GSM</v>
          </cell>
          <cell r="J915">
            <v>1.34</v>
          </cell>
          <cell r="K915">
            <v>1.52</v>
          </cell>
          <cell r="L915">
            <v>1.36</v>
          </cell>
          <cell r="M915">
            <v>1.55</v>
          </cell>
          <cell r="N915">
            <v>1.38</v>
          </cell>
          <cell r="O915">
            <v>1.58</v>
          </cell>
          <cell r="P915"/>
          <cell r="Q915"/>
          <cell r="R915">
            <v>1.53</v>
          </cell>
          <cell r="S915">
            <v>1.83</v>
          </cell>
          <cell r="T915"/>
          <cell r="U915"/>
          <cell r="V915">
            <v>15</v>
          </cell>
          <cell r="W915"/>
          <cell r="X915" t="str">
            <v>GAVIN</v>
          </cell>
          <cell r="Y915"/>
          <cell r="Z915" t="str">
            <v>GAVIN 16/3/18</v>
          </cell>
          <cell r="AA915"/>
          <cell r="AB915">
            <v>43175</v>
          </cell>
          <cell r="AC915">
            <v>4943</v>
          </cell>
        </row>
        <row r="916">
          <cell r="B916">
            <v>4111</v>
          </cell>
          <cell r="C916" t="str">
            <v>BG3957</v>
          </cell>
          <cell r="D916"/>
          <cell r="E916"/>
          <cell r="F916" t="str">
            <v>T100%</v>
          </cell>
          <cell r="G916" t="str">
            <v xml:space="preserve">100% POLYESTER </v>
          </cell>
          <cell r="H916" t="str">
            <v>57/58</v>
          </cell>
          <cell r="I916">
            <v>54</v>
          </cell>
          <cell r="J916">
            <v>2.1</v>
          </cell>
          <cell r="K916"/>
          <cell r="L916">
            <v>2.0499999999999998</v>
          </cell>
          <cell r="M916"/>
          <cell r="N916">
            <v>2.2000000000000002</v>
          </cell>
          <cell r="O916"/>
          <cell r="P916"/>
          <cell r="Q916"/>
          <cell r="R916">
            <v>2.5</v>
          </cell>
          <cell r="S916"/>
          <cell r="T916"/>
          <cell r="U916"/>
          <cell r="V916">
            <v>15</v>
          </cell>
          <cell r="W916"/>
          <cell r="X916" t="str">
            <v>EDWIN</v>
          </cell>
          <cell r="Y916"/>
          <cell r="Z916" t="str">
            <v>EDWIN 16/3/18</v>
          </cell>
          <cell r="AA916"/>
          <cell r="AB916">
            <v>43175</v>
          </cell>
          <cell r="AC916">
            <v>4941</v>
          </cell>
        </row>
        <row r="917">
          <cell r="B917">
            <v>2802</v>
          </cell>
          <cell r="C917" t="str">
            <v>BG3166</v>
          </cell>
          <cell r="D917"/>
          <cell r="E917"/>
          <cell r="F917" t="str">
            <v>C100%</v>
          </cell>
          <cell r="G917" t="str">
            <v>100% COTTON</v>
          </cell>
          <cell r="H917" t="str">
            <v>53/54</v>
          </cell>
          <cell r="I917">
            <v>65</v>
          </cell>
          <cell r="J917">
            <v>1.93</v>
          </cell>
          <cell r="K917">
            <v>2.2999999999999998</v>
          </cell>
          <cell r="L917">
            <v>1.96</v>
          </cell>
          <cell r="M917">
            <v>2.35</v>
          </cell>
          <cell r="N917">
            <v>1.98</v>
          </cell>
          <cell r="O917">
            <v>2.4</v>
          </cell>
          <cell r="P917"/>
          <cell r="Q917"/>
          <cell r="R917">
            <v>2.2000000000000002</v>
          </cell>
          <cell r="S917">
            <v>2.9</v>
          </cell>
          <cell r="T917"/>
          <cell r="U917"/>
          <cell r="V917">
            <v>15</v>
          </cell>
          <cell r="W917"/>
          <cell r="X917" t="str">
            <v>EDWIN</v>
          </cell>
          <cell r="Y917"/>
          <cell r="Z917" t="str">
            <v>EDWIN 16/3/18</v>
          </cell>
          <cell r="AA917"/>
          <cell r="AB917">
            <v>43175</v>
          </cell>
          <cell r="AC917">
            <v>4939</v>
          </cell>
        </row>
        <row r="918">
          <cell r="B918">
            <v>2490</v>
          </cell>
          <cell r="C918" t="str">
            <v>GLLPPS-102303</v>
          </cell>
          <cell r="D918"/>
          <cell r="E918"/>
          <cell r="F918" t="str">
            <v>T/S 97/3</v>
          </cell>
          <cell r="G918" t="str">
            <v>97% POLYESTER 3% SPANDEX</v>
          </cell>
          <cell r="H918" t="str">
            <v>57/58</v>
          </cell>
          <cell r="I918">
            <v>120</v>
          </cell>
          <cell r="J918">
            <v>1.41</v>
          </cell>
          <cell r="K918">
            <v>1.7</v>
          </cell>
          <cell r="L918">
            <v>1.42</v>
          </cell>
          <cell r="M918">
            <v>1.71</v>
          </cell>
          <cell r="N918">
            <v>1.43</v>
          </cell>
          <cell r="O918">
            <v>1.72</v>
          </cell>
          <cell r="P918"/>
          <cell r="Q918"/>
          <cell r="R918">
            <v>1.46</v>
          </cell>
          <cell r="S918">
            <v>2.0499999999999998</v>
          </cell>
          <cell r="T918"/>
          <cell r="U918"/>
          <cell r="V918">
            <v>15</v>
          </cell>
          <cell r="W918"/>
          <cell r="X918" t="str">
            <v>HOWARD</v>
          </cell>
          <cell r="Y918"/>
          <cell r="Z918" t="str">
            <v>HOWARD 16/3/18</v>
          </cell>
          <cell r="AA918"/>
          <cell r="AB918">
            <v>43175</v>
          </cell>
          <cell r="AC918">
            <v>4942</v>
          </cell>
        </row>
        <row r="919">
          <cell r="B919">
            <v>2140</v>
          </cell>
          <cell r="C919" t="str">
            <v>BG3440</v>
          </cell>
          <cell r="D919"/>
          <cell r="E919"/>
          <cell r="F919" t="str">
            <v>T100%</v>
          </cell>
          <cell r="G919" t="str">
            <v>100% POLYESTER</v>
          </cell>
          <cell r="H919" t="str">
            <v>57/58</v>
          </cell>
          <cell r="I919">
            <v>125</v>
          </cell>
          <cell r="J919">
            <v>1.75</v>
          </cell>
          <cell r="K919">
            <v>2.1</v>
          </cell>
          <cell r="L919">
            <v>1.78</v>
          </cell>
          <cell r="M919">
            <v>2.15</v>
          </cell>
          <cell r="N919">
            <v>1.8</v>
          </cell>
          <cell r="O919">
            <v>2.2000000000000002</v>
          </cell>
          <cell r="P919"/>
          <cell r="Q919"/>
          <cell r="R919">
            <v>2</v>
          </cell>
          <cell r="S919">
            <v>2.6</v>
          </cell>
          <cell r="T919"/>
          <cell r="U919"/>
          <cell r="V919">
            <v>15</v>
          </cell>
          <cell r="W919"/>
          <cell r="X919" t="str">
            <v>EDWIN</v>
          </cell>
          <cell r="Y919"/>
          <cell r="Z919" t="str">
            <v>EDWIN 16/3/18</v>
          </cell>
          <cell r="AA919"/>
          <cell r="AB919">
            <v>43175</v>
          </cell>
          <cell r="AC919">
            <v>4945</v>
          </cell>
        </row>
        <row r="920">
          <cell r="B920">
            <v>4042</v>
          </cell>
          <cell r="C920" t="str">
            <v>TS-494</v>
          </cell>
          <cell r="D920" t="str">
            <v>CRINKLE CHIFFON WITH FOIL</v>
          </cell>
          <cell r="E920"/>
          <cell r="F920" t="str">
            <v>T100%</v>
          </cell>
          <cell r="G920" t="str">
            <v xml:space="preserve">100% POLYESTER </v>
          </cell>
          <cell r="H920" t="str">
            <v>57/58</v>
          </cell>
          <cell r="I920">
            <v>72</v>
          </cell>
          <cell r="J920">
            <v>1.31</v>
          </cell>
          <cell r="K920">
            <v>1.49</v>
          </cell>
          <cell r="L920">
            <v>1.33</v>
          </cell>
          <cell r="M920">
            <v>1.52</v>
          </cell>
          <cell r="N920">
            <v>1.35</v>
          </cell>
          <cell r="O920">
            <v>1.55</v>
          </cell>
          <cell r="P920"/>
          <cell r="Q920"/>
          <cell r="R920">
            <v>1.5</v>
          </cell>
          <cell r="S920">
            <v>1.8</v>
          </cell>
          <cell r="T920"/>
          <cell r="U920"/>
          <cell r="V920">
            <v>15</v>
          </cell>
          <cell r="W920"/>
          <cell r="X920" t="str">
            <v>GAVIN</v>
          </cell>
          <cell r="Y920"/>
          <cell r="Z920" t="str">
            <v>GAVIN 14/3/18</v>
          </cell>
          <cell r="AA920"/>
          <cell r="AB920">
            <v>43173</v>
          </cell>
          <cell r="AC920">
            <v>4946</v>
          </cell>
        </row>
        <row r="921">
          <cell r="B921">
            <v>1533</v>
          </cell>
          <cell r="C921" t="str">
            <v>TS-183</v>
          </cell>
          <cell r="D921"/>
          <cell r="E921"/>
          <cell r="F921" t="str">
            <v>T100%</v>
          </cell>
          <cell r="G921" t="str">
            <v>100% POLYESTER</v>
          </cell>
          <cell r="H921" t="str">
            <v>57/58</v>
          </cell>
          <cell r="I921">
            <v>215</v>
          </cell>
          <cell r="J921">
            <v>2.21</v>
          </cell>
          <cell r="K921">
            <v>2.39</v>
          </cell>
          <cell r="L921">
            <v>2.23</v>
          </cell>
          <cell r="M921">
            <v>2.42</v>
          </cell>
          <cell r="N921">
            <v>2.25</v>
          </cell>
          <cell r="O921">
            <v>2.4500000000000002</v>
          </cell>
          <cell r="P921"/>
          <cell r="Q921"/>
          <cell r="R921">
            <v>2.4</v>
          </cell>
          <cell r="S921">
            <v>2.7</v>
          </cell>
          <cell r="T921"/>
          <cell r="U921"/>
          <cell r="V921">
            <v>15</v>
          </cell>
          <cell r="W921"/>
          <cell r="X921" t="str">
            <v>GAVIN</v>
          </cell>
          <cell r="Y921"/>
          <cell r="Z921" t="str">
            <v>GAVIN 14/3/18</v>
          </cell>
          <cell r="AA921"/>
          <cell r="AB921">
            <v>43173</v>
          </cell>
          <cell r="AC921">
            <v>4947</v>
          </cell>
        </row>
        <row r="922">
          <cell r="B922">
            <v>4213</v>
          </cell>
          <cell r="C922" t="str">
            <v>BG3975</v>
          </cell>
          <cell r="D922" t="str">
            <v>COTTON WITH DOTS</v>
          </cell>
          <cell r="E922"/>
          <cell r="F922" t="str">
            <v>C100%</v>
          </cell>
          <cell r="G922" t="str">
            <v xml:space="preserve">100% COTTON </v>
          </cell>
          <cell r="H922" t="str">
            <v>53/54</v>
          </cell>
          <cell r="I922">
            <v>71</v>
          </cell>
          <cell r="J922">
            <v>2.25</v>
          </cell>
          <cell r="K922">
            <v>2.6</v>
          </cell>
          <cell r="L922">
            <v>2.2799999999999998</v>
          </cell>
          <cell r="M922">
            <v>2.65</v>
          </cell>
          <cell r="N922">
            <v>2.2999999999999998</v>
          </cell>
          <cell r="O922">
            <v>2.7</v>
          </cell>
          <cell r="P922"/>
          <cell r="Q922"/>
          <cell r="R922">
            <v>2.5</v>
          </cell>
          <cell r="S922">
            <v>3.2</v>
          </cell>
          <cell r="T922"/>
          <cell r="U922"/>
          <cell r="V922">
            <v>15</v>
          </cell>
          <cell r="W922"/>
          <cell r="X922" t="str">
            <v>EDWIN</v>
          </cell>
          <cell r="Y922"/>
          <cell r="Z922" t="str">
            <v>EDWIN 13/3/18</v>
          </cell>
          <cell r="AA922"/>
          <cell r="AB922">
            <v>43172</v>
          </cell>
          <cell r="AC922">
            <v>4948</v>
          </cell>
        </row>
        <row r="923">
          <cell r="B923">
            <v>4212</v>
          </cell>
          <cell r="C923" t="str">
            <v>BG2506</v>
          </cell>
          <cell r="D923" t="str">
            <v>LINEN WITH FOIL</v>
          </cell>
          <cell r="E923"/>
          <cell r="F923" t="str">
            <v>LINEN/C 55/45</v>
          </cell>
          <cell r="G923" t="str">
            <v>55% LINEN  45% COTTON</v>
          </cell>
          <cell r="H923" t="str">
            <v>53/54</v>
          </cell>
          <cell r="I923">
            <v>135</v>
          </cell>
          <cell r="J923">
            <v>4.1500000000000004</v>
          </cell>
          <cell r="K923"/>
          <cell r="L923">
            <v>4.18</v>
          </cell>
          <cell r="M923"/>
          <cell r="N923">
            <v>4.2</v>
          </cell>
          <cell r="O923"/>
          <cell r="P923"/>
          <cell r="Q923"/>
          <cell r="R923"/>
          <cell r="S923"/>
          <cell r="T923"/>
          <cell r="U923"/>
          <cell r="V923">
            <v>15</v>
          </cell>
          <cell r="W923"/>
          <cell r="X923" t="str">
            <v>EDWIN</v>
          </cell>
          <cell r="Y923"/>
          <cell r="Z923" t="str">
            <v>EDWIN 12/3/18</v>
          </cell>
          <cell r="AA923"/>
          <cell r="AB923">
            <v>43171</v>
          </cell>
          <cell r="AC923">
            <v>4962</v>
          </cell>
        </row>
        <row r="924">
          <cell r="B924">
            <v>4211</v>
          </cell>
          <cell r="C924" t="str">
            <v>BG3972</v>
          </cell>
          <cell r="D924" t="str">
            <v>POLY</v>
          </cell>
          <cell r="E924"/>
          <cell r="F924" t="str">
            <v>T100%</v>
          </cell>
          <cell r="G924" t="str">
            <v xml:space="preserve">100% POLYESTER </v>
          </cell>
          <cell r="H924" t="str">
            <v>57/58</v>
          </cell>
          <cell r="I924">
            <v>182</v>
          </cell>
          <cell r="J924">
            <v>1.63</v>
          </cell>
          <cell r="K924">
            <v>2</v>
          </cell>
          <cell r="L924">
            <v>1.66</v>
          </cell>
          <cell r="M924">
            <v>2.0499999999999998</v>
          </cell>
          <cell r="N924">
            <v>1.68</v>
          </cell>
          <cell r="O924">
            <v>2.1</v>
          </cell>
          <cell r="P924"/>
          <cell r="Q924"/>
          <cell r="R924">
            <v>1.9</v>
          </cell>
          <cell r="S924">
            <v>2.4500000000000002</v>
          </cell>
          <cell r="T924"/>
          <cell r="U924"/>
          <cell r="V924">
            <v>15</v>
          </cell>
          <cell r="W924"/>
          <cell r="X924" t="str">
            <v>EDWIN</v>
          </cell>
          <cell r="Y924"/>
          <cell r="Z924" t="str">
            <v>EDWIN 12/3/18</v>
          </cell>
          <cell r="AA924"/>
          <cell r="AB924">
            <v>43171</v>
          </cell>
          <cell r="AC924">
            <v>4952</v>
          </cell>
        </row>
        <row r="925">
          <cell r="B925">
            <v>4210</v>
          </cell>
          <cell r="C925" t="str">
            <v>BG3794</v>
          </cell>
          <cell r="D925" t="str">
            <v>CREPE WITH FOIL PRINT</v>
          </cell>
          <cell r="E925"/>
          <cell r="F925" t="str">
            <v>T100%</v>
          </cell>
          <cell r="G925" t="str">
            <v xml:space="preserve">100% POLYESTER </v>
          </cell>
          <cell r="H925" t="str">
            <v>57/58</v>
          </cell>
          <cell r="I925">
            <v>115</v>
          </cell>
          <cell r="J925">
            <v>1.53</v>
          </cell>
          <cell r="K925">
            <v>2.4</v>
          </cell>
          <cell r="L925">
            <v>1.55</v>
          </cell>
          <cell r="M925">
            <v>2.4500000000000002</v>
          </cell>
          <cell r="N925">
            <v>1.57</v>
          </cell>
          <cell r="O925">
            <v>2.5</v>
          </cell>
          <cell r="P925"/>
          <cell r="Q925"/>
          <cell r="R925">
            <v>1.75</v>
          </cell>
          <cell r="S925">
            <v>3</v>
          </cell>
          <cell r="T925"/>
          <cell r="U925"/>
          <cell r="V925">
            <v>15</v>
          </cell>
          <cell r="W925"/>
          <cell r="X925" t="str">
            <v>EDWIN</v>
          </cell>
          <cell r="Y925"/>
          <cell r="Z925" t="str">
            <v>EDWIN 12/3/18</v>
          </cell>
          <cell r="AA925"/>
          <cell r="AB925">
            <v>43171</v>
          </cell>
          <cell r="AC925">
            <v>4953</v>
          </cell>
        </row>
        <row r="926">
          <cell r="B926">
            <v>4209</v>
          </cell>
          <cell r="C926" t="str">
            <v>BG3973</v>
          </cell>
          <cell r="D926" t="str">
            <v>MESH WITH JACQUARD</v>
          </cell>
          <cell r="E926"/>
          <cell r="F926" t="str">
            <v>T100%</v>
          </cell>
          <cell r="G926" t="str">
            <v xml:space="preserve">100% POLYESTER </v>
          </cell>
          <cell r="H926" t="str">
            <v>57/58</v>
          </cell>
          <cell r="I926">
            <v>64</v>
          </cell>
          <cell r="J926">
            <v>0.85</v>
          </cell>
          <cell r="K926">
            <v>1.2</v>
          </cell>
          <cell r="L926">
            <v>0.88</v>
          </cell>
          <cell r="M926">
            <v>1.25</v>
          </cell>
          <cell r="N926">
            <v>0.9</v>
          </cell>
          <cell r="O926">
            <v>1.3</v>
          </cell>
          <cell r="P926"/>
          <cell r="Q926"/>
          <cell r="R926">
            <v>1.1000000000000001</v>
          </cell>
          <cell r="S926">
            <v>1.6</v>
          </cell>
          <cell r="T926"/>
          <cell r="U926"/>
          <cell r="V926">
            <v>15</v>
          </cell>
          <cell r="W926"/>
          <cell r="X926" t="str">
            <v>EDWIN</v>
          </cell>
          <cell r="Y926"/>
          <cell r="Z926" t="str">
            <v>EDWIN 12/3/18</v>
          </cell>
          <cell r="AA926"/>
          <cell r="AB926">
            <v>43171</v>
          </cell>
          <cell r="AC926">
            <v>4954</v>
          </cell>
        </row>
        <row r="927">
          <cell r="B927">
            <v>4208</v>
          </cell>
          <cell r="C927" t="str">
            <v>BG3971</v>
          </cell>
          <cell r="D927" t="str">
            <v>CRINKLE SATEEN</v>
          </cell>
          <cell r="E927"/>
          <cell r="F927" t="str">
            <v>T/S 98/2</v>
          </cell>
          <cell r="G927" t="str">
            <v xml:space="preserve">98% POLYESTER  2% SPANDEX </v>
          </cell>
          <cell r="H927" t="str">
            <v>57/58</v>
          </cell>
          <cell r="I927">
            <v>196</v>
          </cell>
          <cell r="J927">
            <v>2</v>
          </cell>
          <cell r="K927">
            <v>2.35</v>
          </cell>
          <cell r="L927">
            <v>2.0299999999999998</v>
          </cell>
          <cell r="M927">
            <v>2.4</v>
          </cell>
          <cell r="N927">
            <v>2.0499999999999998</v>
          </cell>
          <cell r="O927">
            <v>2.4500000000000002</v>
          </cell>
          <cell r="P927"/>
          <cell r="Q927"/>
          <cell r="R927">
            <v>2.2000000000000002</v>
          </cell>
          <cell r="S927">
            <v>2.7</v>
          </cell>
          <cell r="T927"/>
          <cell r="U927"/>
          <cell r="V927">
            <v>15</v>
          </cell>
          <cell r="W927"/>
          <cell r="X927" t="str">
            <v>EDWIN</v>
          </cell>
          <cell r="Y927"/>
          <cell r="Z927" t="str">
            <v>EDWIN 12/3/18</v>
          </cell>
          <cell r="AA927"/>
          <cell r="AB927">
            <v>43171</v>
          </cell>
          <cell r="AC927">
            <v>4955</v>
          </cell>
        </row>
        <row r="928">
          <cell r="B928">
            <v>4207</v>
          </cell>
          <cell r="C928" t="str">
            <v>BG3976</v>
          </cell>
          <cell r="D928" t="str">
            <v>SAME AMW3375 WITH CRINKLE</v>
          </cell>
          <cell r="E928"/>
          <cell r="F928" t="str">
            <v>R/T 70/30</v>
          </cell>
          <cell r="G928" t="str">
            <v xml:space="preserve">70% RAYON 30% POLYESTER </v>
          </cell>
          <cell r="H928" t="str">
            <v>54/55</v>
          </cell>
          <cell r="I928">
            <v>82</v>
          </cell>
          <cell r="J928">
            <v>1.65</v>
          </cell>
          <cell r="K928">
            <v>2.1</v>
          </cell>
          <cell r="L928">
            <v>1.68</v>
          </cell>
          <cell r="M928">
            <v>2.15</v>
          </cell>
          <cell r="N928">
            <v>1.7</v>
          </cell>
          <cell r="O928">
            <v>2.2000000000000002</v>
          </cell>
          <cell r="P928"/>
          <cell r="Q928"/>
          <cell r="R928">
            <v>1.9</v>
          </cell>
          <cell r="S928">
            <v>2.6</v>
          </cell>
          <cell r="T928"/>
          <cell r="U928"/>
          <cell r="V928">
            <v>15</v>
          </cell>
          <cell r="W928"/>
          <cell r="X928" t="str">
            <v>EDWIN</v>
          </cell>
          <cell r="Y928"/>
          <cell r="Z928" t="str">
            <v>EDWIN 12/3/18</v>
          </cell>
          <cell r="AA928"/>
          <cell r="AB928">
            <v>43171</v>
          </cell>
          <cell r="AC928">
            <v>4956</v>
          </cell>
        </row>
        <row r="929">
          <cell r="B929">
            <v>4206</v>
          </cell>
          <cell r="C929" t="str">
            <v>CS2237</v>
          </cell>
          <cell r="D929" t="str">
            <v xml:space="preserve">SATIN CHIFFON </v>
          </cell>
          <cell r="E929" t="str">
            <v>75DX75D</v>
          </cell>
          <cell r="F929" t="str">
            <v>T100%</v>
          </cell>
          <cell r="G929" t="str">
            <v xml:space="preserve">100%POLYESTER </v>
          </cell>
          <cell r="H929" t="str">
            <v xml:space="preserve">57/58 </v>
          </cell>
          <cell r="I929"/>
          <cell r="J929">
            <v>1.55</v>
          </cell>
          <cell r="K929"/>
          <cell r="L929">
            <v>1.58</v>
          </cell>
          <cell r="M929"/>
          <cell r="N929">
            <v>1.6</v>
          </cell>
          <cell r="O929"/>
          <cell r="P929"/>
          <cell r="Q929"/>
          <cell r="R929"/>
          <cell r="S929"/>
          <cell r="T929"/>
          <cell r="U929"/>
          <cell r="V929">
            <v>15</v>
          </cell>
          <cell r="W929"/>
          <cell r="X929" t="str">
            <v>SONG LI</v>
          </cell>
          <cell r="Y929"/>
          <cell r="Z929" t="str">
            <v>SONG 12/3/18</v>
          </cell>
          <cell r="AA929"/>
          <cell r="AB929">
            <v>43171</v>
          </cell>
          <cell r="AC929">
            <v>4949</v>
          </cell>
        </row>
        <row r="930">
          <cell r="B930">
            <v>4205</v>
          </cell>
          <cell r="C930" t="str">
            <v>CS1633</v>
          </cell>
          <cell r="D930" t="str">
            <v>FOIL PRINTED CREPE</v>
          </cell>
          <cell r="E930" t="str">
            <v>75DX75D</v>
          </cell>
          <cell r="F930" t="str">
            <v>T100%</v>
          </cell>
          <cell r="G930" t="str">
            <v xml:space="preserve">100% POLYESTER </v>
          </cell>
          <cell r="H930" t="str">
            <v>57/58</v>
          </cell>
          <cell r="I930" t="str">
            <v xml:space="preserve">125GSM </v>
          </cell>
          <cell r="J930">
            <v>1.9</v>
          </cell>
          <cell r="K930"/>
          <cell r="L930">
            <v>1.95</v>
          </cell>
          <cell r="M930"/>
          <cell r="N930">
            <v>1.99</v>
          </cell>
          <cell r="O930"/>
          <cell r="P930"/>
          <cell r="Q930"/>
          <cell r="R930"/>
          <cell r="S930"/>
          <cell r="T930"/>
          <cell r="U930"/>
          <cell r="V930">
            <v>15</v>
          </cell>
          <cell r="W930"/>
          <cell r="X930" t="str">
            <v>SONG LI</v>
          </cell>
          <cell r="Y930"/>
          <cell r="Z930" t="str">
            <v>SONG 12/3/18</v>
          </cell>
          <cell r="AA930"/>
          <cell r="AB930">
            <v>43171</v>
          </cell>
          <cell r="AC930">
            <v>4950</v>
          </cell>
        </row>
        <row r="931">
          <cell r="B931">
            <v>4204</v>
          </cell>
          <cell r="C931" t="str">
            <v xml:space="preserve">CS1864 </v>
          </cell>
          <cell r="D931" t="str">
            <v>POLY</v>
          </cell>
          <cell r="E931"/>
          <cell r="F931" t="str">
            <v>T100%</v>
          </cell>
          <cell r="G931" t="str">
            <v xml:space="preserve">100% POLY / WASHED WOOL PEACH </v>
          </cell>
          <cell r="H931" t="str">
            <v>57/58</v>
          </cell>
          <cell r="I931" t="str">
            <v xml:space="preserve">125GSM </v>
          </cell>
          <cell r="J931">
            <v>1.27</v>
          </cell>
          <cell r="K931"/>
          <cell r="L931">
            <v>1.3</v>
          </cell>
          <cell r="M931"/>
          <cell r="N931">
            <v>1.33</v>
          </cell>
          <cell r="O931"/>
          <cell r="P931"/>
          <cell r="Q931"/>
          <cell r="R931"/>
          <cell r="S931"/>
          <cell r="T931"/>
          <cell r="U931"/>
          <cell r="V931">
            <v>15</v>
          </cell>
          <cell r="W931"/>
          <cell r="X931" t="str">
            <v>SONG LI</v>
          </cell>
          <cell r="Y931"/>
          <cell r="Z931" t="str">
            <v>SONG 12/3/18</v>
          </cell>
          <cell r="AA931"/>
          <cell r="AB931">
            <v>43171</v>
          </cell>
          <cell r="AC931">
            <v>4951</v>
          </cell>
        </row>
        <row r="932">
          <cell r="B932">
            <v>3073</v>
          </cell>
          <cell r="C932" t="str">
            <v>OLP-1742022RBE</v>
          </cell>
          <cell r="D932"/>
          <cell r="E932"/>
          <cell r="F932" t="str">
            <v>T100%</v>
          </cell>
          <cell r="G932" t="str">
            <v>100% POLYESTER</v>
          </cell>
          <cell r="H932" t="str">
            <v>57/58</v>
          </cell>
          <cell r="I932">
            <v>106</v>
          </cell>
          <cell r="J932">
            <v>1.69</v>
          </cell>
          <cell r="K932">
            <v>2.04</v>
          </cell>
          <cell r="L932">
            <v>1.81</v>
          </cell>
          <cell r="M932">
            <v>2.15</v>
          </cell>
          <cell r="N932">
            <v>1.9</v>
          </cell>
          <cell r="O932">
            <v>2.31</v>
          </cell>
          <cell r="P932"/>
          <cell r="Q932"/>
          <cell r="R932">
            <v>2.04</v>
          </cell>
          <cell r="S932">
            <v>3.12</v>
          </cell>
          <cell r="T932"/>
          <cell r="U932"/>
          <cell r="V932">
            <v>15</v>
          </cell>
          <cell r="W932"/>
          <cell r="X932" t="str">
            <v>OWEN</v>
          </cell>
          <cell r="Y932"/>
          <cell r="Z932" t="str">
            <v>JOAN 12/3/18</v>
          </cell>
          <cell r="AA932"/>
          <cell r="AB932">
            <v>43171</v>
          </cell>
          <cell r="AC932">
            <v>4957</v>
          </cell>
        </row>
        <row r="933">
          <cell r="B933">
            <v>3030</v>
          </cell>
          <cell r="C933" t="str">
            <v>OLP-1731121XS</v>
          </cell>
          <cell r="D933" t="str">
            <v>CRINKLE CHIFFON</v>
          </cell>
          <cell r="E933"/>
          <cell r="F933" t="str">
            <v>T100%</v>
          </cell>
          <cell r="G933" t="str">
            <v xml:space="preserve">100% POLYESTER </v>
          </cell>
          <cell r="H933" t="str">
            <v>57/58</v>
          </cell>
          <cell r="I933">
            <v>70</v>
          </cell>
          <cell r="J933">
            <v>1.18</v>
          </cell>
          <cell r="K933">
            <v>1.31</v>
          </cell>
          <cell r="L933">
            <v>1.24</v>
          </cell>
          <cell r="M933">
            <v>1.37</v>
          </cell>
          <cell r="N933">
            <v>1.29</v>
          </cell>
          <cell r="O933">
            <v>1.56</v>
          </cell>
          <cell r="P933"/>
          <cell r="Q933"/>
          <cell r="R933">
            <v>1.45</v>
          </cell>
          <cell r="S933">
            <v>2.31</v>
          </cell>
          <cell r="T933"/>
          <cell r="U933"/>
          <cell r="V933">
            <v>15</v>
          </cell>
          <cell r="W933"/>
          <cell r="X933" t="str">
            <v>OWEN</v>
          </cell>
          <cell r="Y933"/>
          <cell r="Z933" t="str">
            <v>JOAN 12/3/18</v>
          </cell>
          <cell r="AA933"/>
          <cell r="AB933">
            <v>43171</v>
          </cell>
          <cell r="AC933">
            <v>4958</v>
          </cell>
        </row>
        <row r="934">
          <cell r="B934">
            <v>1509</v>
          </cell>
          <cell r="C934" t="str">
            <v>OLP-151127XS0008</v>
          </cell>
          <cell r="D934" t="str">
            <v>CHIFFON</v>
          </cell>
          <cell r="E934"/>
          <cell r="F934" t="str">
            <v>T100%</v>
          </cell>
          <cell r="G934" t="str">
            <v xml:space="preserve">100% POLYESTER </v>
          </cell>
          <cell r="H934" t="str">
            <v>57/58</v>
          </cell>
          <cell r="I934">
            <v>75</v>
          </cell>
          <cell r="J934">
            <v>1.1100000000000001</v>
          </cell>
          <cell r="K934">
            <v>1.47</v>
          </cell>
          <cell r="L934">
            <v>1.23</v>
          </cell>
          <cell r="M934">
            <v>1.58</v>
          </cell>
          <cell r="N934">
            <v>1.25</v>
          </cell>
          <cell r="O934">
            <v>1.6</v>
          </cell>
          <cell r="P934"/>
          <cell r="Q934"/>
          <cell r="R934">
            <v>1.41</v>
          </cell>
          <cell r="S934">
            <v>2.17</v>
          </cell>
          <cell r="T934"/>
          <cell r="U934"/>
          <cell r="V934">
            <v>15</v>
          </cell>
          <cell r="W934"/>
          <cell r="X934" t="str">
            <v>OWEN</v>
          </cell>
          <cell r="Y934"/>
          <cell r="Z934" t="str">
            <v>JOAN 12/3/18</v>
          </cell>
          <cell r="AA934"/>
          <cell r="AB934">
            <v>43171</v>
          </cell>
          <cell r="AC934">
            <v>4961</v>
          </cell>
        </row>
        <row r="935">
          <cell r="B935">
            <v>1132</v>
          </cell>
          <cell r="C935" t="str">
            <v>OLP-15101703ZY</v>
          </cell>
          <cell r="D935" t="str">
            <v>TERRY CREPE</v>
          </cell>
          <cell r="E935"/>
          <cell r="F935" t="str">
            <v>V100%</v>
          </cell>
          <cell r="G935" t="str">
            <v>100% VISCOSE</v>
          </cell>
          <cell r="H935">
            <v>50</v>
          </cell>
          <cell r="I935">
            <v>140</v>
          </cell>
          <cell r="J935">
            <v>2.1800000000000002</v>
          </cell>
          <cell r="K935">
            <v>2.5499999999999998</v>
          </cell>
          <cell r="L935">
            <v>2.25</v>
          </cell>
          <cell r="M935">
            <v>2.6</v>
          </cell>
          <cell r="N935">
            <v>2.2999999999999998</v>
          </cell>
          <cell r="O935">
            <v>2.71</v>
          </cell>
          <cell r="P935"/>
          <cell r="Q935"/>
          <cell r="R935">
            <v>2.46</v>
          </cell>
          <cell r="S935">
            <v>3.14</v>
          </cell>
          <cell r="T935"/>
          <cell r="U935"/>
          <cell r="V935">
            <v>15</v>
          </cell>
          <cell r="W935"/>
          <cell r="X935" t="str">
            <v>OWEN</v>
          </cell>
          <cell r="Y935" t="str">
            <v>DMCARE-TRI-01</v>
          </cell>
          <cell r="Z935" t="str">
            <v>JOAN 12/3/18</v>
          </cell>
          <cell r="AA935"/>
          <cell r="AB935">
            <v>43171</v>
          </cell>
          <cell r="AC935">
            <v>4959</v>
          </cell>
        </row>
        <row r="936">
          <cell r="B936">
            <v>784</v>
          </cell>
          <cell r="C936" t="str">
            <v>BG2617</v>
          </cell>
          <cell r="D936"/>
          <cell r="E936"/>
          <cell r="F936" t="str">
            <v>T100%</v>
          </cell>
          <cell r="G936" t="str">
            <v>100% POLYESTER</v>
          </cell>
          <cell r="H936" t="str">
            <v>57/58</v>
          </cell>
          <cell r="I936">
            <v>85</v>
          </cell>
          <cell r="J936">
            <v>1.57</v>
          </cell>
          <cell r="K936">
            <v>1.95</v>
          </cell>
          <cell r="L936">
            <v>1.6</v>
          </cell>
          <cell r="M936">
            <v>2</v>
          </cell>
          <cell r="N936">
            <v>1.62</v>
          </cell>
          <cell r="O936">
            <v>2.0499999999999998</v>
          </cell>
          <cell r="P936"/>
          <cell r="Q936"/>
          <cell r="R936">
            <v>1.85</v>
          </cell>
          <cell r="S936">
            <v>2.35</v>
          </cell>
          <cell r="T936"/>
          <cell r="U936"/>
          <cell r="V936">
            <v>15</v>
          </cell>
          <cell r="W936"/>
          <cell r="X936" t="str">
            <v>EDWIN</v>
          </cell>
          <cell r="Y936"/>
          <cell r="Z936" t="str">
            <v>EDWIN 12/3/18</v>
          </cell>
          <cell r="AA936"/>
          <cell r="AB936">
            <v>43171</v>
          </cell>
          <cell r="AC936">
            <v>4960</v>
          </cell>
        </row>
        <row r="937">
          <cell r="B937">
            <v>4203</v>
          </cell>
          <cell r="C937" t="str">
            <v>BG2623</v>
          </cell>
          <cell r="D937" t="str">
            <v>SATEEN</v>
          </cell>
          <cell r="E937"/>
          <cell r="F937" t="str">
            <v>T100%</v>
          </cell>
          <cell r="G937" t="str">
            <v xml:space="preserve">100% POLYESTER </v>
          </cell>
          <cell r="H937" t="str">
            <v>57/58</v>
          </cell>
          <cell r="I937">
            <v>150</v>
          </cell>
          <cell r="J937">
            <v>1.75</v>
          </cell>
          <cell r="K937">
            <v>2</v>
          </cell>
          <cell r="L937">
            <v>1.78</v>
          </cell>
          <cell r="M937">
            <v>2.15</v>
          </cell>
          <cell r="N937">
            <v>1.8</v>
          </cell>
          <cell r="O937">
            <v>2.2000000000000002</v>
          </cell>
          <cell r="P937"/>
          <cell r="Q937"/>
          <cell r="R937">
            <v>2</v>
          </cell>
          <cell r="S937">
            <v>2.5</v>
          </cell>
          <cell r="T937"/>
          <cell r="U937"/>
          <cell r="V937">
            <v>15</v>
          </cell>
          <cell r="W937"/>
          <cell r="X937" t="str">
            <v>EDWIN</v>
          </cell>
          <cell r="Y937"/>
          <cell r="Z937" t="str">
            <v>EDWIN 10/3/18</v>
          </cell>
          <cell r="AA937"/>
          <cell r="AB937">
            <v>43169</v>
          </cell>
          <cell r="AC937">
            <v>4972</v>
          </cell>
        </row>
        <row r="938">
          <cell r="B938">
            <v>4202</v>
          </cell>
          <cell r="C938" t="str">
            <v>BG2501</v>
          </cell>
          <cell r="D938" t="str">
            <v>SLIGHT SATEEN</v>
          </cell>
          <cell r="E938" t="str">
            <v>20D+26D*50D</v>
          </cell>
          <cell r="F938" t="str">
            <v>T100%</v>
          </cell>
          <cell r="G938" t="str">
            <v xml:space="preserve">100% POLYESTER </v>
          </cell>
          <cell r="H938" t="str">
            <v>57/58</v>
          </cell>
          <cell r="I938">
            <v>93</v>
          </cell>
          <cell r="J938">
            <v>1.62</v>
          </cell>
          <cell r="K938">
            <v>1.95</v>
          </cell>
          <cell r="L938">
            <v>1.63</v>
          </cell>
          <cell r="M938">
            <v>2</v>
          </cell>
          <cell r="N938">
            <v>1.65</v>
          </cell>
          <cell r="O938">
            <v>2.0499999999999998</v>
          </cell>
          <cell r="P938"/>
          <cell r="Q938"/>
          <cell r="R938">
            <v>1.85</v>
          </cell>
          <cell r="S938">
            <v>2.35</v>
          </cell>
          <cell r="T938"/>
          <cell r="U938"/>
          <cell r="V938">
            <v>15</v>
          </cell>
          <cell r="W938"/>
          <cell r="X938" t="str">
            <v>EDWIN</v>
          </cell>
          <cell r="Y938"/>
          <cell r="Z938" t="str">
            <v>EDWIN 10/3/18</v>
          </cell>
          <cell r="AA938"/>
          <cell r="AB938">
            <v>43169</v>
          </cell>
          <cell r="AC938">
            <v>4970</v>
          </cell>
        </row>
        <row r="939">
          <cell r="B939">
            <v>4201</v>
          </cell>
          <cell r="C939" t="str">
            <v>BG3911</v>
          </cell>
          <cell r="D939" t="str">
            <v>CRINKLE CHIFFON</v>
          </cell>
          <cell r="E939"/>
          <cell r="F939" t="str">
            <v>T100%</v>
          </cell>
          <cell r="G939" t="str">
            <v xml:space="preserve">100% POLYESTER </v>
          </cell>
          <cell r="H939" t="str">
            <v>57/58</v>
          </cell>
          <cell r="I939">
            <v>67</v>
          </cell>
          <cell r="J939">
            <v>1.33</v>
          </cell>
          <cell r="K939">
            <v>1.7</v>
          </cell>
          <cell r="L939">
            <v>1.35</v>
          </cell>
          <cell r="M939">
            <v>1.75</v>
          </cell>
          <cell r="N939">
            <v>1.37</v>
          </cell>
          <cell r="O939">
            <v>1.8</v>
          </cell>
          <cell r="P939"/>
          <cell r="Q939"/>
          <cell r="R939">
            <v>1.6</v>
          </cell>
          <cell r="S939">
            <v>2.15</v>
          </cell>
          <cell r="T939"/>
          <cell r="U939"/>
          <cell r="V939">
            <v>15</v>
          </cell>
          <cell r="W939"/>
          <cell r="X939" t="str">
            <v>EDWIN</v>
          </cell>
          <cell r="Y939"/>
          <cell r="Z939" t="str">
            <v>EDWIN 10/3/18</v>
          </cell>
          <cell r="AA939"/>
          <cell r="AB939">
            <v>43169</v>
          </cell>
          <cell r="AC939">
            <v>4963</v>
          </cell>
        </row>
        <row r="940">
          <cell r="B940">
            <v>4200</v>
          </cell>
          <cell r="C940" t="str">
            <v>BG2583</v>
          </cell>
          <cell r="D940"/>
          <cell r="E940"/>
          <cell r="F940" t="str">
            <v>T100%</v>
          </cell>
          <cell r="G940" t="str">
            <v xml:space="preserve">100% POLYESTER </v>
          </cell>
          <cell r="H940" t="str">
            <v>57/58</v>
          </cell>
          <cell r="I940">
            <v>265</v>
          </cell>
          <cell r="J940">
            <v>2.35</v>
          </cell>
          <cell r="K940">
            <v>2.6</v>
          </cell>
          <cell r="L940">
            <v>2.38</v>
          </cell>
          <cell r="M940">
            <v>2.65</v>
          </cell>
          <cell r="N940">
            <v>2.4</v>
          </cell>
          <cell r="O940">
            <v>2.7</v>
          </cell>
          <cell r="P940"/>
          <cell r="Q940"/>
          <cell r="R940">
            <v>2.6</v>
          </cell>
          <cell r="S940">
            <v>3.1</v>
          </cell>
          <cell r="T940"/>
          <cell r="U940"/>
          <cell r="V940">
            <v>15</v>
          </cell>
          <cell r="W940"/>
          <cell r="X940" t="str">
            <v>EDWIN</v>
          </cell>
          <cell r="Y940"/>
          <cell r="Z940" t="str">
            <v>EDWIN 10/3/18</v>
          </cell>
          <cell r="AA940"/>
          <cell r="AB940">
            <v>43169</v>
          </cell>
          <cell r="AC940">
            <v>4964</v>
          </cell>
        </row>
        <row r="941">
          <cell r="B941">
            <v>4199</v>
          </cell>
          <cell r="C941" t="str">
            <v>BG3899</v>
          </cell>
          <cell r="D941" t="str">
            <v>LUREX STRIPE CHIFFON</v>
          </cell>
          <cell r="E941"/>
          <cell r="F941" t="str">
            <v>T100%</v>
          </cell>
          <cell r="G941" t="str">
            <v xml:space="preserve">100% POLYESTER </v>
          </cell>
          <cell r="H941" t="str">
            <v>57/58</v>
          </cell>
          <cell r="I941">
            <v>78</v>
          </cell>
          <cell r="J941">
            <v>1.37</v>
          </cell>
          <cell r="K941">
            <v>1.75</v>
          </cell>
          <cell r="L941">
            <v>1.4</v>
          </cell>
          <cell r="M941">
            <v>1.8</v>
          </cell>
          <cell r="N941">
            <v>1.42</v>
          </cell>
          <cell r="O941">
            <v>1.85</v>
          </cell>
          <cell r="P941"/>
          <cell r="Q941"/>
          <cell r="R941">
            <v>1.65</v>
          </cell>
          <cell r="S941">
            <v>2.2000000000000002</v>
          </cell>
          <cell r="T941"/>
          <cell r="U941"/>
          <cell r="V941">
            <v>15</v>
          </cell>
          <cell r="W941"/>
          <cell r="X941" t="str">
            <v>EDWIN</v>
          </cell>
          <cell r="Y941"/>
          <cell r="Z941" t="str">
            <v>EDWIN 10/3/18</v>
          </cell>
          <cell r="AA941"/>
          <cell r="AB941">
            <v>43169</v>
          </cell>
          <cell r="AC941">
            <v>4965</v>
          </cell>
        </row>
        <row r="942">
          <cell r="B942">
            <v>4198</v>
          </cell>
          <cell r="C942" t="str">
            <v>BG3582</v>
          </cell>
          <cell r="D942" t="str">
            <v>CRINKLE CHIFFON WITH LUREX STRIPE</v>
          </cell>
          <cell r="E942"/>
          <cell r="F942" t="str">
            <v>T100%</v>
          </cell>
          <cell r="G942" t="str">
            <v xml:space="preserve">100% POLYESTER </v>
          </cell>
          <cell r="H942" t="str">
            <v>57/58</v>
          </cell>
          <cell r="I942">
            <v>77</v>
          </cell>
          <cell r="J942">
            <v>1.37</v>
          </cell>
          <cell r="K942">
            <v>1.75</v>
          </cell>
          <cell r="L942">
            <v>1.4</v>
          </cell>
          <cell r="M942">
            <v>1.8</v>
          </cell>
          <cell r="N942">
            <v>1.42</v>
          </cell>
          <cell r="O942">
            <v>1.85</v>
          </cell>
          <cell r="P942"/>
          <cell r="Q942"/>
          <cell r="R942">
            <v>1.65</v>
          </cell>
          <cell r="S942">
            <v>2.2000000000000002</v>
          </cell>
          <cell r="T942"/>
          <cell r="U942"/>
          <cell r="V942">
            <v>15</v>
          </cell>
          <cell r="W942"/>
          <cell r="X942" t="str">
            <v>EDWIN</v>
          </cell>
          <cell r="Y942"/>
          <cell r="Z942" t="str">
            <v>EDWIN 10/3/18</v>
          </cell>
          <cell r="AA942"/>
          <cell r="AB942">
            <v>43169</v>
          </cell>
          <cell r="AC942">
            <v>4966</v>
          </cell>
        </row>
        <row r="943">
          <cell r="B943">
            <v>4197</v>
          </cell>
          <cell r="C943" t="str">
            <v>BG2477</v>
          </cell>
          <cell r="D943" t="str">
            <v>CDC / FAILLE</v>
          </cell>
          <cell r="E943" t="str">
            <v>20+26*75D</v>
          </cell>
          <cell r="F943" t="str">
            <v>T100%</v>
          </cell>
          <cell r="G943" t="str">
            <v xml:space="preserve">100% POLYESTER </v>
          </cell>
          <cell r="H943" t="str">
            <v>57/58</v>
          </cell>
          <cell r="I943">
            <v>93</v>
          </cell>
          <cell r="J943">
            <v>1.3</v>
          </cell>
          <cell r="K943">
            <v>1.7</v>
          </cell>
          <cell r="L943">
            <v>1.32</v>
          </cell>
          <cell r="M943">
            <v>1.75</v>
          </cell>
          <cell r="N943">
            <v>1.35</v>
          </cell>
          <cell r="O943">
            <v>1.8</v>
          </cell>
          <cell r="P943"/>
          <cell r="Q943"/>
          <cell r="R943">
            <v>1.55</v>
          </cell>
          <cell r="S943">
            <v>2.1</v>
          </cell>
          <cell r="T943"/>
          <cell r="U943"/>
          <cell r="V943">
            <v>15</v>
          </cell>
          <cell r="W943"/>
          <cell r="X943" t="str">
            <v>EDWIN</v>
          </cell>
          <cell r="Y943"/>
          <cell r="Z943" t="str">
            <v>EDWIN 10/3/18</v>
          </cell>
          <cell r="AA943"/>
          <cell r="AB943">
            <v>43169</v>
          </cell>
          <cell r="AC943">
            <v>4973</v>
          </cell>
        </row>
        <row r="944">
          <cell r="B944">
            <v>4196</v>
          </cell>
          <cell r="C944" t="str">
            <v>BG2644</v>
          </cell>
          <cell r="D944" t="str">
            <v>CHIFFON WITH  METALIC DOTS</v>
          </cell>
          <cell r="E944" t="str">
            <v>75D*75D</v>
          </cell>
          <cell r="F944" t="str">
            <v>T100%</v>
          </cell>
          <cell r="G944" t="str">
            <v xml:space="preserve">100% POLYESTER </v>
          </cell>
          <cell r="H944" t="str">
            <v>57/58</v>
          </cell>
          <cell r="I944">
            <v>70</v>
          </cell>
          <cell r="J944">
            <v>1.8</v>
          </cell>
          <cell r="K944">
            <v>2.15</v>
          </cell>
          <cell r="L944">
            <v>1.83</v>
          </cell>
          <cell r="M944">
            <v>2.2000000000000002</v>
          </cell>
          <cell r="N944">
            <v>1.85</v>
          </cell>
          <cell r="O944">
            <v>2.25</v>
          </cell>
          <cell r="P944"/>
          <cell r="Q944"/>
          <cell r="R944">
            <v>2.0499999999999998</v>
          </cell>
          <cell r="S944">
            <v>2.6</v>
          </cell>
          <cell r="T944"/>
          <cell r="U944"/>
          <cell r="V944">
            <v>15</v>
          </cell>
          <cell r="W944"/>
          <cell r="X944" t="str">
            <v>EDWIN</v>
          </cell>
          <cell r="Y944"/>
          <cell r="Z944" t="str">
            <v>EDWIN 10/3/18</v>
          </cell>
          <cell r="AA944"/>
          <cell r="AB944">
            <v>43169</v>
          </cell>
          <cell r="AC944">
            <v>4967</v>
          </cell>
        </row>
        <row r="945">
          <cell r="B945">
            <v>4146</v>
          </cell>
          <cell r="C945" t="str">
            <v>BG3187</v>
          </cell>
          <cell r="D945"/>
          <cell r="E945" t="str">
            <v>(50D+68D)*(50D+68D)</v>
          </cell>
          <cell r="F945" t="str">
            <v>T100%</v>
          </cell>
          <cell r="G945" t="str">
            <v xml:space="preserve">100% POLYESTER </v>
          </cell>
          <cell r="H945" t="str">
            <v>57/58</v>
          </cell>
          <cell r="I945">
            <v>170</v>
          </cell>
          <cell r="J945">
            <v>1.63</v>
          </cell>
          <cell r="K945">
            <v>1.95</v>
          </cell>
          <cell r="L945">
            <v>1.66</v>
          </cell>
          <cell r="M945">
            <v>2</v>
          </cell>
          <cell r="N945">
            <v>1.68</v>
          </cell>
          <cell r="O945">
            <v>2.0499999999999998</v>
          </cell>
          <cell r="P945"/>
          <cell r="Q945"/>
          <cell r="R945">
            <v>1.9</v>
          </cell>
          <cell r="S945">
            <v>2.4</v>
          </cell>
          <cell r="T945"/>
          <cell r="U945"/>
          <cell r="V945">
            <v>15</v>
          </cell>
          <cell r="W945"/>
          <cell r="X945" t="str">
            <v>EDWIN</v>
          </cell>
          <cell r="Y945"/>
          <cell r="Z945" t="str">
            <v>EDWIN 10/3/18</v>
          </cell>
          <cell r="AA945"/>
          <cell r="AB945">
            <v>43169</v>
          </cell>
          <cell r="AC945">
            <v>4968</v>
          </cell>
        </row>
        <row r="946">
          <cell r="B946">
            <v>3381</v>
          </cell>
          <cell r="C946" t="str">
            <v>T004</v>
          </cell>
          <cell r="D946" t="str">
            <v>CREPE ( REPLACE 2002</v>
          </cell>
          <cell r="E946" t="str">
            <v>75D*75D</v>
          </cell>
          <cell r="F946" t="str">
            <v>T100%</v>
          </cell>
          <cell r="G946" t="str">
            <v xml:space="preserve">100% POLYESTER </v>
          </cell>
          <cell r="H946" t="str">
            <v>57/58</v>
          </cell>
          <cell r="I946">
            <v>120</v>
          </cell>
          <cell r="J946">
            <v>1.18</v>
          </cell>
          <cell r="K946">
            <v>1.35</v>
          </cell>
          <cell r="L946">
            <v>1.2</v>
          </cell>
          <cell r="M946">
            <v>1.43</v>
          </cell>
          <cell r="N946">
            <v>1.24</v>
          </cell>
          <cell r="O946">
            <v>1.47</v>
          </cell>
          <cell r="P946"/>
          <cell r="Q946"/>
          <cell r="R946">
            <v>1.35</v>
          </cell>
          <cell r="S946">
            <v>1.99</v>
          </cell>
          <cell r="T946"/>
          <cell r="U946"/>
          <cell r="V946">
            <v>15</v>
          </cell>
          <cell r="W946"/>
          <cell r="X946" t="str">
            <v>TERESA</v>
          </cell>
          <cell r="Y946"/>
          <cell r="Z946" t="str">
            <v>TERESA 10/3/18</v>
          </cell>
          <cell r="AA946"/>
          <cell r="AB946">
            <v>43169</v>
          </cell>
          <cell r="AC946">
            <v>4969</v>
          </cell>
        </row>
        <row r="947">
          <cell r="B947">
            <v>2490</v>
          </cell>
          <cell r="C947" t="str">
            <v>GLLPPS-102303</v>
          </cell>
          <cell r="D947" t="str">
            <v>BUBBLE CREPE</v>
          </cell>
          <cell r="E947"/>
          <cell r="F947" t="str">
            <v>T/S 97/3</v>
          </cell>
          <cell r="G947" t="str">
            <v>97% POLYESTER 3% SPANDEX</v>
          </cell>
          <cell r="H947" t="str">
            <v>57/58</v>
          </cell>
          <cell r="I947">
            <v>120</v>
          </cell>
          <cell r="J947">
            <v>1.34</v>
          </cell>
          <cell r="K947">
            <v>1.58</v>
          </cell>
          <cell r="L947">
            <v>1.36</v>
          </cell>
          <cell r="M947">
            <v>1.62</v>
          </cell>
          <cell r="N947">
            <v>1.37</v>
          </cell>
          <cell r="O947">
            <v>1.7</v>
          </cell>
          <cell r="P947"/>
          <cell r="Q947"/>
          <cell r="R947">
            <v>1.42</v>
          </cell>
          <cell r="S947">
            <v>2</v>
          </cell>
          <cell r="T947"/>
          <cell r="U947"/>
          <cell r="V947">
            <v>15</v>
          </cell>
          <cell r="W947" t="str">
            <v>as per 04 color way</v>
          </cell>
          <cell r="X947" t="str">
            <v>HOWARD</v>
          </cell>
          <cell r="Y947"/>
          <cell r="Z947" t="str">
            <v>HOWARD' MAIL 10/3/18</v>
          </cell>
          <cell r="AA947"/>
          <cell r="AB947">
            <v>43169</v>
          </cell>
          <cell r="AC947">
            <v>4974</v>
          </cell>
        </row>
        <row r="948">
          <cell r="B948">
            <v>842</v>
          </cell>
          <cell r="C948" t="str">
            <v>BG2176</v>
          </cell>
          <cell r="D948" t="str">
            <v>SATEEN WITH AIR FLOW</v>
          </cell>
          <cell r="E948"/>
          <cell r="F948" t="str">
            <v>T100%</v>
          </cell>
          <cell r="G948" t="str">
            <v>100% POLYESTER</v>
          </cell>
          <cell r="H948" t="str">
            <v>57/58</v>
          </cell>
          <cell r="I948">
            <v>95</v>
          </cell>
          <cell r="J948">
            <v>1.63</v>
          </cell>
          <cell r="K948">
            <v>2</v>
          </cell>
          <cell r="L948">
            <v>1.66</v>
          </cell>
          <cell r="M948">
            <v>2.0499999999999998</v>
          </cell>
          <cell r="N948">
            <v>1.68</v>
          </cell>
          <cell r="O948">
            <v>2.1</v>
          </cell>
          <cell r="P948"/>
          <cell r="Q948"/>
          <cell r="R948">
            <v>1.9</v>
          </cell>
          <cell r="S948">
            <v>2.4</v>
          </cell>
          <cell r="T948"/>
          <cell r="U948"/>
          <cell r="V948">
            <v>15</v>
          </cell>
          <cell r="W948"/>
          <cell r="X948" t="str">
            <v>EDWIN</v>
          </cell>
          <cell r="Y948"/>
          <cell r="Z948" t="str">
            <v>EDWIN 10/3/18</v>
          </cell>
          <cell r="AA948"/>
          <cell r="AB948">
            <v>43169</v>
          </cell>
          <cell r="AC948">
            <v>4971</v>
          </cell>
        </row>
        <row r="949">
          <cell r="B949">
            <v>4102</v>
          </cell>
          <cell r="C949" t="str">
            <v>FQ-09781KW</v>
          </cell>
          <cell r="D949"/>
          <cell r="E949"/>
          <cell r="F949" t="str">
            <v>T100%</v>
          </cell>
          <cell r="G949" t="str">
            <v xml:space="preserve">100% POLYESTER </v>
          </cell>
          <cell r="H949">
            <v>58</v>
          </cell>
          <cell r="I949">
            <v>105</v>
          </cell>
          <cell r="J949">
            <v>1.53</v>
          </cell>
          <cell r="K949">
            <v>1.95</v>
          </cell>
          <cell r="L949">
            <v>1.55</v>
          </cell>
          <cell r="M949">
            <v>1.97</v>
          </cell>
          <cell r="N949">
            <v>1.58</v>
          </cell>
          <cell r="O949">
            <v>1.99</v>
          </cell>
          <cell r="P949"/>
          <cell r="Q949"/>
          <cell r="R949">
            <v>1.6</v>
          </cell>
          <cell r="S949">
            <v>2.02</v>
          </cell>
          <cell r="T949"/>
          <cell r="U949"/>
          <cell r="V949">
            <v>15</v>
          </cell>
          <cell r="W949"/>
          <cell r="X949" t="str">
            <v>ADEN</v>
          </cell>
          <cell r="Y949"/>
          <cell r="Z949" t="str">
            <v>ADEN 9/3/18</v>
          </cell>
          <cell r="AA949"/>
          <cell r="AB949">
            <v>43168</v>
          </cell>
          <cell r="AC949">
            <v>4977</v>
          </cell>
        </row>
        <row r="950">
          <cell r="B950">
            <v>2879</v>
          </cell>
          <cell r="C950" t="str">
            <v>T100-D</v>
          </cell>
          <cell r="D950" t="str">
            <v>LACE</v>
          </cell>
          <cell r="E950"/>
          <cell r="F950" t="str">
            <v>N/S 92/8</v>
          </cell>
          <cell r="G950" t="str">
            <v xml:space="preserve">92% NYLON  8% SPANDEX </v>
          </cell>
          <cell r="H950" t="str">
            <v>150CM</v>
          </cell>
          <cell r="I950">
            <v>98</v>
          </cell>
          <cell r="J950">
            <v>1.1000000000000001</v>
          </cell>
          <cell r="K950"/>
          <cell r="L950">
            <v>1.1000000000000001</v>
          </cell>
          <cell r="M950"/>
          <cell r="N950">
            <v>1.2</v>
          </cell>
          <cell r="O950"/>
          <cell r="P950"/>
          <cell r="Q950"/>
          <cell r="R950">
            <v>1.2</v>
          </cell>
          <cell r="S950"/>
          <cell r="T950"/>
          <cell r="U950"/>
          <cell r="V950">
            <v>15</v>
          </cell>
          <cell r="W950"/>
          <cell r="X950" t="str">
            <v>ANGELA</v>
          </cell>
          <cell r="Y950"/>
          <cell r="Z950" t="str">
            <v>ANGELA 9/3/18</v>
          </cell>
          <cell r="AA950"/>
          <cell r="AB950">
            <v>43168</v>
          </cell>
          <cell r="AC950">
            <v>4976</v>
          </cell>
        </row>
        <row r="951">
          <cell r="B951">
            <v>2878</v>
          </cell>
          <cell r="C951" t="str">
            <v>T109-D</v>
          </cell>
          <cell r="D951" t="str">
            <v>LACE</v>
          </cell>
          <cell r="E951"/>
          <cell r="F951" t="str">
            <v>N/S 92/8</v>
          </cell>
          <cell r="G951" t="str">
            <v xml:space="preserve">92% NYLON  8% SPANDEX </v>
          </cell>
          <cell r="H951" t="str">
            <v>150CM</v>
          </cell>
          <cell r="I951">
            <v>95</v>
          </cell>
          <cell r="J951">
            <v>1.1000000000000001</v>
          </cell>
          <cell r="K951"/>
          <cell r="L951">
            <v>1.1000000000000001</v>
          </cell>
          <cell r="M951"/>
          <cell r="N951">
            <v>1.2</v>
          </cell>
          <cell r="O951"/>
          <cell r="P951"/>
          <cell r="Q951"/>
          <cell r="R951">
            <v>1.2</v>
          </cell>
          <cell r="S951"/>
          <cell r="T951"/>
          <cell r="U951"/>
          <cell r="V951">
            <v>15</v>
          </cell>
          <cell r="W951"/>
          <cell r="X951" t="str">
            <v>ANGELA</v>
          </cell>
          <cell r="Y951"/>
          <cell r="Z951" t="str">
            <v>ANGELA 9/3/18</v>
          </cell>
          <cell r="AA951"/>
          <cell r="AB951">
            <v>43168</v>
          </cell>
          <cell r="AC951">
            <v>4975</v>
          </cell>
        </row>
        <row r="952">
          <cell r="B952">
            <v>4195</v>
          </cell>
          <cell r="C952" t="str">
            <v>TS-504</v>
          </cell>
          <cell r="D952" t="str">
            <v>KNIT - RIB</v>
          </cell>
          <cell r="E952"/>
          <cell r="F952" t="str">
            <v>V/S 95/5</v>
          </cell>
          <cell r="G952" t="str">
            <v xml:space="preserve">95% VISCOSE  5% SPANDEX </v>
          </cell>
          <cell r="H952" t="str">
            <v>58/60</v>
          </cell>
          <cell r="I952">
            <v>165</v>
          </cell>
          <cell r="J952">
            <v>1.56</v>
          </cell>
          <cell r="K952">
            <v>1.79</v>
          </cell>
          <cell r="L952">
            <v>1.58</v>
          </cell>
          <cell r="M952">
            <v>1.82</v>
          </cell>
          <cell r="N952">
            <v>1.6</v>
          </cell>
          <cell r="O952">
            <v>1.85</v>
          </cell>
          <cell r="P952"/>
          <cell r="Q952"/>
          <cell r="R952">
            <v>1.75</v>
          </cell>
          <cell r="S952">
            <v>2.1</v>
          </cell>
          <cell r="T952"/>
          <cell r="U952"/>
          <cell r="V952">
            <v>15</v>
          </cell>
          <cell r="W952"/>
          <cell r="X952" t="str">
            <v>GAVIN</v>
          </cell>
          <cell r="Y952"/>
          <cell r="Z952" t="str">
            <v>GAVIN 8/3/18</v>
          </cell>
          <cell r="AA952"/>
          <cell r="AB952">
            <v>43167</v>
          </cell>
          <cell r="AC952">
            <v>4980</v>
          </cell>
        </row>
        <row r="953">
          <cell r="B953">
            <v>4105</v>
          </cell>
          <cell r="C953" t="str">
            <v>M-1001-B</v>
          </cell>
          <cell r="D953" t="str">
            <v>CREPE</v>
          </cell>
          <cell r="E953" t="str">
            <v>75D*75D</v>
          </cell>
          <cell r="F953" t="str">
            <v>T100%</v>
          </cell>
          <cell r="G953" t="str">
            <v>100% POLYESTER</v>
          </cell>
          <cell r="H953" t="str">
            <v>57/58</v>
          </cell>
          <cell r="I953">
            <v>115</v>
          </cell>
          <cell r="J953">
            <v>1.1499999999999999</v>
          </cell>
          <cell r="K953">
            <v>1.4</v>
          </cell>
          <cell r="L953">
            <v>1.1499999999999999</v>
          </cell>
          <cell r="M953">
            <v>1.4</v>
          </cell>
          <cell r="N953">
            <v>1.1499999999999999</v>
          </cell>
          <cell r="O953">
            <v>1.45</v>
          </cell>
          <cell r="P953"/>
          <cell r="Q953"/>
          <cell r="R953">
            <v>1.35</v>
          </cell>
          <cell r="S953">
            <v>1.75</v>
          </cell>
          <cell r="T953"/>
          <cell r="U953"/>
          <cell r="V953">
            <v>15</v>
          </cell>
          <cell r="W953"/>
          <cell r="X953" t="str">
            <v>M-TEX</v>
          </cell>
          <cell r="Y953"/>
          <cell r="Z953" t="str">
            <v>LINDA 8/3/18</v>
          </cell>
          <cell r="AA953"/>
          <cell r="AB953">
            <v>43167</v>
          </cell>
          <cell r="AC953">
            <v>4981</v>
          </cell>
        </row>
        <row r="954">
          <cell r="B954">
            <v>3429</v>
          </cell>
          <cell r="C954" t="str">
            <v>M-2015023</v>
          </cell>
          <cell r="D954" t="str">
            <v>BUBBLE CREPE</v>
          </cell>
          <cell r="E954" t="str">
            <v>75D x 75D</v>
          </cell>
          <cell r="F954" t="str">
            <v>T/S 97/3</v>
          </cell>
          <cell r="G954" t="str">
            <v>97% POLYESTER 3% SPANDEX</v>
          </cell>
          <cell r="H954" t="str">
            <v>57/58</v>
          </cell>
          <cell r="I954" t="str">
            <v>120-130</v>
          </cell>
          <cell r="J954">
            <v>1.35</v>
          </cell>
          <cell r="K954">
            <v>1.6</v>
          </cell>
          <cell r="L954">
            <v>1.35</v>
          </cell>
          <cell r="M954">
            <v>1.6</v>
          </cell>
          <cell r="N954">
            <v>1.35</v>
          </cell>
          <cell r="O954">
            <v>1.65</v>
          </cell>
          <cell r="P954"/>
          <cell r="Q954"/>
          <cell r="R954">
            <v>1.45</v>
          </cell>
          <cell r="S954">
            <v>1.95</v>
          </cell>
          <cell r="T954"/>
          <cell r="U954"/>
          <cell r="V954">
            <v>15</v>
          </cell>
          <cell r="W954"/>
          <cell r="X954" t="str">
            <v>M-TEX</v>
          </cell>
          <cell r="Y954"/>
          <cell r="Z954" t="str">
            <v>LINDA 8/3/18</v>
          </cell>
          <cell r="AA954"/>
          <cell r="AB954">
            <v>43167</v>
          </cell>
          <cell r="AC954">
            <v>4986</v>
          </cell>
        </row>
        <row r="955">
          <cell r="B955">
            <v>3402</v>
          </cell>
          <cell r="C955" t="str">
            <v>M-1001</v>
          </cell>
          <cell r="D955" t="str">
            <v>CREPE</v>
          </cell>
          <cell r="E955" t="str">
            <v>75D*75D</v>
          </cell>
          <cell r="F955" t="str">
            <v>T100%</v>
          </cell>
          <cell r="G955" t="str">
            <v>100% POLYESTER</v>
          </cell>
          <cell r="H955" t="str">
            <v>58/59</v>
          </cell>
          <cell r="I955" t="str">
            <v>120-130</v>
          </cell>
          <cell r="J955">
            <v>1.25</v>
          </cell>
          <cell r="K955">
            <v>1.5</v>
          </cell>
          <cell r="L955">
            <v>1.25</v>
          </cell>
          <cell r="M955">
            <v>1.5</v>
          </cell>
          <cell r="N955">
            <v>1.2</v>
          </cell>
          <cell r="O955">
            <v>1.55</v>
          </cell>
          <cell r="P955"/>
          <cell r="Q955"/>
          <cell r="R955">
            <v>1.45</v>
          </cell>
          <cell r="S955">
            <v>1.85</v>
          </cell>
          <cell r="T955"/>
          <cell r="U955"/>
          <cell r="V955">
            <v>15</v>
          </cell>
          <cell r="W955"/>
          <cell r="X955" t="str">
            <v>M-TEX</v>
          </cell>
          <cell r="Y955"/>
          <cell r="Z955" t="str">
            <v>LINDA 8/3/18</v>
          </cell>
          <cell r="AA955"/>
          <cell r="AB955">
            <v>43167</v>
          </cell>
          <cell r="AC955">
            <v>4982</v>
          </cell>
        </row>
        <row r="956">
          <cell r="B956">
            <v>2932</v>
          </cell>
          <cell r="C956" t="str">
            <v>TS-333</v>
          </cell>
          <cell r="D956"/>
          <cell r="E956"/>
          <cell r="F956" t="str">
            <v>T/S 98/2</v>
          </cell>
          <cell r="G956" t="str">
            <v xml:space="preserve">98% POLYESTER  2% SPANDEX </v>
          </cell>
          <cell r="H956" t="str">
            <v>57/58</v>
          </cell>
          <cell r="I956">
            <v>160</v>
          </cell>
          <cell r="J956">
            <v>1.56</v>
          </cell>
          <cell r="K956">
            <v>1.82</v>
          </cell>
          <cell r="L956">
            <v>1.58</v>
          </cell>
          <cell r="M956">
            <v>1.85</v>
          </cell>
          <cell r="N956">
            <v>1.6</v>
          </cell>
          <cell r="O956">
            <v>1.88</v>
          </cell>
          <cell r="P956"/>
          <cell r="Q956"/>
          <cell r="R956">
            <v>1.75</v>
          </cell>
          <cell r="S956">
            <v>2.13</v>
          </cell>
          <cell r="T956"/>
          <cell r="U956"/>
          <cell r="V956">
            <v>15</v>
          </cell>
          <cell r="W956"/>
          <cell r="X956" t="str">
            <v>GAVIN</v>
          </cell>
          <cell r="Y956"/>
          <cell r="Z956" t="str">
            <v>GAVIN 8/3/18</v>
          </cell>
          <cell r="AA956"/>
          <cell r="AB956">
            <v>43167</v>
          </cell>
          <cell r="AC956">
            <v>4983</v>
          </cell>
        </row>
        <row r="957">
          <cell r="B957">
            <v>2737</v>
          </cell>
          <cell r="C957" t="str">
            <v>TS-176</v>
          </cell>
          <cell r="D957"/>
          <cell r="E957"/>
          <cell r="F957" t="str">
            <v>T/S 96/4</v>
          </cell>
          <cell r="G957" t="str">
            <v xml:space="preserve">96% POLYESTER  4% SPANDEX </v>
          </cell>
          <cell r="H957" t="str">
            <v>160CM</v>
          </cell>
          <cell r="I957">
            <v>220</v>
          </cell>
          <cell r="J957">
            <v>2.61</v>
          </cell>
          <cell r="K957"/>
          <cell r="L957">
            <v>2.63</v>
          </cell>
          <cell r="M957"/>
          <cell r="N957">
            <v>2.65</v>
          </cell>
          <cell r="O957"/>
          <cell r="P957"/>
          <cell r="Q957"/>
          <cell r="R957">
            <v>2.8</v>
          </cell>
          <cell r="S957"/>
          <cell r="T957"/>
          <cell r="U957"/>
          <cell r="V957">
            <v>15</v>
          </cell>
          <cell r="W957"/>
          <cell r="X957" t="str">
            <v>GAVIN</v>
          </cell>
          <cell r="Y957"/>
          <cell r="Z957" t="str">
            <v>GAVIN 8/3/18</v>
          </cell>
          <cell r="AA957"/>
          <cell r="AB957">
            <v>43167</v>
          </cell>
          <cell r="AC957">
            <v>4979</v>
          </cell>
        </row>
        <row r="958">
          <cell r="B958">
            <v>1929</v>
          </cell>
          <cell r="C958" t="str">
            <v>TS-175</v>
          </cell>
          <cell r="D958"/>
          <cell r="E958"/>
          <cell r="F958" t="str">
            <v>T100%</v>
          </cell>
          <cell r="G958" t="str">
            <v>100% POLYESTER</v>
          </cell>
          <cell r="H958" t="str">
            <v>57/58</v>
          </cell>
          <cell r="I958">
            <v>120</v>
          </cell>
          <cell r="J958">
            <v>1.31</v>
          </cell>
          <cell r="K958">
            <v>1.49</v>
          </cell>
          <cell r="L958">
            <v>1.33</v>
          </cell>
          <cell r="M958">
            <v>1.52</v>
          </cell>
          <cell r="N958">
            <v>1.35</v>
          </cell>
          <cell r="O958">
            <v>1.55</v>
          </cell>
          <cell r="P958"/>
          <cell r="Q958"/>
          <cell r="R958">
            <v>1.5</v>
          </cell>
          <cell r="S958">
            <v>1.8</v>
          </cell>
          <cell r="T958"/>
          <cell r="U958"/>
          <cell r="V958">
            <v>15</v>
          </cell>
          <cell r="W958"/>
          <cell r="X958" t="str">
            <v>GAVIN</v>
          </cell>
          <cell r="Y958"/>
          <cell r="Z958" t="str">
            <v>GAVIN 8/3/18</v>
          </cell>
          <cell r="AA958"/>
          <cell r="AB958">
            <v>43167</v>
          </cell>
          <cell r="AC958">
            <v>4984</v>
          </cell>
        </row>
        <row r="959">
          <cell r="B959">
            <v>1481</v>
          </cell>
          <cell r="C959" t="str">
            <v>BG2581</v>
          </cell>
          <cell r="D959"/>
          <cell r="E959"/>
          <cell r="F959" t="str">
            <v>T100%</v>
          </cell>
          <cell r="G959" t="str">
            <v xml:space="preserve">100% POLYESTER </v>
          </cell>
          <cell r="H959" t="str">
            <v>57/58</v>
          </cell>
          <cell r="I959">
            <v>130</v>
          </cell>
          <cell r="J959">
            <v>1.52</v>
          </cell>
          <cell r="K959">
            <v>1.85</v>
          </cell>
          <cell r="L959">
            <v>1.55</v>
          </cell>
          <cell r="M959">
            <v>1.9</v>
          </cell>
          <cell r="N959">
            <v>1.57</v>
          </cell>
          <cell r="O959">
            <v>1.95</v>
          </cell>
          <cell r="P959"/>
          <cell r="Q959"/>
          <cell r="R959">
            <v>1.85</v>
          </cell>
          <cell r="S959">
            <v>2.2999999999999998</v>
          </cell>
          <cell r="T959"/>
          <cell r="U959"/>
          <cell r="V959">
            <v>15</v>
          </cell>
          <cell r="W959"/>
          <cell r="X959" t="str">
            <v>EDWIN</v>
          </cell>
          <cell r="Y959"/>
          <cell r="Z959" t="str">
            <v>EDWIN 8/3/18</v>
          </cell>
          <cell r="AA959"/>
          <cell r="AB959">
            <v>43167</v>
          </cell>
          <cell r="AC959">
            <v>4985</v>
          </cell>
        </row>
        <row r="960">
          <cell r="B960">
            <v>981</v>
          </cell>
          <cell r="C960" t="str">
            <v>R056</v>
          </cell>
          <cell r="D960" t="str">
            <v>PLAIN 40</v>
          </cell>
          <cell r="E960" t="str">
            <v>40x40 / 119x89</v>
          </cell>
          <cell r="F960" t="str">
            <v>R 100%</v>
          </cell>
          <cell r="G960" t="str">
            <v>100%RAYON</v>
          </cell>
          <cell r="H960" t="str">
            <v>53/54</v>
          </cell>
          <cell r="I960">
            <v>130</v>
          </cell>
          <cell r="J960">
            <v>1.43</v>
          </cell>
          <cell r="K960">
            <v>1.65</v>
          </cell>
          <cell r="L960">
            <v>1.45</v>
          </cell>
          <cell r="M960">
            <v>1.7</v>
          </cell>
          <cell r="N960">
            <v>1.47</v>
          </cell>
          <cell r="O960">
            <v>1.76</v>
          </cell>
          <cell r="P960"/>
          <cell r="Q960"/>
          <cell r="R960">
            <v>1.5</v>
          </cell>
          <cell r="S960">
            <v>2.25</v>
          </cell>
          <cell r="T960"/>
          <cell r="U960"/>
          <cell r="V960">
            <v>15</v>
          </cell>
          <cell r="W960"/>
          <cell r="X960" t="str">
            <v>TERESA</v>
          </cell>
          <cell r="Y960"/>
          <cell r="Z960" t="str">
            <v>TERESA' MAIL 7/3/18</v>
          </cell>
          <cell r="AA960"/>
          <cell r="AB960">
            <v>43166</v>
          </cell>
          <cell r="AC960">
            <v>4987</v>
          </cell>
        </row>
        <row r="961">
          <cell r="B961">
            <v>3775</v>
          </cell>
          <cell r="C961" t="str">
            <v>TS-485</v>
          </cell>
          <cell r="D961"/>
          <cell r="E961"/>
          <cell r="F961" t="str">
            <v>T/LUREX 98/2</v>
          </cell>
          <cell r="G961" t="str">
            <v>98% POLYESTER  2% LUREX</v>
          </cell>
          <cell r="H961" t="str">
            <v>57/58</v>
          </cell>
          <cell r="I961">
            <v>73</v>
          </cell>
          <cell r="J961">
            <v>1.29</v>
          </cell>
          <cell r="K961">
            <v>1.46</v>
          </cell>
          <cell r="L961">
            <v>1.31</v>
          </cell>
          <cell r="M961">
            <v>1.49</v>
          </cell>
          <cell r="N961">
            <v>1.33</v>
          </cell>
          <cell r="O961">
            <v>1.52</v>
          </cell>
          <cell r="P961"/>
          <cell r="Q961"/>
          <cell r="R961">
            <v>1.48</v>
          </cell>
          <cell r="S961">
            <v>1.77</v>
          </cell>
          <cell r="T961"/>
          <cell r="U961"/>
          <cell r="V961">
            <v>15</v>
          </cell>
          <cell r="W961"/>
          <cell r="X961" t="str">
            <v>GAVIN</v>
          </cell>
          <cell r="Y961"/>
          <cell r="Z961" t="str">
            <v>GA 6/3/18</v>
          </cell>
          <cell r="AA961"/>
          <cell r="AB961">
            <v>43165</v>
          </cell>
          <cell r="AC961">
            <v>4988</v>
          </cell>
        </row>
        <row r="962">
          <cell r="B962">
            <v>3403</v>
          </cell>
          <cell r="C962" t="str">
            <v>M-1007</v>
          </cell>
          <cell r="D962" t="str">
            <v>CHIFFON 75D</v>
          </cell>
          <cell r="E962" t="str">
            <v>45x37 - 75Dx75D</v>
          </cell>
          <cell r="F962" t="str">
            <v>T 100%</v>
          </cell>
          <cell r="G962" t="str">
            <v xml:space="preserve">100% POLYESTER </v>
          </cell>
          <cell r="H962" t="str">
            <v>57/58</v>
          </cell>
          <cell r="I962" t="str">
            <v>75-80</v>
          </cell>
          <cell r="J962">
            <v>0.88</v>
          </cell>
          <cell r="K962">
            <v>1.1499999999999999</v>
          </cell>
          <cell r="L962">
            <v>0.88</v>
          </cell>
          <cell r="M962">
            <v>1.1499999999999999</v>
          </cell>
          <cell r="N962">
            <v>0.88</v>
          </cell>
          <cell r="O962">
            <v>1.2</v>
          </cell>
          <cell r="P962"/>
          <cell r="Q962"/>
          <cell r="R962"/>
          <cell r="S962"/>
          <cell r="T962"/>
          <cell r="U962"/>
          <cell r="V962">
            <v>15</v>
          </cell>
          <cell r="W962"/>
          <cell r="X962" t="str">
            <v>M-TEX</v>
          </cell>
          <cell r="Y962"/>
          <cell r="Z962" t="str">
            <v>LINDA 6/3/18</v>
          </cell>
          <cell r="AA962"/>
          <cell r="AB962">
            <v>43165</v>
          </cell>
          <cell r="AC962">
            <v>4989</v>
          </cell>
        </row>
        <row r="963">
          <cell r="B963">
            <v>3183</v>
          </cell>
          <cell r="C963" t="str">
            <v>TS-338</v>
          </cell>
          <cell r="D963"/>
          <cell r="E963"/>
          <cell r="F963" t="str">
            <v>T/S95/5</v>
          </cell>
          <cell r="G963" t="str">
            <v xml:space="preserve">95% POLYESTER  5% SPANDEX </v>
          </cell>
          <cell r="H963" t="str">
            <v>57/58</v>
          </cell>
          <cell r="I963">
            <v>91</v>
          </cell>
          <cell r="J963">
            <v>1.26</v>
          </cell>
          <cell r="K963">
            <v>1.44</v>
          </cell>
          <cell r="L963">
            <v>1.28</v>
          </cell>
          <cell r="M963">
            <v>1.47</v>
          </cell>
          <cell r="N963">
            <v>1.3</v>
          </cell>
          <cell r="O963">
            <v>1.5</v>
          </cell>
          <cell r="P963"/>
          <cell r="Q963"/>
          <cell r="R963">
            <v>1.45</v>
          </cell>
          <cell r="S963">
            <v>1.75</v>
          </cell>
          <cell r="T963"/>
          <cell r="U963"/>
          <cell r="V963">
            <v>15</v>
          </cell>
          <cell r="W963"/>
          <cell r="X963" t="str">
            <v>GAVIN</v>
          </cell>
          <cell r="Y963"/>
          <cell r="Z963" t="str">
            <v>GA 6/3/18</v>
          </cell>
          <cell r="AA963"/>
          <cell r="AB963">
            <v>43165</v>
          </cell>
          <cell r="AC963">
            <v>4990</v>
          </cell>
        </row>
        <row r="964">
          <cell r="B964">
            <v>3182</v>
          </cell>
          <cell r="C964" t="str">
            <v>TS-337</v>
          </cell>
          <cell r="D964"/>
          <cell r="E964"/>
          <cell r="F964" t="str">
            <v>T/S 95/5</v>
          </cell>
          <cell r="G964" t="str">
            <v xml:space="preserve">95% POLYESTER  5%SPANDEX </v>
          </cell>
          <cell r="H964" t="str">
            <v>57/58</v>
          </cell>
          <cell r="I964">
            <v>95</v>
          </cell>
          <cell r="J964">
            <v>1.1499999999999999</v>
          </cell>
          <cell r="K964">
            <v>1.33</v>
          </cell>
          <cell r="L964">
            <v>1.17</v>
          </cell>
          <cell r="M964">
            <v>1.36</v>
          </cell>
          <cell r="N964">
            <v>1.19</v>
          </cell>
          <cell r="O964">
            <v>1.39</v>
          </cell>
          <cell r="P964"/>
          <cell r="Q964"/>
          <cell r="R964">
            <v>1.51</v>
          </cell>
          <cell r="S964">
            <v>1.64</v>
          </cell>
          <cell r="T964"/>
          <cell r="U964"/>
          <cell r="V964">
            <v>15</v>
          </cell>
          <cell r="W964"/>
          <cell r="X964" t="str">
            <v>GAVIN</v>
          </cell>
          <cell r="Y964"/>
          <cell r="Z964" t="str">
            <v>GA 6/3/18</v>
          </cell>
          <cell r="AA964"/>
          <cell r="AB964">
            <v>43165</v>
          </cell>
          <cell r="AC964">
            <v>4991</v>
          </cell>
        </row>
        <row r="965">
          <cell r="B965">
            <v>2570</v>
          </cell>
          <cell r="C965" t="str">
            <v>HLT3322</v>
          </cell>
          <cell r="D965"/>
          <cell r="E965"/>
          <cell r="F965" t="str">
            <v>T100%</v>
          </cell>
          <cell r="G965" t="str">
            <v>100% POLYESTER</v>
          </cell>
          <cell r="H965" t="str">
            <v>57/58</v>
          </cell>
          <cell r="I965">
            <v>120</v>
          </cell>
          <cell r="J965">
            <v>1.65435175153485</v>
          </cell>
          <cell r="K965">
            <v>1.7951968219573853</v>
          </cell>
          <cell r="L965">
            <v>1.7043517515348501</v>
          </cell>
          <cell r="M965">
            <v>1.8451968219573853</v>
          </cell>
          <cell r="N965">
            <v>1.7543517515348501</v>
          </cell>
          <cell r="O965">
            <v>1.9451968219573854</v>
          </cell>
          <cell r="P965"/>
          <cell r="Q965"/>
          <cell r="R965">
            <v>2.5543517515348499</v>
          </cell>
          <cell r="S965">
            <v>2.9451968219573854</v>
          </cell>
          <cell r="T965"/>
          <cell r="U965"/>
          <cell r="V965">
            <v>15</v>
          </cell>
          <cell r="W965"/>
          <cell r="X965" t="str">
            <v>CANDY</v>
          </cell>
          <cell r="Y965"/>
          <cell r="Z965" t="str">
            <v>CANDY 6/3/18</v>
          </cell>
          <cell r="AA965"/>
          <cell r="AB965">
            <v>43165</v>
          </cell>
          <cell r="AC965">
            <v>4992</v>
          </cell>
        </row>
        <row r="966">
          <cell r="B966">
            <v>2488</v>
          </cell>
          <cell r="C966" t="str">
            <v>TS-280</v>
          </cell>
          <cell r="D966"/>
          <cell r="E966"/>
          <cell r="F966" t="str">
            <v>T/S 97/3</v>
          </cell>
          <cell r="G966" t="str">
            <v xml:space="preserve">97% POLYESTER  3% SPANDEX </v>
          </cell>
          <cell r="H966" t="str">
            <v>57/58</v>
          </cell>
          <cell r="I966">
            <v>94</v>
          </cell>
          <cell r="J966">
            <v>1.26</v>
          </cell>
          <cell r="K966">
            <v>1.44</v>
          </cell>
          <cell r="L966">
            <v>1.28</v>
          </cell>
          <cell r="M966">
            <v>1.47</v>
          </cell>
          <cell r="N966">
            <v>1.3</v>
          </cell>
          <cell r="O966">
            <v>1.5</v>
          </cell>
          <cell r="P966"/>
          <cell r="Q966"/>
          <cell r="R966">
            <v>1.45</v>
          </cell>
          <cell r="S966">
            <v>1.75</v>
          </cell>
          <cell r="T966"/>
          <cell r="U966"/>
          <cell r="V966">
            <v>15</v>
          </cell>
          <cell r="W966"/>
          <cell r="X966" t="str">
            <v>GAVIN</v>
          </cell>
          <cell r="Y966"/>
          <cell r="Z966" t="str">
            <v>GA 6/3/18</v>
          </cell>
          <cell r="AA966"/>
          <cell r="AB966">
            <v>43165</v>
          </cell>
          <cell r="AC966">
            <v>4993</v>
          </cell>
        </row>
        <row r="967">
          <cell r="B967">
            <v>4193</v>
          </cell>
          <cell r="C967" t="str">
            <v>M-1035</v>
          </cell>
          <cell r="D967" t="str">
            <v>CRINKLE CHIFFON</v>
          </cell>
          <cell r="E967"/>
          <cell r="F967" t="str">
            <v>T100%</v>
          </cell>
          <cell r="G967" t="str">
            <v xml:space="preserve">100% POLYESTER </v>
          </cell>
          <cell r="H967" t="str">
            <v>57/58</v>
          </cell>
          <cell r="I967">
            <v>75</v>
          </cell>
          <cell r="J967">
            <v>0.9</v>
          </cell>
          <cell r="K967">
            <v>1.1499999999999999</v>
          </cell>
          <cell r="L967">
            <v>0.93</v>
          </cell>
          <cell r="M967">
            <v>1.18</v>
          </cell>
          <cell r="N967">
            <v>0.93</v>
          </cell>
          <cell r="O967">
            <v>1.18</v>
          </cell>
          <cell r="P967"/>
          <cell r="Q967"/>
          <cell r="R967">
            <v>1.1000000000000001</v>
          </cell>
          <cell r="S967">
            <v>1.4</v>
          </cell>
          <cell r="T967"/>
          <cell r="U967"/>
          <cell r="V967">
            <v>15</v>
          </cell>
          <cell r="W967"/>
          <cell r="X967" t="str">
            <v>M-TEX</v>
          </cell>
          <cell r="Y967"/>
          <cell r="Z967" t="str">
            <v>LINDA 5/3/18</v>
          </cell>
          <cell r="AA967"/>
          <cell r="AB967">
            <v>43164</v>
          </cell>
          <cell r="AC967">
            <v>4996</v>
          </cell>
        </row>
        <row r="968">
          <cell r="B968">
            <v>4192</v>
          </cell>
          <cell r="C968" t="str">
            <v>M-2191A</v>
          </cell>
          <cell r="D968" t="str">
            <v>SATEEN / CREPE</v>
          </cell>
          <cell r="E968"/>
          <cell r="F968" t="str">
            <v>T100%</v>
          </cell>
          <cell r="G968" t="str">
            <v xml:space="preserve">100% POLYESTER </v>
          </cell>
          <cell r="H968" t="str">
            <v>148CM</v>
          </cell>
          <cell r="I968">
            <v>163</v>
          </cell>
          <cell r="J968">
            <v>1.53</v>
          </cell>
          <cell r="K968">
            <v>1.73</v>
          </cell>
          <cell r="L968">
            <v>1.55</v>
          </cell>
          <cell r="M968">
            <v>1.75</v>
          </cell>
          <cell r="N968">
            <v>1.55</v>
          </cell>
          <cell r="O968">
            <v>1.75</v>
          </cell>
          <cell r="P968"/>
          <cell r="Q968"/>
          <cell r="R968">
            <v>1.7</v>
          </cell>
          <cell r="S968">
            <v>1.8</v>
          </cell>
          <cell r="T968"/>
          <cell r="U968"/>
          <cell r="V968">
            <v>15</v>
          </cell>
          <cell r="W968"/>
          <cell r="X968" t="str">
            <v>M-TEX</v>
          </cell>
          <cell r="Y968"/>
          <cell r="Z968" t="str">
            <v>LINDA 5/3/18</v>
          </cell>
          <cell r="AA968"/>
          <cell r="AB968">
            <v>43164</v>
          </cell>
          <cell r="AC968">
            <v>4994</v>
          </cell>
        </row>
        <row r="969">
          <cell r="B969">
            <v>4191</v>
          </cell>
          <cell r="C969" t="str">
            <v>M-1013</v>
          </cell>
          <cell r="D969" t="str">
            <v>SLIGHT SATEEN</v>
          </cell>
          <cell r="E969"/>
          <cell r="F969" t="str">
            <v>T100%</v>
          </cell>
          <cell r="G969" t="str">
            <v xml:space="preserve">100% POLYESTER </v>
          </cell>
          <cell r="H969" t="str">
            <v>148CM</v>
          </cell>
          <cell r="I969">
            <v>92</v>
          </cell>
          <cell r="J969">
            <v>1.3</v>
          </cell>
          <cell r="K969">
            <v>1.55</v>
          </cell>
          <cell r="L969">
            <v>1.33</v>
          </cell>
          <cell r="M969">
            <v>1.58</v>
          </cell>
          <cell r="N969">
            <v>1.33</v>
          </cell>
          <cell r="O969">
            <v>1.58</v>
          </cell>
          <cell r="P969"/>
          <cell r="Q969"/>
          <cell r="R969">
            <v>1.5</v>
          </cell>
          <cell r="S969">
            <v>1.8</v>
          </cell>
          <cell r="T969"/>
          <cell r="U969"/>
          <cell r="V969">
            <v>15</v>
          </cell>
          <cell r="W969"/>
          <cell r="X969" t="str">
            <v>M-TEX</v>
          </cell>
          <cell r="Y969"/>
          <cell r="Z969" t="str">
            <v>LINDA 5/3/18</v>
          </cell>
          <cell r="AA969"/>
          <cell r="AB969">
            <v>43164</v>
          </cell>
          <cell r="AC969">
            <v>5006</v>
          </cell>
        </row>
        <row r="970">
          <cell r="B970">
            <v>4190</v>
          </cell>
          <cell r="C970" t="str">
            <v>M-C004</v>
          </cell>
          <cell r="D970" t="str">
            <v>COTTON WITH DOTS</v>
          </cell>
          <cell r="E970" t="str">
            <v>60*60+12S</v>
          </cell>
          <cell r="F970" t="str">
            <v>C100%</v>
          </cell>
          <cell r="G970" t="str">
            <v>100% COTTON</v>
          </cell>
          <cell r="H970" t="str">
            <v>55/56</v>
          </cell>
          <cell r="I970">
            <v>70</v>
          </cell>
          <cell r="J970">
            <v>1.55</v>
          </cell>
          <cell r="K970"/>
          <cell r="L970">
            <v>1.58</v>
          </cell>
          <cell r="M970"/>
          <cell r="N970">
            <v>1.58</v>
          </cell>
          <cell r="O970"/>
          <cell r="P970"/>
          <cell r="Q970"/>
          <cell r="R970">
            <v>1.7</v>
          </cell>
          <cell r="S970"/>
          <cell r="T970"/>
          <cell r="U970"/>
          <cell r="V970">
            <v>15</v>
          </cell>
          <cell r="W970"/>
          <cell r="X970" t="str">
            <v>M-TEX</v>
          </cell>
          <cell r="Y970"/>
          <cell r="Z970" t="str">
            <v>LINDA 5/3/18</v>
          </cell>
          <cell r="AA970"/>
          <cell r="AB970">
            <v>43164</v>
          </cell>
          <cell r="AC970">
            <v>4995</v>
          </cell>
        </row>
        <row r="971">
          <cell r="B971">
            <v>4189</v>
          </cell>
          <cell r="C971" t="str">
            <v>M-2015054</v>
          </cell>
          <cell r="D971" t="str">
            <v>WOOL CREPE</v>
          </cell>
          <cell r="E971"/>
          <cell r="F971" t="str">
            <v>T100%</v>
          </cell>
          <cell r="G971" t="str">
            <v xml:space="preserve">100% POLYESTER </v>
          </cell>
          <cell r="H971" t="str">
            <v>150CM</v>
          </cell>
          <cell r="I971">
            <v>150</v>
          </cell>
          <cell r="J971">
            <v>1.1499999999999999</v>
          </cell>
          <cell r="K971">
            <v>1.3</v>
          </cell>
          <cell r="L971">
            <v>1.18</v>
          </cell>
          <cell r="M971">
            <v>1.35</v>
          </cell>
          <cell r="N971">
            <v>1.18</v>
          </cell>
          <cell r="O971">
            <v>1.35</v>
          </cell>
          <cell r="P971"/>
          <cell r="Q971"/>
          <cell r="R971">
            <v>1.3</v>
          </cell>
          <cell r="S971">
            <v>1.5</v>
          </cell>
          <cell r="T971"/>
          <cell r="U971"/>
          <cell r="V971">
            <v>15</v>
          </cell>
          <cell r="W971"/>
          <cell r="X971" t="str">
            <v>M-TEX</v>
          </cell>
          <cell r="Y971"/>
          <cell r="Z971" t="str">
            <v>LINDA 5/3/18</v>
          </cell>
          <cell r="AA971"/>
          <cell r="AB971">
            <v>43164</v>
          </cell>
          <cell r="AC971">
            <v>4997</v>
          </cell>
        </row>
        <row r="972">
          <cell r="B972">
            <v>4188</v>
          </cell>
          <cell r="C972" t="str">
            <v>M-1077</v>
          </cell>
          <cell r="D972" t="str">
            <v>CRINKLE SATEEN</v>
          </cell>
          <cell r="E972"/>
          <cell r="F972" t="str">
            <v>T/S 95/5</v>
          </cell>
          <cell r="G972" t="str">
            <v>95% POLYESTER  5% SPANDEX</v>
          </cell>
          <cell r="H972" t="str">
            <v>58/59</v>
          </cell>
          <cell r="I972" t="str">
            <v>200-210</v>
          </cell>
          <cell r="J972">
            <v>1.6</v>
          </cell>
          <cell r="K972">
            <v>1.8</v>
          </cell>
          <cell r="L972">
            <v>1.63</v>
          </cell>
          <cell r="M972">
            <v>1.83</v>
          </cell>
          <cell r="N972">
            <v>1.63</v>
          </cell>
          <cell r="O972">
            <v>1.83</v>
          </cell>
          <cell r="P972"/>
          <cell r="Q972"/>
          <cell r="R972">
            <v>1.8</v>
          </cell>
          <cell r="S972">
            <v>2.2000000000000002</v>
          </cell>
          <cell r="T972"/>
          <cell r="U972"/>
          <cell r="V972">
            <v>15</v>
          </cell>
          <cell r="W972"/>
          <cell r="X972" t="str">
            <v>M-TEX</v>
          </cell>
          <cell r="Y972"/>
          <cell r="Z972" t="str">
            <v>LINDA 5/3/18</v>
          </cell>
          <cell r="AA972"/>
          <cell r="AB972">
            <v>43164</v>
          </cell>
          <cell r="AC972">
            <v>4998</v>
          </cell>
        </row>
        <row r="973">
          <cell r="B973">
            <v>3978</v>
          </cell>
          <cell r="C973" t="str">
            <v>T210</v>
          </cell>
          <cell r="D973" t="str">
            <v>POLY</v>
          </cell>
          <cell r="E973" t="str">
            <v xml:space="preserve"> (68D+50D)*(68D+50D)</v>
          </cell>
          <cell r="F973" t="str">
            <v>T100%</v>
          </cell>
          <cell r="G973" t="str">
            <v xml:space="preserve">100% POLYESTER </v>
          </cell>
          <cell r="H973" t="str">
            <v>57/58</v>
          </cell>
          <cell r="I973">
            <v>193</v>
          </cell>
          <cell r="J973">
            <v>1.87</v>
          </cell>
          <cell r="K973">
            <v>2</v>
          </cell>
          <cell r="L973">
            <v>2.89</v>
          </cell>
          <cell r="M973">
            <v>2.08</v>
          </cell>
          <cell r="N973">
            <v>1.94</v>
          </cell>
          <cell r="O973">
            <v>2.12</v>
          </cell>
          <cell r="P973"/>
          <cell r="Q973"/>
          <cell r="R973">
            <v>2.02</v>
          </cell>
          <cell r="S973">
            <v>2.61</v>
          </cell>
          <cell r="T973"/>
          <cell r="U973"/>
          <cell r="V973">
            <v>15</v>
          </cell>
          <cell r="W973"/>
          <cell r="X973" t="str">
            <v>TERESA</v>
          </cell>
          <cell r="Y973"/>
          <cell r="Z973" t="str">
            <v>TERESA 2/3/18</v>
          </cell>
          <cell r="AA973"/>
          <cell r="AB973">
            <v>43164</v>
          </cell>
          <cell r="AC973">
            <v>4999</v>
          </cell>
        </row>
        <row r="974">
          <cell r="B974">
            <v>3548</v>
          </cell>
          <cell r="C974" t="str">
            <v>TS-371</v>
          </cell>
          <cell r="D974"/>
          <cell r="E974" t="str">
            <v>100DX100D</v>
          </cell>
          <cell r="F974" t="str">
            <v>T/S 97/3</v>
          </cell>
          <cell r="G974" t="str">
            <v xml:space="preserve">97% POLYESTER  3% SPANDEX </v>
          </cell>
          <cell r="H974" t="str">
            <v>57/58</v>
          </cell>
          <cell r="I974">
            <v>130</v>
          </cell>
          <cell r="J974">
            <v>1.1399999999999999</v>
          </cell>
          <cell r="K974">
            <v>1.32</v>
          </cell>
          <cell r="L974">
            <v>1.1599999999999999</v>
          </cell>
          <cell r="M974">
            <v>1.35</v>
          </cell>
          <cell r="N974">
            <v>1.18</v>
          </cell>
          <cell r="O974">
            <v>1.38</v>
          </cell>
          <cell r="P974"/>
          <cell r="Q974"/>
          <cell r="R974">
            <v>1.33</v>
          </cell>
          <cell r="S974">
            <v>1.63</v>
          </cell>
          <cell r="T974"/>
          <cell r="U974"/>
          <cell r="V974">
            <v>15</v>
          </cell>
          <cell r="W974"/>
          <cell r="X974" t="str">
            <v>GAVIN</v>
          </cell>
          <cell r="Y974"/>
          <cell r="Z974" t="str">
            <v>GAVIN 5/3/18</v>
          </cell>
          <cell r="AA974"/>
          <cell r="AB974">
            <v>43164</v>
          </cell>
          <cell r="AC974">
            <v>5000</v>
          </cell>
        </row>
        <row r="975">
          <cell r="B975">
            <v>3393</v>
          </cell>
          <cell r="C975" t="str">
            <v>M-2015047</v>
          </cell>
          <cell r="D975" t="str">
            <v>CDC / FAILLE ( replace 261 )</v>
          </cell>
          <cell r="E975"/>
          <cell r="F975" t="str">
            <v>T100%</v>
          </cell>
          <cell r="G975" t="str">
            <v xml:space="preserve">100% POLYESTER </v>
          </cell>
          <cell r="H975" t="str">
            <v>148CM</v>
          </cell>
          <cell r="I975">
            <v>80</v>
          </cell>
          <cell r="J975">
            <v>0.9</v>
          </cell>
          <cell r="K975">
            <v>1.1499999999999999</v>
          </cell>
          <cell r="L975">
            <v>0.93</v>
          </cell>
          <cell r="M975">
            <v>1.18</v>
          </cell>
          <cell r="N975">
            <v>0.93</v>
          </cell>
          <cell r="O975">
            <v>1.18</v>
          </cell>
          <cell r="P975"/>
          <cell r="Q975"/>
          <cell r="R975">
            <v>1.1000000000000001</v>
          </cell>
          <cell r="S975">
            <v>1.4</v>
          </cell>
          <cell r="T975"/>
          <cell r="U975"/>
          <cell r="V975">
            <v>15</v>
          </cell>
          <cell r="W975"/>
          <cell r="X975" t="str">
            <v>M-TEX</v>
          </cell>
          <cell r="Y975"/>
          <cell r="Z975" t="str">
            <v>LINDA 5/3/18</v>
          </cell>
          <cell r="AA975"/>
          <cell r="AB975">
            <v>43164</v>
          </cell>
          <cell r="AC975">
            <v>5005</v>
          </cell>
        </row>
        <row r="976">
          <cell r="B976">
            <v>2977</v>
          </cell>
          <cell r="C976" t="str">
            <v>TS-158</v>
          </cell>
          <cell r="D976" t="str">
            <v>ITY</v>
          </cell>
          <cell r="E976" t="str">
            <v xml:space="preserve">ITY </v>
          </cell>
          <cell r="F976" t="str">
            <v>T/S 97/3</v>
          </cell>
          <cell r="G976" t="str">
            <v>96% POLYESTER  4%SPANDEX</v>
          </cell>
          <cell r="H976" t="str">
            <v>58/59</v>
          </cell>
          <cell r="I976">
            <v>225</v>
          </cell>
          <cell r="J976">
            <v>2.21</v>
          </cell>
          <cell r="K976">
            <v>2.39</v>
          </cell>
          <cell r="L976">
            <v>2.23</v>
          </cell>
          <cell r="M976">
            <v>2.42</v>
          </cell>
          <cell r="N976">
            <v>2.25</v>
          </cell>
          <cell r="O976">
            <v>2.4500000000000002</v>
          </cell>
          <cell r="P976"/>
          <cell r="Q976"/>
          <cell r="R976">
            <v>2.4</v>
          </cell>
          <cell r="S976">
            <v>2.7</v>
          </cell>
          <cell r="T976"/>
          <cell r="U976"/>
          <cell r="V976">
            <v>15</v>
          </cell>
          <cell r="W976"/>
          <cell r="X976" t="str">
            <v>GAVIN</v>
          </cell>
          <cell r="Y976"/>
          <cell r="Z976" t="str">
            <v>GAVIN 5/3/18</v>
          </cell>
          <cell r="AA976"/>
          <cell r="AB976">
            <v>43164</v>
          </cell>
          <cell r="AC976">
            <v>5001</v>
          </cell>
        </row>
        <row r="977">
          <cell r="B977">
            <v>2589</v>
          </cell>
          <cell r="C977" t="str">
            <v>TS-309</v>
          </cell>
          <cell r="D977"/>
          <cell r="E977"/>
          <cell r="F977" t="str">
            <v>T100%</v>
          </cell>
          <cell r="G977" t="str">
            <v>100% POLYESTER</v>
          </cell>
          <cell r="H977" t="str">
            <v>57/58</v>
          </cell>
          <cell r="I977">
            <v>120</v>
          </cell>
          <cell r="J977">
            <v>1.56</v>
          </cell>
          <cell r="K977">
            <v>1.74</v>
          </cell>
          <cell r="L977">
            <v>1.58</v>
          </cell>
          <cell r="M977">
            <v>1.77</v>
          </cell>
          <cell r="N977">
            <v>1.6</v>
          </cell>
          <cell r="O977">
            <v>1.8</v>
          </cell>
          <cell r="P977"/>
          <cell r="Q977"/>
          <cell r="R977">
            <v>1.75</v>
          </cell>
          <cell r="S977">
            <v>2.0499999999999998</v>
          </cell>
          <cell r="T977"/>
          <cell r="U977"/>
          <cell r="V977">
            <v>15</v>
          </cell>
          <cell r="W977"/>
          <cell r="X977" t="str">
            <v>GAVIN</v>
          </cell>
          <cell r="Y977"/>
          <cell r="Z977" t="str">
            <v>GAVIN 5/3/18</v>
          </cell>
          <cell r="AA977"/>
          <cell r="AB977">
            <v>43164</v>
          </cell>
          <cell r="AC977">
            <v>5004</v>
          </cell>
        </row>
        <row r="978">
          <cell r="B978">
            <v>2459</v>
          </cell>
          <cell r="C978" t="str">
            <v>BG3557</v>
          </cell>
          <cell r="D978"/>
          <cell r="E978"/>
          <cell r="F978" t="str">
            <v>T/S 97/3</v>
          </cell>
          <cell r="G978" t="str">
            <v xml:space="preserve">97% POLYESTER  3% SPANDEX </v>
          </cell>
          <cell r="H978" t="str">
            <v>57/58</v>
          </cell>
          <cell r="I978">
            <v>87</v>
          </cell>
          <cell r="J978">
            <v>1.43</v>
          </cell>
          <cell r="K978">
            <v>1.8</v>
          </cell>
          <cell r="L978">
            <v>1.45</v>
          </cell>
          <cell r="M978">
            <v>1.85</v>
          </cell>
          <cell r="N978">
            <v>1.47</v>
          </cell>
          <cell r="O978">
            <v>1.9</v>
          </cell>
          <cell r="P978"/>
          <cell r="Q978"/>
          <cell r="R978">
            <v>1.7</v>
          </cell>
          <cell r="S978">
            <v>2.2000000000000002</v>
          </cell>
          <cell r="T978"/>
          <cell r="U978"/>
          <cell r="V978">
            <v>15</v>
          </cell>
          <cell r="W978"/>
          <cell r="X978" t="str">
            <v>EDWIN</v>
          </cell>
          <cell r="Y978"/>
          <cell r="Z978" t="str">
            <v>EDWIN 5/3/18</v>
          </cell>
          <cell r="AA978"/>
          <cell r="AB978">
            <v>43164</v>
          </cell>
          <cell r="AC978">
            <v>5002</v>
          </cell>
        </row>
        <row r="979">
          <cell r="B979">
            <v>1580</v>
          </cell>
          <cell r="C979" t="str">
            <v>TS-190</v>
          </cell>
          <cell r="D979"/>
          <cell r="E979" t="str">
            <v>30'Sx24's</v>
          </cell>
          <cell r="F979" t="str">
            <v>R100%</v>
          </cell>
          <cell r="G979" t="str">
            <v xml:space="preserve">100% RAYON </v>
          </cell>
          <cell r="H979" t="str">
            <v>54/55</v>
          </cell>
          <cell r="I979">
            <v>135</v>
          </cell>
          <cell r="J979">
            <v>1.31</v>
          </cell>
          <cell r="K979">
            <v>1.42</v>
          </cell>
          <cell r="L979">
            <v>1.33</v>
          </cell>
          <cell r="M979">
            <v>1.45</v>
          </cell>
          <cell r="N979">
            <v>1.35</v>
          </cell>
          <cell r="O979">
            <v>1.48</v>
          </cell>
          <cell r="P979"/>
          <cell r="Q979"/>
          <cell r="R979">
            <v>1.5</v>
          </cell>
          <cell r="S979">
            <v>1.73</v>
          </cell>
          <cell r="T979"/>
          <cell r="U979"/>
          <cell r="V979">
            <v>15</v>
          </cell>
          <cell r="W979"/>
          <cell r="X979" t="str">
            <v>GAVIN</v>
          </cell>
          <cell r="Y979"/>
          <cell r="Z979" t="str">
            <v>GAVIN 5/3/18</v>
          </cell>
          <cell r="AA979"/>
          <cell r="AB979">
            <v>43164</v>
          </cell>
          <cell r="AC979">
            <v>5003</v>
          </cell>
        </row>
        <row r="980">
          <cell r="B980">
            <v>2214</v>
          </cell>
          <cell r="C980" t="str">
            <v>GLLXF052605</v>
          </cell>
          <cell r="D980" t="str">
            <v>SATEEN</v>
          </cell>
          <cell r="E980"/>
          <cell r="F980" t="str">
            <v>T/S 98/2</v>
          </cell>
          <cell r="G980" t="str">
            <v>98% POLYESTER 2%SPANDEX</v>
          </cell>
          <cell r="H980" t="str">
            <v>58/59</v>
          </cell>
          <cell r="I980" t="str">
            <v>90-95</v>
          </cell>
          <cell r="J980">
            <v>1.53</v>
          </cell>
          <cell r="K980"/>
          <cell r="L980">
            <v>1.55</v>
          </cell>
          <cell r="M980"/>
          <cell r="N980">
            <v>1.6</v>
          </cell>
          <cell r="O980"/>
          <cell r="P980"/>
          <cell r="Q980"/>
          <cell r="R980">
            <v>1.65</v>
          </cell>
          <cell r="S980"/>
          <cell r="T980"/>
          <cell r="U980"/>
          <cell r="V980"/>
          <cell r="W980"/>
          <cell r="X980" t="str">
            <v>HOWARD</v>
          </cell>
          <cell r="Y980"/>
          <cell r="Z980" t="str">
            <v>HOWARD 3/3/18</v>
          </cell>
          <cell r="AA980"/>
          <cell r="AB980">
            <v>43162</v>
          </cell>
          <cell r="AC980">
            <v>5008</v>
          </cell>
        </row>
        <row r="981">
          <cell r="B981">
            <v>2201</v>
          </cell>
          <cell r="C981" t="str">
            <v>HLT1491</v>
          </cell>
          <cell r="D981"/>
          <cell r="E981"/>
          <cell r="F981" t="str">
            <v>T/S 99/1</v>
          </cell>
          <cell r="G981" t="str">
            <v>99% POLYESTER 1 % SPANDEX</v>
          </cell>
          <cell r="H981" t="str">
            <v>57/58</v>
          </cell>
          <cell r="I981">
            <v>73</v>
          </cell>
          <cell r="J981">
            <v>1.9591549295774648</v>
          </cell>
          <cell r="K981">
            <v>2.1</v>
          </cell>
          <cell r="L981">
            <v>2.0091549295774649</v>
          </cell>
          <cell r="M981">
            <v>2.2000000000000002</v>
          </cell>
          <cell r="N981">
            <v>2.109154929577465</v>
          </cell>
          <cell r="O981">
            <v>2.3000000000000003</v>
          </cell>
          <cell r="P981"/>
          <cell r="Q981"/>
          <cell r="R981">
            <v>3.109154929577465</v>
          </cell>
          <cell r="S981">
            <v>3.3000000000000003</v>
          </cell>
          <cell r="T981"/>
          <cell r="U981"/>
          <cell r="V981">
            <v>15</v>
          </cell>
          <cell r="W981" t="str">
            <v>MOQ is more than 2000m</v>
          </cell>
          <cell r="X981" t="str">
            <v>CANDY</v>
          </cell>
          <cell r="Y981"/>
          <cell r="Z981" t="str">
            <v>CANDY 3/3/18</v>
          </cell>
          <cell r="AA981"/>
          <cell r="AB981">
            <v>43162</v>
          </cell>
          <cell r="AC981">
            <v>5007</v>
          </cell>
        </row>
        <row r="982">
          <cell r="B982">
            <v>4194</v>
          </cell>
          <cell r="C982" t="str">
            <v>OLP-175911RBE</v>
          </cell>
          <cell r="D982" t="str">
            <v>FAILLE</v>
          </cell>
          <cell r="E982"/>
          <cell r="F982" t="str">
            <v>T/S</v>
          </cell>
          <cell r="G982" t="str">
            <v>POLYESTER SPANDEX</v>
          </cell>
          <cell r="H982" t="str">
            <v>57/58</v>
          </cell>
          <cell r="I982">
            <v>115</v>
          </cell>
          <cell r="J982">
            <v>1.34</v>
          </cell>
          <cell r="K982">
            <v>1.72</v>
          </cell>
          <cell r="L982">
            <v>1.4</v>
          </cell>
          <cell r="M982">
            <v>1.76</v>
          </cell>
          <cell r="N982">
            <v>1.51</v>
          </cell>
          <cell r="O982">
            <v>1.94</v>
          </cell>
          <cell r="P982"/>
          <cell r="Q982"/>
          <cell r="R982">
            <v>1.67</v>
          </cell>
          <cell r="S982">
            <v>2.37</v>
          </cell>
          <cell r="T982"/>
          <cell r="U982"/>
          <cell r="V982">
            <v>15</v>
          </cell>
          <cell r="W982"/>
          <cell r="X982" t="str">
            <v>OWEN</v>
          </cell>
          <cell r="Y982"/>
          <cell r="Z982" t="str">
            <v>JOAN  2/3/18</v>
          </cell>
          <cell r="AA982"/>
          <cell r="AB982">
            <v>43161</v>
          </cell>
          <cell r="AC982">
            <v>5009</v>
          </cell>
        </row>
        <row r="983">
          <cell r="B983">
            <v>3724</v>
          </cell>
          <cell r="C983" t="str">
            <v>ST-W7119</v>
          </cell>
          <cell r="D983" t="str">
            <v>SATEEN CRINKLE</v>
          </cell>
          <cell r="E983"/>
          <cell r="F983" t="str">
            <v>T/S 97/3</v>
          </cell>
          <cell r="G983" t="str">
            <v>97% POLYESTER  3% SPANDEX</v>
          </cell>
          <cell r="H983" t="str">
            <v>57/58</v>
          </cell>
          <cell r="I983">
            <v>150</v>
          </cell>
          <cell r="J983">
            <v>1.65</v>
          </cell>
          <cell r="K983">
            <v>1.9</v>
          </cell>
          <cell r="L983">
            <v>1.68</v>
          </cell>
          <cell r="M983">
            <v>1.93</v>
          </cell>
          <cell r="N983">
            <v>1.7</v>
          </cell>
          <cell r="O983">
            <v>1.94</v>
          </cell>
          <cell r="P983"/>
          <cell r="Q983"/>
          <cell r="R983">
            <v>1.8</v>
          </cell>
          <cell r="S983">
            <v>2.0299999999999998</v>
          </cell>
          <cell r="T983"/>
          <cell r="U983"/>
          <cell r="V983">
            <v>15</v>
          </cell>
          <cell r="W983"/>
          <cell r="X983" t="str">
            <v>SIGER</v>
          </cell>
          <cell r="Y983"/>
          <cell r="Z983" t="str">
            <v>CARA 5/3/18</v>
          </cell>
          <cell r="AA983"/>
          <cell r="AB983">
            <v>43161</v>
          </cell>
          <cell r="AC983">
            <v>5010</v>
          </cell>
        </row>
        <row r="984">
          <cell r="B984">
            <v>2140</v>
          </cell>
          <cell r="C984" t="str">
            <v>BG-3440</v>
          </cell>
          <cell r="D984" t="str">
            <v>POLY JACQUARD</v>
          </cell>
          <cell r="E984"/>
          <cell r="F984" t="str">
            <v>T100%</v>
          </cell>
          <cell r="G984" t="str">
            <v>100% POLYESTER</v>
          </cell>
          <cell r="H984" t="str">
            <v>57/58</v>
          </cell>
          <cell r="I984">
            <v>125</v>
          </cell>
          <cell r="J984">
            <v>1.75</v>
          </cell>
          <cell r="K984">
            <v>2.1</v>
          </cell>
          <cell r="L984">
            <v>1.78</v>
          </cell>
          <cell r="M984">
            <v>2.15</v>
          </cell>
          <cell r="N984">
            <v>1.8</v>
          </cell>
          <cell r="O984">
            <v>2.2000000000000002</v>
          </cell>
          <cell r="P984"/>
          <cell r="Q984"/>
          <cell r="R984">
            <v>2</v>
          </cell>
          <cell r="S984">
            <v>2.7</v>
          </cell>
          <cell r="T984"/>
          <cell r="U984"/>
          <cell r="V984">
            <v>15</v>
          </cell>
          <cell r="W984"/>
          <cell r="X984" t="str">
            <v>EDWIN</v>
          </cell>
          <cell r="Y984"/>
          <cell r="Z984" t="str">
            <v>EDWIN 2/3/18</v>
          </cell>
          <cell r="AA984"/>
          <cell r="AB984">
            <v>43161</v>
          </cell>
          <cell r="AC984">
            <v>5011</v>
          </cell>
        </row>
        <row r="985">
          <cell r="B985">
            <v>4108</v>
          </cell>
          <cell r="C985" t="str">
            <v>HLP18036</v>
          </cell>
          <cell r="D985" t="str">
            <v>POLY SILK WITH AIR FLOW EFFECT</v>
          </cell>
          <cell r="E985" t="str">
            <v>75D*75D</v>
          </cell>
          <cell r="F985" t="str">
            <v>T100%</v>
          </cell>
          <cell r="G985" t="str">
            <v>100%POLYESTER</v>
          </cell>
          <cell r="H985" t="str">
            <v>146CM</v>
          </cell>
          <cell r="I985">
            <v>115</v>
          </cell>
          <cell r="J985">
            <v>1.8591549295774648</v>
          </cell>
          <cell r="K985">
            <v>2.1140845070422536</v>
          </cell>
          <cell r="L985">
            <v>1.9091549295774648</v>
          </cell>
          <cell r="M985">
            <v>2.2140845070422537</v>
          </cell>
          <cell r="N985">
            <v>2.0091549295774649</v>
          </cell>
          <cell r="O985">
            <v>2.3140845070422538</v>
          </cell>
          <cell r="P985"/>
          <cell r="Q985"/>
          <cell r="R985">
            <v>2.1591549295774648</v>
          </cell>
          <cell r="S985">
            <v>2.5140845070422539</v>
          </cell>
          <cell r="T985"/>
          <cell r="U985"/>
          <cell r="V985">
            <v>15</v>
          </cell>
          <cell r="W985"/>
          <cell r="X985" t="str">
            <v>CANDY</v>
          </cell>
          <cell r="Y985"/>
          <cell r="Z985" t="str">
            <v>CANDY 1/3/18</v>
          </cell>
          <cell r="AA985"/>
          <cell r="AB985">
            <v>43160</v>
          </cell>
          <cell r="AC985">
            <v>5013</v>
          </cell>
        </row>
        <row r="986">
          <cell r="B986">
            <v>4064</v>
          </cell>
          <cell r="C986" t="str">
            <v>HLP17210</v>
          </cell>
          <cell r="D986" t="str">
            <v>POLY SILK</v>
          </cell>
          <cell r="E986" t="str">
            <v>75D*75D</v>
          </cell>
          <cell r="F986" t="str">
            <v>T100%</v>
          </cell>
          <cell r="G986" t="str">
            <v>100%POLYESTER</v>
          </cell>
          <cell r="H986" t="str">
            <v>146CM</v>
          </cell>
          <cell r="I986">
            <v>115</v>
          </cell>
          <cell r="J986">
            <v>1.8042253521126763</v>
          </cell>
          <cell r="K986">
            <v>1.971830985915493</v>
          </cell>
          <cell r="L986">
            <v>1.8542253521126764</v>
          </cell>
          <cell r="M986">
            <v>2.0718309859154931</v>
          </cell>
          <cell r="N986">
            <v>1.9542253521126765</v>
          </cell>
          <cell r="O986">
            <v>2.1718309859154932</v>
          </cell>
          <cell r="P986"/>
          <cell r="Q986"/>
          <cell r="R986">
            <v>2.1042253521126764</v>
          </cell>
          <cell r="S986">
            <v>2.3718309859154934</v>
          </cell>
          <cell r="T986"/>
          <cell r="U986"/>
          <cell r="V986">
            <v>15</v>
          </cell>
          <cell r="W986"/>
          <cell r="X986" t="str">
            <v>CANDY</v>
          </cell>
          <cell r="Y986"/>
          <cell r="Z986" t="str">
            <v>CANDY 1/3/18</v>
          </cell>
          <cell r="AA986"/>
          <cell r="AB986">
            <v>43160</v>
          </cell>
          <cell r="AC986">
            <v>5014</v>
          </cell>
        </row>
        <row r="987">
          <cell r="B987">
            <v>3376</v>
          </cell>
          <cell r="C987" t="str">
            <v>BG3008</v>
          </cell>
          <cell r="D987" t="str">
            <v>POLY FOR LINING</v>
          </cell>
          <cell r="E987"/>
          <cell r="F987" t="str">
            <v>T100%</v>
          </cell>
          <cell r="G987" t="str">
            <v xml:space="preserve">100% POLYESTER </v>
          </cell>
          <cell r="H987" t="str">
            <v>57/58</v>
          </cell>
          <cell r="I987">
            <v>75</v>
          </cell>
          <cell r="J987">
            <v>1.35</v>
          </cell>
          <cell r="K987">
            <v>1.75</v>
          </cell>
          <cell r="L987">
            <v>1.38</v>
          </cell>
          <cell r="M987">
            <v>1.8</v>
          </cell>
          <cell r="N987">
            <v>1.4</v>
          </cell>
          <cell r="O987">
            <v>1.85</v>
          </cell>
          <cell r="P987"/>
          <cell r="Q987"/>
          <cell r="R987">
            <v>1.6</v>
          </cell>
          <cell r="S987">
            <v>2.25</v>
          </cell>
          <cell r="T987"/>
          <cell r="U987"/>
          <cell r="V987">
            <v>15</v>
          </cell>
          <cell r="W987"/>
          <cell r="X987" t="str">
            <v>EDWIN</v>
          </cell>
          <cell r="Y987"/>
          <cell r="Z987" t="str">
            <v>EDWIN 1/3/18</v>
          </cell>
          <cell r="AA987"/>
          <cell r="AB987">
            <v>43160</v>
          </cell>
          <cell r="AC987">
            <v>5015</v>
          </cell>
        </row>
        <row r="988">
          <cell r="B988">
            <v>3209</v>
          </cell>
          <cell r="C988" t="str">
            <v>OLP-164XS</v>
          </cell>
          <cell r="D988" t="str">
            <v>FOIL</v>
          </cell>
          <cell r="E988"/>
          <cell r="F988" t="str">
            <v>T 100%</v>
          </cell>
          <cell r="G988" t="str">
            <v>100% POLYESTER FOIL</v>
          </cell>
          <cell r="H988" t="str">
            <v>57/58</v>
          </cell>
          <cell r="I988">
            <v>95</v>
          </cell>
          <cell r="J988">
            <v>2.42</v>
          </cell>
          <cell r="K988"/>
          <cell r="L988">
            <v>2.5</v>
          </cell>
          <cell r="M988"/>
          <cell r="N988">
            <v>2.6</v>
          </cell>
          <cell r="O988"/>
          <cell r="P988"/>
          <cell r="Q988"/>
          <cell r="R988"/>
          <cell r="S988"/>
          <cell r="T988"/>
          <cell r="U988"/>
          <cell r="V988"/>
          <cell r="W988" t="str">
            <v>don't have ready greige,lead time is longer and MOQ is 3000m</v>
          </cell>
          <cell r="X988" t="str">
            <v>OWEN</v>
          </cell>
          <cell r="Y988"/>
          <cell r="Z988" t="str">
            <v>JOAN 1/3/18</v>
          </cell>
          <cell r="AA988"/>
          <cell r="AB988">
            <v>43160</v>
          </cell>
          <cell r="AC988">
            <v>5012</v>
          </cell>
        </row>
        <row r="989">
          <cell r="B989">
            <v>3074</v>
          </cell>
          <cell r="C989" t="str">
            <v>OLP-1742023RBE</v>
          </cell>
          <cell r="D989"/>
          <cell r="E989"/>
          <cell r="F989" t="str">
            <v>T 100%</v>
          </cell>
          <cell r="G989" t="str">
            <v xml:space="preserve">100% POLYESTER  </v>
          </cell>
          <cell r="H989" t="str">
            <v>57/58</v>
          </cell>
          <cell r="I989">
            <v>105</v>
          </cell>
          <cell r="J989">
            <v>1.51</v>
          </cell>
          <cell r="K989">
            <v>1.81</v>
          </cell>
          <cell r="L989">
            <v>1.59</v>
          </cell>
          <cell r="M989">
            <v>1.88</v>
          </cell>
          <cell r="N989">
            <v>1.75</v>
          </cell>
          <cell r="O989">
            <v>2.1</v>
          </cell>
          <cell r="P989"/>
          <cell r="Q989"/>
          <cell r="R989">
            <v>1.92</v>
          </cell>
          <cell r="S989">
            <v>2.5299999999999998</v>
          </cell>
          <cell r="T989"/>
          <cell r="U989"/>
          <cell r="V989">
            <v>15</v>
          </cell>
          <cell r="W989"/>
          <cell r="X989" t="str">
            <v>OWEN</v>
          </cell>
          <cell r="Y989"/>
          <cell r="Z989" t="str">
            <v>JOAN 1/3/18</v>
          </cell>
          <cell r="AA989"/>
          <cell r="AB989">
            <v>43160</v>
          </cell>
          <cell r="AC989">
            <v>5016</v>
          </cell>
        </row>
        <row r="990">
          <cell r="B990">
            <v>3030</v>
          </cell>
          <cell r="C990" t="str">
            <v>OLP-1731121XS</v>
          </cell>
          <cell r="D990" t="str">
            <v>CRINKLE - REPLACE 993</v>
          </cell>
          <cell r="E990"/>
          <cell r="F990" t="str">
            <v>T100%</v>
          </cell>
          <cell r="G990" t="str">
            <v xml:space="preserve">100% POLYESTER </v>
          </cell>
          <cell r="H990" t="str">
            <v>57/58</v>
          </cell>
          <cell r="I990">
            <v>70</v>
          </cell>
          <cell r="J990">
            <v>1.18</v>
          </cell>
          <cell r="K990">
            <v>1.31</v>
          </cell>
          <cell r="L990">
            <v>1.24</v>
          </cell>
          <cell r="M990">
            <v>1.37</v>
          </cell>
          <cell r="N990">
            <v>1.29</v>
          </cell>
          <cell r="O990">
            <v>1.56</v>
          </cell>
          <cell r="P990"/>
          <cell r="Q990"/>
          <cell r="R990">
            <v>1.45</v>
          </cell>
          <cell r="S990">
            <v>2.31</v>
          </cell>
          <cell r="T990"/>
          <cell r="U990"/>
          <cell r="V990" t="str">
            <v>Y</v>
          </cell>
          <cell r="W990"/>
          <cell r="X990" t="str">
            <v>OWEN</v>
          </cell>
          <cell r="Y990"/>
          <cell r="Z990" t="str">
            <v>JOAN 1/3/18</v>
          </cell>
          <cell r="AA990"/>
          <cell r="AB990">
            <v>43160</v>
          </cell>
          <cell r="AC990">
            <v>5017</v>
          </cell>
        </row>
        <row r="991">
          <cell r="B991">
            <v>4187</v>
          </cell>
          <cell r="C991" t="str">
            <v>HLP18049</v>
          </cell>
          <cell r="D991" t="str">
            <v>CRINKLE POLY WITH DOTS</v>
          </cell>
          <cell r="E991" t="str">
            <v>(75D+150D)*75D</v>
          </cell>
          <cell r="F991" t="str">
            <v>T100%</v>
          </cell>
          <cell r="G991" t="str">
            <v xml:space="preserve">100% POLYESTER </v>
          </cell>
          <cell r="H991" t="str">
            <v>148CM</v>
          </cell>
          <cell r="I991">
            <v>122</v>
          </cell>
          <cell r="J991">
            <v>2.1093896713614999</v>
          </cell>
          <cell r="K991">
            <v>2.2361502347417801</v>
          </cell>
          <cell r="L991">
            <v>2.1093896713614999</v>
          </cell>
          <cell r="M991">
            <v>2.3361502347417802</v>
          </cell>
          <cell r="N991">
            <v>2.2093896713615</v>
          </cell>
          <cell r="O991">
            <v>2.4361502347417798</v>
          </cell>
          <cell r="P991"/>
          <cell r="Q991"/>
          <cell r="R991">
            <v>2.5093896713614998</v>
          </cell>
          <cell r="S991">
            <v>2.63615023474178</v>
          </cell>
          <cell r="T991"/>
          <cell r="U991"/>
          <cell r="V991">
            <v>15</v>
          </cell>
          <cell r="W991"/>
          <cell r="X991" t="str">
            <v>CANDY</v>
          </cell>
          <cell r="Y991"/>
          <cell r="Z991" t="str">
            <v>LEI WANG ' MAIL 27/2/18</v>
          </cell>
          <cell r="AA991"/>
          <cell r="AB991">
            <v>43158</v>
          </cell>
          <cell r="AC991">
            <v>5019</v>
          </cell>
        </row>
        <row r="992">
          <cell r="B992">
            <v>4186</v>
          </cell>
          <cell r="C992" t="str">
            <v>HLP18046</v>
          </cell>
          <cell r="D992" t="str">
            <v>JAC CHIFFON</v>
          </cell>
          <cell r="E992" t="str">
            <v>(75D+75D)*75D</v>
          </cell>
          <cell r="F992" t="str">
            <v>T100%</v>
          </cell>
          <cell r="G992" t="str">
            <v xml:space="preserve">100% POLYESTER </v>
          </cell>
          <cell r="H992" t="str">
            <v>150CM</v>
          </cell>
          <cell r="I992">
            <v>88</v>
          </cell>
          <cell r="J992">
            <v>1.71971830985916</v>
          </cell>
          <cell r="K992">
            <v>1.8605633802816901</v>
          </cell>
          <cell r="L992">
            <v>1.71971830985916</v>
          </cell>
          <cell r="M992">
            <v>1.96056338028169</v>
          </cell>
          <cell r="N992">
            <v>1.8197183098591601</v>
          </cell>
          <cell r="O992">
            <v>2.0605633802816898</v>
          </cell>
          <cell r="P992"/>
          <cell r="Q992"/>
          <cell r="R992">
            <v>2.1197183098591501</v>
          </cell>
          <cell r="S992">
            <v>2.26056338028169</v>
          </cell>
          <cell r="T992"/>
          <cell r="U992"/>
          <cell r="V992">
            <v>15</v>
          </cell>
          <cell r="W992"/>
          <cell r="X992" t="str">
            <v>CANDY</v>
          </cell>
          <cell r="Y992"/>
          <cell r="Z992" t="str">
            <v>LEI WANG ' MAIL 27/2/18</v>
          </cell>
          <cell r="AA992"/>
          <cell r="AB992">
            <v>43158</v>
          </cell>
          <cell r="AC992">
            <v>5020</v>
          </cell>
        </row>
        <row r="993">
          <cell r="B993">
            <v>4185</v>
          </cell>
          <cell r="C993" t="str">
            <v>HLP18047</v>
          </cell>
          <cell r="D993" t="str">
            <v>JAC CHIFFON</v>
          </cell>
          <cell r="E993" t="str">
            <v>(75D+75D+150D)*(75D+75D)</v>
          </cell>
          <cell r="F993" t="str">
            <v>T100%</v>
          </cell>
          <cell r="G993" t="str">
            <v xml:space="preserve">100% POLYESTER </v>
          </cell>
          <cell r="H993" t="str">
            <v>148CM</v>
          </cell>
          <cell r="I993">
            <v>72</v>
          </cell>
          <cell r="J993">
            <v>1.7056338028169</v>
          </cell>
          <cell r="K993">
            <v>1.8605633802816901</v>
          </cell>
          <cell r="L993">
            <v>1.7056338028169</v>
          </cell>
          <cell r="M993">
            <v>1.96056338028169</v>
          </cell>
          <cell r="N993">
            <v>1.8056338028168999</v>
          </cell>
          <cell r="O993">
            <v>2.0605633802816898</v>
          </cell>
          <cell r="P993"/>
          <cell r="Q993"/>
          <cell r="R993">
            <v>2.1056338028169002</v>
          </cell>
          <cell r="S993">
            <v>2.26056338028169</v>
          </cell>
          <cell r="T993"/>
          <cell r="U993"/>
          <cell r="V993">
            <v>15</v>
          </cell>
          <cell r="W993"/>
          <cell r="X993" t="str">
            <v>CANDY</v>
          </cell>
          <cell r="Y993"/>
          <cell r="Z993" t="str">
            <v>LEI WANG ' MAIL 27/2/18</v>
          </cell>
          <cell r="AA993"/>
          <cell r="AB993">
            <v>43158</v>
          </cell>
          <cell r="AC993">
            <v>5021</v>
          </cell>
        </row>
        <row r="994">
          <cell r="B994">
            <v>4184</v>
          </cell>
          <cell r="C994" t="str">
            <v>HLP18045</v>
          </cell>
          <cell r="D994" t="str">
            <v xml:space="preserve">      JAC POLY                                                                                                                                                                                                                                                                                                                                                                                                                                                                                                                                      </v>
          </cell>
          <cell r="E994" t="str">
            <v>(75D+75D+150D)*(75D+75D)</v>
          </cell>
          <cell r="F994" t="str">
            <v>T100%</v>
          </cell>
          <cell r="G994" t="str">
            <v xml:space="preserve">100% POLYESTER </v>
          </cell>
          <cell r="H994" t="str">
            <v>150CM</v>
          </cell>
          <cell r="I994">
            <v>110</v>
          </cell>
          <cell r="J994">
            <v>2.39107981220657</v>
          </cell>
          <cell r="K994">
            <v>2.5178403755868501</v>
          </cell>
          <cell r="L994">
            <v>2.39107981220657</v>
          </cell>
          <cell r="M994">
            <v>2.6178403755868498</v>
          </cell>
          <cell r="N994">
            <v>2.49107981220657</v>
          </cell>
          <cell r="O994">
            <v>2.7178403755868499</v>
          </cell>
          <cell r="P994"/>
          <cell r="Q994"/>
          <cell r="R994">
            <v>2.7910798122065699</v>
          </cell>
          <cell r="S994">
            <v>0</v>
          </cell>
          <cell r="T994"/>
          <cell r="U994"/>
          <cell r="V994">
            <v>15</v>
          </cell>
          <cell r="W994"/>
          <cell r="X994" t="str">
            <v>CANDY</v>
          </cell>
          <cell r="Y994"/>
          <cell r="Z994" t="str">
            <v>LEI WANG ' MAIL 27/2/18</v>
          </cell>
          <cell r="AA994"/>
          <cell r="AB994">
            <v>43158</v>
          </cell>
          <cell r="AC994">
            <v>5022</v>
          </cell>
        </row>
        <row r="995">
          <cell r="B995">
            <v>4183</v>
          </cell>
          <cell r="C995" t="str">
            <v>HLP18048</v>
          </cell>
          <cell r="D995" t="str">
            <v>JAC CHIFFON</v>
          </cell>
          <cell r="E995" t="str">
            <v>(75D+75D+150D)*(75D+75D)</v>
          </cell>
          <cell r="F995" t="str">
            <v>T100%</v>
          </cell>
          <cell r="G995" t="str">
            <v xml:space="preserve">100% POLYESTER </v>
          </cell>
          <cell r="H995" t="str">
            <v>148CM</v>
          </cell>
          <cell r="I995">
            <v>83</v>
          </cell>
          <cell r="J995">
            <v>2.09530516431925</v>
          </cell>
          <cell r="K995">
            <v>2.2361502347417801</v>
          </cell>
          <cell r="L995">
            <v>2.09530516431925</v>
          </cell>
          <cell r="M995">
            <v>2.3361502347417802</v>
          </cell>
          <cell r="N995">
            <v>2.19530516431925</v>
          </cell>
          <cell r="O995">
            <v>2.4361502347417798</v>
          </cell>
          <cell r="P995"/>
          <cell r="Q995"/>
          <cell r="R995">
            <v>2.4953051643192499</v>
          </cell>
          <cell r="S995">
            <v>2.63615023474178</v>
          </cell>
          <cell r="T995"/>
          <cell r="U995"/>
          <cell r="V995">
            <v>15</v>
          </cell>
          <cell r="W995"/>
          <cell r="X995" t="str">
            <v>CANDY</v>
          </cell>
          <cell r="Y995"/>
          <cell r="Z995" t="str">
            <v>LEI WANG ' MAIL 27/2/18</v>
          </cell>
          <cell r="AA995"/>
          <cell r="AB995">
            <v>43158</v>
          </cell>
          <cell r="AC995">
            <v>5023</v>
          </cell>
        </row>
        <row r="996">
          <cell r="B996">
            <v>3592</v>
          </cell>
          <cell r="C996" t="str">
            <v>T024</v>
          </cell>
          <cell r="D996" t="str">
            <v>BUBBLE CREPE</v>
          </cell>
          <cell r="E996" t="str">
            <v>75D+40D*75D+40D</v>
          </cell>
          <cell r="F996" t="str">
            <v>T/S 95/5</v>
          </cell>
          <cell r="G996" t="str">
            <v>95% POLYESTER  5% SPANDEX</v>
          </cell>
          <cell r="H996" t="str">
            <v>57/58</v>
          </cell>
          <cell r="I996">
            <v>130</v>
          </cell>
          <cell r="J996">
            <v>1.32</v>
          </cell>
          <cell r="K996">
            <v>1.45</v>
          </cell>
          <cell r="L996">
            <v>1.34</v>
          </cell>
          <cell r="M996">
            <v>1.53</v>
          </cell>
          <cell r="N996">
            <v>1.39</v>
          </cell>
          <cell r="O996">
            <v>1.57</v>
          </cell>
          <cell r="P996"/>
          <cell r="Q996"/>
          <cell r="R996">
            <v>1.47</v>
          </cell>
          <cell r="S996">
            <v>2.06</v>
          </cell>
          <cell r="T996"/>
          <cell r="U996"/>
          <cell r="V996">
            <v>15</v>
          </cell>
          <cell r="W996"/>
          <cell r="X996" t="str">
            <v>TERESA</v>
          </cell>
          <cell r="Y996"/>
          <cell r="Z996" t="str">
            <v>TERESA MAIL 6/2/18</v>
          </cell>
          <cell r="AA996"/>
          <cell r="AB996">
            <v>43137</v>
          </cell>
          <cell r="AC996">
            <v>5024</v>
          </cell>
        </row>
        <row r="997">
          <cell r="B997">
            <v>4154</v>
          </cell>
          <cell r="C997" t="str">
            <v>BG3965</v>
          </cell>
          <cell r="D997" t="str">
            <v xml:space="preserve">LIGHT KNIT </v>
          </cell>
          <cell r="E997"/>
          <cell r="F997" t="str">
            <v>T100%</v>
          </cell>
          <cell r="G997" t="str">
            <v>100% POLYESTER</v>
          </cell>
          <cell r="H997" t="str">
            <v>150CM</v>
          </cell>
          <cell r="I997">
            <v>80</v>
          </cell>
          <cell r="J997">
            <v>0.85</v>
          </cell>
          <cell r="K997">
            <v>1.2</v>
          </cell>
          <cell r="L997">
            <v>0.87</v>
          </cell>
          <cell r="M997">
            <v>1.25</v>
          </cell>
          <cell r="N997">
            <v>0.9</v>
          </cell>
          <cell r="O997">
            <v>1.3</v>
          </cell>
          <cell r="P997"/>
          <cell r="Q997"/>
          <cell r="R997">
            <v>1.1000000000000001</v>
          </cell>
          <cell r="S997">
            <v>1.8</v>
          </cell>
          <cell r="T997"/>
          <cell r="U997"/>
          <cell r="V997"/>
          <cell r="W997"/>
          <cell r="X997" t="str">
            <v>EDWIN</v>
          </cell>
          <cell r="Y997"/>
          <cell r="Z997" t="str">
            <v>EDWIN ' MAIL 23/1/18</v>
          </cell>
          <cell r="AA997"/>
          <cell r="AB997">
            <v>43123</v>
          </cell>
          <cell r="AC997">
            <v>5025</v>
          </cell>
        </row>
        <row r="998">
          <cell r="B998">
            <v>1906</v>
          </cell>
          <cell r="C998" t="str">
            <v>TS-220</v>
          </cell>
          <cell r="D998" t="str">
            <v>CRINKLE CHIFFON</v>
          </cell>
          <cell r="E998"/>
          <cell r="F998"/>
          <cell r="G998" t="str">
            <v>100% POLYESTER</v>
          </cell>
          <cell r="H998" t="str">
            <v>57/58</v>
          </cell>
          <cell r="I998">
            <v>38</v>
          </cell>
          <cell r="J998">
            <v>1.04</v>
          </cell>
          <cell r="K998">
            <v>1.22</v>
          </cell>
          <cell r="L998">
            <v>1.06</v>
          </cell>
          <cell r="M998">
            <v>1.25</v>
          </cell>
          <cell r="N998">
            <v>1.08</v>
          </cell>
          <cell r="O998">
            <v>1.28</v>
          </cell>
          <cell r="P998"/>
          <cell r="Q998"/>
          <cell r="R998">
            <v>1.23</v>
          </cell>
          <cell r="S998">
            <v>1.53</v>
          </cell>
          <cell r="T998"/>
          <cell r="U998"/>
          <cell r="V998">
            <v>15</v>
          </cell>
          <cell r="W998"/>
          <cell r="X998" t="str">
            <v>GAVIN</v>
          </cell>
          <cell r="Y998"/>
          <cell r="Z998" t="str">
            <v>GAVIN'MAIL  23/1/18</v>
          </cell>
          <cell r="AA998"/>
          <cell r="AB998">
            <v>43123</v>
          </cell>
          <cell r="AC998">
            <v>5026</v>
          </cell>
        </row>
        <row r="999">
          <cell r="B999">
            <v>4108</v>
          </cell>
          <cell r="C999" t="str">
            <v>HLP18036</v>
          </cell>
          <cell r="D999" t="str">
            <v>POLY SILK WITH AIR FLOW EFFECT</v>
          </cell>
          <cell r="E999" t="str">
            <v>75D*75D</v>
          </cell>
          <cell r="F999" t="str">
            <v>T100%</v>
          </cell>
          <cell r="G999" t="str">
            <v>100%POLYESTER</v>
          </cell>
          <cell r="H999" t="str">
            <v>146CM</v>
          </cell>
          <cell r="I999">
            <v>115</v>
          </cell>
          <cell r="J999">
            <v>1.7020408163265306</v>
          </cell>
          <cell r="K999"/>
          <cell r="L999">
            <v>1.7520408163265306</v>
          </cell>
          <cell r="M999"/>
          <cell r="N999">
            <v>1.8520408163265307</v>
          </cell>
          <cell r="O999"/>
          <cell r="P999"/>
          <cell r="Q999"/>
          <cell r="R999">
            <v>2.0020408163265309</v>
          </cell>
          <cell r="S999"/>
          <cell r="T999"/>
          <cell r="U999"/>
          <cell r="V999"/>
          <cell r="W999"/>
          <cell r="X999" t="str">
            <v>CANDY</v>
          </cell>
          <cell r="Y999"/>
          <cell r="Z999" t="str">
            <v>CANDY'MAIL 8/1/18</v>
          </cell>
          <cell r="AA999"/>
          <cell r="AB999">
            <v>43111</v>
          </cell>
          <cell r="AC999">
            <v>5027</v>
          </cell>
        </row>
        <row r="1000">
          <cell r="B1000">
            <v>4111</v>
          </cell>
          <cell r="C1000" t="str">
            <v>BG3957</v>
          </cell>
          <cell r="D1000" t="str">
            <v>CRINKLE CHIFFON WITH FLOCKING</v>
          </cell>
          <cell r="E1000" t="str">
            <v>75D*75D</v>
          </cell>
          <cell r="F1000" t="str">
            <v>T100%</v>
          </cell>
          <cell r="G1000" t="str">
            <v xml:space="preserve">100% POLYESTER </v>
          </cell>
          <cell r="H1000" t="str">
            <v>57/58</v>
          </cell>
          <cell r="I1000">
            <v>54</v>
          </cell>
          <cell r="J1000">
            <v>2.0499999999999998</v>
          </cell>
          <cell r="K1000"/>
          <cell r="L1000">
            <v>2.08</v>
          </cell>
          <cell r="M1000"/>
          <cell r="N1000">
            <v>2.1</v>
          </cell>
          <cell r="O1000"/>
          <cell r="P1000"/>
          <cell r="Q1000"/>
          <cell r="R1000">
            <v>2.5</v>
          </cell>
          <cell r="S1000"/>
          <cell r="T1000"/>
          <cell r="U1000"/>
          <cell r="V1000">
            <v>15</v>
          </cell>
          <cell r="W1000"/>
          <cell r="X1000" t="str">
            <v>EDWIN</v>
          </cell>
          <cell r="Y1000"/>
          <cell r="Z1000" t="str">
            <v>EWIN ' MAIL 11/1/18</v>
          </cell>
          <cell r="AA1000"/>
          <cell r="AB1000">
            <v>43110</v>
          </cell>
          <cell r="AC1000">
            <v>5028</v>
          </cell>
        </row>
        <row r="1001">
          <cell r="B1001">
            <v>4110</v>
          </cell>
          <cell r="C1001" t="str">
            <v>BG3955</v>
          </cell>
          <cell r="D1001" t="str">
            <v>CHIFFON WITH SWISS DOTS</v>
          </cell>
          <cell r="E1001"/>
          <cell r="F1001" t="str">
            <v>T100%</v>
          </cell>
          <cell r="G1001" t="str">
            <v>100% POLYESTER</v>
          </cell>
          <cell r="H1001" t="str">
            <v>57/58</v>
          </cell>
          <cell r="I1001">
            <v>79</v>
          </cell>
          <cell r="J1001">
            <v>1.73</v>
          </cell>
          <cell r="K1001">
            <v>2.1</v>
          </cell>
          <cell r="L1001">
            <v>1.76</v>
          </cell>
          <cell r="M1001">
            <v>2.15</v>
          </cell>
          <cell r="N1001">
            <v>1.78</v>
          </cell>
          <cell r="O1001">
            <v>2.2000000000000002</v>
          </cell>
          <cell r="P1001"/>
          <cell r="Q1001"/>
          <cell r="R1001">
            <v>2</v>
          </cell>
          <cell r="S1001">
            <v>2.7</v>
          </cell>
          <cell r="T1001"/>
          <cell r="U1001"/>
          <cell r="V1001">
            <v>15</v>
          </cell>
          <cell r="W1001"/>
          <cell r="X1001" t="str">
            <v>EDWIN</v>
          </cell>
          <cell r="Y1001"/>
          <cell r="Z1001" t="str">
            <v>EWIN ' MAIL 11/1/18</v>
          </cell>
          <cell r="AA1001"/>
          <cell r="AB1001">
            <v>43110</v>
          </cell>
          <cell r="AC1001">
            <v>5030</v>
          </cell>
        </row>
        <row r="1002">
          <cell r="B1002">
            <v>4107</v>
          </cell>
          <cell r="C1002" t="str">
            <v>TS-498</v>
          </cell>
          <cell r="D1002" t="str">
            <v>cotton with swiss dots</v>
          </cell>
          <cell r="E1002"/>
          <cell r="F1002" t="str">
            <v>C100%</v>
          </cell>
          <cell r="G1002" t="str">
            <v xml:space="preserve">100% COTTON </v>
          </cell>
          <cell r="H1002" t="str">
            <v>57/58</v>
          </cell>
          <cell r="I1002" t="str">
            <v>65-70</v>
          </cell>
          <cell r="J1002">
            <v>1.46</v>
          </cell>
          <cell r="K1002">
            <v>1.62</v>
          </cell>
          <cell r="L1002">
            <v>1.48</v>
          </cell>
          <cell r="M1002">
            <v>1.65</v>
          </cell>
          <cell r="N1002">
            <v>1.5</v>
          </cell>
          <cell r="O1002">
            <v>1.68</v>
          </cell>
          <cell r="P1002"/>
          <cell r="Q1002"/>
          <cell r="R1002">
            <v>1.65</v>
          </cell>
          <cell r="S1002">
            <v>1.93</v>
          </cell>
          <cell r="T1002"/>
          <cell r="U1002"/>
          <cell r="V1002">
            <v>15</v>
          </cell>
          <cell r="W1002"/>
          <cell r="X1002" t="str">
            <v>GAVIN</v>
          </cell>
          <cell r="Y1002"/>
          <cell r="Z1002" t="str">
            <v>GAVIN ' MAIL 9/1/18</v>
          </cell>
          <cell r="AA1002"/>
          <cell r="AB1002">
            <v>43109</v>
          </cell>
          <cell r="AC1002">
            <v>5031</v>
          </cell>
        </row>
        <row r="1003">
          <cell r="B1003">
            <v>2729</v>
          </cell>
          <cell r="C1003" t="str">
            <v>K-2700</v>
          </cell>
          <cell r="D1003" t="str">
            <v>VELVET</v>
          </cell>
          <cell r="E1003"/>
          <cell r="F1003" t="str">
            <v>T/S 95/5</v>
          </cell>
          <cell r="G1003" t="str">
            <v xml:space="preserve">95% POLYESTER  5% SPANDEX </v>
          </cell>
          <cell r="H1003" t="str">
            <v>57/58</v>
          </cell>
          <cell r="I1003">
            <v>258</v>
          </cell>
          <cell r="J1003">
            <v>2.02</v>
          </cell>
          <cell r="K1003"/>
          <cell r="L1003">
            <v>2.0699999999999998</v>
          </cell>
          <cell r="M1003"/>
          <cell r="N1003">
            <v>2.0699999999999998</v>
          </cell>
          <cell r="O1003"/>
          <cell r="P1003"/>
          <cell r="Q1003"/>
          <cell r="R1003">
            <v>2.42</v>
          </cell>
          <cell r="S1003"/>
          <cell r="T1003"/>
          <cell r="U1003"/>
          <cell r="V1003">
            <v>15</v>
          </cell>
          <cell r="W1003"/>
          <cell r="X1003" t="str">
            <v>LIVALTEX</v>
          </cell>
          <cell r="Y1003"/>
          <cell r="Z1003" t="str">
            <v>ROSE' MAIL 9/1/18</v>
          </cell>
          <cell r="AA1003"/>
          <cell r="AB1003">
            <v>43109</v>
          </cell>
          <cell r="AC1003">
            <v>5032</v>
          </cell>
        </row>
        <row r="1004">
          <cell r="B1004">
            <v>4109</v>
          </cell>
          <cell r="C1004" t="str">
            <v>FQ 09306</v>
          </cell>
          <cell r="D1004" t="str">
            <v>chiffon with swiss dots</v>
          </cell>
          <cell r="E1004"/>
          <cell r="F1004" t="str">
            <v>T100%</v>
          </cell>
          <cell r="G1004" t="str">
            <v>100% POLY</v>
          </cell>
          <cell r="H1004">
            <v>58</v>
          </cell>
          <cell r="I1004">
            <v>85</v>
          </cell>
          <cell r="J1004">
            <v>1.64</v>
          </cell>
          <cell r="K1004"/>
          <cell r="L1004">
            <v>1.67</v>
          </cell>
          <cell r="M1004"/>
          <cell r="N1004">
            <v>1.69</v>
          </cell>
          <cell r="O1004"/>
          <cell r="P1004"/>
          <cell r="Q1004"/>
          <cell r="R1004">
            <v>1.71</v>
          </cell>
          <cell r="S1004"/>
          <cell r="T1004"/>
          <cell r="U1004"/>
          <cell r="V1004">
            <v>15</v>
          </cell>
          <cell r="W1004"/>
          <cell r="X1004" t="str">
            <v>ADEN</v>
          </cell>
          <cell r="Y1004"/>
          <cell r="Z1004" t="str">
            <v>ADEN ' MAIL 6/1/18</v>
          </cell>
          <cell r="AA1004"/>
          <cell r="AB1004">
            <v>43106</v>
          </cell>
          <cell r="AC1004">
            <v>5036</v>
          </cell>
        </row>
        <row r="1005">
          <cell r="B1005">
            <v>2752</v>
          </cell>
          <cell r="C1005" t="str">
            <v>HLT3232</v>
          </cell>
          <cell r="D1005" t="str">
            <v>CRUSHED VELVET</v>
          </cell>
          <cell r="E1005"/>
          <cell r="F1005" t="str">
            <v>T/S 95/5</v>
          </cell>
          <cell r="G1005" t="str">
            <v xml:space="preserve">95% POLYESTER  5% SPANDEX </v>
          </cell>
          <cell r="H1005" t="str">
            <v>57/58</v>
          </cell>
          <cell r="I1005">
            <v>250</v>
          </cell>
          <cell r="J1005">
            <v>1.7</v>
          </cell>
          <cell r="K1005"/>
          <cell r="L1005">
            <v>1.75</v>
          </cell>
          <cell r="M1005"/>
          <cell r="N1005">
            <v>1.8</v>
          </cell>
          <cell r="O1005"/>
          <cell r="P1005"/>
          <cell r="Q1005"/>
          <cell r="R1005">
            <v>1.95</v>
          </cell>
          <cell r="S1005"/>
          <cell r="T1005"/>
          <cell r="U1005"/>
          <cell r="V1005">
            <v>15</v>
          </cell>
          <cell r="W1005"/>
          <cell r="X1005" t="str">
            <v>CANDY</v>
          </cell>
          <cell r="Y1005"/>
          <cell r="Z1005" t="str">
            <v>CANDY ' MAIL 6/1/18</v>
          </cell>
          <cell r="AA1005"/>
          <cell r="AB1005">
            <v>43106</v>
          </cell>
          <cell r="AC1005">
            <v>5033</v>
          </cell>
        </row>
        <row r="1006">
          <cell r="B1006">
            <v>2205</v>
          </cell>
          <cell r="C1006" t="str">
            <v>HLT-1518</v>
          </cell>
          <cell r="D1006" t="str">
            <v>POLY</v>
          </cell>
          <cell r="E1006"/>
          <cell r="F1006" t="str">
            <v>T100%</v>
          </cell>
          <cell r="G1006" t="str">
            <v xml:space="preserve">100% POLYESTER </v>
          </cell>
          <cell r="H1006" t="str">
            <v>57/58</v>
          </cell>
          <cell r="I1006">
            <v>125</v>
          </cell>
          <cell r="J1006">
            <v>1.56</v>
          </cell>
          <cell r="K1006">
            <v>1.7</v>
          </cell>
          <cell r="L1006">
            <v>1.61</v>
          </cell>
          <cell r="M1006">
            <v>1.75</v>
          </cell>
          <cell r="N1006">
            <v>1.6600000000000001</v>
          </cell>
          <cell r="O1006">
            <v>1.8</v>
          </cell>
          <cell r="P1006"/>
          <cell r="Q1006"/>
          <cell r="R1006">
            <v>1.7100000000000002</v>
          </cell>
          <cell r="S1006">
            <v>1.95</v>
          </cell>
          <cell r="T1006"/>
          <cell r="U1006"/>
          <cell r="V1006">
            <v>15</v>
          </cell>
          <cell r="W1006"/>
          <cell r="X1006" t="str">
            <v>CANDY</v>
          </cell>
          <cell r="Y1006"/>
          <cell r="Z1006" t="str">
            <v>CANDY ' MAIL 6/1/18</v>
          </cell>
          <cell r="AA1006"/>
          <cell r="AB1006">
            <v>43106</v>
          </cell>
          <cell r="AC1006">
            <v>5034</v>
          </cell>
        </row>
        <row r="1007">
          <cell r="B1007">
            <v>1133</v>
          </cell>
          <cell r="C1007" t="str">
            <v>R039</v>
          </cell>
          <cell r="D1007" t="str">
            <v>VISCOSE CREPE</v>
          </cell>
          <cell r="E1007" t="str">
            <v>30*30</v>
          </cell>
          <cell r="F1007" t="str">
            <v>R100%</v>
          </cell>
          <cell r="G1007" t="str">
            <v>100%RAYON</v>
          </cell>
          <cell r="H1007" t="str">
            <v>50/51</v>
          </cell>
          <cell r="I1007">
            <v>125</v>
          </cell>
          <cell r="J1007">
            <v>1.58</v>
          </cell>
          <cell r="K1007">
            <v>1.92</v>
          </cell>
          <cell r="L1007">
            <v>1.6</v>
          </cell>
          <cell r="M1007">
            <v>2</v>
          </cell>
          <cell r="N1007">
            <v>1.65</v>
          </cell>
          <cell r="O1007">
            <v>2.04</v>
          </cell>
          <cell r="P1007"/>
          <cell r="Q1007"/>
          <cell r="R1007">
            <v>1.73</v>
          </cell>
          <cell r="S1007">
            <v>2.5299999999999998</v>
          </cell>
          <cell r="T1007"/>
          <cell r="U1007"/>
          <cell r="V1007">
            <v>15</v>
          </cell>
          <cell r="W1007"/>
          <cell r="X1007" t="str">
            <v>TERESA</v>
          </cell>
          <cell r="Y1007"/>
          <cell r="Z1007" t="str">
            <v>TERESA'MAIL 6/1/18</v>
          </cell>
          <cell r="AA1007"/>
          <cell r="AB1007">
            <v>43106</v>
          </cell>
          <cell r="AC1007">
            <v>5035</v>
          </cell>
        </row>
        <row r="1008">
          <cell r="B1008">
            <v>2802</v>
          </cell>
          <cell r="C1008" t="str">
            <v>BG3166</v>
          </cell>
          <cell r="D1008" t="str">
            <v>COTTON WITH DOTS</v>
          </cell>
          <cell r="E1008" t="str">
            <v>60 x60 + 12/ 100 x 80</v>
          </cell>
          <cell r="F1008" t="str">
            <v>C100%</v>
          </cell>
          <cell r="G1008" t="str">
            <v>100% COTTON</v>
          </cell>
          <cell r="H1008" t="str">
            <v>53/54</v>
          </cell>
          <cell r="I1008">
            <v>65</v>
          </cell>
          <cell r="J1008">
            <v>1.9</v>
          </cell>
          <cell r="K1008">
            <v>2.2999999999999998</v>
          </cell>
          <cell r="L1008">
            <v>1.93</v>
          </cell>
          <cell r="M1008">
            <v>2.35</v>
          </cell>
          <cell r="N1008">
            <v>1.96</v>
          </cell>
          <cell r="O1008">
            <v>2.4</v>
          </cell>
          <cell r="P1008"/>
          <cell r="Q1008"/>
          <cell r="R1008">
            <v>2.15</v>
          </cell>
          <cell r="S1008">
            <v>2.8</v>
          </cell>
          <cell r="T1008"/>
          <cell r="U1008"/>
          <cell r="V1008">
            <v>15</v>
          </cell>
          <cell r="W1008"/>
          <cell r="X1008" t="str">
            <v>EDWIN</v>
          </cell>
          <cell r="Y1008"/>
          <cell r="Z1008" t="str">
            <v>EDWIN' MAIL 5/1/18</v>
          </cell>
          <cell r="AA1008"/>
          <cell r="AB1008">
            <v>43105</v>
          </cell>
          <cell r="AC1008">
            <v>5037</v>
          </cell>
        </row>
        <row r="1009">
          <cell r="B1009">
            <v>2784</v>
          </cell>
          <cell r="C1009" t="str">
            <v>UD-ZT-151290</v>
          </cell>
          <cell r="D1009" t="str">
            <v>CRUSHED VELVET</v>
          </cell>
          <cell r="E1009"/>
          <cell r="F1009" t="str">
            <v>T/S 95/5</v>
          </cell>
          <cell r="G1009" t="str">
            <v xml:space="preserve">95% POLYESTER 5% SPANDEX </v>
          </cell>
          <cell r="H1009" t="str">
            <v>58/60</v>
          </cell>
          <cell r="I1009">
            <v>240</v>
          </cell>
          <cell r="J1009">
            <v>1.65</v>
          </cell>
          <cell r="K1009"/>
          <cell r="L1009">
            <v>1.7</v>
          </cell>
          <cell r="M1009"/>
          <cell r="N1009">
            <v>1.75</v>
          </cell>
          <cell r="O1009"/>
          <cell r="P1009"/>
          <cell r="Q1009"/>
          <cell r="R1009"/>
          <cell r="S1009"/>
          <cell r="T1009"/>
          <cell r="U1009"/>
          <cell r="V1009">
            <v>15</v>
          </cell>
          <cell r="W1009" t="str">
            <v>MOQ: 500KGS(around 1500M) per color - $1.95  / If qty less than MOQ, the crushed effect will be no good</v>
          </cell>
          <cell r="X1009" t="str">
            <v>WANG HUA</v>
          </cell>
          <cell r="Y1009"/>
          <cell r="Z1009" t="str">
            <v>WANGHUA' MAIL 5/1/18</v>
          </cell>
          <cell r="AA1009"/>
          <cell r="AB1009">
            <v>43105</v>
          </cell>
          <cell r="AC1009">
            <v>5038</v>
          </cell>
        </row>
        <row r="1010">
          <cell r="B1010">
            <v>1929</v>
          </cell>
          <cell r="C1010" t="str">
            <v>TS-175</v>
          </cell>
          <cell r="D1010"/>
          <cell r="E1010"/>
          <cell r="F1010" t="str">
            <v>T100%</v>
          </cell>
          <cell r="G1010" t="str">
            <v>100% POLYESTER</v>
          </cell>
          <cell r="H1010" t="str">
            <v>57/58</v>
          </cell>
          <cell r="I1010">
            <v>120</v>
          </cell>
          <cell r="J1010">
            <v>1.3</v>
          </cell>
          <cell r="K1010">
            <v>1.44</v>
          </cell>
          <cell r="L1010">
            <v>1.32</v>
          </cell>
          <cell r="M1010">
            <v>1.47</v>
          </cell>
          <cell r="N1010">
            <v>1.35</v>
          </cell>
          <cell r="O1010">
            <v>1.5</v>
          </cell>
          <cell r="P1010"/>
          <cell r="Q1010"/>
          <cell r="R1010">
            <v>1.5</v>
          </cell>
          <cell r="S1010">
            <v>1.75</v>
          </cell>
          <cell r="T1010"/>
          <cell r="U1010"/>
          <cell r="V1010">
            <v>15</v>
          </cell>
          <cell r="W1010"/>
          <cell r="X1010" t="str">
            <v>GAVIN</v>
          </cell>
          <cell r="Y1010"/>
          <cell r="Z1010" t="str">
            <v>GAVIN' MAIL 5/1/18</v>
          </cell>
          <cell r="AA1010"/>
          <cell r="AB1010">
            <v>43105</v>
          </cell>
          <cell r="AC1010">
            <v>5039</v>
          </cell>
        </row>
        <row r="1011">
          <cell r="B1011">
            <v>934</v>
          </cell>
          <cell r="C1011" t="str">
            <v>R011</v>
          </cell>
          <cell r="D1011" t="str">
            <v>CRINKLE VISCOSE</v>
          </cell>
          <cell r="E1011" t="str">
            <v>30*24</v>
          </cell>
          <cell r="F1011" t="str">
            <v>R100%</v>
          </cell>
          <cell r="G1011" t="str">
            <v>100%RAYON</v>
          </cell>
          <cell r="H1011" t="str">
            <v>50/51</v>
          </cell>
          <cell r="I1011">
            <v>135</v>
          </cell>
          <cell r="J1011">
            <v>1.3</v>
          </cell>
          <cell r="K1011">
            <v>1.57</v>
          </cell>
          <cell r="L1011">
            <v>1.32</v>
          </cell>
          <cell r="M1011">
            <v>1.65</v>
          </cell>
          <cell r="N1011">
            <v>1.37</v>
          </cell>
          <cell r="O1011">
            <v>1.69</v>
          </cell>
          <cell r="P1011"/>
          <cell r="Q1011"/>
          <cell r="R1011">
            <v>1.45</v>
          </cell>
          <cell r="S1011">
            <v>2.1800000000000002</v>
          </cell>
          <cell r="T1011"/>
          <cell r="U1011"/>
          <cell r="V1011">
            <v>15</v>
          </cell>
          <cell r="W1011"/>
          <cell r="X1011" t="str">
            <v>TERESA</v>
          </cell>
          <cell r="Y1011"/>
          <cell r="Z1011" t="str">
            <v>TERESA ' MAIL 5/1/18</v>
          </cell>
          <cell r="AA1011"/>
          <cell r="AB1011">
            <v>43105</v>
          </cell>
          <cell r="AC1011">
            <v>5040</v>
          </cell>
        </row>
        <row r="1012">
          <cell r="B1012">
            <v>4177</v>
          </cell>
          <cell r="C1012" t="str">
            <v>HLWO17157</v>
          </cell>
          <cell r="D1012" t="str">
            <v>RAYON JAC</v>
          </cell>
          <cell r="E1012" t="str">
            <v>60S*60S</v>
          </cell>
          <cell r="F1012" t="str">
            <v>R100%</v>
          </cell>
          <cell r="G1012" t="str">
            <v xml:space="preserve">100% RAYON </v>
          </cell>
          <cell r="H1012" t="str">
            <v>150CM</v>
          </cell>
          <cell r="I1012">
            <v>87</v>
          </cell>
          <cell r="J1012">
            <v>1.7344347262714599</v>
          </cell>
          <cell r="K1012">
            <v>1.7616456106252001</v>
          </cell>
          <cell r="L1012">
            <v>1.83443472627146</v>
          </cell>
          <cell r="M1012">
            <v>1.8616456106252</v>
          </cell>
          <cell r="N1012">
            <v>1.84443472627146</v>
          </cell>
          <cell r="O1012">
            <v>1.9616456106252</v>
          </cell>
          <cell r="P1012"/>
          <cell r="Q1012"/>
          <cell r="R1012">
            <v>1.9444347262714601</v>
          </cell>
          <cell r="S1012">
            <v>2.1616456106252002</v>
          </cell>
          <cell r="T1012"/>
          <cell r="U1012"/>
          <cell r="V1012"/>
          <cell r="W1012"/>
          <cell r="X1012" t="str">
            <v>CANDY</v>
          </cell>
          <cell r="Y1012"/>
          <cell r="Z1012" t="str">
            <v>LEI WANG ' MAIL 4/1/18</v>
          </cell>
          <cell r="AA1012"/>
          <cell r="AB1012">
            <v>43104</v>
          </cell>
          <cell r="AC1012">
            <v>5043</v>
          </cell>
        </row>
        <row r="1013">
          <cell r="B1013">
            <v>4176</v>
          </cell>
          <cell r="C1013" t="str">
            <v>HLWO17158</v>
          </cell>
          <cell r="D1013" t="str">
            <v>RAYON JAC</v>
          </cell>
          <cell r="E1013" t="str">
            <v>60S*60S</v>
          </cell>
          <cell r="F1013" t="str">
            <v>R100%</v>
          </cell>
          <cell r="G1013" t="str">
            <v xml:space="preserve">100% RAYON </v>
          </cell>
          <cell r="H1013" t="str">
            <v>154CM</v>
          </cell>
          <cell r="I1013">
            <v>104</v>
          </cell>
          <cell r="J1013">
            <v>1.7344347262714599</v>
          </cell>
          <cell r="K1013">
            <v>1.7616456106252001</v>
          </cell>
          <cell r="L1013">
            <v>1.83443472627146</v>
          </cell>
          <cell r="M1013">
            <v>1.8616456106252</v>
          </cell>
          <cell r="N1013">
            <v>1.84443472627146</v>
          </cell>
          <cell r="O1013">
            <v>1.9616456106252</v>
          </cell>
          <cell r="P1013"/>
          <cell r="Q1013"/>
          <cell r="R1013">
            <v>1.9444347262714601</v>
          </cell>
          <cell r="S1013">
            <v>2.1616456106252002</v>
          </cell>
          <cell r="T1013"/>
          <cell r="U1013"/>
          <cell r="V1013"/>
          <cell r="W1013"/>
          <cell r="X1013" t="str">
            <v>CANDY</v>
          </cell>
          <cell r="Y1013"/>
          <cell r="Z1013" t="str">
            <v>LEI WANG ' MAIL 4/1/18</v>
          </cell>
          <cell r="AA1013"/>
          <cell r="AB1013">
            <v>43104</v>
          </cell>
          <cell r="AC1013">
            <v>5044</v>
          </cell>
        </row>
        <row r="1014">
          <cell r="B1014">
            <v>4175</v>
          </cell>
          <cell r="C1014" t="str">
            <v>HLWO17159</v>
          </cell>
          <cell r="D1014" t="str">
            <v>RAYON JAC</v>
          </cell>
          <cell r="E1014" t="str">
            <v>45S*45S</v>
          </cell>
          <cell r="F1014" t="str">
            <v>R100%</v>
          </cell>
          <cell r="G1014" t="str">
            <v xml:space="preserve">100% RAYON </v>
          </cell>
          <cell r="H1014" t="str">
            <v>146CM</v>
          </cell>
          <cell r="I1014">
            <v>104</v>
          </cell>
          <cell r="J1014">
            <v>1.7668286362163901</v>
          </cell>
          <cell r="K1014">
            <v>1.7940395205701301</v>
          </cell>
          <cell r="L1014">
            <v>1.8668286362163899</v>
          </cell>
          <cell r="M1014">
            <v>1.8940395205701299</v>
          </cell>
          <cell r="N1014">
            <v>1.87682863621639</v>
          </cell>
          <cell r="O1014">
            <v>1.99403952057013</v>
          </cell>
          <cell r="P1014"/>
          <cell r="Q1014"/>
          <cell r="R1014">
            <v>1.97682863621639</v>
          </cell>
          <cell r="S1014">
            <v>2.1940395205701302</v>
          </cell>
          <cell r="T1014"/>
          <cell r="U1014"/>
          <cell r="V1014"/>
          <cell r="W1014"/>
          <cell r="X1014" t="str">
            <v>CANDY</v>
          </cell>
          <cell r="Y1014"/>
          <cell r="Z1014" t="str">
            <v>LEI WANG ' MAIL 4/1/18</v>
          </cell>
          <cell r="AA1014"/>
          <cell r="AB1014">
            <v>43104</v>
          </cell>
          <cell r="AC1014">
            <v>5045</v>
          </cell>
        </row>
        <row r="1015">
          <cell r="B1015">
            <v>4174</v>
          </cell>
          <cell r="C1015" t="str">
            <v>HLWO17160</v>
          </cell>
          <cell r="D1015" t="str">
            <v>RAYON JAC</v>
          </cell>
          <cell r="E1015" t="str">
            <v>45S*45S</v>
          </cell>
          <cell r="F1015" t="str">
            <v>R100%</v>
          </cell>
          <cell r="G1015" t="str">
            <v xml:space="preserve">100% RAYON </v>
          </cell>
          <cell r="H1015" t="str">
            <v>147CM</v>
          </cell>
          <cell r="I1015">
            <v>104</v>
          </cell>
          <cell r="J1015">
            <v>1.7668286362163901</v>
          </cell>
          <cell r="K1015">
            <v>1.7940395205701301</v>
          </cell>
          <cell r="L1015">
            <v>1.8668286362163899</v>
          </cell>
          <cell r="M1015">
            <v>1.8940395205701299</v>
          </cell>
          <cell r="N1015">
            <v>1.87682863621639</v>
          </cell>
          <cell r="O1015">
            <v>1.99403952057013</v>
          </cell>
          <cell r="P1015"/>
          <cell r="Q1015"/>
          <cell r="R1015">
            <v>1.97682863621639</v>
          </cell>
          <cell r="S1015">
            <v>2.1940395205701302</v>
          </cell>
          <cell r="T1015"/>
          <cell r="U1015"/>
          <cell r="V1015"/>
          <cell r="W1015"/>
          <cell r="X1015" t="str">
            <v>CANDY</v>
          </cell>
          <cell r="Y1015"/>
          <cell r="Z1015" t="str">
            <v>LEI WANG ' MAIL 4/1/18</v>
          </cell>
          <cell r="AA1015"/>
          <cell r="AB1015">
            <v>43104</v>
          </cell>
          <cell r="AC1015">
            <v>5046</v>
          </cell>
        </row>
        <row r="1016">
          <cell r="B1016">
            <v>4173</v>
          </cell>
          <cell r="C1016" t="str">
            <v>HLWO17161</v>
          </cell>
          <cell r="D1016" t="str">
            <v>RAYON JAC</v>
          </cell>
          <cell r="E1016" t="str">
            <v>45S*45S</v>
          </cell>
          <cell r="F1016" t="str">
            <v>R100%</v>
          </cell>
          <cell r="G1016" t="str">
            <v xml:space="preserve">100% RAYON </v>
          </cell>
          <cell r="H1016" t="str">
            <v>148CM</v>
          </cell>
          <cell r="I1016">
            <v>108</v>
          </cell>
          <cell r="J1016">
            <v>1.7668286362163901</v>
          </cell>
          <cell r="K1016">
            <v>1.7940395205701301</v>
          </cell>
          <cell r="L1016">
            <v>1.8668286362163899</v>
          </cell>
          <cell r="M1016">
            <v>1.8940395205701299</v>
          </cell>
          <cell r="N1016">
            <v>1.87682863621639</v>
          </cell>
          <cell r="O1016">
            <v>1.99403952057013</v>
          </cell>
          <cell r="P1016"/>
          <cell r="Q1016"/>
          <cell r="R1016">
            <v>1.97682863621639</v>
          </cell>
          <cell r="S1016">
            <v>2.1940395205701302</v>
          </cell>
          <cell r="T1016"/>
          <cell r="U1016"/>
          <cell r="V1016"/>
          <cell r="W1016"/>
          <cell r="X1016" t="str">
            <v>CANDY</v>
          </cell>
          <cell r="Y1016"/>
          <cell r="Z1016" t="str">
            <v>LEI WANG ' MAIL 4/1/18</v>
          </cell>
          <cell r="AA1016"/>
          <cell r="AB1016">
            <v>43104</v>
          </cell>
          <cell r="AC1016">
            <v>5047</v>
          </cell>
        </row>
        <row r="1017">
          <cell r="B1017">
            <v>4172</v>
          </cell>
          <cell r="C1017" t="str">
            <v>HLWO17162</v>
          </cell>
          <cell r="D1017" t="str">
            <v>RAYON JAC</v>
          </cell>
          <cell r="E1017" t="str">
            <v>45S*45S</v>
          </cell>
          <cell r="F1017" t="str">
            <v>R100%</v>
          </cell>
          <cell r="G1017" t="str">
            <v xml:space="preserve">100% RAYON </v>
          </cell>
          <cell r="H1017" t="str">
            <v>143CM</v>
          </cell>
          <cell r="I1017">
            <v>102</v>
          </cell>
          <cell r="J1017">
            <v>1.7668286362163901</v>
          </cell>
          <cell r="K1017">
            <v>1.7940395205701301</v>
          </cell>
          <cell r="L1017">
            <v>1.8668286362163899</v>
          </cell>
          <cell r="M1017">
            <v>1.8940395205701299</v>
          </cell>
          <cell r="N1017">
            <v>1.87682863621639</v>
          </cell>
          <cell r="O1017">
            <v>1.99403952057013</v>
          </cell>
          <cell r="P1017"/>
          <cell r="Q1017"/>
          <cell r="R1017">
            <v>1.97682863621639</v>
          </cell>
          <cell r="S1017">
            <v>2.1940395205701302</v>
          </cell>
          <cell r="T1017"/>
          <cell r="U1017"/>
          <cell r="V1017"/>
          <cell r="W1017"/>
          <cell r="X1017" t="str">
            <v>CANDY</v>
          </cell>
          <cell r="Y1017"/>
          <cell r="Z1017" t="str">
            <v>LEI WANG ' MAIL 4/1/18</v>
          </cell>
          <cell r="AA1017"/>
          <cell r="AB1017">
            <v>43104</v>
          </cell>
          <cell r="AC1017">
            <v>5048</v>
          </cell>
        </row>
        <row r="1018">
          <cell r="B1018">
            <v>4171</v>
          </cell>
          <cell r="C1018" t="str">
            <v>HLWO17163</v>
          </cell>
          <cell r="D1018" t="str">
            <v>RAYON JAC</v>
          </cell>
          <cell r="E1018" t="str">
            <v>45S*45S</v>
          </cell>
          <cell r="F1018" t="str">
            <v>R100%</v>
          </cell>
          <cell r="G1018" t="str">
            <v xml:space="preserve">100% RAYON </v>
          </cell>
          <cell r="H1018" t="str">
            <v>138CM</v>
          </cell>
          <cell r="I1018">
            <v>84</v>
          </cell>
          <cell r="J1018">
            <v>1.7668286362163901</v>
          </cell>
          <cell r="K1018">
            <v>1.7940395205701301</v>
          </cell>
          <cell r="L1018">
            <v>1.8668286362163899</v>
          </cell>
          <cell r="M1018">
            <v>1.8940395205701299</v>
          </cell>
          <cell r="N1018">
            <v>1.87682863621639</v>
          </cell>
          <cell r="O1018">
            <v>1.99403952057013</v>
          </cell>
          <cell r="P1018"/>
          <cell r="Q1018"/>
          <cell r="R1018">
            <v>1.97682863621639</v>
          </cell>
          <cell r="S1018">
            <v>2.1940395205701302</v>
          </cell>
          <cell r="T1018"/>
          <cell r="U1018"/>
          <cell r="V1018"/>
          <cell r="W1018"/>
          <cell r="X1018" t="str">
            <v>CANDY</v>
          </cell>
          <cell r="Y1018"/>
          <cell r="Z1018" t="str">
            <v>LEI WANG ' MAIL 4/1/18</v>
          </cell>
          <cell r="AA1018"/>
          <cell r="AB1018">
            <v>43104</v>
          </cell>
          <cell r="AC1018">
            <v>5049</v>
          </cell>
        </row>
        <row r="1019">
          <cell r="B1019">
            <v>4170</v>
          </cell>
          <cell r="C1019" t="str">
            <v>HLWO17164</v>
          </cell>
          <cell r="D1019" t="str">
            <v>RAYON JAC</v>
          </cell>
          <cell r="E1019" t="str">
            <v>45S*45S</v>
          </cell>
          <cell r="F1019" t="str">
            <v>R100%</v>
          </cell>
          <cell r="G1019" t="str">
            <v xml:space="preserve">100% RAYON </v>
          </cell>
          <cell r="H1019" t="str">
            <v>147CM</v>
          </cell>
          <cell r="I1019">
            <v>107</v>
          </cell>
          <cell r="J1019">
            <v>1.7668286362163901</v>
          </cell>
          <cell r="K1019">
            <v>1.7940395205701301</v>
          </cell>
          <cell r="L1019">
            <v>1.8668286362163899</v>
          </cell>
          <cell r="M1019">
            <v>1.8940395205701299</v>
          </cell>
          <cell r="N1019">
            <v>1.87682863621639</v>
          </cell>
          <cell r="O1019">
            <v>1.99403952057013</v>
          </cell>
          <cell r="P1019"/>
          <cell r="Q1019"/>
          <cell r="R1019">
            <v>1.97682863621639</v>
          </cell>
          <cell r="S1019">
            <v>2.1940395205701302</v>
          </cell>
          <cell r="T1019"/>
          <cell r="U1019"/>
          <cell r="V1019"/>
          <cell r="W1019"/>
          <cell r="X1019" t="str">
            <v>CANDY</v>
          </cell>
          <cell r="Y1019"/>
          <cell r="Z1019" t="str">
            <v>LEI WANG ' MAIL 4/1/18</v>
          </cell>
          <cell r="AA1019"/>
          <cell r="AB1019">
            <v>43104</v>
          </cell>
          <cell r="AC1019">
            <v>5050</v>
          </cell>
        </row>
        <row r="1020">
          <cell r="B1020">
            <v>4169</v>
          </cell>
          <cell r="C1020" t="str">
            <v>HLWO17153</v>
          </cell>
          <cell r="D1020" t="str">
            <v>RAYON JAC</v>
          </cell>
          <cell r="E1020" t="str">
            <v>60S*60S</v>
          </cell>
          <cell r="F1020" t="str">
            <v>R100%</v>
          </cell>
          <cell r="G1020" t="str">
            <v xml:space="preserve">100% RAYON </v>
          </cell>
          <cell r="H1020" t="str">
            <v>150CM</v>
          </cell>
          <cell r="I1020">
            <v>89</v>
          </cell>
          <cell r="J1020">
            <v>1.6210560414641999</v>
          </cell>
          <cell r="K1020">
            <v>1.6482669258179501</v>
          </cell>
          <cell r="L1020">
            <v>1.7210560414642</v>
          </cell>
          <cell r="M1020">
            <v>1.74826692581795</v>
          </cell>
          <cell r="N1020">
            <v>1.7310560414642</v>
          </cell>
          <cell r="O1020">
            <v>1.84826692581795</v>
          </cell>
          <cell r="P1020"/>
          <cell r="Q1020"/>
          <cell r="R1020">
            <v>1.8310560414642001</v>
          </cell>
          <cell r="S1020">
            <v>2.0482669258179498</v>
          </cell>
          <cell r="T1020"/>
          <cell r="U1020"/>
          <cell r="V1020"/>
          <cell r="W1020"/>
          <cell r="X1020" t="str">
            <v>CANDY</v>
          </cell>
          <cell r="Y1020"/>
          <cell r="Z1020" t="str">
            <v>LEI WANG ' MAIL 4/1/18</v>
          </cell>
          <cell r="AA1020"/>
          <cell r="AB1020">
            <v>43104</v>
          </cell>
          <cell r="AC1020">
            <v>5051</v>
          </cell>
        </row>
        <row r="1021">
          <cell r="B1021">
            <v>4168</v>
          </cell>
          <cell r="C1021" t="str">
            <v>HLWO17154</v>
          </cell>
          <cell r="D1021" t="str">
            <v>RAYON JAC</v>
          </cell>
          <cell r="E1021" t="str">
            <v>32S*32S</v>
          </cell>
          <cell r="F1021" t="str">
            <v>R100%</v>
          </cell>
          <cell r="G1021" t="str">
            <v xml:space="preserve">100% RAYON </v>
          </cell>
          <cell r="H1021" t="str">
            <v>142CM</v>
          </cell>
          <cell r="I1021">
            <v>115</v>
          </cell>
          <cell r="J1021">
            <v>1.75063168124393</v>
          </cell>
          <cell r="K1021">
            <v>1.77784256559767</v>
          </cell>
          <cell r="L1021">
            <v>1.8506316812439301</v>
          </cell>
          <cell r="M1021">
            <v>1.87784256559767</v>
          </cell>
          <cell r="N1021">
            <v>1.8606316812439301</v>
          </cell>
          <cell r="O1021">
            <v>1.9778425655976699</v>
          </cell>
          <cell r="P1021"/>
          <cell r="Q1021"/>
          <cell r="R1021">
            <v>1.9606316812439299</v>
          </cell>
          <cell r="S1021">
            <v>2.1778425655976701</v>
          </cell>
          <cell r="T1021"/>
          <cell r="U1021"/>
          <cell r="V1021"/>
          <cell r="W1021"/>
          <cell r="X1021" t="str">
            <v>CANDY</v>
          </cell>
          <cell r="Y1021"/>
          <cell r="Z1021" t="str">
            <v>LEI WANG ' MAIL 4/1/18</v>
          </cell>
          <cell r="AA1021"/>
          <cell r="AB1021">
            <v>43104</v>
          </cell>
          <cell r="AC1021">
            <v>5052</v>
          </cell>
        </row>
        <row r="1022">
          <cell r="B1022">
            <v>4167</v>
          </cell>
          <cell r="C1022" t="str">
            <v>HLWO17155</v>
          </cell>
          <cell r="D1022" t="str">
            <v>RAYON JAC</v>
          </cell>
          <cell r="E1022" t="str">
            <v>32S*32S</v>
          </cell>
          <cell r="F1022" t="str">
            <v>R100%</v>
          </cell>
          <cell r="G1022" t="str">
            <v xml:space="preserve">100% RAYON </v>
          </cell>
          <cell r="H1022" t="str">
            <v>148CM</v>
          </cell>
          <cell r="I1022">
            <v>138</v>
          </cell>
          <cell r="J1022">
            <v>1.75063168124393</v>
          </cell>
          <cell r="K1022">
            <v>1.77784256559767</v>
          </cell>
          <cell r="L1022">
            <v>1.8506316812439301</v>
          </cell>
          <cell r="M1022">
            <v>1.87784256559767</v>
          </cell>
          <cell r="N1022">
            <v>1.8606316812439301</v>
          </cell>
          <cell r="O1022">
            <v>1.9778425655976699</v>
          </cell>
          <cell r="P1022"/>
          <cell r="Q1022"/>
          <cell r="R1022">
            <v>1.9606316812439299</v>
          </cell>
          <cell r="S1022">
            <v>2.1778425655976701</v>
          </cell>
          <cell r="T1022"/>
          <cell r="U1022"/>
          <cell r="V1022"/>
          <cell r="W1022"/>
          <cell r="X1022" t="str">
            <v>CANDY</v>
          </cell>
          <cell r="Y1022"/>
          <cell r="Z1022" t="str">
            <v>LEI WANG ' MAIL 4/1/18</v>
          </cell>
          <cell r="AA1022"/>
          <cell r="AB1022">
            <v>43104</v>
          </cell>
          <cell r="AC1022">
            <v>5053</v>
          </cell>
        </row>
        <row r="1023">
          <cell r="B1023">
            <v>4166</v>
          </cell>
          <cell r="C1023" t="str">
            <v>HLWO17156</v>
          </cell>
          <cell r="D1023" t="str">
            <v>RAYON JAC</v>
          </cell>
          <cell r="E1023" t="str">
            <v>60S*60S</v>
          </cell>
          <cell r="F1023" t="str">
            <v>R100%</v>
          </cell>
          <cell r="G1023" t="str">
            <v xml:space="preserve">100% RAYON </v>
          </cell>
          <cell r="H1023" t="str">
            <v>141CM</v>
          </cell>
          <cell r="I1023">
            <v>82</v>
          </cell>
          <cell r="J1023">
            <v>1.75063168124393</v>
          </cell>
          <cell r="K1023">
            <v>1.77784256559767</v>
          </cell>
          <cell r="L1023">
            <v>1.8506316812439301</v>
          </cell>
          <cell r="M1023">
            <v>1.87784256559767</v>
          </cell>
          <cell r="N1023">
            <v>1.8606316812439301</v>
          </cell>
          <cell r="O1023">
            <v>1.9778425655976699</v>
          </cell>
          <cell r="P1023"/>
          <cell r="Q1023"/>
          <cell r="R1023">
            <v>1.9606316812439299</v>
          </cell>
          <cell r="S1023">
            <v>2.1778425655976701</v>
          </cell>
          <cell r="T1023"/>
          <cell r="U1023"/>
          <cell r="V1023"/>
          <cell r="W1023"/>
          <cell r="X1023" t="str">
            <v>CANDY</v>
          </cell>
          <cell r="Y1023"/>
          <cell r="Z1023" t="str">
            <v>LEI WANG ' MAIL 4/1/18</v>
          </cell>
          <cell r="AA1023"/>
          <cell r="AB1023">
            <v>43104</v>
          </cell>
          <cell r="AC1023">
            <v>5054</v>
          </cell>
        </row>
        <row r="1024">
          <cell r="B1024">
            <v>4165</v>
          </cell>
          <cell r="C1024" t="str">
            <v>HLP17203</v>
          </cell>
          <cell r="D1024" t="str">
            <v>TAILORING</v>
          </cell>
          <cell r="E1024" t="str">
            <v>300D+40D+250D+40D+150D+40D*2</v>
          </cell>
          <cell r="F1024" t="str">
            <v>T/S 94/6</v>
          </cell>
          <cell r="G1024" t="str">
            <v>94% POLYESTER  6% SPANDEX</v>
          </cell>
          <cell r="H1024" t="str">
            <v>57/58</v>
          </cell>
          <cell r="I1024">
            <v>200</v>
          </cell>
          <cell r="J1024">
            <v>1.96220710506425</v>
          </cell>
          <cell r="K1024"/>
          <cell r="L1024">
            <v>2.0622071050642501</v>
          </cell>
          <cell r="M1024"/>
          <cell r="N1024">
            <v>2.0722071050642499</v>
          </cell>
          <cell r="O1024"/>
          <cell r="P1024"/>
          <cell r="Q1024"/>
          <cell r="R1024">
            <v>2.17220710506425</v>
          </cell>
          <cell r="S1024"/>
          <cell r="T1024"/>
          <cell r="U1024"/>
          <cell r="V1024"/>
          <cell r="W1024"/>
          <cell r="X1024" t="str">
            <v>CANDY</v>
          </cell>
          <cell r="Y1024"/>
          <cell r="Z1024" t="str">
            <v>LEI WANG ' MAIL 4/1/18</v>
          </cell>
          <cell r="AA1024"/>
          <cell r="AB1024">
            <v>43104</v>
          </cell>
          <cell r="AC1024">
            <v>5042</v>
          </cell>
        </row>
        <row r="1025">
          <cell r="B1025">
            <v>4164</v>
          </cell>
          <cell r="C1025" t="str">
            <v>HLP17108</v>
          </cell>
          <cell r="D1025" t="str">
            <v>POLY</v>
          </cell>
          <cell r="E1025" t="str">
            <v>80D*80D</v>
          </cell>
          <cell r="F1025" t="str">
            <v>T100%</v>
          </cell>
          <cell r="G1025" t="str">
            <v xml:space="preserve">100% POLYESTER </v>
          </cell>
          <cell r="H1025" t="str">
            <v>150CM</v>
          </cell>
          <cell r="I1025">
            <v>123</v>
          </cell>
          <cell r="J1025">
            <v>2.05918367346939</v>
          </cell>
          <cell r="K1025">
            <v>2.0863945578231302</v>
          </cell>
          <cell r="L1025">
            <v>2.1591836734693901</v>
          </cell>
          <cell r="M1025">
            <v>2.1863945578231299</v>
          </cell>
          <cell r="N1025">
            <v>2.1691836734693899</v>
          </cell>
          <cell r="O1025">
            <v>2.2863945578231299</v>
          </cell>
          <cell r="P1025"/>
          <cell r="Q1025"/>
          <cell r="R1025">
            <v>2.26918367346939</v>
          </cell>
          <cell r="S1025">
            <v>2.4863945578231301</v>
          </cell>
          <cell r="T1025"/>
          <cell r="U1025"/>
          <cell r="V1025"/>
          <cell r="W1025"/>
          <cell r="X1025" t="str">
            <v>CANDY</v>
          </cell>
          <cell r="Y1025"/>
          <cell r="Z1025" t="str">
            <v>LEI WANG ' MAIL 4/1/18</v>
          </cell>
          <cell r="AA1025"/>
          <cell r="AB1025">
            <v>43104</v>
          </cell>
          <cell r="AC1025">
            <v>5055</v>
          </cell>
        </row>
        <row r="1026">
          <cell r="B1026">
            <v>4163</v>
          </cell>
          <cell r="C1026" t="str">
            <v>HLKO17052</v>
          </cell>
          <cell r="D1026" t="str">
            <v>STRETCH POLY</v>
          </cell>
          <cell r="E1026"/>
          <cell r="F1026" t="str">
            <v>T/S 96/4</v>
          </cell>
          <cell r="G1026" t="str">
            <v xml:space="preserve">96% POLYESTER  4%SPANDEX </v>
          </cell>
          <cell r="H1026" t="str">
            <v>160CM</v>
          </cell>
          <cell r="I1026">
            <v>195</v>
          </cell>
          <cell r="J1026">
            <v>1.22972620407426</v>
          </cell>
          <cell r="K1026">
            <v>1.56769578681181</v>
          </cell>
          <cell r="L1026">
            <v>1.3297262040742599</v>
          </cell>
          <cell r="M1026">
            <v>1.6676957868118101</v>
          </cell>
          <cell r="N1026">
            <v>1.3397262040742599</v>
          </cell>
          <cell r="O1026">
            <v>1.7676957868118099</v>
          </cell>
          <cell r="P1026"/>
          <cell r="Q1026"/>
          <cell r="R1026">
            <v>1.43972620407426</v>
          </cell>
          <cell r="S1026">
            <v>1.9676957868118099</v>
          </cell>
          <cell r="T1026"/>
          <cell r="U1026"/>
          <cell r="V1026"/>
          <cell r="W1026"/>
          <cell r="X1026" t="str">
            <v>CANDY</v>
          </cell>
          <cell r="Y1026"/>
          <cell r="Z1026" t="str">
            <v>LEI WANG ' MAIL 4/1/18</v>
          </cell>
          <cell r="AA1026"/>
          <cell r="AB1026">
            <v>43104</v>
          </cell>
          <cell r="AC1026">
            <v>5056</v>
          </cell>
        </row>
        <row r="1027">
          <cell r="B1027">
            <v>4162</v>
          </cell>
          <cell r="C1027" t="str">
            <v>HLT026</v>
          </cell>
          <cell r="D1027" t="str">
            <v>TAILORING</v>
          </cell>
          <cell r="E1027" t="str">
            <v>150D+40Dx150D+40D</v>
          </cell>
          <cell r="F1027" t="str">
            <v>T/S 95/5</v>
          </cell>
          <cell r="G1027" t="str">
            <v xml:space="preserve">95% POLYESTER  5% SPANDEX </v>
          </cell>
          <cell r="H1027" t="str">
            <v>57/58</v>
          </cell>
          <cell r="I1027">
            <v>165</v>
          </cell>
          <cell r="J1027">
            <v>2.2112730806608401</v>
          </cell>
          <cell r="K1027">
            <v>2.1976676384839702</v>
          </cell>
          <cell r="L1027">
            <v>2.3112730806608401</v>
          </cell>
          <cell r="M1027">
            <v>2.2976676384839698</v>
          </cell>
          <cell r="N1027">
            <v>2.3212730806608399</v>
          </cell>
          <cell r="O1027">
            <v>2.3976676384839699</v>
          </cell>
          <cell r="P1027"/>
          <cell r="Q1027"/>
          <cell r="R1027">
            <v>2.42127308066084</v>
          </cell>
          <cell r="S1027">
            <v>2.5976676384839701</v>
          </cell>
          <cell r="T1027"/>
          <cell r="U1027"/>
          <cell r="V1027"/>
          <cell r="W1027"/>
          <cell r="X1027" t="str">
            <v>CANDY</v>
          </cell>
          <cell r="Y1027"/>
          <cell r="Z1027" t="str">
            <v>LEI WANG ' MAIL 4/1/18</v>
          </cell>
          <cell r="AA1027"/>
          <cell r="AB1027">
            <v>43104</v>
          </cell>
          <cell r="AC1027">
            <v>5057</v>
          </cell>
        </row>
        <row r="1028">
          <cell r="B1028">
            <v>4161</v>
          </cell>
          <cell r="C1028" t="str">
            <v>HLP17106</v>
          </cell>
          <cell r="D1028" t="str">
            <v>CREPE</v>
          </cell>
          <cell r="E1028" t="str">
            <v>180D*180D</v>
          </cell>
          <cell r="F1028" t="str">
            <v>T100%</v>
          </cell>
          <cell r="G1028" t="str">
            <v xml:space="preserve">100% POLYESTER </v>
          </cell>
          <cell r="H1028" t="str">
            <v>152CM</v>
          </cell>
          <cell r="I1028">
            <v>215</v>
          </cell>
          <cell r="J1028">
            <v>2.5183673469387799</v>
          </cell>
          <cell r="K1028">
            <v>2.3823129251700701</v>
          </cell>
          <cell r="L1028">
            <v>2.61836734693878</v>
          </cell>
          <cell r="M1028">
            <v>2.4823129251700702</v>
          </cell>
          <cell r="N1028">
            <v>2.6283673469387798</v>
          </cell>
          <cell r="O1028">
            <v>2.5823129251700698</v>
          </cell>
          <cell r="P1028"/>
          <cell r="Q1028"/>
          <cell r="R1028">
            <v>2.7283673469387799</v>
          </cell>
          <cell r="S1028">
            <v>2.78231292517007</v>
          </cell>
          <cell r="T1028"/>
          <cell r="U1028"/>
          <cell r="V1028"/>
          <cell r="W1028"/>
          <cell r="X1028" t="str">
            <v>CANDY</v>
          </cell>
          <cell r="Y1028"/>
          <cell r="Z1028" t="str">
            <v>LEI WANG ' MAIL 4/1/18</v>
          </cell>
          <cell r="AA1028"/>
          <cell r="AB1028">
            <v>43104</v>
          </cell>
          <cell r="AC1028">
            <v>5104</v>
          </cell>
        </row>
        <row r="1029">
          <cell r="B1029">
            <v>4160</v>
          </cell>
          <cell r="C1029" t="str">
            <v>HLWO17001</v>
          </cell>
          <cell r="D1029" t="str">
            <v>RAYON JAC</v>
          </cell>
          <cell r="E1029" t="str">
            <v>45*45</v>
          </cell>
          <cell r="F1029" t="str">
            <v>R100%</v>
          </cell>
          <cell r="G1029" t="str">
            <v xml:space="preserve">100% RAYON </v>
          </cell>
          <cell r="H1029" t="str">
            <v>54/55</v>
          </cell>
          <cell r="I1029">
            <v>125</v>
          </cell>
          <cell r="J1029">
            <v>1.9455782312925201</v>
          </cell>
          <cell r="K1029">
            <v>1.97278911564626</v>
          </cell>
          <cell r="L1029">
            <v>2.0455782312925201</v>
          </cell>
          <cell r="M1029">
            <v>2.0727891156462599</v>
          </cell>
          <cell r="N1029">
            <v>2.0555782312925199</v>
          </cell>
          <cell r="O1029">
            <v>2.17278911564626</v>
          </cell>
          <cell r="P1029"/>
          <cell r="Q1029"/>
          <cell r="R1029">
            <v>2.15557823129252</v>
          </cell>
          <cell r="S1029">
            <v>2.3727891156462602</v>
          </cell>
          <cell r="T1029"/>
          <cell r="U1029"/>
          <cell r="V1029"/>
          <cell r="W1029"/>
          <cell r="X1029" t="str">
            <v>CANDY</v>
          </cell>
          <cell r="Y1029"/>
          <cell r="Z1029" t="str">
            <v>LEI WANG ' MAIL 4/1/18</v>
          </cell>
          <cell r="AA1029"/>
          <cell r="AB1029">
            <v>43104</v>
          </cell>
          <cell r="AC1029">
            <v>5058</v>
          </cell>
        </row>
        <row r="1030">
          <cell r="B1030">
            <v>4159</v>
          </cell>
          <cell r="C1030" t="str">
            <v>HLP17010</v>
          </cell>
          <cell r="D1030" t="str">
            <v>TAILORING</v>
          </cell>
          <cell r="E1030" t="str">
            <v>75D+40Dx100D+40D</v>
          </cell>
          <cell r="F1030" t="str">
            <v>T/S 92/8</v>
          </cell>
          <cell r="G1030" t="str">
            <v xml:space="preserve">92% POLYESTER  8%SPANDEX </v>
          </cell>
          <cell r="H1030" t="str">
            <v>150CM</v>
          </cell>
          <cell r="I1030">
            <v>290</v>
          </cell>
          <cell r="J1030">
            <v>2.38095238095238</v>
          </cell>
          <cell r="K1030">
            <v>2.4503401360544199</v>
          </cell>
          <cell r="L1030">
            <v>2.4809523809523801</v>
          </cell>
          <cell r="M1030">
            <v>2.55034013605442</v>
          </cell>
          <cell r="N1030">
            <v>2.4909523809523799</v>
          </cell>
          <cell r="O1030">
            <v>2.6503401360544201</v>
          </cell>
          <cell r="P1030"/>
          <cell r="Q1030"/>
          <cell r="R1030">
            <v>2.59095238095238</v>
          </cell>
          <cell r="S1030">
            <v>2.8503401360544198</v>
          </cell>
          <cell r="T1030"/>
          <cell r="U1030"/>
          <cell r="V1030"/>
          <cell r="W1030"/>
          <cell r="X1030" t="str">
            <v>CANDY</v>
          </cell>
          <cell r="Y1030"/>
          <cell r="Z1030" t="str">
            <v>LEI WANG ' MAIL 4/1/18</v>
          </cell>
          <cell r="AA1030"/>
          <cell r="AB1030">
            <v>43104</v>
          </cell>
          <cell r="AC1030">
            <v>5059</v>
          </cell>
        </row>
        <row r="1031">
          <cell r="B1031">
            <v>4158</v>
          </cell>
          <cell r="C1031" t="str">
            <v>HLP17095</v>
          </cell>
          <cell r="D1031" t="str">
            <v>TAILORING</v>
          </cell>
          <cell r="E1031" t="str">
            <v>75D+75D*150D+40D</v>
          </cell>
          <cell r="F1031" t="str">
            <v>T/S 97/3</v>
          </cell>
          <cell r="G1031" t="str">
            <v>97% POLYESTER  3% SPANDEX</v>
          </cell>
          <cell r="H1031" t="str">
            <v>57/58</v>
          </cell>
          <cell r="I1031">
            <v>285</v>
          </cell>
          <cell r="J1031">
            <v>2.7437641723356001</v>
          </cell>
          <cell r="K1031">
            <v>2.81315192743764</v>
          </cell>
          <cell r="L1031">
            <v>2.8437641723356002</v>
          </cell>
          <cell r="M1031">
            <v>2.9131519274376401</v>
          </cell>
          <cell r="N1031">
            <v>2.8537641723356</v>
          </cell>
          <cell r="O1031">
            <v>3.0131519274376402</v>
          </cell>
          <cell r="P1031"/>
          <cell r="Q1031"/>
          <cell r="R1031">
            <v>2.9537641723356001</v>
          </cell>
          <cell r="S1031">
            <v>3.2131519274376399</v>
          </cell>
          <cell r="T1031"/>
          <cell r="U1031"/>
          <cell r="V1031"/>
          <cell r="W1031"/>
          <cell r="X1031" t="str">
            <v>CANDY</v>
          </cell>
          <cell r="Y1031"/>
          <cell r="Z1031" t="str">
            <v>LEI WANG ' MAIL 4/1/18</v>
          </cell>
          <cell r="AA1031"/>
          <cell r="AB1031">
            <v>43104</v>
          </cell>
          <cell r="AC1031">
            <v>5060</v>
          </cell>
        </row>
        <row r="1032">
          <cell r="B1032">
            <v>4157</v>
          </cell>
          <cell r="C1032" t="str">
            <v>HLT5066</v>
          </cell>
          <cell r="D1032" t="str">
            <v>CREPE</v>
          </cell>
          <cell r="E1032" t="str">
            <v>100DFDY*150DFTY</v>
          </cell>
          <cell r="F1032" t="str">
            <v>T100%</v>
          </cell>
          <cell r="G1032" t="str">
            <v xml:space="preserve">100% POLYESTER </v>
          </cell>
          <cell r="H1032" t="str">
            <v>146CM</v>
          </cell>
          <cell r="I1032">
            <v>151</v>
          </cell>
          <cell r="J1032">
            <v>1.5455782312925199</v>
          </cell>
          <cell r="K1032">
            <v>1.6680272108843499</v>
          </cell>
          <cell r="L1032">
            <v>1.64557823129252</v>
          </cell>
          <cell r="M1032">
            <v>1.76802721088435</v>
          </cell>
          <cell r="N1032">
            <v>1.65557823129252</v>
          </cell>
          <cell r="O1032">
            <v>1.8680272108843501</v>
          </cell>
          <cell r="P1032"/>
          <cell r="Q1032"/>
          <cell r="R1032">
            <v>1.7555782312925201</v>
          </cell>
          <cell r="S1032">
            <v>2.0680272108843498</v>
          </cell>
          <cell r="T1032"/>
          <cell r="U1032"/>
          <cell r="V1032"/>
          <cell r="W1032"/>
          <cell r="X1032" t="str">
            <v>CANDY</v>
          </cell>
          <cell r="Y1032"/>
          <cell r="Z1032" t="str">
            <v>LEI WANG ' MAIL 4/1/18</v>
          </cell>
          <cell r="AA1032"/>
          <cell r="AB1032">
            <v>43104</v>
          </cell>
          <cell r="AC1032">
            <v>5041</v>
          </cell>
        </row>
        <row r="1033">
          <cell r="B1033">
            <v>4156</v>
          </cell>
          <cell r="C1033" t="str">
            <v>HLP17008</v>
          </cell>
          <cell r="D1033" t="str">
            <v>TAILORING</v>
          </cell>
          <cell r="E1033" t="str">
            <v>50D+50D+40Dx150D+40D</v>
          </cell>
          <cell r="F1033" t="str">
            <v>T/S 92/8</v>
          </cell>
          <cell r="G1033" t="str">
            <v xml:space="preserve">92% POLYESTER  8% SPANDEX </v>
          </cell>
          <cell r="H1033" t="str">
            <v>58/59</v>
          </cell>
          <cell r="I1033">
            <v>290</v>
          </cell>
          <cell r="J1033">
            <v>2.59475218658892</v>
          </cell>
          <cell r="K1033">
            <v>2.6641399416909599</v>
          </cell>
          <cell r="L1033">
            <v>2.6947521865889201</v>
          </cell>
          <cell r="M1033">
            <v>2.76413994169096</v>
          </cell>
          <cell r="N1033">
            <v>2.7047521865889199</v>
          </cell>
          <cell r="O1033">
            <v>2.8641399416909601</v>
          </cell>
          <cell r="P1033"/>
          <cell r="Q1033"/>
          <cell r="R1033">
            <v>2.80475218658892</v>
          </cell>
          <cell r="S1033">
            <v>3.0641399416909598</v>
          </cell>
          <cell r="T1033"/>
          <cell r="U1033"/>
          <cell r="V1033"/>
          <cell r="W1033"/>
          <cell r="X1033" t="str">
            <v>CANDY</v>
          </cell>
          <cell r="Y1033"/>
          <cell r="Z1033" t="str">
            <v>LEI WANG ' MAIL 4/1/18</v>
          </cell>
          <cell r="AA1033"/>
          <cell r="AB1033">
            <v>43104</v>
          </cell>
          <cell r="AC1033">
            <v>5061</v>
          </cell>
        </row>
        <row r="1034">
          <cell r="B1034">
            <v>4155</v>
          </cell>
          <cell r="C1034" t="str">
            <v>HLP17007</v>
          </cell>
          <cell r="D1034" t="str">
            <v>TAILORING</v>
          </cell>
          <cell r="E1034" t="str">
            <v>100D+40DSP*100D+40DSP</v>
          </cell>
          <cell r="F1034" t="str">
            <v>T/S 90/10</v>
          </cell>
          <cell r="G1034" t="str">
            <v xml:space="preserve">90% POLYESTER  10% SPANDEX </v>
          </cell>
          <cell r="H1034" t="str">
            <v>150CM</v>
          </cell>
          <cell r="I1034">
            <v>285</v>
          </cell>
          <cell r="J1034">
            <v>2.7891156462584998</v>
          </cell>
          <cell r="K1034">
            <v>2.8585034013605402</v>
          </cell>
          <cell r="L1034">
            <v>2.8891156462584999</v>
          </cell>
          <cell r="M1034">
            <v>2.9585034013605398</v>
          </cell>
          <cell r="N1034">
            <v>2.8991156462585002</v>
          </cell>
          <cell r="O1034">
            <v>3.0585034013605399</v>
          </cell>
          <cell r="P1034"/>
          <cell r="Q1034"/>
          <cell r="R1034">
            <v>2.9991156462584998</v>
          </cell>
          <cell r="S1034">
            <v>3.2585034013605401</v>
          </cell>
          <cell r="T1034"/>
          <cell r="U1034"/>
          <cell r="V1034"/>
          <cell r="W1034"/>
          <cell r="X1034" t="str">
            <v>CANDY</v>
          </cell>
          <cell r="Y1034"/>
          <cell r="Z1034" t="str">
            <v>LEI WANG ' MAIL 4/1/18</v>
          </cell>
          <cell r="AA1034"/>
          <cell r="AB1034">
            <v>43104</v>
          </cell>
          <cell r="AC1034">
            <v>5062</v>
          </cell>
        </row>
        <row r="1035">
          <cell r="B1035">
            <v>4153</v>
          </cell>
          <cell r="C1035" t="str">
            <v>BG3332</v>
          </cell>
          <cell r="D1035" t="str">
            <v>POLY</v>
          </cell>
          <cell r="E1035" t="str">
            <v>50D*80D/50D</v>
          </cell>
          <cell r="F1035" t="str">
            <v>T100%</v>
          </cell>
          <cell r="G1035" t="str">
            <v xml:space="preserve">100% POLYESTER </v>
          </cell>
          <cell r="H1035" t="str">
            <v>57/58</v>
          </cell>
          <cell r="I1035">
            <v>91</v>
          </cell>
          <cell r="J1035">
            <v>1.65</v>
          </cell>
          <cell r="K1035">
            <v>2</v>
          </cell>
          <cell r="L1035">
            <v>1.68</v>
          </cell>
          <cell r="M1035">
            <v>2.0499999999999998</v>
          </cell>
          <cell r="N1035">
            <v>1.7</v>
          </cell>
          <cell r="O1035">
            <v>2.1</v>
          </cell>
          <cell r="P1035"/>
          <cell r="Q1035"/>
          <cell r="R1035">
            <v>1.9</v>
          </cell>
          <cell r="S1035">
            <v>2.6</v>
          </cell>
          <cell r="T1035"/>
          <cell r="U1035"/>
          <cell r="V1035">
            <v>15</v>
          </cell>
          <cell r="W1035"/>
          <cell r="X1035" t="str">
            <v>EDWIN</v>
          </cell>
          <cell r="Y1035"/>
          <cell r="Z1035" t="str">
            <v>EDWIN 4/1/18</v>
          </cell>
          <cell r="AA1035"/>
          <cell r="AB1035">
            <v>43104</v>
          </cell>
          <cell r="AC1035">
            <v>5063</v>
          </cell>
        </row>
        <row r="1036">
          <cell r="B1036">
            <v>4152</v>
          </cell>
          <cell r="C1036" t="str">
            <v>BG3334</v>
          </cell>
          <cell r="D1036" t="str">
            <v>POLY</v>
          </cell>
          <cell r="E1036" t="str">
            <v>75d*150d</v>
          </cell>
          <cell r="F1036" t="str">
            <v>T100%</v>
          </cell>
          <cell r="G1036" t="str">
            <v xml:space="preserve">100% POLYESTER </v>
          </cell>
          <cell r="H1036" t="str">
            <v>57/58</v>
          </cell>
          <cell r="I1036">
            <v>150</v>
          </cell>
          <cell r="J1036">
            <v>1.55</v>
          </cell>
          <cell r="K1036">
            <v>1.9</v>
          </cell>
          <cell r="L1036">
            <v>1.58</v>
          </cell>
          <cell r="M1036">
            <v>1.95</v>
          </cell>
          <cell r="N1036">
            <v>1.6</v>
          </cell>
          <cell r="O1036">
            <v>2</v>
          </cell>
          <cell r="P1036"/>
          <cell r="Q1036"/>
          <cell r="R1036">
            <v>1.8</v>
          </cell>
          <cell r="S1036">
            <v>2.5</v>
          </cell>
          <cell r="T1036"/>
          <cell r="U1036"/>
          <cell r="V1036">
            <v>15</v>
          </cell>
          <cell r="W1036"/>
          <cell r="X1036" t="str">
            <v>EDWIN</v>
          </cell>
          <cell r="Y1036"/>
          <cell r="Z1036" t="str">
            <v>EDWIN 4/1/18</v>
          </cell>
          <cell r="AA1036"/>
          <cell r="AB1036">
            <v>43104</v>
          </cell>
          <cell r="AC1036">
            <v>5064</v>
          </cell>
        </row>
        <row r="1037">
          <cell r="B1037">
            <v>4151</v>
          </cell>
          <cell r="C1037" t="str">
            <v>BG3448</v>
          </cell>
          <cell r="D1037" t="str">
            <v>TAILORING</v>
          </cell>
          <cell r="E1037" t="str">
            <v>72D+75D*150D</v>
          </cell>
          <cell r="F1037" t="str">
            <v>T100%</v>
          </cell>
          <cell r="G1037" t="str">
            <v xml:space="preserve">100% POLYESTER </v>
          </cell>
          <cell r="H1037" t="str">
            <v>57/58</v>
          </cell>
          <cell r="I1037">
            <v>380</v>
          </cell>
          <cell r="J1037">
            <v>3.15</v>
          </cell>
          <cell r="K1037">
            <v>3.5</v>
          </cell>
          <cell r="L1037">
            <v>3.18</v>
          </cell>
          <cell r="M1037">
            <v>3.55</v>
          </cell>
          <cell r="N1037">
            <v>3.2</v>
          </cell>
          <cell r="O1037">
            <v>3.6</v>
          </cell>
          <cell r="P1037"/>
          <cell r="Q1037"/>
          <cell r="R1037">
            <v>3.4</v>
          </cell>
          <cell r="S1037">
            <v>4</v>
          </cell>
          <cell r="T1037"/>
          <cell r="U1037"/>
          <cell r="V1037">
            <v>15</v>
          </cell>
          <cell r="W1037"/>
          <cell r="X1037" t="str">
            <v>EDWIN</v>
          </cell>
          <cell r="Y1037"/>
          <cell r="Z1037" t="str">
            <v>EDWIN 4/1/18</v>
          </cell>
          <cell r="AA1037"/>
          <cell r="AB1037">
            <v>43104</v>
          </cell>
          <cell r="AC1037">
            <v>5065</v>
          </cell>
        </row>
        <row r="1038">
          <cell r="B1038">
            <v>4150</v>
          </cell>
          <cell r="C1038" t="str">
            <v>BG3456</v>
          </cell>
          <cell r="D1038" t="str">
            <v>POLY SLUB</v>
          </cell>
          <cell r="E1038" t="str">
            <v>75D*100D+40D</v>
          </cell>
          <cell r="F1038" t="str">
            <v>T100%</v>
          </cell>
          <cell r="G1038" t="str">
            <v xml:space="preserve">100% POLYESTER </v>
          </cell>
          <cell r="H1038" t="str">
            <v>57/58</v>
          </cell>
          <cell r="I1038">
            <v>108</v>
          </cell>
          <cell r="J1038">
            <v>1.57</v>
          </cell>
          <cell r="K1038">
            <v>1.9</v>
          </cell>
          <cell r="L1038">
            <v>1.6</v>
          </cell>
          <cell r="M1038">
            <v>1.95</v>
          </cell>
          <cell r="N1038">
            <v>1.62</v>
          </cell>
          <cell r="O1038">
            <v>2</v>
          </cell>
          <cell r="P1038"/>
          <cell r="Q1038"/>
          <cell r="R1038">
            <v>1.82</v>
          </cell>
          <cell r="S1038">
            <v>2.5</v>
          </cell>
          <cell r="T1038"/>
          <cell r="U1038"/>
          <cell r="V1038">
            <v>15</v>
          </cell>
          <cell r="W1038"/>
          <cell r="X1038" t="str">
            <v>EDWIN</v>
          </cell>
          <cell r="Y1038"/>
          <cell r="Z1038" t="str">
            <v>EDWIN 4/1/18</v>
          </cell>
          <cell r="AA1038"/>
          <cell r="AB1038">
            <v>43104</v>
          </cell>
          <cell r="AC1038">
            <v>5066</v>
          </cell>
        </row>
        <row r="1039">
          <cell r="B1039">
            <v>4149</v>
          </cell>
          <cell r="C1039" t="str">
            <v>BG3449</v>
          </cell>
          <cell r="D1039" t="str">
            <v>POLY JACQUARD</v>
          </cell>
          <cell r="E1039" t="str">
            <v>100D+40D*100+40D</v>
          </cell>
          <cell r="F1039" t="str">
            <v>T100%</v>
          </cell>
          <cell r="G1039" t="str">
            <v xml:space="preserve">100% POLYESTER </v>
          </cell>
          <cell r="H1039" t="str">
            <v>57/58</v>
          </cell>
          <cell r="I1039">
            <v>175</v>
          </cell>
          <cell r="J1039">
            <v>1.8</v>
          </cell>
          <cell r="K1039">
            <v>2.15</v>
          </cell>
          <cell r="L1039">
            <v>1.83</v>
          </cell>
          <cell r="M1039">
            <v>2.2000000000000002</v>
          </cell>
          <cell r="N1039">
            <v>1.85</v>
          </cell>
          <cell r="O1039">
            <v>2.25</v>
          </cell>
          <cell r="P1039"/>
          <cell r="Q1039"/>
          <cell r="R1039">
            <v>2.0499999999999998</v>
          </cell>
          <cell r="S1039">
            <v>2.75</v>
          </cell>
          <cell r="T1039"/>
          <cell r="U1039"/>
          <cell r="V1039">
            <v>15</v>
          </cell>
          <cell r="W1039"/>
          <cell r="X1039" t="str">
            <v>EDWIN</v>
          </cell>
          <cell r="Y1039"/>
          <cell r="Z1039" t="str">
            <v>EDWIN 4/1/18</v>
          </cell>
          <cell r="AA1039"/>
          <cell r="AB1039">
            <v>43104</v>
          </cell>
          <cell r="AC1039">
            <v>5067</v>
          </cell>
        </row>
        <row r="1040">
          <cell r="B1040">
            <v>4148</v>
          </cell>
          <cell r="C1040" t="str">
            <v>BG3330</v>
          </cell>
          <cell r="D1040" t="str">
            <v>POLY</v>
          </cell>
          <cell r="E1040" t="str">
            <v>50D+50D*150D</v>
          </cell>
          <cell r="F1040" t="str">
            <v>T100%</v>
          </cell>
          <cell r="G1040" t="str">
            <v xml:space="preserve">100% POLYESTER </v>
          </cell>
          <cell r="H1040" t="str">
            <v>57/58</v>
          </cell>
          <cell r="I1040">
            <v>205</v>
          </cell>
          <cell r="J1040">
            <v>1.8</v>
          </cell>
          <cell r="K1040">
            <v>2.15</v>
          </cell>
          <cell r="L1040">
            <v>1.83</v>
          </cell>
          <cell r="M1040">
            <v>2.2000000000000002</v>
          </cell>
          <cell r="N1040">
            <v>1.85</v>
          </cell>
          <cell r="O1040">
            <v>2.25</v>
          </cell>
          <cell r="P1040"/>
          <cell r="Q1040"/>
          <cell r="R1040">
            <v>2.0499999999999998</v>
          </cell>
          <cell r="S1040">
            <v>2.75</v>
          </cell>
          <cell r="T1040"/>
          <cell r="U1040"/>
          <cell r="V1040">
            <v>15</v>
          </cell>
          <cell r="W1040"/>
          <cell r="X1040" t="str">
            <v>EDWIN</v>
          </cell>
          <cell r="Y1040"/>
          <cell r="Z1040" t="str">
            <v>EDWIN 4/1/18</v>
          </cell>
          <cell r="AA1040"/>
          <cell r="AB1040">
            <v>43104</v>
          </cell>
          <cell r="AC1040">
            <v>5068</v>
          </cell>
        </row>
        <row r="1041">
          <cell r="B1041">
            <v>4147</v>
          </cell>
          <cell r="C1041" t="str">
            <v>BG3470</v>
          </cell>
          <cell r="D1041" t="str">
            <v>POLY</v>
          </cell>
          <cell r="E1041" t="str">
            <v>100D+50D*100D+50D</v>
          </cell>
          <cell r="F1041" t="str">
            <v>T100%</v>
          </cell>
          <cell r="G1041" t="str">
            <v xml:space="preserve">100% POLYESTER </v>
          </cell>
          <cell r="H1041" t="str">
            <v>57/58</v>
          </cell>
          <cell r="I1041">
            <v>120</v>
          </cell>
          <cell r="J1041">
            <v>1.65</v>
          </cell>
          <cell r="K1041">
            <v>2</v>
          </cell>
          <cell r="L1041">
            <v>1.68</v>
          </cell>
          <cell r="M1041">
            <v>2.0499999999999998</v>
          </cell>
          <cell r="N1041">
            <v>1.7</v>
          </cell>
          <cell r="O1041">
            <v>2.1</v>
          </cell>
          <cell r="P1041"/>
          <cell r="Q1041"/>
          <cell r="R1041">
            <v>1.9</v>
          </cell>
          <cell r="S1041">
            <v>2.6</v>
          </cell>
          <cell r="T1041"/>
          <cell r="U1041"/>
          <cell r="V1041">
            <v>15</v>
          </cell>
          <cell r="W1041"/>
          <cell r="X1041" t="str">
            <v>EDWIN</v>
          </cell>
          <cell r="Y1041"/>
          <cell r="Z1041" t="str">
            <v>EDWIN 4/1/18</v>
          </cell>
          <cell r="AA1041"/>
          <cell r="AB1041">
            <v>43104</v>
          </cell>
          <cell r="AC1041">
            <v>5069</v>
          </cell>
        </row>
        <row r="1042">
          <cell r="B1042">
            <v>4146</v>
          </cell>
          <cell r="C1042" t="str">
            <v>BG3187</v>
          </cell>
          <cell r="D1042" t="str">
            <v>POLY</v>
          </cell>
          <cell r="E1042" t="str">
            <v>(50D+68D)*(50D+68D)</v>
          </cell>
          <cell r="F1042" t="str">
            <v>T100%</v>
          </cell>
          <cell r="G1042" t="str">
            <v xml:space="preserve">100% POLYESTER </v>
          </cell>
          <cell r="H1042" t="str">
            <v>57/58</v>
          </cell>
          <cell r="I1042">
            <v>170</v>
          </cell>
          <cell r="J1042">
            <v>1.6</v>
          </cell>
          <cell r="K1042">
            <v>1.95</v>
          </cell>
          <cell r="L1042">
            <v>1.63</v>
          </cell>
          <cell r="M1042">
            <v>2</v>
          </cell>
          <cell r="N1042">
            <v>1.65</v>
          </cell>
          <cell r="O1042">
            <v>2.0499999999999998</v>
          </cell>
          <cell r="P1042"/>
          <cell r="Q1042"/>
          <cell r="R1042">
            <v>1.85</v>
          </cell>
          <cell r="S1042">
            <v>2.5499999999999998</v>
          </cell>
          <cell r="T1042"/>
          <cell r="U1042"/>
          <cell r="V1042">
            <v>15</v>
          </cell>
          <cell r="W1042"/>
          <cell r="X1042" t="str">
            <v>EDWIN</v>
          </cell>
          <cell r="Y1042"/>
          <cell r="Z1042" t="str">
            <v>EDWIN 4/1/18</v>
          </cell>
          <cell r="AA1042"/>
          <cell r="AB1042">
            <v>43104</v>
          </cell>
          <cell r="AC1042">
            <v>5070</v>
          </cell>
        </row>
        <row r="1043">
          <cell r="B1043">
            <v>4145</v>
          </cell>
          <cell r="C1043" t="str">
            <v>BG3465</v>
          </cell>
          <cell r="D1043" t="str">
            <v>POLY</v>
          </cell>
          <cell r="E1043" t="str">
            <v>68D+100D+40D</v>
          </cell>
          <cell r="F1043" t="str">
            <v>T100%</v>
          </cell>
          <cell r="G1043" t="str">
            <v xml:space="preserve">100% POLYESTER </v>
          </cell>
          <cell r="H1043" t="str">
            <v>57/58</v>
          </cell>
          <cell r="I1043">
            <v>205</v>
          </cell>
          <cell r="J1043">
            <v>2.5</v>
          </cell>
          <cell r="K1043">
            <v>2.85</v>
          </cell>
          <cell r="L1043">
            <v>2.5299999999999998</v>
          </cell>
          <cell r="M1043">
            <v>2.9</v>
          </cell>
          <cell r="N1043">
            <v>2.5499999999999998</v>
          </cell>
          <cell r="O1043">
            <v>2.95</v>
          </cell>
          <cell r="P1043"/>
          <cell r="Q1043"/>
          <cell r="R1043">
            <v>2.75</v>
          </cell>
          <cell r="S1043">
            <v>3.45</v>
          </cell>
          <cell r="T1043"/>
          <cell r="U1043"/>
          <cell r="V1043">
            <v>15</v>
          </cell>
          <cell r="W1043"/>
          <cell r="X1043" t="str">
            <v>EDWIN</v>
          </cell>
          <cell r="Y1043"/>
          <cell r="Z1043" t="str">
            <v>EDWIN 4/1/18</v>
          </cell>
          <cell r="AA1043"/>
          <cell r="AB1043">
            <v>43104</v>
          </cell>
          <cell r="AC1043">
            <v>5071</v>
          </cell>
        </row>
        <row r="1044">
          <cell r="B1044">
            <v>4144</v>
          </cell>
          <cell r="C1044" t="str">
            <v>BG2557</v>
          </cell>
          <cell r="D1044" t="str">
            <v>POLY</v>
          </cell>
          <cell r="E1044"/>
          <cell r="F1044" t="str">
            <v>T100%</v>
          </cell>
          <cell r="G1044" t="str">
            <v xml:space="preserve">100% POLYESTER </v>
          </cell>
          <cell r="H1044" t="str">
            <v>57/58</v>
          </cell>
          <cell r="I1044">
            <v>200</v>
          </cell>
          <cell r="J1044">
            <v>1.8</v>
          </cell>
          <cell r="K1044">
            <v>2.15</v>
          </cell>
          <cell r="L1044">
            <v>1.83</v>
          </cell>
          <cell r="M1044">
            <v>2.2000000000000002</v>
          </cell>
          <cell r="N1044">
            <v>1.85</v>
          </cell>
          <cell r="O1044">
            <v>2.25</v>
          </cell>
          <cell r="P1044"/>
          <cell r="Q1044"/>
          <cell r="R1044">
            <v>2.0499999999999998</v>
          </cell>
          <cell r="S1044">
            <v>2.75</v>
          </cell>
          <cell r="T1044"/>
          <cell r="U1044"/>
          <cell r="V1044">
            <v>15</v>
          </cell>
          <cell r="W1044"/>
          <cell r="X1044" t="str">
            <v>EDWIN</v>
          </cell>
          <cell r="Y1044"/>
          <cell r="Z1044" t="str">
            <v>EDWIN 4/1/18</v>
          </cell>
          <cell r="AA1044"/>
          <cell r="AB1044">
            <v>43104</v>
          </cell>
          <cell r="AC1044">
            <v>5072</v>
          </cell>
        </row>
        <row r="1045">
          <cell r="B1045">
            <v>4143</v>
          </cell>
          <cell r="C1045" t="str">
            <v>BG3358</v>
          </cell>
          <cell r="D1045" t="str">
            <v>POLY</v>
          </cell>
          <cell r="E1045"/>
          <cell r="F1045" t="str">
            <v>T100%</v>
          </cell>
          <cell r="G1045" t="str">
            <v xml:space="preserve">100% POLYESTER </v>
          </cell>
          <cell r="H1045" t="str">
            <v>57/58</v>
          </cell>
          <cell r="I1045">
            <v>215</v>
          </cell>
          <cell r="J1045">
            <v>2.5</v>
          </cell>
          <cell r="K1045">
            <v>2.85</v>
          </cell>
          <cell r="L1045">
            <v>2.5299999999999998</v>
          </cell>
          <cell r="M1045">
            <v>2.9</v>
          </cell>
          <cell r="N1045">
            <v>2.5499999999999998</v>
          </cell>
          <cell r="O1045">
            <v>2.95</v>
          </cell>
          <cell r="P1045"/>
          <cell r="Q1045"/>
          <cell r="R1045">
            <v>2.75</v>
          </cell>
          <cell r="S1045">
            <v>3.45</v>
          </cell>
          <cell r="T1045"/>
          <cell r="U1045"/>
          <cell r="V1045">
            <v>15</v>
          </cell>
          <cell r="W1045"/>
          <cell r="X1045" t="str">
            <v>EDWIN</v>
          </cell>
          <cell r="Y1045"/>
          <cell r="Z1045" t="str">
            <v>EDWIN 4/1/18</v>
          </cell>
          <cell r="AA1045"/>
          <cell r="AB1045">
            <v>43104</v>
          </cell>
          <cell r="AC1045">
            <v>5073</v>
          </cell>
        </row>
        <row r="1046">
          <cell r="B1046">
            <v>4142</v>
          </cell>
          <cell r="C1046" t="str">
            <v>BG3709</v>
          </cell>
          <cell r="D1046" t="str">
            <v>POLY</v>
          </cell>
          <cell r="E1046" t="str">
            <v xml:space="preserve"> 150d*150d</v>
          </cell>
          <cell r="F1046" t="str">
            <v>T100%</v>
          </cell>
          <cell r="G1046" t="str">
            <v xml:space="preserve">100% POLYESTER </v>
          </cell>
          <cell r="H1046" t="str">
            <v>57/58</v>
          </cell>
          <cell r="I1046">
            <v>142</v>
          </cell>
          <cell r="J1046">
            <v>1.55</v>
          </cell>
          <cell r="K1046">
            <v>1.9</v>
          </cell>
          <cell r="L1046">
            <v>1.58</v>
          </cell>
          <cell r="M1046">
            <v>1.95</v>
          </cell>
          <cell r="N1046">
            <v>1.6</v>
          </cell>
          <cell r="O1046">
            <v>2</v>
          </cell>
          <cell r="P1046"/>
          <cell r="Q1046"/>
          <cell r="R1046">
            <v>1.8</v>
          </cell>
          <cell r="S1046">
            <v>2.5</v>
          </cell>
          <cell r="T1046"/>
          <cell r="U1046"/>
          <cell r="V1046">
            <v>15</v>
          </cell>
          <cell r="W1046"/>
          <cell r="X1046" t="str">
            <v>EDWIN</v>
          </cell>
          <cell r="Y1046"/>
          <cell r="Z1046" t="str">
            <v>EDWIN 4/1/18</v>
          </cell>
          <cell r="AA1046"/>
          <cell r="AB1046">
            <v>43104</v>
          </cell>
          <cell r="AC1046">
            <v>5074</v>
          </cell>
        </row>
        <row r="1047">
          <cell r="B1047">
            <v>4141</v>
          </cell>
          <cell r="C1047" t="str">
            <v>BG1527</v>
          </cell>
          <cell r="D1047" t="str">
            <v>CHIFFON</v>
          </cell>
          <cell r="E1047"/>
          <cell r="F1047" t="str">
            <v>T100%</v>
          </cell>
          <cell r="G1047" t="str">
            <v xml:space="preserve">100% POLYESTER </v>
          </cell>
          <cell r="H1047" t="str">
            <v>57/58</v>
          </cell>
          <cell r="I1047">
            <v>90</v>
          </cell>
          <cell r="J1047">
            <v>1.57</v>
          </cell>
          <cell r="K1047">
            <v>1.9</v>
          </cell>
          <cell r="L1047">
            <v>1.6</v>
          </cell>
          <cell r="M1047">
            <v>1.95</v>
          </cell>
          <cell r="N1047">
            <v>1.62</v>
          </cell>
          <cell r="O1047">
            <v>2</v>
          </cell>
          <cell r="P1047"/>
          <cell r="Q1047"/>
          <cell r="R1047">
            <v>1.82</v>
          </cell>
          <cell r="S1047">
            <v>2.5</v>
          </cell>
          <cell r="T1047"/>
          <cell r="U1047"/>
          <cell r="V1047">
            <v>15</v>
          </cell>
          <cell r="W1047"/>
          <cell r="X1047" t="str">
            <v>EDWIN</v>
          </cell>
          <cell r="Y1047"/>
          <cell r="Z1047" t="str">
            <v>EDWIN 4/1/18</v>
          </cell>
          <cell r="AA1047"/>
          <cell r="AB1047">
            <v>43104</v>
          </cell>
          <cell r="AC1047">
            <v>5103</v>
          </cell>
        </row>
        <row r="1048">
          <cell r="B1048">
            <v>4140</v>
          </cell>
          <cell r="C1048" t="str">
            <v>BG3468</v>
          </cell>
          <cell r="D1048" t="str">
            <v>POLY</v>
          </cell>
          <cell r="E1048" t="str">
            <v>100D+50D</v>
          </cell>
          <cell r="F1048" t="str">
            <v>T100%</v>
          </cell>
          <cell r="G1048" t="str">
            <v xml:space="preserve">100% POLYESTER </v>
          </cell>
          <cell r="H1048" t="str">
            <v>57/58</v>
          </cell>
          <cell r="I1048">
            <v>220</v>
          </cell>
          <cell r="J1048">
            <v>2.85</v>
          </cell>
          <cell r="K1048">
            <v>3.2</v>
          </cell>
          <cell r="L1048">
            <v>2.88</v>
          </cell>
          <cell r="M1048">
            <v>3.25</v>
          </cell>
          <cell r="N1048">
            <v>2.9</v>
          </cell>
          <cell r="O1048">
            <v>3.3</v>
          </cell>
          <cell r="P1048"/>
          <cell r="Q1048"/>
          <cell r="R1048">
            <v>3.1</v>
          </cell>
          <cell r="S1048">
            <v>3.8</v>
          </cell>
          <cell r="T1048"/>
          <cell r="U1048"/>
          <cell r="V1048">
            <v>15</v>
          </cell>
          <cell r="W1048"/>
          <cell r="X1048" t="str">
            <v>EDWIN</v>
          </cell>
          <cell r="Y1048"/>
          <cell r="Z1048" t="str">
            <v>EDWIN 4/1/18</v>
          </cell>
          <cell r="AA1048"/>
          <cell r="AB1048">
            <v>43104</v>
          </cell>
          <cell r="AC1048">
            <v>5075</v>
          </cell>
        </row>
        <row r="1049">
          <cell r="B1049">
            <v>4139</v>
          </cell>
          <cell r="C1049" t="str">
            <v>BG3823</v>
          </cell>
          <cell r="D1049" t="str">
            <v>TAILORING</v>
          </cell>
          <cell r="E1049" t="str">
            <v>75DDTY+40DPU/170DDTY</v>
          </cell>
          <cell r="F1049" t="str">
            <v>T100%</v>
          </cell>
          <cell r="G1049" t="str">
            <v xml:space="preserve">100% POLYESTER </v>
          </cell>
          <cell r="H1049" t="str">
            <v>58/59</v>
          </cell>
          <cell r="I1049">
            <v>188</v>
          </cell>
          <cell r="J1049">
            <v>1.8</v>
          </cell>
          <cell r="K1049">
            <v>2.15</v>
          </cell>
          <cell r="L1049">
            <v>1.83</v>
          </cell>
          <cell r="M1049">
            <v>2.2000000000000002</v>
          </cell>
          <cell r="N1049">
            <v>1.85</v>
          </cell>
          <cell r="O1049">
            <v>2.25</v>
          </cell>
          <cell r="P1049"/>
          <cell r="Q1049"/>
          <cell r="R1049">
            <v>2.0499999999999998</v>
          </cell>
          <cell r="S1049">
            <v>2.75</v>
          </cell>
          <cell r="T1049"/>
          <cell r="U1049"/>
          <cell r="V1049">
            <v>15</v>
          </cell>
          <cell r="W1049"/>
          <cell r="X1049" t="str">
            <v>EDWIN</v>
          </cell>
          <cell r="Y1049"/>
          <cell r="Z1049" t="str">
            <v>EDWIN 4/1/18</v>
          </cell>
          <cell r="AA1049"/>
          <cell r="AB1049">
            <v>43104</v>
          </cell>
          <cell r="AC1049">
            <v>5076</v>
          </cell>
        </row>
        <row r="1050">
          <cell r="B1050">
            <v>4138</v>
          </cell>
          <cell r="C1050" t="str">
            <v>BG3627</v>
          </cell>
          <cell r="D1050" t="str">
            <v xml:space="preserve">TAILORING TWILL </v>
          </cell>
          <cell r="E1050" t="str">
            <v>300D*300D</v>
          </cell>
          <cell r="F1050" t="str">
            <v>T100%</v>
          </cell>
          <cell r="G1050" t="str">
            <v xml:space="preserve">100% POLYESTER </v>
          </cell>
          <cell r="H1050" t="str">
            <v>57/58</v>
          </cell>
          <cell r="I1050">
            <v>190</v>
          </cell>
          <cell r="J1050">
            <v>1.8</v>
          </cell>
          <cell r="K1050">
            <v>2.15</v>
          </cell>
          <cell r="L1050">
            <v>1.83</v>
          </cell>
          <cell r="M1050">
            <v>2.2000000000000002</v>
          </cell>
          <cell r="N1050">
            <v>1.85</v>
          </cell>
          <cell r="O1050">
            <v>2.25</v>
          </cell>
          <cell r="P1050"/>
          <cell r="Q1050"/>
          <cell r="R1050">
            <v>2.0499999999999998</v>
          </cell>
          <cell r="S1050">
            <v>2.75</v>
          </cell>
          <cell r="T1050"/>
          <cell r="U1050"/>
          <cell r="V1050">
            <v>15</v>
          </cell>
          <cell r="W1050"/>
          <cell r="X1050" t="str">
            <v>EDWIN</v>
          </cell>
          <cell r="Y1050"/>
          <cell r="Z1050" t="str">
            <v>EDWIN 4/1/18</v>
          </cell>
          <cell r="AA1050"/>
          <cell r="AB1050">
            <v>43104</v>
          </cell>
          <cell r="AC1050">
            <v>5077</v>
          </cell>
        </row>
        <row r="1051">
          <cell r="B1051">
            <v>4137</v>
          </cell>
          <cell r="C1051" t="str">
            <v>BG3620</v>
          </cell>
          <cell r="D1051" t="str">
            <v>STRETCH POLY</v>
          </cell>
          <cell r="E1051" t="str">
            <v>75D+40D*2</v>
          </cell>
          <cell r="F1051" t="str">
            <v>T/S 94/6</v>
          </cell>
          <cell r="G1051" t="str">
            <v xml:space="preserve">94% POLYESTER  6% SPANDEX </v>
          </cell>
          <cell r="H1051" t="str">
            <v>57/58</v>
          </cell>
          <cell r="I1051">
            <v>160</v>
          </cell>
          <cell r="J1051">
            <v>2.0499999999999998</v>
          </cell>
          <cell r="K1051">
            <v>2.4</v>
          </cell>
          <cell r="L1051">
            <v>2.08</v>
          </cell>
          <cell r="M1051">
            <v>2.4500000000000002</v>
          </cell>
          <cell r="N1051">
            <v>2.1</v>
          </cell>
          <cell r="O1051">
            <v>2.5</v>
          </cell>
          <cell r="P1051"/>
          <cell r="Q1051"/>
          <cell r="R1051">
            <v>2.2999999999999998</v>
          </cell>
          <cell r="S1051">
            <v>3</v>
          </cell>
          <cell r="T1051"/>
          <cell r="U1051"/>
          <cell r="V1051">
            <v>15</v>
          </cell>
          <cell r="W1051"/>
          <cell r="X1051" t="str">
            <v>EDWIN</v>
          </cell>
          <cell r="Y1051"/>
          <cell r="Z1051" t="str">
            <v>EDWIN 4/1/18</v>
          </cell>
          <cell r="AA1051"/>
          <cell r="AB1051">
            <v>43104</v>
          </cell>
          <cell r="AC1051">
            <v>5078</v>
          </cell>
        </row>
        <row r="1052">
          <cell r="B1052">
            <v>4136</v>
          </cell>
          <cell r="C1052" t="str">
            <v>BG3626</v>
          </cell>
          <cell r="D1052" t="str">
            <v>POLY SLUB</v>
          </cell>
          <cell r="E1052"/>
          <cell r="F1052" t="str">
            <v>T100%</v>
          </cell>
          <cell r="G1052" t="str">
            <v xml:space="preserve">100% POLYESTER </v>
          </cell>
          <cell r="H1052" t="str">
            <v>57/58</v>
          </cell>
          <cell r="I1052">
            <v>127</v>
          </cell>
          <cell r="J1052">
            <v>1.52</v>
          </cell>
          <cell r="K1052">
            <v>1.85</v>
          </cell>
          <cell r="L1052">
            <v>1.53</v>
          </cell>
          <cell r="M1052">
            <v>1.9</v>
          </cell>
          <cell r="N1052">
            <v>1.55</v>
          </cell>
          <cell r="O1052">
            <v>1.95</v>
          </cell>
          <cell r="P1052"/>
          <cell r="Q1052"/>
          <cell r="R1052">
            <v>2.1</v>
          </cell>
          <cell r="S1052">
            <v>2.8</v>
          </cell>
          <cell r="T1052"/>
          <cell r="U1052"/>
          <cell r="V1052">
            <v>15</v>
          </cell>
          <cell r="W1052"/>
          <cell r="X1052" t="str">
            <v>EDWIN</v>
          </cell>
          <cell r="Y1052"/>
          <cell r="Z1052" t="str">
            <v>EDWIN 4/1/18</v>
          </cell>
          <cell r="AA1052"/>
          <cell r="AB1052">
            <v>43104</v>
          </cell>
          <cell r="AC1052">
            <v>5079</v>
          </cell>
        </row>
        <row r="1053">
          <cell r="B1053">
            <v>4135</v>
          </cell>
          <cell r="C1053" t="str">
            <v>BG3712</v>
          </cell>
          <cell r="D1053" t="str">
            <v>CHIFFON</v>
          </cell>
          <cell r="E1053" t="str">
            <v xml:space="preserve"> 75d*75d</v>
          </cell>
          <cell r="F1053" t="str">
            <v>T100%</v>
          </cell>
          <cell r="G1053" t="str">
            <v>100% POLYESTER</v>
          </cell>
          <cell r="H1053" t="str">
            <v>57/58</v>
          </cell>
          <cell r="I1053">
            <v>98</v>
          </cell>
          <cell r="J1053">
            <v>1.52</v>
          </cell>
          <cell r="K1053">
            <v>1.85</v>
          </cell>
          <cell r="L1053">
            <v>1.53</v>
          </cell>
          <cell r="M1053">
            <v>1.9</v>
          </cell>
          <cell r="N1053">
            <v>1.55</v>
          </cell>
          <cell r="O1053">
            <v>1.95</v>
          </cell>
          <cell r="P1053"/>
          <cell r="Q1053"/>
          <cell r="R1053">
            <v>2.1</v>
          </cell>
          <cell r="S1053">
            <v>2.8</v>
          </cell>
          <cell r="T1053"/>
          <cell r="U1053"/>
          <cell r="V1053">
            <v>15</v>
          </cell>
          <cell r="W1053"/>
          <cell r="X1053" t="str">
            <v>EDWIN</v>
          </cell>
          <cell r="Y1053"/>
          <cell r="Z1053" t="str">
            <v>EDWIN 4/1/18</v>
          </cell>
          <cell r="AA1053"/>
          <cell r="AB1053">
            <v>43104</v>
          </cell>
          <cell r="AC1053">
            <v>5102</v>
          </cell>
        </row>
        <row r="1054">
          <cell r="B1054">
            <v>4134</v>
          </cell>
          <cell r="C1054" t="str">
            <v>BG3666</v>
          </cell>
          <cell r="D1054" t="str">
            <v>LINING - POLY</v>
          </cell>
          <cell r="E1054" t="str">
            <v>100d*100d</v>
          </cell>
          <cell r="F1054" t="str">
            <v>T100%</v>
          </cell>
          <cell r="G1054" t="str">
            <v xml:space="preserve">100% POLYESTER </v>
          </cell>
          <cell r="H1054" t="str">
            <v>57/58</v>
          </cell>
          <cell r="I1054">
            <v>113</v>
          </cell>
          <cell r="J1054">
            <v>1.6</v>
          </cell>
          <cell r="K1054">
            <v>1.95</v>
          </cell>
          <cell r="L1054">
            <v>1.63</v>
          </cell>
          <cell r="M1054">
            <v>2</v>
          </cell>
          <cell r="N1054">
            <v>1.65</v>
          </cell>
          <cell r="O1054">
            <v>2.0499999999999998</v>
          </cell>
          <cell r="P1054"/>
          <cell r="Q1054"/>
          <cell r="R1054">
            <v>1.85</v>
          </cell>
          <cell r="S1054">
            <v>2.5499999999999998</v>
          </cell>
          <cell r="T1054"/>
          <cell r="U1054"/>
          <cell r="V1054">
            <v>15</v>
          </cell>
          <cell r="W1054"/>
          <cell r="X1054" t="str">
            <v>EDWIN</v>
          </cell>
          <cell r="Y1054"/>
          <cell r="Z1054" t="str">
            <v>EDWIN 4/1/18</v>
          </cell>
          <cell r="AA1054"/>
          <cell r="AB1054">
            <v>43104</v>
          </cell>
          <cell r="AC1054">
            <v>5080</v>
          </cell>
        </row>
        <row r="1055">
          <cell r="B1055">
            <v>4133</v>
          </cell>
          <cell r="C1055" t="str">
            <v>BG3671</v>
          </cell>
          <cell r="D1055" t="str">
            <v>POLY</v>
          </cell>
          <cell r="E1055" t="str">
            <v>75D*150D</v>
          </cell>
          <cell r="F1055" t="str">
            <v>T100%</v>
          </cell>
          <cell r="G1055" t="str">
            <v xml:space="preserve">1005 POLYESTER </v>
          </cell>
          <cell r="H1055" t="str">
            <v>57/58</v>
          </cell>
          <cell r="I1055">
            <v>124</v>
          </cell>
          <cell r="J1055">
            <v>1.42</v>
          </cell>
          <cell r="K1055">
            <v>1.8</v>
          </cell>
          <cell r="L1055">
            <v>1.45</v>
          </cell>
          <cell r="M1055">
            <v>1.85</v>
          </cell>
          <cell r="N1055">
            <v>1.47</v>
          </cell>
          <cell r="O1055">
            <v>1.9</v>
          </cell>
          <cell r="P1055"/>
          <cell r="Q1055"/>
          <cell r="R1055">
            <v>1.67</v>
          </cell>
          <cell r="S1055">
            <v>2.4</v>
          </cell>
          <cell r="T1055"/>
          <cell r="U1055"/>
          <cell r="V1055">
            <v>15</v>
          </cell>
          <cell r="W1055"/>
          <cell r="X1055" t="str">
            <v>EDWIN</v>
          </cell>
          <cell r="Y1055"/>
          <cell r="Z1055" t="str">
            <v>EDWIN 4/1/18</v>
          </cell>
          <cell r="AA1055"/>
          <cell r="AB1055">
            <v>43104</v>
          </cell>
          <cell r="AC1055">
            <v>5081</v>
          </cell>
        </row>
        <row r="1056">
          <cell r="B1056">
            <v>4132</v>
          </cell>
          <cell r="C1056" t="str">
            <v>BG3552</v>
          </cell>
          <cell r="D1056" t="str">
            <v>POLY</v>
          </cell>
          <cell r="E1056" t="str">
            <v>100D*75D</v>
          </cell>
          <cell r="F1056" t="str">
            <v>T100%</v>
          </cell>
          <cell r="G1056" t="str">
            <v xml:space="preserve">100% POLYESTER </v>
          </cell>
          <cell r="H1056" t="str">
            <v>57/58</v>
          </cell>
          <cell r="I1056">
            <v>128</v>
          </cell>
          <cell r="J1056">
            <v>1.42</v>
          </cell>
          <cell r="K1056">
            <v>1.8</v>
          </cell>
          <cell r="L1056">
            <v>1.45</v>
          </cell>
          <cell r="M1056">
            <v>1.85</v>
          </cell>
          <cell r="N1056">
            <v>1.47</v>
          </cell>
          <cell r="O1056">
            <v>1.9</v>
          </cell>
          <cell r="P1056"/>
          <cell r="Q1056"/>
          <cell r="R1056">
            <v>1.67</v>
          </cell>
          <cell r="S1056">
            <v>2.4</v>
          </cell>
          <cell r="T1056"/>
          <cell r="U1056"/>
          <cell r="V1056">
            <v>15</v>
          </cell>
          <cell r="W1056"/>
          <cell r="X1056" t="str">
            <v>EDWIN</v>
          </cell>
          <cell r="Y1056"/>
          <cell r="Z1056" t="str">
            <v>EDWIN 4/1/18</v>
          </cell>
          <cell r="AA1056"/>
          <cell r="AB1056">
            <v>43104</v>
          </cell>
          <cell r="AC1056">
            <v>5082</v>
          </cell>
        </row>
        <row r="1057">
          <cell r="B1057">
            <v>4131</v>
          </cell>
          <cell r="C1057" t="str">
            <v>BG3473</v>
          </cell>
          <cell r="D1057" t="str">
            <v>SATEEN</v>
          </cell>
          <cell r="E1057" t="str">
            <v>75D*300D</v>
          </cell>
          <cell r="F1057" t="str">
            <v>T100%</v>
          </cell>
          <cell r="G1057" t="str">
            <v xml:space="preserve">100% POLYESTER </v>
          </cell>
          <cell r="H1057" t="str">
            <v>57/58</v>
          </cell>
          <cell r="I1057">
            <v>187</v>
          </cell>
          <cell r="J1057">
            <v>1.65</v>
          </cell>
          <cell r="K1057">
            <v>2</v>
          </cell>
          <cell r="L1057">
            <v>1.68</v>
          </cell>
          <cell r="M1057">
            <v>2.0499999999999998</v>
          </cell>
          <cell r="N1057">
            <v>1.7</v>
          </cell>
          <cell r="O1057">
            <v>2.1</v>
          </cell>
          <cell r="P1057"/>
          <cell r="Q1057"/>
          <cell r="R1057">
            <v>1.9</v>
          </cell>
          <cell r="S1057">
            <v>2.6</v>
          </cell>
          <cell r="T1057"/>
          <cell r="U1057"/>
          <cell r="V1057">
            <v>15</v>
          </cell>
          <cell r="W1057"/>
          <cell r="X1057" t="str">
            <v>EDWIN</v>
          </cell>
          <cell r="Y1057"/>
          <cell r="Z1057" t="str">
            <v>EDWIN 4/1/18</v>
          </cell>
          <cell r="AA1057"/>
          <cell r="AB1057">
            <v>43104</v>
          </cell>
          <cell r="AC1057">
            <v>5106</v>
          </cell>
        </row>
        <row r="1058">
          <cell r="B1058">
            <v>4130</v>
          </cell>
          <cell r="C1058" t="str">
            <v>BG3519</v>
          </cell>
          <cell r="D1058" t="str">
            <v>TAILORING</v>
          </cell>
          <cell r="E1058"/>
          <cell r="F1058" t="str">
            <v>T/R 80/20</v>
          </cell>
          <cell r="G1058" t="str">
            <v>80% POLY 20% RAYON</v>
          </cell>
          <cell r="H1058" t="str">
            <v>57/58</v>
          </cell>
          <cell r="I1058">
            <v>267</v>
          </cell>
          <cell r="J1058">
            <v>2.4500000000000002</v>
          </cell>
          <cell r="K1058">
            <v>2.7</v>
          </cell>
          <cell r="L1058">
            <v>2.48</v>
          </cell>
          <cell r="M1058">
            <v>2.75</v>
          </cell>
          <cell r="N1058">
            <v>2.5</v>
          </cell>
          <cell r="O1058">
            <v>2.8</v>
          </cell>
          <cell r="P1058"/>
          <cell r="Q1058"/>
          <cell r="R1058">
            <v>2.7</v>
          </cell>
          <cell r="S1058">
            <v>3.4</v>
          </cell>
          <cell r="T1058"/>
          <cell r="U1058"/>
          <cell r="V1058">
            <v>15</v>
          </cell>
          <cell r="W1058"/>
          <cell r="X1058" t="str">
            <v>EDWIN</v>
          </cell>
          <cell r="Y1058"/>
          <cell r="Z1058" t="str">
            <v>EDWIN 4/1/18</v>
          </cell>
          <cell r="AA1058"/>
          <cell r="AB1058">
            <v>43104</v>
          </cell>
          <cell r="AC1058">
            <v>5108</v>
          </cell>
        </row>
        <row r="1059">
          <cell r="B1059">
            <v>4129</v>
          </cell>
          <cell r="C1059" t="str">
            <v>BG3705</v>
          </cell>
          <cell r="D1059" t="str">
            <v>POLY</v>
          </cell>
          <cell r="E1059" t="str">
            <v xml:space="preserve"> 75d*75d</v>
          </cell>
          <cell r="F1059" t="str">
            <v>T100%</v>
          </cell>
          <cell r="G1059" t="str">
            <v>100% POLYESTER</v>
          </cell>
          <cell r="H1059" t="str">
            <v>57/58</v>
          </cell>
          <cell r="I1059">
            <v>100</v>
          </cell>
          <cell r="J1059">
            <v>1.57</v>
          </cell>
          <cell r="K1059">
            <v>1.9</v>
          </cell>
          <cell r="L1059">
            <v>1.6</v>
          </cell>
          <cell r="M1059">
            <v>1.95</v>
          </cell>
          <cell r="N1059">
            <v>1.62</v>
          </cell>
          <cell r="O1059">
            <v>2</v>
          </cell>
          <cell r="P1059"/>
          <cell r="Q1059"/>
          <cell r="R1059">
            <v>1.82</v>
          </cell>
          <cell r="S1059">
            <v>2.7</v>
          </cell>
          <cell r="T1059"/>
          <cell r="U1059"/>
          <cell r="V1059">
            <v>15</v>
          </cell>
          <cell r="W1059"/>
          <cell r="X1059" t="str">
            <v>EDWIN</v>
          </cell>
          <cell r="Y1059"/>
          <cell r="Z1059" t="str">
            <v>EDWIN 4/1/18</v>
          </cell>
          <cell r="AA1059"/>
          <cell r="AB1059">
            <v>43104</v>
          </cell>
          <cell r="AC1059">
            <v>5083</v>
          </cell>
        </row>
        <row r="1060">
          <cell r="B1060">
            <v>4128</v>
          </cell>
          <cell r="C1060" t="str">
            <v>BG3463</v>
          </cell>
          <cell r="D1060" t="str">
            <v>TAILORING - POLY JAC</v>
          </cell>
          <cell r="E1060" t="str">
            <v>300D*300D</v>
          </cell>
          <cell r="F1060" t="str">
            <v>T100%</v>
          </cell>
          <cell r="G1060" t="str">
            <v xml:space="preserve">100% POLYESTER </v>
          </cell>
          <cell r="H1060" t="str">
            <v>57/58</v>
          </cell>
          <cell r="I1060">
            <v>260</v>
          </cell>
          <cell r="J1060">
            <v>1.85</v>
          </cell>
          <cell r="K1060">
            <v>2.2000000000000002</v>
          </cell>
          <cell r="L1060">
            <v>1.88</v>
          </cell>
          <cell r="M1060">
            <v>2.25</v>
          </cell>
          <cell r="N1060">
            <v>1.9</v>
          </cell>
          <cell r="O1060">
            <v>2.2999999999999998</v>
          </cell>
          <cell r="P1060"/>
          <cell r="Q1060"/>
          <cell r="R1060">
            <v>2.1</v>
          </cell>
          <cell r="S1060">
            <v>2.8</v>
          </cell>
          <cell r="T1060"/>
          <cell r="U1060"/>
          <cell r="V1060">
            <v>15</v>
          </cell>
          <cell r="W1060"/>
          <cell r="X1060" t="str">
            <v>EDWIN</v>
          </cell>
          <cell r="Y1060"/>
          <cell r="Z1060" t="str">
            <v>EDWIN 4/1/18</v>
          </cell>
          <cell r="AA1060"/>
          <cell r="AB1060">
            <v>43104</v>
          </cell>
          <cell r="AC1060">
            <v>5084</v>
          </cell>
        </row>
        <row r="1061">
          <cell r="B1061">
            <v>4127</v>
          </cell>
          <cell r="C1061" t="str">
            <v>BG3462</v>
          </cell>
          <cell r="D1061" t="str">
            <v>POLY JACQUARD</v>
          </cell>
          <cell r="E1061" t="str">
            <v>100D*100D</v>
          </cell>
          <cell r="F1061" t="str">
            <v>T100%</v>
          </cell>
          <cell r="G1061" t="str">
            <v xml:space="preserve">100% POLYESTER </v>
          </cell>
          <cell r="H1061" t="str">
            <v>57/58</v>
          </cell>
          <cell r="I1061">
            <v>122</v>
          </cell>
          <cell r="J1061">
            <v>1.85</v>
          </cell>
          <cell r="K1061">
            <v>2.2000000000000002</v>
          </cell>
          <cell r="L1061">
            <v>1.88</v>
          </cell>
          <cell r="M1061">
            <v>2.25</v>
          </cell>
          <cell r="N1061">
            <v>1.9</v>
          </cell>
          <cell r="O1061">
            <v>2.2999999999999998</v>
          </cell>
          <cell r="P1061"/>
          <cell r="Q1061"/>
          <cell r="R1061">
            <v>2.1</v>
          </cell>
          <cell r="S1061">
            <v>2.8</v>
          </cell>
          <cell r="T1061"/>
          <cell r="U1061"/>
          <cell r="V1061">
            <v>15</v>
          </cell>
          <cell r="W1061"/>
          <cell r="X1061" t="str">
            <v>EDWIN</v>
          </cell>
          <cell r="Y1061"/>
          <cell r="Z1061" t="str">
            <v>EDWIN 4/1/18</v>
          </cell>
          <cell r="AA1061"/>
          <cell r="AB1061">
            <v>43104</v>
          </cell>
          <cell r="AC1061">
            <v>5085</v>
          </cell>
        </row>
        <row r="1062">
          <cell r="B1062">
            <v>4126</v>
          </cell>
          <cell r="C1062" t="str">
            <v>BG3540</v>
          </cell>
          <cell r="D1062" t="str">
            <v>RAYON SLUB</v>
          </cell>
          <cell r="E1062" t="str">
            <v>60*60/105*62</v>
          </cell>
          <cell r="F1062" t="str">
            <v>R100%</v>
          </cell>
          <cell r="G1062" t="str">
            <v xml:space="preserve">100% RAYON </v>
          </cell>
          <cell r="H1062" t="str">
            <v>53/54</v>
          </cell>
          <cell r="I1062">
            <v>104</v>
          </cell>
          <cell r="J1062">
            <v>1.8</v>
          </cell>
          <cell r="K1062">
            <v>2.15</v>
          </cell>
          <cell r="L1062">
            <v>1.83</v>
          </cell>
          <cell r="M1062">
            <v>2.2000000000000002</v>
          </cell>
          <cell r="N1062">
            <v>1.85</v>
          </cell>
          <cell r="O1062">
            <v>2.25</v>
          </cell>
          <cell r="P1062"/>
          <cell r="Q1062"/>
          <cell r="R1062">
            <v>2.0499999999999998</v>
          </cell>
          <cell r="S1062">
            <v>2.75</v>
          </cell>
          <cell r="T1062"/>
          <cell r="U1062"/>
          <cell r="V1062">
            <v>15</v>
          </cell>
          <cell r="W1062"/>
          <cell r="X1062" t="str">
            <v>EDWIN</v>
          </cell>
          <cell r="Y1062"/>
          <cell r="Z1062" t="str">
            <v>EDWIN 4/1/18</v>
          </cell>
          <cell r="AA1062"/>
          <cell r="AB1062">
            <v>43104</v>
          </cell>
          <cell r="AC1062">
            <v>5086</v>
          </cell>
        </row>
        <row r="1063">
          <cell r="B1063">
            <v>4125</v>
          </cell>
          <cell r="C1063" t="str">
            <v>BG3536</v>
          </cell>
          <cell r="D1063" t="str">
            <v>RAYON JAC</v>
          </cell>
          <cell r="E1063" t="str">
            <v>40*40/96*84</v>
          </cell>
          <cell r="F1063" t="str">
            <v>R100%</v>
          </cell>
          <cell r="G1063" t="str">
            <v xml:space="preserve">100% RAYON </v>
          </cell>
          <cell r="H1063" t="str">
            <v>53/54</v>
          </cell>
          <cell r="I1063">
            <v>118</v>
          </cell>
          <cell r="J1063">
            <v>1.9</v>
          </cell>
          <cell r="K1063">
            <v>2.25</v>
          </cell>
          <cell r="L1063">
            <v>1.93</v>
          </cell>
          <cell r="M1063">
            <v>2.2999999999999998</v>
          </cell>
          <cell r="N1063">
            <v>1.95</v>
          </cell>
          <cell r="O1063">
            <v>2.35</v>
          </cell>
          <cell r="P1063"/>
          <cell r="Q1063"/>
          <cell r="R1063">
            <v>2.15</v>
          </cell>
          <cell r="S1063">
            <v>2.85</v>
          </cell>
          <cell r="T1063"/>
          <cell r="U1063"/>
          <cell r="V1063">
            <v>15</v>
          </cell>
          <cell r="W1063"/>
          <cell r="X1063" t="str">
            <v>EDWIN</v>
          </cell>
          <cell r="Y1063"/>
          <cell r="Z1063" t="str">
            <v>EDWIN 4/1/18</v>
          </cell>
          <cell r="AA1063"/>
          <cell r="AB1063">
            <v>43104</v>
          </cell>
          <cell r="AC1063">
            <v>5087</v>
          </cell>
        </row>
        <row r="1064">
          <cell r="B1064">
            <v>4124</v>
          </cell>
          <cell r="C1064" t="str">
            <v>BG3850</v>
          </cell>
          <cell r="D1064" t="str">
            <v>RAYON WITH SWISS DOTS</v>
          </cell>
          <cell r="E1064" t="str">
            <v>R60*60  90*88</v>
          </cell>
          <cell r="F1064" t="str">
            <v>R100%</v>
          </cell>
          <cell r="G1064" t="str">
            <v>100% RAYON</v>
          </cell>
          <cell r="H1064" t="str">
            <v>53/54</v>
          </cell>
          <cell r="I1064">
            <v>82</v>
          </cell>
          <cell r="J1064">
            <v>1.8</v>
          </cell>
          <cell r="K1064">
            <v>2.15</v>
          </cell>
          <cell r="L1064">
            <v>1.83</v>
          </cell>
          <cell r="M1064">
            <v>2.2000000000000002</v>
          </cell>
          <cell r="N1064">
            <v>1.85</v>
          </cell>
          <cell r="O1064">
            <v>2.25</v>
          </cell>
          <cell r="P1064"/>
          <cell r="Q1064"/>
          <cell r="R1064">
            <v>2.0499999999999998</v>
          </cell>
          <cell r="S1064">
            <v>2.75</v>
          </cell>
          <cell r="T1064"/>
          <cell r="U1064"/>
          <cell r="V1064">
            <v>15</v>
          </cell>
          <cell r="W1064"/>
          <cell r="X1064" t="str">
            <v>EDWIN</v>
          </cell>
          <cell r="Y1064"/>
          <cell r="Z1064" t="str">
            <v>EDWIN 4/1/18</v>
          </cell>
          <cell r="AA1064"/>
          <cell r="AB1064">
            <v>43104</v>
          </cell>
          <cell r="AC1064">
            <v>5088</v>
          </cell>
        </row>
        <row r="1065">
          <cell r="B1065">
            <v>4123</v>
          </cell>
          <cell r="C1065" t="str">
            <v>BG3852</v>
          </cell>
          <cell r="D1065" t="str">
            <v>RAYON JAC</v>
          </cell>
          <cell r="E1065" t="str">
            <v>R60*60  90*88</v>
          </cell>
          <cell r="F1065" t="str">
            <v>R100%</v>
          </cell>
          <cell r="G1065" t="str">
            <v xml:space="preserve">100% RAYON </v>
          </cell>
          <cell r="H1065" t="str">
            <v>53/54</v>
          </cell>
          <cell r="I1065">
            <v>87</v>
          </cell>
          <cell r="J1065">
            <v>1.7</v>
          </cell>
          <cell r="K1065">
            <v>2.0499999999999998</v>
          </cell>
          <cell r="L1065">
            <v>1.73</v>
          </cell>
          <cell r="M1065">
            <v>2.1</v>
          </cell>
          <cell r="N1065">
            <v>1.75</v>
          </cell>
          <cell r="O1065">
            <v>2.15</v>
          </cell>
          <cell r="P1065"/>
          <cell r="Q1065"/>
          <cell r="R1065">
            <v>1.95</v>
          </cell>
          <cell r="S1065">
            <v>2.65</v>
          </cell>
          <cell r="T1065"/>
          <cell r="U1065"/>
          <cell r="V1065">
            <v>15</v>
          </cell>
          <cell r="W1065"/>
          <cell r="X1065" t="str">
            <v>EDWIN</v>
          </cell>
          <cell r="Y1065"/>
          <cell r="Z1065" t="str">
            <v>EDWIN 4/1/18</v>
          </cell>
          <cell r="AA1065"/>
          <cell r="AB1065">
            <v>43104</v>
          </cell>
          <cell r="AC1065">
            <v>5089</v>
          </cell>
        </row>
        <row r="1066">
          <cell r="B1066">
            <v>4122</v>
          </cell>
          <cell r="C1066" t="str">
            <v>BG3867</v>
          </cell>
          <cell r="D1066" t="str">
            <v>RAYON JAC</v>
          </cell>
          <cell r="E1066" t="str">
            <v>R32*32  105*56</v>
          </cell>
          <cell r="F1066" t="str">
            <v>R100%</v>
          </cell>
          <cell r="G1066" t="str">
            <v xml:space="preserve">100% RAYON </v>
          </cell>
          <cell r="H1066" t="str">
            <v>53/54</v>
          </cell>
          <cell r="I1066">
            <v>132</v>
          </cell>
          <cell r="J1066">
            <v>1.77</v>
          </cell>
          <cell r="K1066">
            <v>2.1</v>
          </cell>
          <cell r="L1066">
            <v>1.8</v>
          </cell>
          <cell r="M1066">
            <v>2.15</v>
          </cell>
          <cell r="N1066">
            <v>1.82</v>
          </cell>
          <cell r="O1066">
            <v>2.2000000000000002</v>
          </cell>
          <cell r="P1066"/>
          <cell r="Q1066"/>
          <cell r="R1066">
            <v>2</v>
          </cell>
          <cell r="S1066">
            <v>2.7</v>
          </cell>
          <cell r="T1066"/>
          <cell r="U1066"/>
          <cell r="V1066">
            <v>15</v>
          </cell>
          <cell r="W1066"/>
          <cell r="X1066" t="str">
            <v>EDWIN</v>
          </cell>
          <cell r="Y1066"/>
          <cell r="Z1066" t="str">
            <v>EDWIN 4/1/18</v>
          </cell>
          <cell r="AA1066"/>
          <cell r="AB1066">
            <v>43104</v>
          </cell>
          <cell r="AC1066">
            <v>5090</v>
          </cell>
        </row>
        <row r="1067">
          <cell r="B1067">
            <v>4121</v>
          </cell>
          <cell r="C1067" t="str">
            <v>BG3863</v>
          </cell>
          <cell r="D1067" t="str">
            <v>RAYON SLUB</v>
          </cell>
          <cell r="E1067" t="str">
            <v>R32*32  105*56</v>
          </cell>
          <cell r="F1067" t="str">
            <v>R100%</v>
          </cell>
          <cell r="G1067" t="str">
            <v xml:space="preserve">1005 RAYON </v>
          </cell>
          <cell r="H1067" t="str">
            <v>53/54</v>
          </cell>
          <cell r="I1067">
            <v>146</v>
          </cell>
          <cell r="J1067">
            <v>1.77</v>
          </cell>
          <cell r="K1067">
            <v>2.1</v>
          </cell>
          <cell r="L1067">
            <v>1.8</v>
          </cell>
          <cell r="M1067">
            <v>2.15</v>
          </cell>
          <cell r="N1067">
            <v>1.82</v>
          </cell>
          <cell r="O1067">
            <v>2.2000000000000002</v>
          </cell>
          <cell r="P1067"/>
          <cell r="Q1067"/>
          <cell r="R1067">
            <v>2</v>
          </cell>
          <cell r="S1067">
            <v>2.7</v>
          </cell>
          <cell r="T1067"/>
          <cell r="U1067"/>
          <cell r="V1067">
            <v>15</v>
          </cell>
          <cell r="W1067"/>
          <cell r="X1067" t="str">
            <v>EDWIN</v>
          </cell>
          <cell r="Y1067"/>
          <cell r="Z1067" t="str">
            <v>EDWIN 4/1/18</v>
          </cell>
          <cell r="AA1067"/>
          <cell r="AB1067">
            <v>43104</v>
          </cell>
          <cell r="AC1067">
            <v>5091</v>
          </cell>
        </row>
        <row r="1068">
          <cell r="B1068">
            <v>4120</v>
          </cell>
          <cell r="C1068" t="str">
            <v>BG3862</v>
          </cell>
          <cell r="D1068" t="str">
            <v>RAYON JAC</v>
          </cell>
          <cell r="E1068" t="str">
            <v>R60*60  105*80</v>
          </cell>
          <cell r="F1068" t="str">
            <v>R100%</v>
          </cell>
          <cell r="G1068" t="str">
            <v xml:space="preserve">100% RAYON </v>
          </cell>
          <cell r="H1068" t="str">
            <v>53/54</v>
          </cell>
          <cell r="I1068">
            <v>91</v>
          </cell>
          <cell r="J1068">
            <v>1.8</v>
          </cell>
          <cell r="K1068">
            <v>2.15</v>
          </cell>
          <cell r="L1068">
            <v>1.83</v>
          </cell>
          <cell r="M1068">
            <v>2.2000000000000002</v>
          </cell>
          <cell r="N1068">
            <v>1.85</v>
          </cell>
          <cell r="O1068">
            <v>2.25</v>
          </cell>
          <cell r="P1068"/>
          <cell r="Q1068"/>
          <cell r="R1068">
            <v>2.0499999999999998</v>
          </cell>
          <cell r="S1068">
            <v>2.75</v>
          </cell>
          <cell r="T1068"/>
          <cell r="U1068"/>
          <cell r="V1068">
            <v>15</v>
          </cell>
          <cell r="W1068"/>
          <cell r="X1068" t="str">
            <v>EDWIN</v>
          </cell>
          <cell r="Y1068"/>
          <cell r="Z1068" t="str">
            <v>EDWIN 4/1/18</v>
          </cell>
          <cell r="AA1068"/>
          <cell r="AB1068">
            <v>43104</v>
          </cell>
          <cell r="AC1068">
            <v>5092</v>
          </cell>
        </row>
        <row r="1069">
          <cell r="B1069">
            <v>4119</v>
          </cell>
          <cell r="C1069" t="str">
            <v>BG3861</v>
          </cell>
          <cell r="D1069" t="str">
            <v>RAYON JAC</v>
          </cell>
          <cell r="E1069" t="str">
            <v>R32*32  105*56</v>
          </cell>
          <cell r="F1069" t="str">
            <v>R100%</v>
          </cell>
          <cell r="G1069" t="str">
            <v xml:space="preserve">100% RAYON </v>
          </cell>
          <cell r="H1069" t="str">
            <v>53/54</v>
          </cell>
          <cell r="I1069">
            <v>150</v>
          </cell>
          <cell r="J1069">
            <v>1.77</v>
          </cell>
          <cell r="K1069">
            <v>2.1</v>
          </cell>
          <cell r="L1069">
            <v>1.8</v>
          </cell>
          <cell r="M1069">
            <v>2.15</v>
          </cell>
          <cell r="N1069">
            <v>1.82</v>
          </cell>
          <cell r="O1069">
            <v>2.2000000000000002</v>
          </cell>
          <cell r="P1069"/>
          <cell r="Q1069"/>
          <cell r="R1069">
            <v>2</v>
          </cell>
          <cell r="S1069">
            <v>2.7</v>
          </cell>
          <cell r="T1069"/>
          <cell r="U1069"/>
          <cell r="V1069">
            <v>15</v>
          </cell>
          <cell r="W1069"/>
          <cell r="X1069" t="str">
            <v>EDWIN</v>
          </cell>
          <cell r="Y1069"/>
          <cell r="Z1069" t="str">
            <v>EDWIN 4/1/18</v>
          </cell>
          <cell r="AA1069"/>
          <cell r="AB1069">
            <v>43104</v>
          </cell>
          <cell r="AC1069">
            <v>5093</v>
          </cell>
        </row>
        <row r="1070">
          <cell r="B1070">
            <v>4118</v>
          </cell>
          <cell r="C1070" t="str">
            <v>BG3855</v>
          </cell>
          <cell r="D1070" t="str">
            <v>RAYON JAC</v>
          </cell>
          <cell r="E1070" t="str">
            <v>R32*32  105*56</v>
          </cell>
          <cell r="F1070" t="str">
            <v>R100%</v>
          </cell>
          <cell r="G1070" t="str">
            <v xml:space="preserve">100% RAYON </v>
          </cell>
          <cell r="H1070" t="str">
            <v>53/54</v>
          </cell>
          <cell r="I1070">
            <v>151</v>
          </cell>
          <cell r="J1070">
            <v>1.77</v>
          </cell>
          <cell r="K1070">
            <v>2.1</v>
          </cell>
          <cell r="L1070">
            <v>1.8</v>
          </cell>
          <cell r="M1070">
            <v>2.15</v>
          </cell>
          <cell r="N1070">
            <v>1.82</v>
          </cell>
          <cell r="O1070">
            <v>2.2000000000000002</v>
          </cell>
          <cell r="P1070"/>
          <cell r="Q1070"/>
          <cell r="R1070">
            <v>2</v>
          </cell>
          <cell r="S1070">
            <v>2.7</v>
          </cell>
          <cell r="T1070"/>
          <cell r="U1070"/>
          <cell r="V1070">
            <v>15</v>
          </cell>
          <cell r="W1070"/>
          <cell r="X1070" t="str">
            <v>EDWIN</v>
          </cell>
          <cell r="Y1070"/>
          <cell r="Z1070" t="str">
            <v>EDWIN 4/1/18</v>
          </cell>
          <cell r="AA1070"/>
          <cell r="AB1070">
            <v>43104</v>
          </cell>
          <cell r="AC1070">
            <v>5094</v>
          </cell>
        </row>
        <row r="1071">
          <cell r="B1071">
            <v>4117</v>
          </cell>
          <cell r="C1071" t="str">
            <v>BG3875</v>
          </cell>
          <cell r="D1071" t="str">
            <v>RAYON JAC</v>
          </cell>
          <cell r="E1071" t="str">
            <v>R40*40  96*84</v>
          </cell>
          <cell r="F1071" t="str">
            <v>R100%</v>
          </cell>
          <cell r="G1071" t="str">
            <v xml:space="preserve">100% RAYON </v>
          </cell>
          <cell r="H1071" t="str">
            <v>53/54</v>
          </cell>
          <cell r="I1071">
            <v>123</v>
          </cell>
          <cell r="J1071">
            <v>1.8</v>
          </cell>
          <cell r="K1071">
            <v>2.15</v>
          </cell>
          <cell r="L1071">
            <v>1.83</v>
          </cell>
          <cell r="M1071">
            <v>2.2000000000000002</v>
          </cell>
          <cell r="N1071">
            <v>1.85</v>
          </cell>
          <cell r="O1071">
            <v>2.25</v>
          </cell>
          <cell r="P1071"/>
          <cell r="Q1071"/>
          <cell r="R1071">
            <v>2.0499999999999998</v>
          </cell>
          <cell r="S1071">
            <v>2.75</v>
          </cell>
          <cell r="T1071"/>
          <cell r="U1071"/>
          <cell r="V1071">
            <v>15</v>
          </cell>
          <cell r="W1071"/>
          <cell r="X1071" t="str">
            <v>EDWIN</v>
          </cell>
          <cell r="Y1071"/>
          <cell r="Z1071" t="str">
            <v>EDWIN 4/1/18</v>
          </cell>
          <cell r="AA1071"/>
          <cell r="AB1071">
            <v>43104</v>
          </cell>
          <cell r="AC1071">
            <v>5095</v>
          </cell>
        </row>
        <row r="1072">
          <cell r="B1072">
            <v>4116</v>
          </cell>
          <cell r="C1072" t="str">
            <v>BG3873</v>
          </cell>
          <cell r="D1072" t="str">
            <v>RAYON JAC</v>
          </cell>
          <cell r="E1072" t="str">
            <v>120V*120V  92*76</v>
          </cell>
          <cell r="F1072" t="str">
            <v>V100%</v>
          </cell>
          <cell r="G1072" t="str">
            <v xml:space="preserve">100% VISCOSE </v>
          </cell>
          <cell r="H1072" t="str">
            <v>53/54</v>
          </cell>
          <cell r="I1072">
            <v>94</v>
          </cell>
          <cell r="J1072">
            <v>3.15</v>
          </cell>
          <cell r="K1072">
            <v>3.7</v>
          </cell>
          <cell r="L1072">
            <v>3.17</v>
          </cell>
          <cell r="M1072">
            <v>3.75</v>
          </cell>
          <cell r="N1072">
            <v>3.2</v>
          </cell>
          <cell r="O1072">
            <v>3.8</v>
          </cell>
          <cell r="P1072"/>
          <cell r="Q1072"/>
          <cell r="R1072">
            <v>3.5</v>
          </cell>
          <cell r="S1072">
            <v>4.5</v>
          </cell>
          <cell r="T1072"/>
          <cell r="U1072"/>
          <cell r="V1072">
            <v>15</v>
          </cell>
          <cell r="W1072"/>
          <cell r="X1072" t="str">
            <v>EDWIN</v>
          </cell>
          <cell r="Y1072"/>
          <cell r="Z1072" t="str">
            <v>EDWIN 4/1/18</v>
          </cell>
          <cell r="AA1072"/>
          <cell r="AB1072">
            <v>43104</v>
          </cell>
          <cell r="AC1072">
            <v>5096</v>
          </cell>
        </row>
        <row r="1073">
          <cell r="B1073">
            <v>4115</v>
          </cell>
          <cell r="C1073" t="str">
            <v>BG3844</v>
          </cell>
          <cell r="D1073" t="str">
            <v>RAYON JAC</v>
          </cell>
          <cell r="E1073" t="str">
            <v>R60*60  140*84</v>
          </cell>
          <cell r="F1073" t="str">
            <v>R100%</v>
          </cell>
          <cell r="G1073" t="str">
            <v xml:space="preserve">100% RAYON </v>
          </cell>
          <cell r="H1073" t="str">
            <v>53/54</v>
          </cell>
          <cell r="I1073">
            <v>105</v>
          </cell>
          <cell r="J1073">
            <v>1.92</v>
          </cell>
          <cell r="K1073">
            <v>2.2999999999999998</v>
          </cell>
          <cell r="L1073">
            <v>1.95</v>
          </cell>
          <cell r="M1073">
            <v>2.35</v>
          </cell>
          <cell r="N1073">
            <v>1.97</v>
          </cell>
          <cell r="O1073">
            <v>2.4</v>
          </cell>
          <cell r="P1073"/>
          <cell r="Q1073"/>
          <cell r="R1073">
            <v>2.2000000000000002</v>
          </cell>
          <cell r="S1073">
            <v>2.9</v>
          </cell>
          <cell r="T1073"/>
          <cell r="U1073"/>
          <cell r="V1073">
            <v>15</v>
          </cell>
          <cell r="W1073"/>
          <cell r="X1073" t="str">
            <v>EDWIN</v>
          </cell>
          <cell r="Y1073"/>
          <cell r="Z1073" t="str">
            <v>EDWIN 4/1/18</v>
          </cell>
          <cell r="AA1073"/>
          <cell r="AB1073">
            <v>43104</v>
          </cell>
          <cell r="AC1073">
            <v>5097</v>
          </cell>
        </row>
        <row r="1074">
          <cell r="B1074">
            <v>4114</v>
          </cell>
          <cell r="C1074" t="str">
            <v>BG3529</v>
          </cell>
          <cell r="D1074" t="str">
            <v>RAYON TWILL JAC</v>
          </cell>
          <cell r="E1074" t="str">
            <v>40*40/96*80</v>
          </cell>
          <cell r="F1074" t="str">
            <v>R100%</v>
          </cell>
          <cell r="G1074" t="str">
            <v xml:space="preserve">100% RAYON </v>
          </cell>
          <cell r="H1074" t="str">
            <v>53/54</v>
          </cell>
          <cell r="I1074">
            <v>122</v>
          </cell>
          <cell r="J1074">
            <v>1.8</v>
          </cell>
          <cell r="K1074">
            <v>2.15</v>
          </cell>
          <cell r="L1074">
            <v>1.83</v>
          </cell>
          <cell r="M1074">
            <v>2.2000000000000002</v>
          </cell>
          <cell r="N1074">
            <v>1.85</v>
          </cell>
          <cell r="O1074">
            <v>2.25</v>
          </cell>
          <cell r="P1074"/>
          <cell r="Q1074"/>
          <cell r="R1074">
            <v>2.0499999999999998</v>
          </cell>
          <cell r="S1074">
            <v>2.75</v>
          </cell>
          <cell r="T1074"/>
          <cell r="U1074"/>
          <cell r="V1074">
            <v>15</v>
          </cell>
          <cell r="W1074"/>
          <cell r="X1074" t="str">
            <v>EDWIN</v>
          </cell>
          <cell r="Y1074"/>
          <cell r="Z1074" t="str">
            <v>EDWIN 4/1/18</v>
          </cell>
          <cell r="AA1074"/>
          <cell r="AB1074">
            <v>43104</v>
          </cell>
          <cell r="AC1074">
            <v>5098</v>
          </cell>
        </row>
        <row r="1075">
          <cell r="B1075">
            <v>4113</v>
          </cell>
          <cell r="C1075" t="str">
            <v>BG3632</v>
          </cell>
          <cell r="D1075" t="str">
            <v>CRINKLE RAYON JAC</v>
          </cell>
          <cell r="E1075" t="str">
            <v xml:space="preserve"> 30S*24S</v>
          </cell>
          <cell r="F1075" t="str">
            <v>R100%</v>
          </cell>
          <cell r="G1075" t="str">
            <v>100% RAYON</v>
          </cell>
          <cell r="H1075" t="str">
            <v>53/54</v>
          </cell>
          <cell r="I1075">
            <v>145</v>
          </cell>
          <cell r="J1075">
            <v>1.83</v>
          </cell>
          <cell r="K1075">
            <v>2.2000000000000002</v>
          </cell>
          <cell r="L1075">
            <v>1.86</v>
          </cell>
          <cell r="M1075">
            <v>2.25</v>
          </cell>
          <cell r="N1075">
            <v>1.88</v>
          </cell>
          <cell r="O1075">
            <v>2.2999999999999998</v>
          </cell>
          <cell r="P1075"/>
          <cell r="Q1075"/>
          <cell r="R1075">
            <v>2.1</v>
          </cell>
          <cell r="S1075">
            <v>2.8</v>
          </cell>
          <cell r="T1075"/>
          <cell r="U1075"/>
          <cell r="V1075">
            <v>15</v>
          </cell>
          <cell r="W1075"/>
          <cell r="X1075" t="str">
            <v>EDWIN</v>
          </cell>
          <cell r="Y1075"/>
          <cell r="Z1075" t="str">
            <v>EDWIN 4/1/18</v>
          </cell>
          <cell r="AA1075"/>
          <cell r="AB1075">
            <v>43104</v>
          </cell>
          <cell r="AC1075">
            <v>5099</v>
          </cell>
        </row>
        <row r="1076">
          <cell r="B1076">
            <v>4112</v>
          </cell>
          <cell r="C1076" t="str">
            <v>BG3633</v>
          </cell>
          <cell r="D1076" t="str">
            <v>RAYON JAC</v>
          </cell>
          <cell r="E1076" t="str">
            <v>32S*32S</v>
          </cell>
          <cell r="F1076" t="str">
            <v>R100%</v>
          </cell>
          <cell r="G1076" t="str">
            <v xml:space="preserve">100% RAYON </v>
          </cell>
          <cell r="H1076" t="str">
            <v>53/54</v>
          </cell>
          <cell r="I1076">
            <v>145</v>
          </cell>
          <cell r="J1076">
            <v>1.83</v>
          </cell>
          <cell r="K1076">
            <v>2.2000000000000002</v>
          </cell>
          <cell r="L1076">
            <v>1.86</v>
          </cell>
          <cell r="M1076">
            <v>2.25</v>
          </cell>
          <cell r="N1076">
            <v>1.88</v>
          </cell>
          <cell r="O1076">
            <v>2.2999999999999998</v>
          </cell>
          <cell r="P1076"/>
          <cell r="Q1076"/>
          <cell r="R1076">
            <v>2.1</v>
          </cell>
          <cell r="S1076">
            <v>2.8</v>
          </cell>
          <cell r="T1076"/>
          <cell r="U1076"/>
          <cell r="V1076">
            <v>15</v>
          </cell>
          <cell r="W1076"/>
          <cell r="X1076" t="str">
            <v>EDWIN</v>
          </cell>
          <cell r="Y1076"/>
          <cell r="Z1076" t="str">
            <v>EDWIN 4/1/18</v>
          </cell>
          <cell r="AA1076"/>
          <cell r="AB1076">
            <v>43104</v>
          </cell>
          <cell r="AC1076">
            <v>5100</v>
          </cell>
        </row>
        <row r="1077">
          <cell r="B1077">
            <v>3884</v>
          </cell>
          <cell r="C1077" t="str">
            <v>BG3331</v>
          </cell>
          <cell r="D1077" t="str">
            <v>CRINKLE POLY WITH SATEEN STRIPE</v>
          </cell>
          <cell r="E1077" t="str">
            <v>100D*100D/100D</v>
          </cell>
          <cell r="F1077" t="str">
            <v>T100%</v>
          </cell>
          <cell r="G1077" t="str">
            <v xml:space="preserve">100% POLYESTER </v>
          </cell>
          <cell r="H1077" t="str">
            <v>57/58</v>
          </cell>
          <cell r="I1077">
            <v>150</v>
          </cell>
          <cell r="J1077">
            <v>1.85</v>
          </cell>
          <cell r="K1077">
            <v>2.1</v>
          </cell>
          <cell r="L1077">
            <v>1.88</v>
          </cell>
          <cell r="M1077">
            <v>2.15</v>
          </cell>
          <cell r="N1077">
            <v>1.9</v>
          </cell>
          <cell r="O1077">
            <v>2.2000000000000002</v>
          </cell>
          <cell r="P1077"/>
          <cell r="Q1077"/>
          <cell r="R1077">
            <v>2.1</v>
          </cell>
          <cell r="S1077">
            <v>2.5</v>
          </cell>
          <cell r="T1077"/>
          <cell r="U1077"/>
          <cell r="V1077">
            <v>15</v>
          </cell>
          <cell r="W1077"/>
          <cell r="X1077" t="str">
            <v>EDWIN</v>
          </cell>
          <cell r="Y1077"/>
          <cell r="Z1077" t="str">
            <v>EDWIN 4/1/18</v>
          </cell>
          <cell r="AA1077"/>
          <cell r="AB1077">
            <v>43104</v>
          </cell>
          <cell r="AC1077">
            <v>5105</v>
          </cell>
        </row>
        <row r="1078">
          <cell r="B1078">
            <v>3433</v>
          </cell>
          <cell r="C1078" t="str">
            <v>HLT027</v>
          </cell>
          <cell r="D1078"/>
          <cell r="E1078" t="str">
            <v>75D+40Dx75D+40D</v>
          </cell>
          <cell r="F1078" t="str">
            <v>T/S 95/5</v>
          </cell>
          <cell r="G1078" t="str">
            <v xml:space="preserve">95% POLYESTER  5% SPANDEX </v>
          </cell>
          <cell r="H1078" t="str">
            <v>57/58</v>
          </cell>
          <cell r="I1078">
            <v>215</v>
          </cell>
          <cell r="J1078">
            <v>2.0648526077097502</v>
          </cell>
          <cell r="K1078">
            <v>2.1315192743764202</v>
          </cell>
          <cell r="L1078">
            <v>2.1648526077097499</v>
          </cell>
          <cell r="M1078">
            <v>2.2315192743764198</v>
          </cell>
          <cell r="N1078">
            <v>2.1748526077097501</v>
          </cell>
          <cell r="O1078">
            <v>2.3315192743764199</v>
          </cell>
          <cell r="P1078"/>
          <cell r="Q1078"/>
          <cell r="R1078">
            <v>2.2748526077097502</v>
          </cell>
          <cell r="S1078">
            <v>2.5315192743764201</v>
          </cell>
          <cell r="T1078"/>
          <cell r="U1078"/>
          <cell r="V1078"/>
          <cell r="W1078"/>
          <cell r="X1078" t="str">
            <v>CANDY</v>
          </cell>
          <cell r="Y1078"/>
          <cell r="Z1078" t="str">
            <v>LEI WANG ' MAIL 4/1/18</v>
          </cell>
          <cell r="AA1078"/>
          <cell r="AB1078">
            <v>43104</v>
          </cell>
          <cell r="AC1078">
            <v>5101</v>
          </cell>
        </row>
        <row r="1079">
          <cell r="B1079">
            <v>3185</v>
          </cell>
          <cell r="C1079" t="str">
            <v>HLT5072</v>
          </cell>
          <cell r="D1079" t="str">
            <v>SATEEN</v>
          </cell>
          <cell r="E1079"/>
          <cell r="F1079" t="str">
            <v>T100%</v>
          </cell>
          <cell r="G1079" t="str">
            <v xml:space="preserve">100% POLYESTER </v>
          </cell>
          <cell r="H1079" t="str">
            <v>152CM</v>
          </cell>
          <cell r="I1079">
            <v>174</v>
          </cell>
          <cell r="J1079">
            <v>1.7156462585034</v>
          </cell>
          <cell r="K1079">
            <v>1.83809523809524</v>
          </cell>
          <cell r="L1079">
            <v>1.8156462585033999</v>
          </cell>
          <cell r="M1079">
            <v>1.9380952380952401</v>
          </cell>
          <cell r="N1079">
            <v>1.8256462585033999</v>
          </cell>
          <cell r="O1079">
            <v>2.0380952380952402</v>
          </cell>
          <cell r="P1079"/>
          <cell r="Q1079"/>
          <cell r="R1079">
            <v>1.9256462585034</v>
          </cell>
          <cell r="S1079">
            <v>2.2380952380952399</v>
          </cell>
          <cell r="T1079"/>
          <cell r="U1079"/>
          <cell r="V1079"/>
          <cell r="W1079"/>
          <cell r="X1079" t="str">
            <v>CANDY</v>
          </cell>
          <cell r="Y1079"/>
          <cell r="Z1079" t="str">
            <v>LEI WANG ' MAIL 4/1/18</v>
          </cell>
          <cell r="AA1079"/>
          <cell r="AB1079">
            <v>43104</v>
          </cell>
          <cell r="AC1079">
            <v>5107</v>
          </cell>
        </row>
        <row r="1080">
          <cell r="B1080">
            <v>4105</v>
          </cell>
          <cell r="C1080" t="str">
            <v>M-1001-B</v>
          </cell>
          <cell r="D1080" t="str">
            <v>CREPE</v>
          </cell>
          <cell r="E1080" t="str">
            <v>75D*75D</v>
          </cell>
          <cell r="F1080" t="str">
            <v>T100%</v>
          </cell>
          <cell r="G1080" t="str">
            <v>100% POLYESTER</v>
          </cell>
          <cell r="H1080" t="str">
            <v>57/58</v>
          </cell>
          <cell r="I1080">
            <v>115</v>
          </cell>
          <cell r="J1080">
            <v>1.05</v>
          </cell>
          <cell r="K1080">
            <v>1.25</v>
          </cell>
          <cell r="L1080">
            <v>1.05</v>
          </cell>
          <cell r="M1080">
            <v>1.25</v>
          </cell>
          <cell r="N1080">
            <v>1.05</v>
          </cell>
          <cell r="O1080">
            <v>1.25</v>
          </cell>
          <cell r="P1080"/>
          <cell r="Q1080"/>
          <cell r="R1080">
            <v>1.1499999999999999</v>
          </cell>
          <cell r="S1080">
            <v>1.5</v>
          </cell>
          <cell r="T1080"/>
          <cell r="U1080"/>
          <cell r="V1080">
            <v>15</v>
          </cell>
          <cell r="W1080"/>
          <cell r="X1080" t="str">
            <v>M-TEX</v>
          </cell>
          <cell r="Y1080"/>
          <cell r="Z1080" t="str">
            <v>LINDA' MAIL 3/1/18</v>
          </cell>
          <cell r="AA1080"/>
          <cell r="AB1080">
            <v>43103</v>
          </cell>
          <cell r="AC1080">
            <v>5111</v>
          </cell>
        </row>
        <row r="1081">
          <cell r="B1081">
            <v>4104</v>
          </cell>
          <cell r="C1081" t="str">
            <v>BG3954</v>
          </cell>
          <cell r="D1081" t="str">
            <v>POLY WITH SATEEN LINE</v>
          </cell>
          <cell r="E1081" t="str">
            <v>75D*75D</v>
          </cell>
          <cell r="F1081" t="str">
            <v>T100%</v>
          </cell>
          <cell r="G1081" t="str">
            <v xml:space="preserve">100% POLYESTER </v>
          </cell>
          <cell r="H1081" t="str">
            <v>57/58</v>
          </cell>
          <cell r="I1081">
            <v>150</v>
          </cell>
          <cell r="J1081">
            <v>1.85</v>
          </cell>
          <cell r="K1081">
            <v>2.1</v>
          </cell>
          <cell r="L1081">
            <v>1.88</v>
          </cell>
          <cell r="M1081">
            <v>2.15</v>
          </cell>
          <cell r="N1081">
            <v>1.9</v>
          </cell>
          <cell r="O1081">
            <v>2.2000000000000002</v>
          </cell>
          <cell r="P1081"/>
          <cell r="Q1081"/>
          <cell r="R1081">
            <v>2.1</v>
          </cell>
          <cell r="S1081">
            <v>2.5</v>
          </cell>
          <cell r="T1081"/>
          <cell r="U1081"/>
          <cell r="V1081">
            <v>15</v>
          </cell>
          <cell r="W1081"/>
          <cell r="X1081" t="str">
            <v>EDWIN</v>
          </cell>
          <cell r="Y1081"/>
          <cell r="Z1081" t="str">
            <v>EDWIN ' MAIL 3/1/18</v>
          </cell>
          <cell r="AA1081"/>
          <cell r="AB1081">
            <v>43103</v>
          </cell>
          <cell r="AC1081">
            <v>5114</v>
          </cell>
        </row>
        <row r="1082">
          <cell r="B1082">
            <v>3402</v>
          </cell>
          <cell r="C1082" t="str">
            <v>M-1001</v>
          </cell>
          <cell r="D1082" t="str">
            <v>CREPE</v>
          </cell>
          <cell r="E1082" t="str">
            <v>75D*75D</v>
          </cell>
          <cell r="F1082" t="str">
            <v>T100%</v>
          </cell>
          <cell r="G1082" t="str">
            <v>100% POLYESTER</v>
          </cell>
          <cell r="H1082" t="str">
            <v>58/59</v>
          </cell>
          <cell r="I1082" t="str">
            <v>120-130</v>
          </cell>
          <cell r="J1082">
            <v>1.1499999999999999</v>
          </cell>
          <cell r="K1082">
            <v>1.35</v>
          </cell>
          <cell r="L1082">
            <v>1.1499999999999999</v>
          </cell>
          <cell r="M1082">
            <v>1.35</v>
          </cell>
          <cell r="N1082">
            <v>1.1499999999999999</v>
          </cell>
          <cell r="O1082">
            <v>1.4</v>
          </cell>
          <cell r="P1082"/>
          <cell r="Q1082"/>
          <cell r="R1082">
            <v>1.2</v>
          </cell>
          <cell r="S1082">
            <v>1.6</v>
          </cell>
          <cell r="T1082"/>
          <cell r="U1082"/>
          <cell r="V1082">
            <v>15</v>
          </cell>
          <cell r="W1082"/>
          <cell r="X1082" t="str">
            <v>M-TEX</v>
          </cell>
          <cell r="Y1082"/>
          <cell r="Z1082" t="str">
            <v>LINDA' MAIL 3/1/18</v>
          </cell>
          <cell r="AA1082"/>
          <cell r="AB1082">
            <v>43103</v>
          </cell>
          <cell r="AC1082">
            <v>5112</v>
          </cell>
        </row>
        <row r="1083">
          <cell r="B1083">
            <v>2754</v>
          </cell>
          <cell r="C1083" t="str">
            <v>HLT3849</v>
          </cell>
          <cell r="D1083" t="str">
            <v>CRINKLE CHIIFFON WITH VELVET DOTS</v>
          </cell>
          <cell r="E1083"/>
          <cell r="F1083" t="str">
            <v>T100%</v>
          </cell>
          <cell r="G1083" t="str">
            <v xml:space="preserve">100% POLYESTER </v>
          </cell>
          <cell r="H1083" t="str">
            <v>57/58</v>
          </cell>
          <cell r="I1083">
            <v>56</v>
          </cell>
          <cell r="J1083">
            <v>1.55918367346939</v>
          </cell>
          <cell r="K1083"/>
          <cell r="L1083">
            <v>1.6591836734693901</v>
          </cell>
          <cell r="M1083"/>
          <cell r="N1083">
            <v>1.75918367346939</v>
          </cell>
          <cell r="O1083"/>
          <cell r="P1083"/>
          <cell r="Q1083"/>
          <cell r="R1083">
            <v>1.8591836734693901</v>
          </cell>
          <cell r="S1083"/>
          <cell r="T1083"/>
          <cell r="U1083"/>
          <cell r="V1083"/>
          <cell r="W1083"/>
          <cell r="X1083" t="str">
            <v>CANDY</v>
          </cell>
          <cell r="Y1083"/>
          <cell r="Z1083" t="str">
            <v>CANDY ' MAIL 3/1/18</v>
          </cell>
          <cell r="AA1083"/>
          <cell r="AB1083">
            <v>43103</v>
          </cell>
          <cell r="AC1083">
            <v>5109</v>
          </cell>
        </row>
        <row r="1084">
          <cell r="B1084">
            <v>2256</v>
          </cell>
          <cell r="C1084" t="str">
            <v>HLT1139</v>
          </cell>
          <cell r="D1084"/>
          <cell r="E1084"/>
          <cell r="F1084" t="str">
            <v>T/R/S 63/32/5</v>
          </cell>
          <cell r="G1084" t="str">
            <v>63% POLYESTER 32% RAYON 5% SPAN</v>
          </cell>
          <cell r="H1084" t="str">
            <v>57/58</v>
          </cell>
          <cell r="I1084">
            <v>220</v>
          </cell>
          <cell r="J1084">
            <v>2.2000000000000002</v>
          </cell>
          <cell r="K1084"/>
          <cell r="L1084">
            <v>2.25</v>
          </cell>
          <cell r="M1084"/>
          <cell r="N1084">
            <v>2.2999999999999998</v>
          </cell>
          <cell r="O1084"/>
          <cell r="P1084"/>
          <cell r="Q1084"/>
          <cell r="R1084">
            <v>2.4499999999999997</v>
          </cell>
          <cell r="S1084"/>
          <cell r="T1084"/>
          <cell r="U1084"/>
          <cell r="V1084">
            <v>15</v>
          </cell>
          <cell r="W1084"/>
          <cell r="X1084" t="str">
            <v>CANDY</v>
          </cell>
          <cell r="Y1084"/>
          <cell r="Z1084" t="str">
            <v>CANDY MAIL 3/1/18</v>
          </cell>
          <cell r="AA1084"/>
          <cell r="AB1084">
            <v>43103</v>
          </cell>
          <cell r="AC1084">
            <v>5116</v>
          </cell>
        </row>
        <row r="1085">
          <cell r="B1085">
            <v>2070</v>
          </cell>
          <cell r="C1085" t="str">
            <v>T2728-M</v>
          </cell>
          <cell r="D1085" t="str">
            <v>LACE</v>
          </cell>
          <cell r="E1085"/>
          <cell r="F1085" t="str">
            <v>C/N 60/40</v>
          </cell>
          <cell r="G1085" t="str">
            <v>60%COTTON  40%NYLON</v>
          </cell>
          <cell r="H1085" t="str">
            <v>57/58</v>
          </cell>
          <cell r="I1085">
            <v>130</v>
          </cell>
          <cell r="J1085">
            <v>1.6</v>
          </cell>
          <cell r="K1085"/>
          <cell r="L1085">
            <v>1.7</v>
          </cell>
          <cell r="M1085"/>
          <cell r="N1085">
            <v>1.8</v>
          </cell>
          <cell r="O1085"/>
          <cell r="P1085"/>
          <cell r="Q1085"/>
          <cell r="R1085">
            <v>2</v>
          </cell>
          <cell r="S1085"/>
          <cell r="T1085"/>
          <cell r="U1085"/>
          <cell r="V1085">
            <v>15</v>
          </cell>
          <cell r="W1085"/>
          <cell r="X1085" t="str">
            <v>ANGELA</v>
          </cell>
          <cell r="Y1085"/>
          <cell r="Z1085" t="str">
            <v>ANGELA' MAIL 3/1/18</v>
          </cell>
          <cell r="AA1085"/>
          <cell r="AB1085">
            <v>43103</v>
          </cell>
          <cell r="AC1085">
            <v>5110</v>
          </cell>
        </row>
        <row r="1086">
          <cell r="B1086">
            <v>1886</v>
          </cell>
          <cell r="C1086" t="str">
            <v>OLP-1650301SH</v>
          </cell>
          <cell r="D1086" t="str">
            <v>CDC</v>
          </cell>
          <cell r="E1086"/>
          <cell r="F1086" t="str">
            <v>T100%</v>
          </cell>
          <cell r="G1086" t="str">
            <v xml:space="preserve">100% POLYESTER </v>
          </cell>
          <cell r="H1086" t="str">
            <v>57/58</v>
          </cell>
          <cell r="I1086">
            <v>80</v>
          </cell>
          <cell r="J1086">
            <v>1.3</v>
          </cell>
          <cell r="K1086">
            <v>1.55</v>
          </cell>
          <cell r="L1086">
            <v>1.35</v>
          </cell>
          <cell r="M1086">
            <v>1.62</v>
          </cell>
          <cell r="N1086">
            <v>1.45</v>
          </cell>
          <cell r="O1086">
            <v>1.72</v>
          </cell>
          <cell r="P1086"/>
          <cell r="Q1086"/>
          <cell r="R1086">
            <v>1.6</v>
          </cell>
          <cell r="S1086">
            <v>2.4</v>
          </cell>
          <cell r="T1086"/>
          <cell r="U1086"/>
          <cell r="V1086">
            <v>15</v>
          </cell>
          <cell r="W1086"/>
          <cell r="X1086" t="str">
            <v>OWEN</v>
          </cell>
          <cell r="Y1086"/>
          <cell r="Z1086" t="str">
            <v>SANDY' MAIL 3/1/18</v>
          </cell>
          <cell r="AA1086"/>
          <cell r="AB1086">
            <v>43103</v>
          </cell>
          <cell r="AC1086">
            <v>5115</v>
          </cell>
        </row>
        <row r="1087">
          <cell r="B1087">
            <v>1096</v>
          </cell>
          <cell r="C1087" t="str">
            <v>BG3026</v>
          </cell>
          <cell r="D1087" t="str">
            <v>DOBBY RAYON</v>
          </cell>
          <cell r="E1087" t="str">
            <v>60*60/90*88</v>
          </cell>
          <cell r="F1087" t="str">
            <v>R100%</v>
          </cell>
          <cell r="G1087" t="str">
            <v xml:space="preserve">100% RAYON DOBBY </v>
          </cell>
          <cell r="H1087" t="str">
            <v>53/54</v>
          </cell>
          <cell r="I1087">
            <v>83</v>
          </cell>
          <cell r="J1087">
            <v>1.62</v>
          </cell>
          <cell r="K1087">
            <v>1.95</v>
          </cell>
          <cell r="L1087">
            <v>1.63</v>
          </cell>
          <cell r="M1087">
            <v>2</v>
          </cell>
          <cell r="N1087">
            <v>1.65</v>
          </cell>
          <cell r="O1087">
            <v>2.0499999999999998</v>
          </cell>
          <cell r="P1087"/>
          <cell r="Q1087"/>
          <cell r="R1087">
            <v>1.85</v>
          </cell>
          <cell r="S1087">
            <v>2.6</v>
          </cell>
          <cell r="T1087"/>
          <cell r="U1087"/>
          <cell r="V1087">
            <v>15</v>
          </cell>
          <cell r="W1087"/>
          <cell r="X1087" t="str">
            <v>EDWIN</v>
          </cell>
          <cell r="Y1087"/>
          <cell r="Z1087" t="str">
            <v>EDWIN' MAIL 3/1/18</v>
          </cell>
          <cell r="AA1087"/>
          <cell r="AB1087">
            <v>43103</v>
          </cell>
          <cell r="AC1087">
            <v>5113</v>
          </cell>
        </row>
        <row r="1088">
          <cell r="B1088">
            <v>4103</v>
          </cell>
          <cell r="C1088" t="str">
            <v>09789XS</v>
          </cell>
          <cell r="D1088" t="str">
            <v>SILK POLY</v>
          </cell>
          <cell r="E1088" t="str">
            <v>80D*80D</v>
          </cell>
          <cell r="F1088" t="str">
            <v>T100%</v>
          </cell>
          <cell r="G1088" t="str">
            <v>100% POLYESTER</v>
          </cell>
          <cell r="H1088">
            <v>58</v>
          </cell>
          <cell r="I1088">
            <v>105</v>
          </cell>
          <cell r="J1088">
            <v>1.92</v>
          </cell>
          <cell r="K1088">
            <v>2.25</v>
          </cell>
          <cell r="L1088">
            <v>1.94</v>
          </cell>
          <cell r="M1088">
            <v>2.27</v>
          </cell>
          <cell r="N1088">
            <v>1.97</v>
          </cell>
          <cell r="O1088">
            <v>2.2999999999999998</v>
          </cell>
          <cell r="P1088"/>
          <cell r="Q1088"/>
          <cell r="R1088">
            <v>2</v>
          </cell>
          <cell r="S1088">
            <v>2.33</v>
          </cell>
          <cell r="T1088"/>
          <cell r="U1088"/>
          <cell r="V1088">
            <v>15</v>
          </cell>
          <cell r="W1088"/>
          <cell r="X1088" t="str">
            <v>ADEN</v>
          </cell>
          <cell r="Y1088"/>
          <cell r="Z1088" t="str">
            <v>ADEN' MAIL 2/1/18</v>
          </cell>
          <cell r="AA1088"/>
          <cell r="AB1088">
            <v>43102</v>
          </cell>
          <cell r="AC1088">
            <v>5117</v>
          </cell>
        </row>
        <row r="1089">
          <cell r="B1089">
            <v>4102</v>
          </cell>
          <cell r="C1089" t="str">
            <v>FQ-09781KW</v>
          </cell>
          <cell r="D1089" t="str">
            <v>SILK POLY</v>
          </cell>
          <cell r="E1089" t="str">
            <v>75D*75D</v>
          </cell>
          <cell r="F1089" t="str">
            <v>T100%</v>
          </cell>
          <cell r="G1089" t="str">
            <v>100% POLYESTER</v>
          </cell>
          <cell r="H1089">
            <v>58</v>
          </cell>
          <cell r="I1089">
            <v>105</v>
          </cell>
          <cell r="J1089">
            <v>1.43</v>
          </cell>
          <cell r="K1089">
            <v>1.85</v>
          </cell>
          <cell r="L1089">
            <v>1.45</v>
          </cell>
          <cell r="M1089">
            <v>1.87</v>
          </cell>
          <cell r="N1089">
            <v>1.48</v>
          </cell>
          <cell r="O1089">
            <v>1.9</v>
          </cell>
          <cell r="P1089"/>
          <cell r="Q1089"/>
          <cell r="R1089">
            <v>1.5</v>
          </cell>
          <cell r="S1089">
            <v>1.92</v>
          </cell>
          <cell r="T1089"/>
          <cell r="U1089"/>
          <cell r="V1089">
            <v>15</v>
          </cell>
          <cell r="W1089"/>
          <cell r="X1089" t="str">
            <v>ADEN</v>
          </cell>
          <cell r="Y1089"/>
          <cell r="Z1089" t="str">
            <v>ADEN' MAIL 2/1/18</v>
          </cell>
          <cell r="AA1089"/>
          <cell r="AB1089">
            <v>43102</v>
          </cell>
          <cell r="AC1089">
            <v>5118</v>
          </cell>
        </row>
        <row r="1090">
          <cell r="B1090">
            <v>1134</v>
          </cell>
          <cell r="C1090" t="str">
            <v>OLP-151017-J5030</v>
          </cell>
          <cell r="D1090" t="str">
            <v>DOBBY VISCOSE</v>
          </cell>
          <cell r="E1090" t="str">
            <v>6*60/98*94</v>
          </cell>
          <cell r="F1090" t="str">
            <v>V100%</v>
          </cell>
          <cell r="G1090" t="str">
            <v xml:space="preserve">100% VISCOSE </v>
          </cell>
          <cell r="H1090" t="str">
            <v>53/54</v>
          </cell>
          <cell r="I1090">
            <v>85</v>
          </cell>
          <cell r="J1090">
            <v>2</v>
          </cell>
          <cell r="K1090">
            <v>2.1</v>
          </cell>
          <cell r="L1090">
            <v>2.0499999999999998</v>
          </cell>
          <cell r="M1090">
            <v>2.15</v>
          </cell>
          <cell r="N1090">
            <v>2.15</v>
          </cell>
          <cell r="O1090">
            <v>2.2999999999999998</v>
          </cell>
          <cell r="P1090"/>
          <cell r="Q1090"/>
          <cell r="R1090">
            <v>2.2999999999999998</v>
          </cell>
          <cell r="S1090">
            <v>3</v>
          </cell>
          <cell r="T1090"/>
          <cell r="U1090"/>
          <cell r="V1090">
            <v>15</v>
          </cell>
          <cell r="W1090"/>
          <cell r="X1090" t="str">
            <v>OWEN</v>
          </cell>
          <cell r="Y1090"/>
          <cell r="Z1090" t="str">
            <v>SANDY' MAIL 2/1/18</v>
          </cell>
          <cell r="AA1090"/>
          <cell r="AB1090">
            <v>43102</v>
          </cell>
          <cell r="AC1090">
            <v>5119</v>
          </cell>
        </row>
        <row r="1091">
          <cell r="B1091">
            <v>4101</v>
          </cell>
          <cell r="C1091" t="str">
            <v>OLP-1123-091FS</v>
          </cell>
          <cell r="D1091" t="str">
            <v>SILK POLY</v>
          </cell>
          <cell r="E1091" t="str">
            <v>15+150*80</v>
          </cell>
          <cell r="F1091" t="str">
            <v>T100%</v>
          </cell>
          <cell r="G1091" t="str">
            <v xml:space="preserve">100% POLYESTER </v>
          </cell>
          <cell r="H1091" t="str">
            <v>57/58</v>
          </cell>
          <cell r="I1091">
            <v>75</v>
          </cell>
          <cell r="J1091">
            <v>2.2400000000000002</v>
          </cell>
          <cell r="K1091">
            <v>2.64</v>
          </cell>
          <cell r="L1091">
            <v>2.2999999999999998</v>
          </cell>
          <cell r="M1091">
            <v>2.74</v>
          </cell>
          <cell r="N1091">
            <v>2.4</v>
          </cell>
          <cell r="O1091">
            <v>2.98</v>
          </cell>
          <cell r="P1091"/>
          <cell r="Q1091"/>
          <cell r="R1091">
            <v>2.5499999999999998</v>
          </cell>
          <cell r="S1091">
            <v>3.68</v>
          </cell>
          <cell r="T1091"/>
          <cell r="U1091"/>
          <cell r="V1091">
            <v>15</v>
          </cell>
          <cell r="W1091"/>
          <cell r="X1091" t="str">
            <v>OWEN</v>
          </cell>
          <cell r="Y1091"/>
          <cell r="Z1091" t="str">
            <v>SANDY ' MAIL 30/12/17</v>
          </cell>
          <cell r="AA1091"/>
          <cell r="AB1091">
            <v>43099</v>
          </cell>
          <cell r="AC1091">
            <v>5120</v>
          </cell>
        </row>
        <row r="1092">
          <cell r="B1092">
            <v>4100</v>
          </cell>
          <cell r="C1092" t="str">
            <v>OLP-SP00348</v>
          </cell>
          <cell r="D1092" t="str">
            <v>SILK POLY</v>
          </cell>
          <cell r="E1092" t="str">
            <v>80*80</v>
          </cell>
          <cell r="F1092" t="str">
            <v>T100%</v>
          </cell>
          <cell r="G1092" t="str">
            <v xml:space="preserve">100% POLYESTER </v>
          </cell>
          <cell r="H1092" t="str">
            <v>57/58</v>
          </cell>
          <cell r="I1092">
            <v>100</v>
          </cell>
          <cell r="J1092">
            <v>2.15</v>
          </cell>
          <cell r="K1092">
            <v>2.58</v>
          </cell>
          <cell r="L1092">
            <v>2.2000000000000002</v>
          </cell>
          <cell r="M1092">
            <v>2.68</v>
          </cell>
          <cell r="N1092">
            <v>2.2999999999999998</v>
          </cell>
          <cell r="O1092">
            <v>2.88</v>
          </cell>
          <cell r="P1092"/>
          <cell r="Q1092"/>
          <cell r="R1092">
            <v>2.4500000000000002</v>
          </cell>
          <cell r="S1092">
            <v>3.58</v>
          </cell>
          <cell r="T1092"/>
          <cell r="U1092"/>
          <cell r="V1092">
            <v>15</v>
          </cell>
          <cell r="W1092"/>
          <cell r="X1092" t="str">
            <v>OWEN</v>
          </cell>
          <cell r="Y1092"/>
          <cell r="Z1092" t="str">
            <v>SANDY ' MAIL 30/12/17</v>
          </cell>
          <cell r="AA1092"/>
          <cell r="AB1092">
            <v>43099</v>
          </cell>
          <cell r="AC1092">
            <v>5121</v>
          </cell>
        </row>
        <row r="1093">
          <cell r="B1093">
            <v>534</v>
          </cell>
          <cell r="C1093" t="str">
            <v>14073014HP</v>
          </cell>
          <cell r="D1093" t="str">
            <v>LACE</v>
          </cell>
          <cell r="E1093"/>
          <cell r="F1093" t="str">
            <v>N/R 65/35</v>
          </cell>
          <cell r="G1093" t="str">
            <v>65% NYLON 35% RAYON</v>
          </cell>
          <cell r="H1093" t="str">
            <v>57/58</v>
          </cell>
          <cell r="I1093"/>
          <cell r="J1093">
            <v>2.4</v>
          </cell>
          <cell r="K1093" t="str">
            <v>—</v>
          </cell>
          <cell r="L1093">
            <v>2.4500000000000002</v>
          </cell>
          <cell r="M1093" t="str">
            <v>—</v>
          </cell>
          <cell r="N1093">
            <v>2.5</v>
          </cell>
          <cell r="O1093" t="str">
            <v>—</v>
          </cell>
          <cell r="P1093"/>
          <cell r="Q1093"/>
          <cell r="R1093">
            <v>2.65</v>
          </cell>
          <cell r="S1093" t="str">
            <v>—</v>
          </cell>
          <cell r="T1093"/>
          <cell r="U1093"/>
          <cell r="V1093">
            <v>15</v>
          </cell>
          <cell r="W1093"/>
          <cell r="X1093" t="str">
            <v>OWEN</v>
          </cell>
          <cell r="Y1093"/>
          <cell r="Z1093" t="str">
            <v>SANDY ' MAIL 30/12/17</v>
          </cell>
          <cell r="AA1093"/>
          <cell r="AB1093">
            <v>43099</v>
          </cell>
          <cell r="AC1093">
            <v>5122</v>
          </cell>
        </row>
        <row r="1094">
          <cell r="B1094">
            <v>4099</v>
          </cell>
          <cell r="C1094" t="str">
            <v>OLP-SP00345</v>
          </cell>
          <cell r="D1094" t="str">
            <v>CDC</v>
          </cell>
          <cell r="E1094" t="str">
            <v>75D*75D</v>
          </cell>
          <cell r="F1094" t="str">
            <v>T100%</v>
          </cell>
          <cell r="G1094" t="str">
            <v xml:space="preserve">100% POLYESTER </v>
          </cell>
          <cell r="H1094" t="str">
            <v>57/58</v>
          </cell>
          <cell r="I1094">
            <v>75</v>
          </cell>
          <cell r="J1094">
            <v>1.05</v>
          </cell>
          <cell r="K1094">
            <v>1.32</v>
          </cell>
          <cell r="L1094">
            <v>1.1000000000000001</v>
          </cell>
          <cell r="M1094">
            <v>1.4</v>
          </cell>
          <cell r="N1094">
            <v>1.1499999999999999</v>
          </cell>
          <cell r="O1094">
            <v>1.5</v>
          </cell>
          <cell r="P1094"/>
          <cell r="Q1094"/>
          <cell r="R1094">
            <v>1.3</v>
          </cell>
          <cell r="S1094">
            <v>2.2000000000000002</v>
          </cell>
          <cell r="T1094"/>
          <cell r="U1094"/>
          <cell r="V1094">
            <v>15</v>
          </cell>
          <cell r="W1094"/>
          <cell r="X1094" t="str">
            <v>OWEN</v>
          </cell>
          <cell r="Y1094"/>
          <cell r="Z1094" t="str">
            <v>SANDY ' MAIL 29/12/17</v>
          </cell>
          <cell r="AA1094"/>
          <cell r="AB1094">
            <v>43098</v>
          </cell>
          <cell r="AC1094">
            <v>5123</v>
          </cell>
        </row>
        <row r="1095">
          <cell r="B1095">
            <v>4097</v>
          </cell>
          <cell r="C1095" t="str">
            <v>TS-497</v>
          </cell>
          <cell r="D1095" t="str">
            <v>JERSEY</v>
          </cell>
          <cell r="E1095"/>
          <cell r="F1095" t="str">
            <v>T/S 95/5</v>
          </cell>
          <cell r="G1095" t="str">
            <v>95% POLYESTER 5% SPANDEX</v>
          </cell>
          <cell r="H1095" t="str">
            <v xml:space="preserve">180CM </v>
          </cell>
          <cell r="I1095">
            <v>145</v>
          </cell>
          <cell r="J1095">
            <v>1.06</v>
          </cell>
          <cell r="K1095">
            <v>1.24</v>
          </cell>
          <cell r="L1095">
            <v>1.08</v>
          </cell>
          <cell r="M1095">
            <v>1.27</v>
          </cell>
          <cell r="N1095">
            <v>1.1000000000000001</v>
          </cell>
          <cell r="O1095">
            <v>1.3</v>
          </cell>
          <cell r="P1095"/>
          <cell r="Q1095"/>
          <cell r="R1095">
            <v>1.25</v>
          </cell>
          <cell r="S1095">
            <v>1.55</v>
          </cell>
          <cell r="T1095"/>
          <cell r="U1095"/>
          <cell r="V1095">
            <v>15</v>
          </cell>
          <cell r="W1095"/>
          <cell r="X1095" t="str">
            <v>GAVIN</v>
          </cell>
          <cell r="Y1095"/>
          <cell r="Z1095" t="str">
            <v>GAVIN ' MAIL 28/12/17</v>
          </cell>
          <cell r="AA1095"/>
          <cell r="AB1095">
            <v>43097</v>
          </cell>
          <cell r="AC1095">
            <v>5124</v>
          </cell>
        </row>
        <row r="1096">
          <cell r="B1096">
            <v>4096</v>
          </cell>
          <cell r="C1096" t="str">
            <v>LXP-112</v>
          </cell>
          <cell r="D1096" t="str">
            <v>SILK POLY</v>
          </cell>
          <cell r="E1096" t="str">
            <v>75D*75D</v>
          </cell>
          <cell r="F1096" t="str">
            <v>T100%</v>
          </cell>
          <cell r="G1096" t="str">
            <v>100%POLYESTER</v>
          </cell>
          <cell r="H1096" t="str">
            <v>57/58</v>
          </cell>
          <cell r="I1096">
            <v>125</v>
          </cell>
          <cell r="J1096">
            <v>1.48</v>
          </cell>
          <cell r="K1096">
            <v>1.68</v>
          </cell>
          <cell r="L1096">
            <v>1.48</v>
          </cell>
          <cell r="M1096">
            <v>1.68</v>
          </cell>
          <cell r="N1096">
            <v>1.5</v>
          </cell>
          <cell r="O1096">
            <v>1.71</v>
          </cell>
          <cell r="P1096"/>
          <cell r="Q1096"/>
          <cell r="R1096">
            <v>1.54</v>
          </cell>
          <cell r="S1096">
            <v>1.74</v>
          </cell>
          <cell r="T1096"/>
          <cell r="U1096"/>
          <cell r="V1096">
            <v>15</v>
          </cell>
          <cell r="W1096"/>
          <cell r="X1096" t="str">
            <v>TINA</v>
          </cell>
          <cell r="Y1096"/>
          <cell r="Z1096" t="str">
            <v>TINA' MAIL 28/12/17</v>
          </cell>
          <cell r="AA1096"/>
          <cell r="AB1096">
            <v>43097</v>
          </cell>
          <cell r="AC1096">
            <v>5125</v>
          </cell>
        </row>
        <row r="1097">
          <cell r="B1097">
            <v>4095</v>
          </cell>
          <cell r="C1097" t="str">
            <v>LXP-111</v>
          </cell>
          <cell r="D1097" t="str">
            <v>SILK POLY</v>
          </cell>
          <cell r="E1097" t="str">
            <v>80D*80D</v>
          </cell>
          <cell r="F1097" t="str">
            <v>T100%</v>
          </cell>
          <cell r="G1097" t="str">
            <v>100%POLYESTER</v>
          </cell>
          <cell r="H1097" t="str">
            <v>57/58</v>
          </cell>
          <cell r="I1097">
            <v>110</v>
          </cell>
          <cell r="J1097">
            <v>1.95</v>
          </cell>
          <cell r="K1097">
            <v>2.14</v>
          </cell>
          <cell r="L1097">
            <v>1.95</v>
          </cell>
          <cell r="M1097">
            <v>2.14</v>
          </cell>
          <cell r="N1097">
            <v>1.99</v>
          </cell>
          <cell r="O1097">
            <v>2.16</v>
          </cell>
          <cell r="P1097"/>
          <cell r="Q1097"/>
          <cell r="R1097">
            <v>2.0299999999999998</v>
          </cell>
          <cell r="S1097">
            <v>2.19</v>
          </cell>
          <cell r="T1097"/>
          <cell r="U1097"/>
          <cell r="V1097">
            <v>15</v>
          </cell>
          <cell r="W1097"/>
          <cell r="X1097" t="str">
            <v>TINA</v>
          </cell>
          <cell r="Y1097"/>
          <cell r="Z1097" t="str">
            <v>TINA' MAIL 28/12/17</v>
          </cell>
          <cell r="AA1097"/>
          <cell r="AB1097">
            <v>43097</v>
          </cell>
          <cell r="AC1097">
            <v>5126</v>
          </cell>
        </row>
        <row r="1098">
          <cell r="B1098">
            <v>4094</v>
          </cell>
          <cell r="C1098" t="str">
            <v>HY-10ZFS063</v>
          </cell>
          <cell r="D1098" t="str">
            <v>SATEEN</v>
          </cell>
          <cell r="E1098"/>
          <cell r="F1098" t="str">
            <v>T100%</v>
          </cell>
          <cell r="G1098" t="str">
            <v xml:space="preserve">100% POLYESTER </v>
          </cell>
          <cell r="H1098" t="str">
            <v>57/58</v>
          </cell>
          <cell r="I1098">
            <v>109</v>
          </cell>
          <cell r="J1098"/>
          <cell r="K1098"/>
          <cell r="L1098"/>
          <cell r="M1098"/>
          <cell r="N1098">
            <v>2.7</v>
          </cell>
          <cell r="O1098">
            <v>3.11</v>
          </cell>
          <cell r="P1098"/>
          <cell r="Q1098"/>
          <cell r="R1098">
            <v>2.9</v>
          </cell>
          <cell r="S1098"/>
          <cell r="T1098"/>
          <cell r="U1098"/>
          <cell r="V1098">
            <v>15</v>
          </cell>
          <cell r="W1098"/>
          <cell r="X1098" t="str">
            <v>HANSHOW</v>
          </cell>
          <cell r="Y1098"/>
          <cell r="Z1098" t="str">
            <v>JESSIE ' MAIL 26/12/17</v>
          </cell>
          <cell r="AA1098"/>
          <cell r="AB1098">
            <v>43095</v>
          </cell>
          <cell r="AC1098">
            <v>5149</v>
          </cell>
        </row>
        <row r="1099">
          <cell r="B1099">
            <v>4093</v>
          </cell>
          <cell r="C1099" t="str">
            <v>HY-10ZFS051AF</v>
          </cell>
          <cell r="D1099" t="str">
            <v>SATEEN</v>
          </cell>
          <cell r="E1099"/>
          <cell r="F1099" t="str">
            <v>T100%</v>
          </cell>
          <cell r="G1099" t="str">
            <v xml:space="preserve">100% POLYESTER </v>
          </cell>
          <cell r="H1099" t="str">
            <v>55/56</v>
          </cell>
          <cell r="I1099">
            <v>152</v>
          </cell>
          <cell r="J1099"/>
          <cell r="K1099"/>
          <cell r="L1099"/>
          <cell r="M1099"/>
          <cell r="N1099">
            <v>2.2999999999999998</v>
          </cell>
          <cell r="O1099">
            <v>2.69</v>
          </cell>
          <cell r="P1099"/>
          <cell r="Q1099"/>
          <cell r="R1099">
            <v>2.5</v>
          </cell>
          <cell r="S1099"/>
          <cell r="T1099"/>
          <cell r="U1099"/>
          <cell r="V1099">
            <v>15</v>
          </cell>
          <cell r="W1099"/>
          <cell r="X1099" t="str">
            <v>HANSHOW</v>
          </cell>
          <cell r="Y1099"/>
          <cell r="Z1099" t="str">
            <v>JESSIE ' MAIL 26/12/17</v>
          </cell>
          <cell r="AA1099"/>
          <cell r="AB1099">
            <v>43095</v>
          </cell>
          <cell r="AC1099">
            <v>5145</v>
          </cell>
        </row>
        <row r="1100">
          <cell r="B1100">
            <v>4092</v>
          </cell>
          <cell r="C1100" t="str">
            <v>HY-10ZFS149</v>
          </cell>
          <cell r="D1100" t="str">
            <v>SATEEN</v>
          </cell>
          <cell r="E1100"/>
          <cell r="F1100" t="str">
            <v>T100%</v>
          </cell>
          <cell r="G1100" t="str">
            <v xml:space="preserve">100% POLYESTER </v>
          </cell>
          <cell r="H1100" t="str">
            <v>57/58</v>
          </cell>
          <cell r="I1100">
            <v>84</v>
          </cell>
          <cell r="J1100"/>
          <cell r="K1100"/>
          <cell r="L1100"/>
          <cell r="M1100"/>
          <cell r="N1100">
            <v>1.68</v>
          </cell>
          <cell r="O1100">
            <v>2.0699999999999998</v>
          </cell>
          <cell r="P1100"/>
          <cell r="Q1100"/>
          <cell r="R1100">
            <v>1.88</v>
          </cell>
          <cell r="S1100"/>
          <cell r="T1100"/>
          <cell r="U1100"/>
          <cell r="V1100">
            <v>15</v>
          </cell>
          <cell r="W1100"/>
          <cell r="X1100" t="str">
            <v>HANSHOW</v>
          </cell>
          <cell r="Y1100"/>
          <cell r="Z1100" t="str">
            <v>JESSIE ' MAIL 26/12/17</v>
          </cell>
          <cell r="AA1100"/>
          <cell r="AB1100">
            <v>43095</v>
          </cell>
          <cell r="AC1100">
            <v>5139</v>
          </cell>
        </row>
        <row r="1101">
          <cell r="B1101">
            <v>4091</v>
          </cell>
          <cell r="C1101" t="str">
            <v>HY--10ZFA006</v>
          </cell>
          <cell r="D1101" t="str">
            <v>SATEEN</v>
          </cell>
          <cell r="E1101"/>
          <cell r="F1101" t="str">
            <v>T100%</v>
          </cell>
          <cell r="G1101" t="str">
            <v xml:space="preserve">100% POLYESTER </v>
          </cell>
          <cell r="H1101" t="str">
            <v>55/56</v>
          </cell>
          <cell r="I1101">
            <v>95</v>
          </cell>
          <cell r="J1101"/>
          <cell r="K1101"/>
          <cell r="L1101"/>
          <cell r="M1101"/>
          <cell r="N1101">
            <v>1.8</v>
          </cell>
          <cell r="O1101">
            <v>2.21</v>
          </cell>
          <cell r="P1101"/>
          <cell r="Q1101"/>
          <cell r="R1101">
            <v>2</v>
          </cell>
          <cell r="S1101"/>
          <cell r="T1101"/>
          <cell r="U1101"/>
          <cell r="V1101">
            <v>15</v>
          </cell>
          <cell r="W1101"/>
          <cell r="X1101" t="str">
            <v>HANSHOW</v>
          </cell>
          <cell r="Y1101"/>
          <cell r="Z1101" t="str">
            <v>JESSIE ' MAIL 26/12/17</v>
          </cell>
          <cell r="AA1101"/>
          <cell r="AB1101">
            <v>43095</v>
          </cell>
          <cell r="AC1101">
            <v>5140</v>
          </cell>
        </row>
        <row r="1102">
          <cell r="B1102">
            <v>4090</v>
          </cell>
          <cell r="C1102" t="str">
            <v>HY-10ZF12005</v>
          </cell>
          <cell r="D1102" t="str">
            <v>CREPE- SAME AMW1895</v>
          </cell>
          <cell r="E1102"/>
          <cell r="F1102" t="str">
            <v>T100%</v>
          </cell>
          <cell r="G1102" t="str">
            <v xml:space="preserve">100% POLYESTER </v>
          </cell>
          <cell r="H1102" t="str">
            <v>57/58</v>
          </cell>
          <cell r="I1102">
            <v>125</v>
          </cell>
          <cell r="J1102"/>
          <cell r="K1102"/>
          <cell r="L1102"/>
          <cell r="M1102"/>
          <cell r="N1102">
            <v>1.65</v>
          </cell>
          <cell r="O1102">
            <v>2.0299999999999998</v>
          </cell>
          <cell r="P1102"/>
          <cell r="Q1102"/>
          <cell r="R1102">
            <v>1.85</v>
          </cell>
          <cell r="S1102"/>
          <cell r="T1102"/>
          <cell r="U1102"/>
          <cell r="V1102">
            <v>15</v>
          </cell>
          <cell r="W1102"/>
          <cell r="X1102" t="str">
            <v>HANSHOW</v>
          </cell>
          <cell r="Y1102"/>
          <cell r="Z1102" t="str">
            <v>JESSIE ' MAIL 26/12/17</v>
          </cell>
          <cell r="AA1102"/>
          <cell r="AB1102">
            <v>43095</v>
          </cell>
          <cell r="AC1102">
            <v>5128</v>
          </cell>
        </row>
        <row r="1103">
          <cell r="B1103">
            <v>4089</v>
          </cell>
          <cell r="C1103" t="str">
            <v>HY-10ZF13130</v>
          </cell>
          <cell r="D1103" t="str">
            <v>SATEEN</v>
          </cell>
          <cell r="E1103"/>
          <cell r="F1103" t="str">
            <v>T100%</v>
          </cell>
          <cell r="G1103" t="str">
            <v xml:space="preserve">100% POLYESTER </v>
          </cell>
          <cell r="H1103" t="str">
            <v>55/56</v>
          </cell>
          <cell r="I1103">
            <v>150</v>
          </cell>
          <cell r="J1103"/>
          <cell r="K1103"/>
          <cell r="L1103"/>
          <cell r="M1103"/>
          <cell r="N1103">
            <v>1.95</v>
          </cell>
          <cell r="O1103">
            <v>2.34</v>
          </cell>
          <cell r="P1103"/>
          <cell r="Q1103"/>
          <cell r="R1103">
            <v>2.15</v>
          </cell>
          <cell r="S1103"/>
          <cell r="T1103"/>
          <cell r="U1103"/>
          <cell r="V1103">
            <v>15</v>
          </cell>
          <cell r="W1103"/>
          <cell r="X1103" t="str">
            <v>HANSHOW</v>
          </cell>
          <cell r="Y1103"/>
          <cell r="Z1103" t="str">
            <v>JESSIE ' MAIL 26/12/17</v>
          </cell>
          <cell r="AA1103"/>
          <cell r="AB1103">
            <v>43095</v>
          </cell>
          <cell r="AC1103">
            <v>5142</v>
          </cell>
        </row>
        <row r="1104">
          <cell r="B1104">
            <v>4088</v>
          </cell>
          <cell r="C1104" t="str">
            <v>HY-10ZFS114AF</v>
          </cell>
          <cell r="D1104" t="str">
            <v>SATEEN</v>
          </cell>
          <cell r="E1104"/>
          <cell r="F1104" t="str">
            <v>T100%</v>
          </cell>
          <cell r="G1104" t="str">
            <v xml:space="preserve">100% POLYESTER </v>
          </cell>
          <cell r="H1104" t="str">
            <v>57/58</v>
          </cell>
          <cell r="I1104">
            <v>211</v>
          </cell>
          <cell r="J1104"/>
          <cell r="K1104"/>
          <cell r="L1104"/>
          <cell r="M1104"/>
          <cell r="N1104">
            <v>2.88</v>
          </cell>
          <cell r="O1104">
            <v>3.29</v>
          </cell>
          <cell r="P1104"/>
          <cell r="Q1104"/>
          <cell r="R1104">
            <v>3.08</v>
          </cell>
          <cell r="S1104"/>
          <cell r="T1104"/>
          <cell r="U1104"/>
          <cell r="V1104">
            <v>15</v>
          </cell>
          <cell r="W1104"/>
          <cell r="X1104" t="str">
            <v>HANSHOW</v>
          </cell>
          <cell r="Y1104"/>
          <cell r="Z1104" t="str">
            <v>JESSIE ' MAIL 26/12/17</v>
          </cell>
          <cell r="AA1104"/>
          <cell r="AB1104">
            <v>43095</v>
          </cell>
          <cell r="AC1104">
            <v>5151</v>
          </cell>
        </row>
        <row r="1105">
          <cell r="B1105">
            <v>4087</v>
          </cell>
          <cell r="C1105" t="str">
            <v>HY-10ZFS028AF</v>
          </cell>
          <cell r="D1105" t="str">
            <v>SATEEN</v>
          </cell>
          <cell r="E1105"/>
          <cell r="F1105" t="str">
            <v>T100%</v>
          </cell>
          <cell r="G1105" t="str">
            <v xml:space="preserve">100% POLYESTER </v>
          </cell>
          <cell r="H1105" t="str">
            <v>52/53</v>
          </cell>
          <cell r="I1105">
            <v>176</v>
          </cell>
          <cell r="J1105"/>
          <cell r="K1105"/>
          <cell r="L1105"/>
          <cell r="M1105"/>
          <cell r="N1105">
            <v>2.15</v>
          </cell>
          <cell r="O1105">
            <v>2.5299999999999998</v>
          </cell>
          <cell r="P1105"/>
          <cell r="Q1105"/>
          <cell r="R1105">
            <v>2.35</v>
          </cell>
          <cell r="S1105"/>
          <cell r="T1105"/>
          <cell r="U1105"/>
          <cell r="V1105">
            <v>15</v>
          </cell>
          <cell r="W1105"/>
          <cell r="X1105" t="str">
            <v>HANSHOW</v>
          </cell>
          <cell r="Y1105"/>
          <cell r="Z1105" t="str">
            <v>JESSIE ' MAIL 26/12/17</v>
          </cell>
          <cell r="AA1105"/>
          <cell r="AB1105">
            <v>43095</v>
          </cell>
          <cell r="AC1105">
            <v>5144</v>
          </cell>
        </row>
        <row r="1106">
          <cell r="B1106">
            <v>4086</v>
          </cell>
          <cell r="C1106" t="str">
            <v>HY-HLT5164</v>
          </cell>
          <cell r="D1106" t="str">
            <v>CRINKLE POLY</v>
          </cell>
          <cell r="E1106"/>
          <cell r="F1106" t="str">
            <v>T/S 98/2</v>
          </cell>
          <cell r="G1106" t="str">
            <v xml:space="preserve">98% POLY  2% SPANDEX </v>
          </cell>
          <cell r="H1106" t="str">
            <v>53/54</v>
          </cell>
          <cell r="I1106">
            <v>138</v>
          </cell>
          <cell r="J1106"/>
          <cell r="K1106"/>
          <cell r="L1106"/>
          <cell r="M1106"/>
          <cell r="N1106">
            <v>1.75</v>
          </cell>
          <cell r="O1106">
            <v>2.14</v>
          </cell>
          <cell r="P1106"/>
          <cell r="Q1106"/>
          <cell r="R1106">
            <v>1.95</v>
          </cell>
          <cell r="S1106"/>
          <cell r="T1106"/>
          <cell r="U1106"/>
          <cell r="V1106">
            <v>15</v>
          </cell>
          <cell r="W1106"/>
          <cell r="X1106" t="str">
            <v>HANSHOW</v>
          </cell>
          <cell r="Y1106"/>
          <cell r="Z1106" t="str">
            <v>JESSIE ' MAIL 26/12/17</v>
          </cell>
          <cell r="AA1106"/>
          <cell r="AB1106">
            <v>43095</v>
          </cell>
          <cell r="AC1106">
            <v>5152</v>
          </cell>
        </row>
        <row r="1107">
          <cell r="B1107">
            <v>4085</v>
          </cell>
          <cell r="C1107" t="str">
            <v>HY-10ZFS050</v>
          </cell>
          <cell r="D1107" t="str">
            <v>DULL SATEEN</v>
          </cell>
          <cell r="E1107"/>
          <cell r="F1107" t="str">
            <v>T100%</v>
          </cell>
          <cell r="G1107" t="str">
            <v xml:space="preserve">100% POLYESTER </v>
          </cell>
          <cell r="H1107" t="str">
            <v>55/56</v>
          </cell>
          <cell r="I1107">
            <v>122</v>
          </cell>
          <cell r="J1107"/>
          <cell r="K1107"/>
          <cell r="L1107"/>
          <cell r="M1107"/>
          <cell r="N1107">
            <v>2.3199999999999998</v>
          </cell>
          <cell r="O1107">
            <v>2.72</v>
          </cell>
          <cell r="P1107"/>
          <cell r="Q1107"/>
          <cell r="R1107">
            <v>2.52</v>
          </cell>
          <cell r="S1107"/>
          <cell r="T1107"/>
          <cell r="U1107"/>
          <cell r="V1107">
            <v>15</v>
          </cell>
          <cell r="W1107"/>
          <cell r="X1107" t="str">
            <v>HANSHOW</v>
          </cell>
          <cell r="Y1107"/>
          <cell r="Z1107" t="str">
            <v>JESSIE ' MAIL 26/12/17</v>
          </cell>
          <cell r="AA1107"/>
          <cell r="AB1107">
            <v>43095</v>
          </cell>
          <cell r="AC1107">
            <v>5146</v>
          </cell>
        </row>
        <row r="1108">
          <cell r="B1108">
            <v>4084</v>
          </cell>
          <cell r="C1108" t="str">
            <v>HY-10ZFX008</v>
          </cell>
          <cell r="D1108" t="str">
            <v>POLY</v>
          </cell>
          <cell r="E1108"/>
          <cell r="F1108" t="str">
            <v>T/S 97/3</v>
          </cell>
          <cell r="G1108" t="str">
            <v xml:space="preserve">97% POLY  3%SPANDEX </v>
          </cell>
          <cell r="H1108" t="str">
            <v>57/58</v>
          </cell>
          <cell r="I1108">
            <v>183</v>
          </cell>
          <cell r="J1108"/>
          <cell r="K1108"/>
          <cell r="L1108"/>
          <cell r="M1108"/>
          <cell r="N1108">
            <v>2.85</v>
          </cell>
          <cell r="O1108">
            <v>3.25</v>
          </cell>
          <cell r="P1108"/>
          <cell r="Q1108"/>
          <cell r="R1108">
            <v>3.05</v>
          </cell>
          <cell r="S1108"/>
          <cell r="T1108"/>
          <cell r="U1108"/>
          <cell r="V1108">
            <v>15</v>
          </cell>
          <cell r="W1108"/>
          <cell r="X1108" t="str">
            <v>HANSHOW</v>
          </cell>
          <cell r="Y1108"/>
          <cell r="Z1108" t="str">
            <v>JESSIE ' MAIL 26/12/17</v>
          </cell>
          <cell r="AA1108"/>
          <cell r="AB1108">
            <v>43095</v>
          </cell>
          <cell r="AC1108">
            <v>5129</v>
          </cell>
        </row>
        <row r="1109">
          <cell r="B1109">
            <v>4083</v>
          </cell>
          <cell r="C1109" t="str">
            <v>HY-10ZFA160</v>
          </cell>
          <cell r="D1109" t="str">
            <v>DULL SATEEN JAC.</v>
          </cell>
          <cell r="E1109"/>
          <cell r="F1109" t="str">
            <v>T100%</v>
          </cell>
          <cell r="G1109" t="str">
            <v xml:space="preserve">100% POLYESTER </v>
          </cell>
          <cell r="H1109" t="str">
            <v>55/56</v>
          </cell>
          <cell r="I1109">
            <v>94</v>
          </cell>
          <cell r="J1109"/>
          <cell r="K1109"/>
          <cell r="L1109"/>
          <cell r="M1109"/>
          <cell r="N1109">
            <v>2.5</v>
          </cell>
          <cell r="O1109">
            <v>2.88</v>
          </cell>
          <cell r="P1109"/>
          <cell r="Q1109"/>
          <cell r="R1109">
            <v>2.7</v>
          </cell>
          <cell r="S1109"/>
          <cell r="T1109"/>
          <cell r="U1109"/>
          <cell r="V1109">
            <v>15</v>
          </cell>
          <cell r="W1109"/>
          <cell r="X1109" t="str">
            <v>HANSHOW</v>
          </cell>
          <cell r="Y1109"/>
          <cell r="Z1109" t="str">
            <v>JESSIE ' MAIL 26/12/17</v>
          </cell>
          <cell r="AA1109"/>
          <cell r="AB1109">
            <v>43095</v>
          </cell>
          <cell r="AC1109">
            <v>5148</v>
          </cell>
        </row>
        <row r="1110">
          <cell r="B1110">
            <v>4082</v>
          </cell>
          <cell r="C1110" t="str">
            <v>HY-10ZFH2302</v>
          </cell>
          <cell r="D1110" t="str">
            <v>DULL SATEEN JAC.</v>
          </cell>
          <cell r="E1110"/>
          <cell r="F1110" t="str">
            <v>T100%</v>
          </cell>
          <cell r="G1110" t="str">
            <v xml:space="preserve">100% POLYESTER </v>
          </cell>
          <cell r="H1110" t="str">
            <v>57/58</v>
          </cell>
          <cell r="I1110">
            <v>99</v>
          </cell>
          <cell r="J1110"/>
          <cell r="K1110"/>
          <cell r="L1110"/>
          <cell r="M1110"/>
          <cell r="N1110">
            <v>2.35</v>
          </cell>
          <cell r="O1110">
            <v>2.75</v>
          </cell>
          <cell r="P1110"/>
          <cell r="Q1110"/>
          <cell r="R1110">
            <v>2.5499999999999998</v>
          </cell>
          <cell r="S1110"/>
          <cell r="T1110"/>
          <cell r="U1110"/>
          <cell r="V1110">
            <v>15</v>
          </cell>
          <cell r="W1110"/>
          <cell r="X1110" t="str">
            <v>HANSHOW</v>
          </cell>
          <cell r="Y1110"/>
          <cell r="Z1110" t="str">
            <v>JESSIE ' MAIL 26/12/17</v>
          </cell>
          <cell r="AA1110"/>
          <cell r="AB1110">
            <v>43095</v>
          </cell>
          <cell r="AC1110">
            <v>5147</v>
          </cell>
        </row>
        <row r="1111">
          <cell r="B1111">
            <v>4081</v>
          </cell>
          <cell r="C1111" t="str">
            <v>HY-10ZF13284</v>
          </cell>
          <cell r="D1111" t="str">
            <v>SATEEN JAC.</v>
          </cell>
          <cell r="E1111"/>
          <cell r="F1111" t="str">
            <v>T100%</v>
          </cell>
          <cell r="G1111" t="str">
            <v xml:space="preserve">100% POLYESTER </v>
          </cell>
          <cell r="H1111" t="str">
            <v>57/58</v>
          </cell>
          <cell r="I1111">
            <v>86</v>
          </cell>
          <cell r="J1111"/>
          <cell r="K1111"/>
          <cell r="L1111"/>
          <cell r="M1111"/>
          <cell r="N1111">
            <v>2.75</v>
          </cell>
          <cell r="O1111">
            <v>3.17</v>
          </cell>
          <cell r="P1111"/>
          <cell r="Q1111"/>
          <cell r="R1111">
            <v>2.95</v>
          </cell>
          <cell r="S1111"/>
          <cell r="T1111"/>
          <cell r="U1111"/>
          <cell r="V1111">
            <v>15</v>
          </cell>
          <cell r="W1111"/>
          <cell r="X1111" t="str">
            <v>HANSHOW</v>
          </cell>
          <cell r="Y1111"/>
          <cell r="Z1111" t="str">
            <v>JESSIE ' MAIL 26/12/17</v>
          </cell>
          <cell r="AA1111"/>
          <cell r="AB1111">
            <v>43095</v>
          </cell>
          <cell r="AC1111">
            <v>5150</v>
          </cell>
        </row>
        <row r="1112">
          <cell r="B1112">
            <v>4080</v>
          </cell>
          <cell r="C1112" t="str">
            <v>HY-10ZFH2607-1</v>
          </cell>
          <cell r="D1112" t="str">
            <v>SATEEN</v>
          </cell>
          <cell r="E1112"/>
          <cell r="F1112" t="str">
            <v>T100%</v>
          </cell>
          <cell r="G1112" t="str">
            <v xml:space="preserve">100% POLYESTER </v>
          </cell>
          <cell r="H1112" t="str">
            <v>51/52</v>
          </cell>
          <cell r="I1112">
            <v>108</v>
          </cell>
          <cell r="J1112"/>
          <cell r="K1112"/>
          <cell r="L1112"/>
          <cell r="M1112"/>
          <cell r="N1112">
            <v>2</v>
          </cell>
          <cell r="O1112">
            <v>2.2999999999999998</v>
          </cell>
          <cell r="P1112"/>
          <cell r="Q1112"/>
          <cell r="R1112">
            <v>2.2000000000000002</v>
          </cell>
          <cell r="S1112"/>
          <cell r="T1112"/>
          <cell r="U1112"/>
          <cell r="V1112">
            <v>15</v>
          </cell>
          <cell r="W1112"/>
          <cell r="X1112" t="str">
            <v>HANSHOW</v>
          </cell>
          <cell r="Y1112"/>
          <cell r="Z1112" t="str">
            <v>JESSIE ' MAIL 26/12/17</v>
          </cell>
          <cell r="AA1112"/>
          <cell r="AB1112">
            <v>43095</v>
          </cell>
          <cell r="AC1112">
            <v>5143</v>
          </cell>
        </row>
        <row r="1113">
          <cell r="B1113">
            <v>4079</v>
          </cell>
          <cell r="C1113" t="str">
            <v>HY-10ZFH1800-80</v>
          </cell>
          <cell r="D1113" t="str">
            <v>CHIFFON</v>
          </cell>
          <cell r="E1113"/>
          <cell r="F1113" t="str">
            <v>T100%</v>
          </cell>
          <cell r="G1113" t="str">
            <v xml:space="preserve">100% POLYESTER </v>
          </cell>
          <cell r="H1113" t="str">
            <v>57/58</v>
          </cell>
          <cell r="I1113">
            <v>80</v>
          </cell>
          <cell r="J1113"/>
          <cell r="K1113"/>
          <cell r="L1113"/>
          <cell r="M1113"/>
          <cell r="N1113">
            <v>1.5</v>
          </cell>
          <cell r="O1113">
            <v>1.96</v>
          </cell>
          <cell r="P1113"/>
          <cell r="Q1113"/>
          <cell r="R1113">
            <v>1.7</v>
          </cell>
          <cell r="S1113"/>
          <cell r="T1113"/>
          <cell r="U1113"/>
          <cell r="V1113">
            <v>15</v>
          </cell>
          <cell r="W1113"/>
          <cell r="X1113" t="str">
            <v>HANSHOW</v>
          </cell>
          <cell r="Y1113"/>
          <cell r="Z1113" t="str">
            <v>JESSIE ' MAIL 26/12/17</v>
          </cell>
          <cell r="AA1113"/>
          <cell r="AB1113">
            <v>43095</v>
          </cell>
          <cell r="AC1113">
            <v>5138</v>
          </cell>
        </row>
        <row r="1114">
          <cell r="B1114">
            <v>4078</v>
          </cell>
          <cell r="C1114" t="str">
            <v>HY-10ZFHT-803</v>
          </cell>
          <cell r="D1114" t="str">
            <v>DOBBY RAYON</v>
          </cell>
          <cell r="E1114"/>
          <cell r="F1114" t="str">
            <v>R100%</v>
          </cell>
          <cell r="G1114" t="str">
            <v>100% RAYON</v>
          </cell>
          <cell r="H1114" t="str">
            <v>55/56</v>
          </cell>
          <cell r="I1114">
            <v>80</v>
          </cell>
          <cell r="J1114"/>
          <cell r="K1114"/>
          <cell r="L1114"/>
          <cell r="M1114"/>
          <cell r="N1114">
            <v>1.89</v>
          </cell>
          <cell r="O1114">
            <v>2.2999999999999998</v>
          </cell>
          <cell r="P1114"/>
          <cell r="Q1114"/>
          <cell r="R1114">
            <v>2.09</v>
          </cell>
          <cell r="S1114"/>
          <cell r="T1114"/>
          <cell r="U1114"/>
          <cell r="V1114">
            <v>15</v>
          </cell>
          <cell r="W1114"/>
          <cell r="X1114" t="str">
            <v>HANSHOW</v>
          </cell>
          <cell r="Y1114"/>
          <cell r="Z1114" t="str">
            <v>JESSIE ' MAIL 26/12/17</v>
          </cell>
          <cell r="AA1114"/>
          <cell r="AB1114">
            <v>43095</v>
          </cell>
          <cell r="AC1114">
            <v>5130</v>
          </cell>
        </row>
        <row r="1115">
          <cell r="B1115">
            <v>4077</v>
          </cell>
          <cell r="C1115" t="str">
            <v>HY-10ZF12056</v>
          </cell>
          <cell r="D1115" t="str">
            <v>STRETCH CREPE</v>
          </cell>
          <cell r="E1115"/>
          <cell r="F1115" t="str">
            <v>T/S 94/6</v>
          </cell>
          <cell r="G1115" t="str">
            <v>94% POLY  6% SPANDEX</v>
          </cell>
          <cell r="H1115" t="str">
            <v>57/58</v>
          </cell>
          <cell r="I1115">
            <v>137</v>
          </cell>
          <cell r="J1115"/>
          <cell r="K1115"/>
          <cell r="L1115"/>
          <cell r="M1115"/>
          <cell r="N1115">
            <v>2.15</v>
          </cell>
          <cell r="O1115">
            <v>2.5299999999999998</v>
          </cell>
          <cell r="P1115"/>
          <cell r="Q1115"/>
          <cell r="R1115">
            <v>2.35</v>
          </cell>
          <cell r="S1115"/>
          <cell r="T1115"/>
          <cell r="U1115"/>
          <cell r="V1115">
            <v>15</v>
          </cell>
          <cell r="W1115"/>
          <cell r="X1115" t="str">
            <v>HANSHOW</v>
          </cell>
          <cell r="Y1115"/>
          <cell r="Z1115" t="str">
            <v>JESSIE ' MAIL 26/12/17</v>
          </cell>
          <cell r="AA1115"/>
          <cell r="AB1115">
            <v>43095</v>
          </cell>
          <cell r="AC1115">
            <v>5131</v>
          </cell>
        </row>
        <row r="1116">
          <cell r="B1116">
            <v>4076</v>
          </cell>
          <cell r="C1116" t="str">
            <v>T004-3X</v>
          </cell>
          <cell r="D1116" t="str">
            <v>CREPE - instead of AMW1895</v>
          </cell>
          <cell r="E1116" t="str">
            <v>75D*75D</v>
          </cell>
          <cell r="F1116" t="str">
            <v>T100%</v>
          </cell>
          <cell r="G1116" t="str">
            <v xml:space="preserve">100% POLYESTER </v>
          </cell>
          <cell r="H1116" t="str">
            <v>57/58</v>
          </cell>
          <cell r="I1116">
            <v>120</v>
          </cell>
          <cell r="J1116">
            <v>1.1299999999999999</v>
          </cell>
          <cell r="K1116">
            <v>1.31</v>
          </cell>
          <cell r="L1116">
            <v>1.1499999999999999</v>
          </cell>
          <cell r="M1116">
            <v>1.39</v>
          </cell>
          <cell r="N1116">
            <v>1.2</v>
          </cell>
          <cell r="O1116">
            <v>1.43</v>
          </cell>
          <cell r="P1116"/>
          <cell r="Q1116"/>
          <cell r="R1116">
            <v>1.28</v>
          </cell>
          <cell r="S1116">
            <v>1.92</v>
          </cell>
          <cell r="T1116"/>
          <cell r="U1116"/>
          <cell r="V1116" t="str">
            <v>Yes</v>
          </cell>
          <cell r="W1116"/>
          <cell r="X1116" t="str">
            <v>TERESA</v>
          </cell>
          <cell r="Y1116"/>
          <cell r="Z1116" t="str">
            <v>TERESA ' MAIL 26/12/17</v>
          </cell>
          <cell r="AA1116"/>
          <cell r="AB1116">
            <v>43095</v>
          </cell>
          <cell r="AC1116">
            <v>5132</v>
          </cell>
        </row>
        <row r="1117">
          <cell r="B1117">
            <v>4075</v>
          </cell>
          <cell r="C1117" t="str">
            <v>T004-4X</v>
          </cell>
          <cell r="D1117" t="str">
            <v>CREPE - instead of AMW1895</v>
          </cell>
          <cell r="E1117" t="str">
            <v>75D*75D</v>
          </cell>
          <cell r="F1117" t="str">
            <v>T100%</v>
          </cell>
          <cell r="G1117" t="str">
            <v xml:space="preserve">100% POLYESTER </v>
          </cell>
          <cell r="H1117" t="str">
            <v>57/58</v>
          </cell>
          <cell r="I1117">
            <v>120</v>
          </cell>
          <cell r="J1117">
            <v>1.1299999999999999</v>
          </cell>
          <cell r="K1117">
            <v>1.31</v>
          </cell>
          <cell r="L1117">
            <v>1.1499999999999999</v>
          </cell>
          <cell r="M1117">
            <v>1.39</v>
          </cell>
          <cell r="N1117">
            <v>1.2</v>
          </cell>
          <cell r="O1117">
            <v>1.43</v>
          </cell>
          <cell r="P1117"/>
          <cell r="Q1117"/>
          <cell r="R1117">
            <v>1.28</v>
          </cell>
          <cell r="S1117">
            <v>1.92</v>
          </cell>
          <cell r="T1117"/>
          <cell r="U1117"/>
          <cell r="V1117" t="str">
            <v>Yes</v>
          </cell>
          <cell r="W1117"/>
          <cell r="X1117" t="str">
            <v>TERESA</v>
          </cell>
          <cell r="Y1117"/>
          <cell r="Z1117" t="str">
            <v>TERESA ' MAIL 26/12/17</v>
          </cell>
          <cell r="AA1117"/>
          <cell r="AB1117">
            <v>43095</v>
          </cell>
          <cell r="AC1117">
            <v>5133</v>
          </cell>
        </row>
        <row r="1118">
          <cell r="B1118">
            <v>4074</v>
          </cell>
          <cell r="C1118" t="str">
            <v>T026</v>
          </cell>
          <cell r="D1118" t="str">
            <v>STRETCH POLY - LINING</v>
          </cell>
          <cell r="E1118" t="str">
            <v>100D+40D*100D+40D</v>
          </cell>
          <cell r="F1118" t="str">
            <v>T/S 97/3</v>
          </cell>
          <cell r="G1118" t="str">
            <v>97% POLY  3% SPAN</v>
          </cell>
          <cell r="H1118" t="str">
            <v>57/58</v>
          </cell>
          <cell r="I1118">
            <v>100</v>
          </cell>
          <cell r="J1118">
            <v>1.18</v>
          </cell>
          <cell r="K1118">
            <v>1.38</v>
          </cell>
          <cell r="L1118">
            <v>1.2</v>
          </cell>
          <cell r="M1118">
            <v>1.46</v>
          </cell>
          <cell r="N1118">
            <v>1.25</v>
          </cell>
          <cell r="O1118">
            <v>1.5</v>
          </cell>
          <cell r="P1118"/>
          <cell r="Q1118"/>
          <cell r="R1118">
            <v>1.33</v>
          </cell>
          <cell r="S1118">
            <v>1.99</v>
          </cell>
          <cell r="T1118"/>
          <cell r="U1118"/>
          <cell r="V1118" t="str">
            <v>Yes</v>
          </cell>
          <cell r="W1118"/>
          <cell r="X1118" t="str">
            <v>TERESA</v>
          </cell>
          <cell r="Y1118"/>
          <cell r="Z1118" t="str">
            <v>TERESA ' MAIL 26/12/17</v>
          </cell>
          <cell r="AA1118"/>
          <cell r="AB1118">
            <v>43095</v>
          </cell>
          <cell r="AC1118">
            <v>5134</v>
          </cell>
        </row>
        <row r="1119">
          <cell r="B1119">
            <v>4073</v>
          </cell>
          <cell r="C1119" t="str">
            <v>T137</v>
          </cell>
          <cell r="D1119" t="str">
            <v>POLY WITH LUREX</v>
          </cell>
          <cell r="E1119" t="str">
            <v>75D*75D</v>
          </cell>
          <cell r="F1119" t="str">
            <v>T/LUREX 98/2</v>
          </cell>
          <cell r="G1119" t="str">
            <v xml:space="preserve">98% POLYESTER  2% LUREX </v>
          </cell>
          <cell r="H1119" t="str">
            <v>57/58</v>
          </cell>
          <cell r="I1119">
            <v>114</v>
          </cell>
          <cell r="J1119">
            <v>1.63</v>
          </cell>
          <cell r="K1119">
            <v>1.83</v>
          </cell>
          <cell r="L1119">
            <v>1.65</v>
          </cell>
          <cell r="M1119">
            <v>1.91</v>
          </cell>
          <cell r="N1119">
            <v>1.7</v>
          </cell>
          <cell r="O1119">
            <v>1.95</v>
          </cell>
          <cell r="P1119"/>
          <cell r="Q1119"/>
          <cell r="R1119">
            <v>1.78</v>
          </cell>
          <cell r="S1119">
            <v>2.44</v>
          </cell>
          <cell r="T1119"/>
          <cell r="U1119"/>
          <cell r="V1119" t="str">
            <v>Yes</v>
          </cell>
          <cell r="W1119"/>
          <cell r="X1119" t="str">
            <v>TERESA</v>
          </cell>
          <cell r="Y1119"/>
          <cell r="Z1119" t="str">
            <v>TERESA ' MAIL 26/12/17</v>
          </cell>
          <cell r="AA1119"/>
          <cell r="AB1119">
            <v>43095</v>
          </cell>
          <cell r="AC1119">
            <v>5135</v>
          </cell>
        </row>
        <row r="1120">
          <cell r="B1120">
            <v>4072</v>
          </cell>
          <cell r="C1120" t="str">
            <v>T120</v>
          </cell>
          <cell r="D1120" t="str">
            <v>POLY</v>
          </cell>
          <cell r="E1120" t="str">
            <v>100D+50D*100D+50D</v>
          </cell>
          <cell r="F1120" t="str">
            <v>T100%</v>
          </cell>
          <cell r="G1120" t="str">
            <v xml:space="preserve">100% POLYESTER </v>
          </cell>
          <cell r="H1120" t="str">
            <v>57/58</v>
          </cell>
          <cell r="I1120">
            <v>130</v>
          </cell>
          <cell r="J1120">
            <v>1.65</v>
          </cell>
          <cell r="K1120">
            <v>1.85</v>
          </cell>
          <cell r="L1120">
            <v>1.67</v>
          </cell>
          <cell r="M1120">
            <v>1.93</v>
          </cell>
          <cell r="N1120">
            <v>1.72</v>
          </cell>
          <cell r="O1120">
            <v>1.97</v>
          </cell>
          <cell r="P1120"/>
          <cell r="Q1120"/>
          <cell r="R1120">
            <v>1.8</v>
          </cell>
          <cell r="S1120">
            <v>2.46</v>
          </cell>
          <cell r="T1120"/>
          <cell r="U1120"/>
          <cell r="V1120" t="str">
            <v>Yes</v>
          </cell>
          <cell r="W1120"/>
          <cell r="X1120" t="str">
            <v>TERESA</v>
          </cell>
          <cell r="Y1120"/>
          <cell r="Z1120" t="str">
            <v>TERESA ' MAIL 26/12/17</v>
          </cell>
          <cell r="AA1120"/>
          <cell r="AB1120">
            <v>43095</v>
          </cell>
          <cell r="AC1120">
            <v>5136</v>
          </cell>
        </row>
        <row r="1121">
          <cell r="B1121">
            <v>4071</v>
          </cell>
          <cell r="C1121" t="str">
            <v>BG3377</v>
          </cell>
          <cell r="D1121" t="str">
            <v>VISCOSE</v>
          </cell>
          <cell r="E1121" t="str">
            <v>30S*30S</v>
          </cell>
          <cell r="F1121" t="str">
            <v>R100%</v>
          </cell>
          <cell r="G1121" t="str">
            <v xml:space="preserve">100% RAYON </v>
          </cell>
          <cell r="H1121" t="str">
            <v>48/50</v>
          </cell>
          <cell r="I1121">
            <v>145</v>
          </cell>
          <cell r="J1121">
            <v>1.93</v>
          </cell>
          <cell r="K1121">
            <v>2.2999999999999998</v>
          </cell>
          <cell r="L1121">
            <v>1.96</v>
          </cell>
          <cell r="M1121">
            <v>2.35</v>
          </cell>
          <cell r="N1121">
            <v>1.98</v>
          </cell>
          <cell r="O1121">
            <v>2.4</v>
          </cell>
          <cell r="P1121"/>
          <cell r="Q1121"/>
          <cell r="R1121">
            <v>2.15</v>
          </cell>
          <cell r="S1121">
            <v>3.1</v>
          </cell>
          <cell r="T1121"/>
          <cell r="U1121"/>
          <cell r="V1121"/>
          <cell r="W1121"/>
          <cell r="X1121" t="str">
            <v>EDWIN</v>
          </cell>
          <cell r="Y1121"/>
          <cell r="Z1121" t="str">
            <v>EDWIN ' MAIL 26/12/17</v>
          </cell>
          <cell r="AA1121"/>
          <cell r="AB1121">
            <v>43095</v>
          </cell>
          <cell r="AC1121">
            <v>5137</v>
          </cell>
        </row>
        <row r="1122">
          <cell r="B1122">
            <v>4070</v>
          </cell>
          <cell r="C1122" t="str">
            <v xml:space="preserve">HY-R171220 </v>
          </cell>
          <cell r="D1122" t="str">
            <v>CHEMICAL LACE</v>
          </cell>
          <cell r="E1122"/>
          <cell r="F1122" t="str">
            <v>T100%</v>
          </cell>
          <cell r="G1122" t="str">
            <v>100% POLYESTER</v>
          </cell>
          <cell r="H1122" t="str">
            <v>49/50</v>
          </cell>
          <cell r="I1122"/>
          <cell r="J1122"/>
          <cell r="K1122"/>
          <cell r="L1122"/>
          <cell r="M1122"/>
          <cell r="N1122">
            <v>3.99</v>
          </cell>
          <cell r="O1122"/>
          <cell r="P1122"/>
          <cell r="Q1122"/>
          <cell r="R1122"/>
          <cell r="S1122"/>
          <cell r="T1122"/>
          <cell r="U1122"/>
          <cell r="V1122"/>
          <cell r="W1122" t="str">
            <v>price valid time is 1 month /  MOQ 500m is $4.67/m + surcharge $120/col.</v>
          </cell>
          <cell r="X1122" t="str">
            <v>HANSHOW</v>
          </cell>
          <cell r="Y1122"/>
          <cell r="Z1122" t="str">
            <v>JESSIE ' MAIL 26/12/17</v>
          </cell>
          <cell r="AA1122"/>
          <cell r="AB1122">
            <v>43095</v>
          </cell>
          <cell r="AC1122">
            <v>5127</v>
          </cell>
        </row>
        <row r="1123">
          <cell r="B1123">
            <v>3380</v>
          </cell>
          <cell r="C1123" t="str">
            <v>T014</v>
          </cell>
          <cell r="D1123" t="str">
            <v>CDC</v>
          </cell>
          <cell r="E1123" t="str">
            <v>20D+26D*75D</v>
          </cell>
          <cell r="F1123" t="str">
            <v>T100%</v>
          </cell>
          <cell r="G1123" t="str">
            <v xml:space="preserve">100% POLYESTER </v>
          </cell>
          <cell r="H1123" t="str">
            <v>57/58</v>
          </cell>
          <cell r="I1123">
            <v>80</v>
          </cell>
          <cell r="J1123">
            <v>1.1599999999999999</v>
          </cell>
          <cell r="K1123">
            <v>1.42</v>
          </cell>
          <cell r="L1123">
            <v>1.18</v>
          </cell>
          <cell r="M1123">
            <v>1.47</v>
          </cell>
          <cell r="N1123">
            <v>1.2</v>
          </cell>
          <cell r="O1123">
            <v>1.53</v>
          </cell>
          <cell r="P1123"/>
          <cell r="Q1123"/>
          <cell r="R1123">
            <v>1.28</v>
          </cell>
          <cell r="S1123">
            <v>1.99</v>
          </cell>
          <cell r="T1123"/>
          <cell r="U1123"/>
          <cell r="V1123" t="str">
            <v>Yes</v>
          </cell>
          <cell r="W1123"/>
          <cell r="X1123" t="str">
            <v>TERESA</v>
          </cell>
          <cell r="Y1123"/>
          <cell r="Z1123" t="str">
            <v>TERESA ' MAIL 26/12/17</v>
          </cell>
          <cell r="AA1123"/>
          <cell r="AB1123">
            <v>43095</v>
          </cell>
          <cell r="AC1123">
            <v>5141</v>
          </cell>
        </row>
        <row r="1124">
          <cell r="B1124">
            <v>4069</v>
          </cell>
          <cell r="C1124" t="str">
            <v>HLP17205</v>
          </cell>
          <cell r="D1124" t="str">
            <v>POLY</v>
          </cell>
          <cell r="E1124" t="str">
            <v>75D*75D</v>
          </cell>
          <cell r="F1124" t="str">
            <v>T100%</v>
          </cell>
          <cell r="G1124" t="str">
            <v>100%POLYESTER</v>
          </cell>
          <cell r="H1124" t="str">
            <v>147CM</v>
          </cell>
          <cell r="I1124">
            <v>115</v>
          </cell>
          <cell r="J1124">
            <v>1.48</v>
          </cell>
          <cell r="K1124">
            <v>1.48</v>
          </cell>
          <cell r="L1124">
            <v>1.58</v>
          </cell>
          <cell r="M1124">
            <v>1.58</v>
          </cell>
          <cell r="N1124">
            <v>1.6800000000000002</v>
          </cell>
          <cell r="O1124">
            <v>1.6800000000000002</v>
          </cell>
          <cell r="P1124"/>
          <cell r="Q1124"/>
          <cell r="R1124">
            <v>1.7800000000000002</v>
          </cell>
          <cell r="S1124">
            <v>1.8800000000000001</v>
          </cell>
          <cell r="T1124"/>
          <cell r="U1124"/>
          <cell r="V1124">
            <v>15</v>
          </cell>
          <cell r="W1124"/>
          <cell r="X1124" t="str">
            <v>CANDY</v>
          </cell>
          <cell r="Y1124"/>
          <cell r="Z1124" t="str">
            <v>LEI WANG ' MAIL 22/12/17</v>
          </cell>
          <cell r="AA1124"/>
          <cell r="AB1124">
            <v>43091</v>
          </cell>
          <cell r="AC1124">
            <v>5155</v>
          </cell>
        </row>
        <row r="1125">
          <cell r="B1125">
            <v>4068</v>
          </cell>
          <cell r="C1125" t="str">
            <v>HLP17209</v>
          </cell>
          <cell r="D1125" t="str">
            <v>POLY</v>
          </cell>
          <cell r="E1125" t="str">
            <v>100D*75D</v>
          </cell>
          <cell r="F1125" t="str">
            <v>T100%</v>
          </cell>
          <cell r="G1125" t="str">
            <v>100%POLYESTER</v>
          </cell>
          <cell r="H1125" t="str">
            <v>150CM</v>
          </cell>
          <cell r="I1125">
            <v>112</v>
          </cell>
          <cell r="J1125">
            <v>1.39</v>
          </cell>
          <cell r="K1125">
            <v>1.52</v>
          </cell>
          <cell r="L1125">
            <v>1.49</v>
          </cell>
          <cell r="M1125">
            <v>1.62</v>
          </cell>
          <cell r="N1125">
            <v>1.59</v>
          </cell>
          <cell r="O1125">
            <v>1.7200000000000002</v>
          </cell>
          <cell r="P1125"/>
          <cell r="Q1125"/>
          <cell r="R1125">
            <v>1.6900000000000002</v>
          </cell>
          <cell r="S1125">
            <v>1.9200000000000002</v>
          </cell>
          <cell r="T1125"/>
          <cell r="U1125"/>
          <cell r="V1125">
            <v>15</v>
          </cell>
          <cell r="W1125"/>
          <cell r="X1125" t="str">
            <v>CANDY</v>
          </cell>
          <cell r="Y1125"/>
          <cell r="Z1125" t="str">
            <v>LEI WANG ' MAIL 22/12/17</v>
          </cell>
          <cell r="AA1125"/>
          <cell r="AB1125">
            <v>43091</v>
          </cell>
          <cell r="AC1125">
            <v>5156</v>
          </cell>
        </row>
        <row r="1126">
          <cell r="B1126">
            <v>4067</v>
          </cell>
          <cell r="C1126" t="str">
            <v>HLP17208</v>
          </cell>
          <cell r="D1126" t="str">
            <v>POLY</v>
          </cell>
          <cell r="E1126" t="str">
            <v>100D*75D</v>
          </cell>
          <cell r="F1126" t="str">
            <v>T100%</v>
          </cell>
          <cell r="G1126" t="str">
            <v>100%POLYESTER</v>
          </cell>
          <cell r="H1126" t="str">
            <v>150CM</v>
          </cell>
          <cell r="I1126">
            <v>125</v>
          </cell>
          <cell r="J1126">
            <v>1.39</v>
          </cell>
          <cell r="K1126">
            <v>1.52</v>
          </cell>
          <cell r="L1126">
            <v>1.49</v>
          </cell>
          <cell r="M1126">
            <v>1.62</v>
          </cell>
          <cell r="N1126">
            <v>1.59</v>
          </cell>
          <cell r="O1126">
            <v>1.7200000000000002</v>
          </cell>
          <cell r="P1126"/>
          <cell r="Q1126"/>
          <cell r="R1126">
            <v>1.6900000000000002</v>
          </cell>
          <cell r="S1126">
            <v>1.9200000000000002</v>
          </cell>
          <cell r="T1126"/>
          <cell r="U1126"/>
          <cell r="V1126">
            <v>15</v>
          </cell>
          <cell r="W1126"/>
          <cell r="X1126" t="str">
            <v>CANDY</v>
          </cell>
          <cell r="Y1126"/>
          <cell r="Z1126" t="str">
            <v>LEI WANG ' MAIL 22/12/17</v>
          </cell>
          <cell r="AA1126"/>
          <cell r="AB1126">
            <v>43091</v>
          </cell>
          <cell r="AC1126">
            <v>5157</v>
          </cell>
        </row>
        <row r="1127">
          <cell r="B1127">
            <v>4066</v>
          </cell>
          <cell r="C1127" t="str">
            <v>HLP17206</v>
          </cell>
          <cell r="D1127" t="str">
            <v>POLY</v>
          </cell>
          <cell r="E1127" t="str">
            <v>75D*75D+40D</v>
          </cell>
          <cell r="F1127" t="str">
            <v>T/S 99/1</v>
          </cell>
          <cell r="G1127" t="str">
            <v>99%POLYESTER 1%SPANDEX</v>
          </cell>
          <cell r="H1127" t="str">
            <v>148CM</v>
          </cell>
          <cell r="I1127">
            <v>86</v>
          </cell>
          <cell r="J1127">
            <v>1.76</v>
          </cell>
          <cell r="K1127">
            <v>1.9</v>
          </cell>
          <cell r="L1127">
            <v>1.86</v>
          </cell>
          <cell r="M1127">
            <v>2</v>
          </cell>
          <cell r="N1127">
            <v>1.9600000000000002</v>
          </cell>
          <cell r="O1127">
            <v>2.1</v>
          </cell>
          <cell r="P1127"/>
          <cell r="Q1127"/>
          <cell r="R1127">
            <v>2.06</v>
          </cell>
          <cell r="S1127">
            <v>2.3000000000000003</v>
          </cell>
          <cell r="T1127"/>
          <cell r="U1127"/>
          <cell r="V1127">
            <v>15</v>
          </cell>
          <cell r="W1127"/>
          <cell r="X1127" t="str">
            <v>CANDY</v>
          </cell>
          <cell r="Y1127"/>
          <cell r="Z1127" t="str">
            <v>LEI WANG ' MAIL 22/12/17</v>
          </cell>
          <cell r="AA1127"/>
          <cell r="AB1127">
            <v>43091</v>
          </cell>
          <cell r="AC1127">
            <v>5158</v>
          </cell>
        </row>
        <row r="1128">
          <cell r="B1128">
            <v>4065</v>
          </cell>
          <cell r="C1128" t="str">
            <v>HLP17207</v>
          </cell>
          <cell r="D1128" t="str">
            <v>POLY</v>
          </cell>
          <cell r="E1128" t="str">
            <v>80DSPH*80DSPH</v>
          </cell>
          <cell r="F1128" t="str">
            <v>T100%</v>
          </cell>
          <cell r="G1128" t="str">
            <v>100%POLYESTER</v>
          </cell>
          <cell r="H1128" t="str">
            <v>146CM</v>
          </cell>
          <cell r="I1128">
            <v>110</v>
          </cell>
          <cell r="J1128">
            <v>2.2400000000000002</v>
          </cell>
          <cell r="K1128"/>
          <cell r="L1128">
            <v>2.3400000000000003</v>
          </cell>
          <cell r="M1128"/>
          <cell r="N1128">
            <v>2.4400000000000004</v>
          </cell>
          <cell r="O1128"/>
          <cell r="P1128"/>
          <cell r="Q1128"/>
          <cell r="R1128">
            <v>2.5400000000000005</v>
          </cell>
          <cell r="S1128"/>
          <cell r="T1128"/>
          <cell r="U1128"/>
          <cell r="V1128">
            <v>15</v>
          </cell>
          <cell r="W1128"/>
          <cell r="X1128" t="str">
            <v>CANDY</v>
          </cell>
          <cell r="Y1128"/>
          <cell r="Z1128" t="str">
            <v>LEI WANG ' MAIL 22/12/17</v>
          </cell>
          <cell r="AA1128"/>
          <cell r="AB1128">
            <v>43091</v>
          </cell>
          <cell r="AC1128">
            <v>5154</v>
          </cell>
        </row>
        <row r="1129">
          <cell r="B1129">
            <v>4064</v>
          </cell>
          <cell r="C1129" t="str">
            <v>HLP17210</v>
          </cell>
          <cell r="D1129" t="str">
            <v>SILKY POLY</v>
          </cell>
          <cell r="E1129" t="str">
            <v>75D*75D</v>
          </cell>
          <cell r="F1129" t="str">
            <v>T100%</v>
          </cell>
          <cell r="G1129" t="str">
            <v>100%POLYESTER</v>
          </cell>
          <cell r="H1129" t="str">
            <v>146CM</v>
          </cell>
          <cell r="I1129">
            <v>115</v>
          </cell>
          <cell r="J1129">
            <v>1.55</v>
          </cell>
          <cell r="K1129">
            <v>1.69</v>
          </cell>
          <cell r="L1129">
            <v>1.6500000000000001</v>
          </cell>
          <cell r="M1129">
            <v>1.79</v>
          </cell>
          <cell r="N1129">
            <v>1.7500000000000002</v>
          </cell>
          <cell r="O1129">
            <v>1.8900000000000001</v>
          </cell>
          <cell r="P1129"/>
          <cell r="Q1129"/>
          <cell r="R1129">
            <v>1.8500000000000003</v>
          </cell>
          <cell r="S1129">
            <v>2.0900000000000003</v>
          </cell>
          <cell r="T1129"/>
          <cell r="U1129"/>
          <cell r="V1129">
            <v>15</v>
          </cell>
          <cell r="W1129"/>
          <cell r="X1129" t="str">
            <v>CANDY</v>
          </cell>
          <cell r="Y1129"/>
          <cell r="Z1129" t="str">
            <v>LEI WANG ' MAIL 22/12/17</v>
          </cell>
          <cell r="AA1129"/>
          <cell r="AB1129">
            <v>43091</v>
          </cell>
          <cell r="AC1129">
            <v>5159</v>
          </cell>
        </row>
        <row r="1130">
          <cell r="B1130">
            <v>2537</v>
          </cell>
          <cell r="C1130" t="str">
            <v>XQ162</v>
          </cell>
          <cell r="D1130" t="str">
            <v>POLY DOT</v>
          </cell>
          <cell r="E1130"/>
          <cell r="F1130" t="str">
            <v>T100%</v>
          </cell>
          <cell r="G1130" t="str">
            <v>100% POLYESTER</v>
          </cell>
          <cell r="H1130" t="str">
            <v>57/58</v>
          </cell>
          <cell r="I1130">
            <v>80</v>
          </cell>
          <cell r="J1130">
            <v>1.34</v>
          </cell>
          <cell r="K1130">
            <v>1.52</v>
          </cell>
          <cell r="L1130">
            <v>1.36</v>
          </cell>
          <cell r="M1130">
            <v>1.55</v>
          </cell>
          <cell r="N1130">
            <v>1.38</v>
          </cell>
          <cell r="O1130">
            <v>1.58</v>
          </cell>
          <cell r="P1130"/>
          <cell r="Q1130"/>
          <cell r="R1130">
            <v>1.53</v>
          </cell>
          <cell r="S1130">
            <v>1.83</v>
          </cell>
          <cell r="T1130"/>
          <cell r="U1130"/>
          <cell r="V1130">
            <v>15</v>
          </cell>
          <cell r="W1130"/>
          <cell r="X1130" t="str">
            <v>GAVIN</v>
          </cell>
          <cell r="Y1130"/>
          <cell r="Z1130" t="str">
            <v>GAVIN' MAIL 22/12/17</v>
          </cell>
          <cell r="AA1130"/>
          <cell r="AB1130">
            <v>43091</v>
          </cell>
          <cell r="AC1130">
            <v>5153</v>
          </cell>
        </row>
        <row r="1131">
          <cell r="B1131">
            <v>4051</v>
          </cell>
          <cell r="C1131" t="str">
            <v>WK-25968</v>
          </cell>
          <cell r="D1131" t="str">
            <v>PONTE</v>
          </cell>
          <cell r="E1131" t="str">
            <v>40S+70/40D</v>
          </cell>
          <cell r="F1131" t="str">
            <v>R/N/S 60/35/5</v>
          </cell>
          <cell r="G1131" t="str">
            <v>60%RAYON 35%NYLON 5%SPANDEX</v>
          </cell>
          <cell r="H1131">
            <v>150</v>
          </cell>
          <cell r="I1131">
            <v>350</v>
          </cell>
          <cell r="J1131">
            <v>3.5</v>
          </cell>
          <cell r="K1131"/>
          <cell r="L1131">
            <v>3.5</v>
          </cell>
          <cell r="M1131"/>
          <cell r="N1131">
            <v>3.6</v>
          </cell>
          <cell r="O1131"/>
          <cell r="P1131"/>
          <cell r="Q1131"/>
          <cell r="R1131">
            <v>3.7</v>
          </cell>
          <cell r="S1131"/>
          <cell r="T1131"/>
          <cell r="U1131"/>
          <cell r="V1131">
            <v>15</v>
          </cell>
          <cell r="W1131"/>
          <cell r="X1131" t="str">
            <v>PANI</v>
          </cell>
          <cell r="Y1131"/>
          <cell r="Z1131" t="str">
            <v>AMY' MAIL 18/12/17</v>
          </cell>
          <cell r="AA1131"/>
          <cell r="AB1131">
            <v>43087</v>
          </cell>
          <cell r="AC1131">
            <v>5160</v>
          </cell>
        </row>
        <row r="1132">
          <cell r="B1132">
            <v>4050</v>
          </cell>
          <cell r="C1132" t="str">
            <v>GL1579-3</v>
          </cell>
          <cell r="D1132" t="str">
            <v>JERSEY</v>
          </cell>
          <cell r="E1132"/>
          <cell r="F1132" t="str">
            <v>R/S 95/5</v>
          </cell>
          <cell r="G1132" t="str">
            <v>95%RAYON  5%SPAN</v>
          </cell>
          <cell r="H1132" t="str">
            <v>160CM</v>
          </cell>
          <cell r="I1132">
            <v>210</v>
          </cell>
          <cell r="J1132">
            <v>1.74</v>
          </cell>
          <cell r="K1132"/>
          <cell r="L1132">
            <v>1.78</v>
          </cell>
          <cell r="M1132"/>
          <cell r="N1132">
            <v>1.78</v>
          </cell>
          <cell r="O1132"/>
          <cell r="P1132"/>
          <cell r="Q1132"/>
          <cell r="R1132"/>
          <cell r="S1132"/>
          <cell r="T1132"/>
          <cell r="U1132"/>
          <cell r="V1132"/>
          <cell r="W1132" t="str">
            <v>1000M - surchage $78+$225=$303 / total 3000m - 1500/color surchrage $78/color</v>
          </cell>
          <cell r="X1132" t="str">
            <v>NICKY</v>
          </cell>
          <cell r="Y1132"/>
          <cell r="Z1132" t="str">
            <v>NICKY ' MAIL 15/12/17</v>
          </cell>
          <cell r="AA1132"/>
          <cell r="AB1132">
            <v>43084</v>
          </cell>
          <cell r="AC1132">
            <v>5161</v>
          </cell>
        </row>
        <row r="1133">
          <cell r="B1133">
            <v>4049</v>
          </cell>
          <cell r="C1133" t="str">
            <v>GL1579-2</v>
          </cell>
          <cell r="D1133" t="str">
            <v>JERSEY</v>
          </cell>
          <cell r="E1133"/>
          <cell r="F1133" t="str">
            <v>R/S 95/5</v>
          </cell>
          <cell r="G1133" t="str">
            <v>96%RAYON  4%SPAN</v>
          </cell>
          <cell r="H1133" t="str">
            <v>160CM</v>
          </cell>
          <cell r="I1133">
            <v>200</v>
          </cell>
          <cell r="J1133">
            <v>1.66</v>
          </cell>
          <cell r="K1133"/>
          <cell r="L1133">
            <v>1.7</v>
          </cell>
          <cell r="M1133"/>
          <cell r="N1133">
            <v>1.7</v>
          </cell>
          <cell r="O1133"/>
          <cell r="P1133"/>
          <cell r="Q1133"/>
          <cell r="R1133"/>
          <cell r="S1133"/>
          <cell r="T1133"/>
          <cell r="U1133"/>
          <cell r="V1133"/>
          <cell r="W1133" t="str">
            <v>1000M - surchage $78+$225=$303 / total 3000m - 1500/color surchrage $78/color</v>
          </cell>
          <cell r="X1133" t="str">
            <v>NICKY</v>
          </cell>
          <cell r="Y1133"/>
          <cell r="Z1133" t="str">
            <v>NICKY ' MAIL 15/12/17</v>
          </cell>
          <cell r="AA1133"/>
          <cell r="AB1133">
            <v>43084</v>
          </cell>
          <cell r="AC1133">
            <v>5162</v>
          </cell>
        </row>
        <row r="1134">
          <cell r="B1134">
            <v>4048</v>
          </cell>
          <cell r="C1134" t="str">
            <v>GL1579-1</v>
          </cell>
          <cell r="D1134" t="str">
            <v>JERSEY</v>
          </cell>
          <cell r="E1134"/>
          <cell r="F1134" t="str">
            <v>R/S 95/5</v>
          </cell>
          <cell r="G1134" t="str">
            <v>95%RAYON  5%SPAN</v>
          </cell>
          <cell r="H1134" t="str">
            <v>160CM</v>
          </cell>
          <cell r="I1134">
            <v>205</v>
          </cell>
          <cell r="J1134">
            <v>1.7</v>
          </cell>
          <cell r="K1134"/>
          <cell r="L1134">
            <v>1.74</v>
          </cell>
          <cell r="M1134"/>
          <cell r="N1134">
            <v>1.74</v>
          </cell>
          <cell r="O1134"/>
          <cell r="P1134"/>
          <cell r="Q1134"/>
          <cell r="R1134"/>
          <cell r="S1134"/>
          <cell r="T1134"/>
          <cell r="U1134"/>
          <cell r="V1134"/>
          <cell r="W1134" t="str">
            <v>1000M - surchage $78+$225=$303 / total 3000m - 1500/color surchrage $78/color</v>
          </cell>
          <cell r="X1134" t="str">
            <v>NICKY</v>
          </cell>
          <cell r="Y1134"/>
          <cell r="Z1134" t="str">
            <v>NICKY ' MAIL 15/12/17</v>
          </cell>
          <cell r="AA1134"/>
          <cell r="AB1134">
            <v>43084</v>
          </cell>
          <cell r="AC1134">
            <v>5163</v>
          </cell>
        </row>
        <row r="1135">
          <cell r="B1135">
            <v>4047</v>
          </cell>
          <cell r="C1135" t="str">
            <v>GL1579-4</v>
          </cell>
          <cell r="D1135" t="str">
            <v>JERSEY</v>
          </cell>
          <cell r="E1135"/>
          <cell r="F1135" t="str">
            <v>R/S 95/5</v>
          </cell>
          <cell r="G1135" t="str">
            <v>94%RAYON  6%SPAN</v>
          </cell>
          <cell r="H1135" t="str">
            <v>160CM</v>
          </cell>
          <cell r="I1135">
            <v>223</v>
          </cell>
          <cell r="J1135">
            <v>1.85</v>
          </cell>
          <cell r="K1135"/>
          <cell r="L1135">
            <v>1.89</v>
          </cell>
          <cell r="M1135"/>
          <cell r="N1135">
            <v>1.89</v>
          </cell>
          <cell r="O1135"/>
          <cell r="P1135"/>
          <cell r="Q1135"/>
          <cell r="R1135"/>
          <cell r="S1135"/>
          <cell r="T1135"/>
          <cell r="U1135"/>
          <cell r="V1135"/>
          <cell r="W1135" t="str">
            <v>1000M - surchage $78+$225=$303 / total 3000m - 1500/color surchrage $78/color</v>
          </cell>
          <cell r="X1135" t="str">
            <v>NICKY</v>
          </cell>
          <cell r="Y1135"/>
          <cell r="Z1135" t="str">
            <v>NICKY ' MAIL 15/12/17</v>
          </cell>
          <cell r="AA1135"/>
          <cell r="AB1135">
            <v>43084</v>
          </cell>
          <cell r="AC1135">
            <v>5164</v>
          </cell>
        </row>
        <row r="1136">
          <cell r="B1136">
            <v>4044</v>
          </cell>
          <cell r="C1136" t="str">
            <v>TS-495</v>
          </cell>
          <cell r="D1136" t="str">
            <v>CHIFFON WITH VELVET DOTS</v>
          </cell>
          <cell r="E1136" t="str">
            <v xml:space="preserve">75D CHIFFON + FLOCKING </v>
          </cell>
          <cell r="F1136" t="str">
            <v>T100%</v>
          </cell>
          <cell r="G1136" t="str">
            <v xml:space="preserve">100% POLYESTER </v>
          </cell>
          <cell r="H1136" t="str">
            <v>57/58</v>
          </cell>
          <cell r="I1136">
            <v>52</v>
          </cell>
          <cell r="J1136">
            <v>1.31</v>
          </cell>
          <cell r="K1136">
            <v>1.3</v>
          </cell>
          <cell r="L1136">
            <v>1.33</v>
          </cell>
          <cell r="M1136">
            <v>1.52</v>
          </cell>
          <cell r="N1136">
            <v>1.35</v>
          </cell>
          <cell r="O1136">
            <v>1.55</v>
          </cell>
          <cell r="P1136"/>
          <cell r="Q1136"/>
          <cell r="R1136">
            <v>1.5</v>
          </cell>
          <cell r="S1136">
            <v>1.8</v>
          </cell>
          <cell r="T1136"/>
          <cell r="U1136"/>
          <cell r="V1136">
            <v>15</v>
          </cell>
          <cell r="W1136"/>
          <cell r="X1136" t="str">
            <v>GAVIN</v>
          </cell>
          <cell r="Y1136"/>
          <cell r="Z1136" t="str">
            <v>GAVIN ' MAIL 14/12/17</v>
          </cell>
          <cell r="AA1136"/>
          <cell r="AB1136">
            <v>43083</v>
          </cell>
          <cell r="AC1136">
            <v>5165</v>
          </cell>
        </row>
        <row r="1137">
          <cell r="B1137">
            <v>4043</v>
          </cell>
          <cell r="C1137" t="str">
            <v>TS-496</v>
          </cell>
          <cell r="D1137" t="str">
            <v>MESH WITH DOTS</v>
          </cell>
          <cell r="E1137"/>
          <cell r="F1137" t="str">
            <v>N/S 95/5</v>
          </cell>
          <cell r="G1137" t="str">
            <v xml:space="preserve">95% NYLON 5% SPANDEX </v>
          </cell>
          <cell r="H1137" t="str">
            <v>57/58</v>
          </cell>
          <cell r="I1137">
            <v>42</v>
          </cell>
          <cell r="J1137">
            <v>1.46</v>
          </cell>
          <cell r="K1137">
            <v>1.64</v>
          </cell>
          <cell r="L1137">
            <v>1.48</v>
          </cell>
          <cell r="M1137">
            <v>1.67</v>
          </cell>
          <cell r="N1137">
            <v>1.5</v>
          </cell>
          <cell r="O1137">
            <v>1.7</v>
          </cell>
          <cell r="P1137"/>
          <cell r="Q1137"/>
          <cell r="R1137">
            <v>1.65</v>
          </cell>
          <cell r="S1137">
            <v>1.95</v>
          </cell>
          <cell r="T1137"/>
          <cell r="U1137"/>
          <cell r="V1137">
            <v>15</v>
          </cell>
          <cell r="W1137"/>
          <cell r="X1137" t="str">
            <v>GAVIN</v>
          </cell>
          <cell r="Y1137"/>
          <cell r="Z1137" t="str">
            <v>GAVIN ' MAIL 14/12/17</v>
          </cell>
          <cell r="AA1137"/>
          <cell r="AB1137">
            <v>43083</v>
          </cell>
          <cell r="AC1137">
            <v>5166</v>
          </cell>
        </row>
        <row r="1138">
          <cell r="B1138">
            <v>4042</v>
          </cell>
          <cell r="C1138" t="str">
            <v>TS-494</v>
          </cell>
          <cell r="D1138" t="str">
            <v>CRINKLE CHIFFON WITH FOIL</v>
          </cell>
          <cell r="E1138" t="str">
            <v>75D CHIFFON CRIKLE + FOIL</v>
          </cell>
          <cell r="F1138" t="str">
            <v>T100%</v>
          </cell>
          <cell r="G1138" t="str">
            <v xml:space="preserve">100% POLYESTER </v>
          </cell>
          <cell r="H1138" t="str">
            <v>57/58</v>
          </cell>
          <cell r="I1138">
            <v>72</v>
          </cell>
          <cell r="J1138">
            <v>1.31</v>
          </cell>
          <cell r="K1138">
            <v>1.3</v>
          </cell>
          <cell r="L1138">
            <v>1.33</v>
          </cell>
          <cell r="M1138">
            <v>1.52</v>
          </cell>
          <cell r="N1138">
            <v>1.35</v>
          </cell>
          <cell r="O1138">
            <v>1.55</v>
          </cell>
          <cell r="P1138"/>
          <cell r="Q1138"/>
          <cell r="R1138">
            <v>1.5</v>
          </cell>
          <cell r="S1138">
            <v>1.8</v>
          </cell>
          <cell r="T1138"/>
          <cell r="U1138"/>
          <cell r="V1138">
            <v>15</v>
          </cell>
          <cell r="W1138"/>
          <cell r="X1138" t="str">
            <v>GAVIN</v>
          </cell>
          <cell r="Y1138"/>
          <cell r="Z1138" t="str">
            <v>GAVIN ' MAIL 14/12/17</v>
          </cell>
          <cell r="AA1138"/>
          <cell r="AB1138">
            <v>43083</v>
          </cell>
          <cell r="AC1138">
            <v>5167</v>
          </cell>
        </row>
        <row r="1139">
          <cell r="B1139">
            <v>3384</v>
          </cell>
          <cell r="C1139" t="str">
            <v>WJ-0232</v>
          </cell>
          <cell r="D1139" t="str">
            <v>CHIFFON WITH DOTS</v>
          </cell>
          <cell r="E1139"/>
          <cell r="F1139" t="str">
            <v>T100%</v>
          </cell>
          <cell r="G1139" t="str">
            <v>100%POLYESTER</v>
          </cell>
          <cell r="H1139" t="str">
            <v>144CM</v>
          </cell>
          <cell r="I1139">
            <v>85</v>
          </cell>
          <cell r="J1139">
            <v>1.5</v>
          </cell>
          <cell r="K1139">
            <v>1.8</v>
          </cell>
          <cell r="L1139">
            <v>1.5</v>
          </cell>
          <cell r="M1139">
            <v>1.8</v>
          </cell>
          <cell r="N1139">
            <v>1.6</v>
          </cell>
          <cell r="O1139">
            <v>1.9</v>
          </cell>
          <cell r="P1139"/>
          <cell r="Q1139"/>
          <cell r="R1139">
            <v>1.7</v>
          </cell>
          <cell r="S1139">
            <v>2</v>
          </cell>
          <cell r="T1139"/>
          <cell r="U1139"/>
          <cell r="V1139">
            <v>15</v>
          </cell>
          <cell r="W1139"/>
          <cell r="X1139" t="str">
            <v>PANI</v>
          </cell>
          <cell r="Y1139"/>
          <cell r="Z1139" t="str">
            <v>AMY ' MAIL 13/12/17</v>
          </cell>
          <cell r="AA1139"/>
          <cell r="AB1139">
            <v>43082</v>
          </cell>
          <cell r="AC1139">
            <v>5168</v>
          </cell>
        </row>
        <row r="1140">
          <cell r="B1140">
            <v>4034</v>
          </cell>
          <cell r="C1140" t="str">
            <v>T-2232</v>
          </cell>
          <cell r="D1140" t="str">
            <v>STRIPE TAFFETA - LINING</v>
          </cell>
          <cell r="E1140"/>
          <cell r="F1140" t="str">
            <v>T100%</v>
          </cell>
          <cell r="G1140" t="str">
            <v>100% POLYESTER</v>
          </cell>
          <cell r="H1140" t="str">
            <v>57/58</v>
          </cell>
          <cell r="I1140">
            <v>73</v>
          </cell>
          <cell r="J1140">
            <v>0.92</v>
          </cell>
          <cell r="K1140"/>
          <cell r="L1140">
            <v>0.95</v>
          </cell>
          <cell r="M1140"/>
          <cell r="N1140">
            <v>0.95</v>
          </cell>
          <cell r="O1140"/>
          <cell r="P1140"/>
          <cell r="Q1140"/>
          <cell r="R1140"/>
          <cell r="S1140"/>
          <cell r="T1140"/>
          <cell r="U1140"/>
          <cell r="V1140">
            <v>15</v>
          </cell>
          <cell r="W1140"/>
          <cell r="X1140" t="str">
            <v>LIVALTEX</v>
          </cell>
          <cell r="Y1140"/>
          <cell r="Z1140" t="str">
            <v>ROSE ' MAIL 12/12/17</v>
          </cell>
          <cell r="AA1140"/>
          <cell r="AB1140">
            <v>43081</v>
          </cell>
          <cell r="AC1140">
            <v>5169</v>
          </cell>
        </row>
        <row r="1141">
          <cell r="B1141">
            <v>4033</v>
          </cell>
          <cell r="C1141" t="str">
            <v>T-2231</v>
          </cell>
          <cell r="D1141" t="str">
            <v>STRIPE TAFFETA - LINING</v>
          </cell>
          <cell r="E1141"/>
          <cell r="F1141" t="str">
            <v>T100%</v>
          </cell>
          <cell r="G1141" t="str">
            <v>100% POLYESTER</v>
          </cell>
          <cell r="H1141" t="str">
            <v>57/58</v>
          </cell>
          <cell r="I1141">
            <v>82</v>
          </cell>
          <cell r="J1141">
            <v>0.92</v>
          </cell>
          <cell r="K1141"/>
          <cell r="L1141">
            <v>0.95</v>
          </cell>
          <cell r="M1141"/>
          <cell r="N1141">
            <v>0.95</v>
          </cell>
          <cell r="O1141"/>
          <cell r="P1141"/>
          <cell r="Q1141"/>
          <cell r="R1141"/>
          <cell r="S1141"/>
          <cell r="T1141"/>
          <cell r="U1141"/>
          <cell r="V1141">
            <v>15</v>
          </cell>
          <cell r="W1141"/>
          <cell r="X1141" t="str">
            <v>LIVALTEX</v>
          </cell>
          <cell r="Y1141"/>
          <cell r="Z1141" t="str">
            <v>ROSE ' MAIL 12/12/17</v>
          </cell>
          <cell r="AA1141"/>
          <cell r="AB1141">
            <v>43081</v>
          </cell>
          <cell r="AC1141">
            <v>5170</v>
          </cell>
        </row>
        <row r="1142">
          <cell r="B1142">
            <v>4032</v>
          </cell>
          <cell r="C1142" t="str">
            <v>RP-325</v>
          </cell>
          <cell r="D1142" t="str">
            <v>STRIPE TAFFETA - LINING</v>
          </cell>
          <cell r="E1142"/>
          <cell r="F1142" t="str">
            <v>T/V 60/40</v>
          </cell>
          <cell r="G1142" t="str">
            <v>60%POLYESTER  40%VISCOSE</v>
          </cell>
          <cell r="H1142" t="str">
            <v>57/58</v>
          </cell>
          <cell r="I1142">
            <v>89</v>
          </cell>
          <cell r="J1142">
            <v>1.7</v>
          </cell>
          <cell r="K1142"/>
          <cell r="L1142">
            <v>1.74</v>
          </cell>
          <cell r="M1142"/>
          <cell r="N1142">
            <v>1.74</v>
          </cell>
          <cell r="O1142"/>
          <cell r="P1142"/>
          <cell r="Q1142"/>
          <cell r="R1142"/>
          <cell r="S1142"/>
          <cell r="T1142"/>
          <cell r="U1142"/>
          <cell r="V1142">
            <v>15</v>
          </cell>
          <cell r="W1142"/>
          <cell r="X1142" t="str">
            <v>LIVALTEX</v>
          </cell>
          <cell r="Y1142"/>
          <cell r="Z1142" t="str">
            <v>ROSE ' MAIL 12/12/17</v>
          </cell>
          <cell r="AA1142"/>
          <cell r="AB1142">
            <v>43081</v>
          </cell>
          <cell r="AC1142">
            <v>5171</v>
          </cell>
        </row>
        <row r="1143">
          <cell r="B1143">
            <v>4037</v>
          </cell>
          <cell r="C1143" t="str">
            <v>HLI17060</v>
          </cell>
          <cell r="D1143" t="str">
            <v>PONTE</v>
          </cell>
          <cell r="E1143" t="str">
            <v>30S+75D+40D</v>
          </cell>
          <cell r="F1143" t="str">
            <v>T/R/S 81/14/5</v>
          </cell>
          <cell r="G1143" t="str">
            <v xml:space="preserve">81%POLYESTER  14%RAYON  5%SPANDEX </v>
          </cell>
          <cell r="H1143" t="str">
            <v>58/59</v>
          </cell>
          <cell r="I1143">
            <v>290</v>
          </cell>
          <cell r="J1143">
            <v>2.1816607365866298</v>
          </cell>
          <cell r="K1143">
            <v>2.3216656063212295</v>
          </cell>
          <cell r="L1143">
            <v>2.2816607365866299</v>
          </cell>
          <cell r="M1143">
            <v>2.5616656063212293</v>
          </cell>
          <cell r="N1143">
            <v>2.38166073658663</v>
          </cell>
          <cell r="O1143">
            <v>2.7516656063212297</v>
          </cell>
          <cell r="P1143"/>
          <cell r="Q1143"/>
          <cell r="R1143">
            <v>2.4816607365866301</v>
          </cell>
          <cell r="S1143">
            <v>3.2016656063212294</v>
          </cell>
          <cell r="T1143"/>
          <cell r="U1143"/>
          <cell r="V1143"/>
          <cell r="W1143"/>
          <cell r="X1143" t="str">
            <v>CANDY</v>
          </cell>
          <cell r="Y1143"/>
          <cell r="Z1143" t="str">
            <v>CANDY ' MAIL 11/12/17</v>
          </cell>
          <cell r="AA1143"/>
          <cell r="AB1143">
            <v>43080</v>
          </cell>
          <cell r="AC1143">
            <v>5175</v>
          </cell>
        </row>
        <row r="1144">
          <cell r="B1144">
            <v>4036</v>
          </cell>
          <cell r="C1144" t="str">
            <v>HLI17058</v>
          </cell>
          <cell r="D1144" t="str">
            <v>PONTE</v>
          </cell>
          <cell r="E1144" t="str">
            <v>30S+100D+40D</v>
          </cell>
          <cell r="F1144" t="str">
            <v>T/R/S 81/14/5</v>
          </cell>
          <cell r="G1144" t="str">
            <v xml:space="preserve">81%POLYESTER  14%RAYON  5%SPANDEX </v>
          </cell>
          <cell r="H1144" t="str">
            <v>58/59</v>
          </cell>
          <cell r="I1144">
            <v>340</v>
          </cell>
          <cell r="J1144">
            <v>2.4921993300601111</v>
          </cell>
          <cell r="K1144">
            <v>2.6557839673289592</v>
          </cell>
          <cell r="L1144">
            <v>2.5921993300601112</v>
          </cell>
          <cell r="M1144">
            <v>2.8957839673289589</v>
          </cell>
          <cell r="N1144">
            <v>2.6921993300601113</v>
          </cell>
          <cell r="O1144">
            <v>3.0857839673289593</v>
          </cell>
          <cell r="P1144"/>
          <cell r="Q1144"/>
          <cell r="R1144">
            <v>2.7921993300601113</v>
          </cell>
          <cell r="S1144">
            <v>3.5357839673289591</v>
          </cell>
          <cell r="T1144"/>
          <cell r="U1144"/>
          <cell r="V1144"/>
          <cell r="W1144"/>
          <cell r="X1144" t="str">
            <v>CANDY</v>
          </cell>
          <cell r="Y1144"/>
          <cell r="Z1144" t="str">
            <v>CANDY ' MAIL 11/12/17</v>
          </cell>
          <cell r="AA1144"/>
          <cell r="AB1144">
            <v>43080</v>
          </cell>
          <cell r="AC1144">
            <v>5176</v>
          </cell>
        </row>
        <row r="1145">
          <cell r="B1145">
            <v>4035</v>
          </cell>
          <cell r="C1145" t="str">
            <v>HLI17059</v>
          </cell>
          <cell r="D1145" t="str">
            <v>PONTE</v>
          </cell>
          <cell r="E1145" t="str">
            <v>32S+75D+40D</v>
          </cell>
          <cell r="F1145" t="str">
            <v>T/R/S 81/14/5</v>
          </cell>
          <cell r="G1145" t="str">
            <v xml:space="preserve">81%POLYESTER  14%RAYON  5%SPANDEX </v>
          </cell>
          <cell r="H1145">
            <v>58</v>
          </cell>
          <cell r="I1145">
            <v>260</v>
          </cell>
          <cell r="J1145">
            <v>1.988356723008128</v>
          </cell>
          <cell r="K1145">
            <v>2.113683662851197</v>
          </cell>
          <cell r="L1145">
            <v>2.0883567230081281</v>
          </cell>
          <cell r="M1145">
            <v>2.3536836628511972</v>
          </cell>
          <cell r="N1145">
            <v>2.1883567230081282</v>
          </cell>
          <cell r="O1145">
            <v>2.5436836628511972</v>
          </cell>
          <cell r="P1145"/>
          <cell r="Q1145"/>
          <cell r="R1145">
            <v>2.2883567230081283</v>
          </cell>
          <cell r="S1145">
            <v>2.9936836628511969</v>
          </cell>
          <cell r="T1145"/>
          <cell r="U1145"/>
          <cell r="V1145"/>
          <cell r="W1145"/>
          <cell r="X1145" t="str">
            <v>CANDY</v>
          </cell>
          <cell r="Y1145"/>
          <cell r="Z1145" t="str">
            <v>CANDY ' MAIL 11/12/17</v>
          </cell>
          <cell r="AA1145"/>
          <cell r="AB1145">
            <v>43080</v>
          </cell>
          <cell r="AC1145">
            <v>5172</v>
          </cell>
        </row>
        <row r="1146">
          <cell r="B1146">
            <v>4031</v>
          </cell>
          <cell r="C1146" t="str">
            <v>ME-358B</v>
          </cell>
          <cell r="D1146" t="str">
            <v>CHEMICAL LACE</v>
          </cell>
          <cell r="E1146"/>
          <cell r="F1146" t="str">
            <v>T100%</v>
          </cell>
          <cell r="G1146" t="str">
            <v>100%POLYESTER</v>
          </cell>
          <cell r="H1146" t="str">
            <v>49/50</v>
          </cell>
          <cell r="I1146"/>
          <cell r="J1146">
            <v>4.58</v>
          </cell>
          <cell r="K1146"/>
          <cell r="L1146">
            <v>4.63</v>
          </cell>
          <cell r="M1146"/>
          <cell r="N1146">
            <v>4.63</v>
          </cell>
          <cell r="O1146"/>
          <cell r="P1146"/>
          <cell r="Q1146"/>
          <cell r="R1146">
            <v>4.93</v>
          </cell>
          <cell r="S1146"/>
          <cell r="T1146"/>
          <cell r="U1146"/>
          <cell r="V1146">
            <v>15</v>
          </cell>
          <cell r="W1146"/>
          <cell r="X1146" t="str">
            <v>LIVALTEX</v>
          </cell>
          <cell r="Y1146"/>
          <cell r="Z1146" t="str">
            <v>ROSE ' MAIL 11/12/17</v>
          </cell>
          <cell r="AA1146"/>
          <cell r="AB1146">
            <v>43080</v>
          </cell>
          <cell r="AC1146">
            <v>5173</v>
          </cell>
        </row>
        <row r="1147">
          <cell r="B1147">
            <v>4030</v>
          </cell>
          <cell r="C1147" t="str">
            <v>ME-358A</v>
          </cell>
          <cell r="D1147" t="str">
            <v>CHEMICAL LACE</v>
          </cell>
          <cell r="E1147"/>
          <cell r="F1147" t="str">
            <v>T100%</v>
          </cell>
          <cell r="G1147" t="str">
            <v>100%POLYESTER</v>
          </cell>
          <cell r="H1147" t="str">
            <v>49/50</v>
          </cell>
          <cell r="I1147"/>
          <cell r="J1147">
            <v>4.22</v>
          </cell>
          <cell r="K1147"/>
          <cell r="L1147">
            <v>4.2699999999999996</v>
          </cell>
          <cell r="M1147"/>
          <cell r="N1147">
            <v>4.2699999999999996</v>
          </cell>
          <cell r="O1147"/>
          <cell r="P1147"/>
          <cell r="Q1147"/>
          <cell r="R1147">
            <v>4.57</v>
          </cell>
          <cell r="S1147"/>
          <cell r="T1147"/>
          <cell r="U1147"/>
          <cell r="V1147">
            <v>15</v>
          </cell>
          <cell r="W1147"/>
          <cell r="X1147" t="str">
            <v>LIVALTEX</v>
          </cell>
          <cell r="Y1147"/>
          <cell r="Z1147" t="str">
            <v>ROSE ' MAIL 11/12/17</v>
          </cell>
          <cell r="AA1147"/>
          <cell r="AB1147">
            <v>43080</v>
          </cell>
          <cell r="AC1147">
            <v>5174</v>
          </cell>
        </row>
        <row r="1148">
          <cell r="B1148">
            <v>3984</v>
          </cell>
          <cell r="C1148" t="str">
            <v>M-0660</v>
          </cell>
          <cell r="D1148" t="str">
            <v>JERSEY</v>
          </cell>
          <cell r="E1148"/>
          <cell r="F1148" t="str">
            <v>R/S 95/5</v>
          </cell>
          <cell r="G1148" t="str">
            <v>95%RAYON  5%SPANDEX JERSEY</v>
          </cell>
          <cell r="H1148" t="str">
            <v>66/66</v>
          </cell>
          <cell r="I1148" t="str">
            <v>190-200</v>
          </cell>
          <cell r="J1148" t="str">
            <v xml:space="preserve">
$1.82</v>
          </cell>
          <cell r="K1148" t="str">
            <v xml:space="preserve">
$2.23</v>
          </cell>
          <cell r="L1148" t="str">
            <v xml:space="preserve">
$1.85</v>
          </cell>
          <cell r="M1148" t="str">
            <v xml:space="preserve">
$2.25</v>
          </cell>
          <cell r="N1148" t="str">
            <v xml:space="preserve">
$1.85</v>
          </cell>
          <cell r="O1148" t="str">
            <v xml:space="preserve">
$2.25</v>
          </cell>
          <cell r="P1148"/>
          <cell r="Q1148"/>
          <cell r="R1148" t="str">
            <v xml:space="preserve">
$2.45</v>
          </cell>
          <cell r="S1148" t="str">
            <v xml:space="preserve">
$2.75</v>
          </cell>
          <cell r="T1148"/>
          <cell r="U1148"/>
          <cell r="V1148">
            <v>15</v>
          </cell>
          <cell r="W1148" t="str">
            <v>$2.45/M FOR 400M SOLID - JASON OFFERED BY WECHAT.
Surcharge $100/color for 1000m</v>
          </cell>
          <cell r="X1148" t="str">
            <v>M-TEX</v>
          </cell>
          <cell r="Y1148"/>
          <cell r="Z1148" t="str">
            <v>JASON ' MAIL 9/12/17</v>
          </cell>
          <cell r="AA1148"/>
          <cell r="AB1148">
            <v>43078</v>
          </cell>
          <cell r="AC1148">
            <v>5177</v>
          </cell>
        </row>
        <row r="1149">
          <cell r="B1149">
            <v>3370</v>
          </cell>
          <cell r="C1149" t="str">
            <v>GL1812</v>
          </cell>
          <cell r="D1149" t="str">
            <v>PONTE ROMA</v>
          </cell>
          <cell r="E1149"/>
          <cell r="F1149" t="str">
            <v>R/N/S 65/30/5</v>
          </cell>
          <cell r="G1149" t="str">
            <v>65%RAYON  30%NYLON  5%SPAN</v>
          </cell>
          <cell r="H1149" t="str">
            <v>61/63</v>
          </cell>
          <cell r="I1149">
            <v>310</v>
          </cell>
          <cell r="J1149">
            <v>3.28</v>
          </cell>
          <cell r="K1149"/>
          <cell r="L1149">
            <v>3.33</v>
          </cell>
          <cell r="M1149"/>
          <cell r="N1149">
            <v>3.33</v>
          </cell>
          <cell r="O1149"/>
          <cell r="P1149"/>
          <cell r="Q1149"/>
          <cell r="R1149">
            <v>3.6</v>
          </cell>
          <cell r="S1149"/>
          <cell r="T1149"/>
          <cell r="U1149"/>
          <cell r="V1149">
            <v>15</v>
          </cell>
          <cell r="W1149" t="str">
            <v>MOQ FOR PRINT IS 1500M</v>
          </cell>
          <cell r="X1149" t="str">
            <v>NICKY</v>
          </cell>
          <cell r="Y1149"/>
          <cell r="Z1149" t="str">
            <v>NICKLY ' MAIL 8/12/17</v>
          </cell>
          <cell r="AA1149"/>
          <cell r="AB1149">
            <v>43077</v>
          </cell>
          <cell r="AC1149">
            <v>5178</v>
          </cell>
        </row>
        <row r="1150">
          <cell r="B1150">
            <v>3053</v>
          </cell>
          <cell r="C1150" t="str">
            <v>GL1361 PRINT</v>
          </cell>
          <cell r="D1150" t="str">
            <v>PONTE ROMA PRINT</v>
          </cell>
          <cell r="E1150"/>
          <cell r="F1150" t="str">
            <v>T/R/S 75/20/5</v>
          </cell>
          <cell r="G1150" t="str">
            <v>75% POLYESTER 20% RAYON 5% SPANDEX</v>
          </cell>
          <cell r="H1150" t="str">
            <v>145CM</v>
          </cell>
          <cell r="I1150" t="str">
            <v>285-300</v>
          </cell>
          <cell r="J1150"/>
          <cell r="K1150" t="str">
            <v xml:space="preserve">$2.98
</v>
          </cell>
          <cell r="L1150"/>
          <cell r="M1150" t="str">
            <v xml:space="preserve">$3.04
</v>
          </cell>
          <cell r="N1150"/>
          <cell r="O1150" t="str">
            <v xml:space="preserve">$3.09
</v>
          </cell>
          <cell r="P1150"/>
          <cell r="Q1150"/>
          <cell r="R1150"/>
          <cell r="S1150" t="str">
            <v xml:space="preserve">$3.20
</v>
          </cell>
          <cell r="T1150"/>
          <cell r="U1150"/>
          <cell r="V1150">
            <v>15</v>
          </cell>
          <cell r="W1150" t="str">
            <v>SURCHARGE $30/COLOR.</v>
          </cell>
          <cell r="X1150" t="str">
            <v>NICKY</v>
          </cell>
          <cell r="Y1150"/>
          <cell r="Z1150" t="str">
            <v>NICKLY ' MAIL 8/12/17</v>
          </cell>
          <cell r="AA1150"/>
          <cell r="AB1150">
            <v>43077</v>
          </cell>
          <cell r="AC1150">
            <v>5180</v>
          </cell>
        </row>
        <row r="1151">
          <cell r="B1151">
            <v>2144</v>
          </cell>
          <cell r="C1151" t="str">
            <v>GL1579</v>
          </cell>
          <cell r="D1151" t="str">
            <v>SINGLE JERSEY</v>
          </cell>
          <cell r="E1151"/>
          <cell r="F1151" t="str">
            <v>R/S 95/5</v>
          </cell>
          <cell r="G1151" t="str">
            <v>95% RAYON 5% SPAN</v>
          </cell>
          <cell r="H1151" t="str">
            <v>160CM</v>
          </cell>
          <cell r="I1151">
            <v>190</v>
          </cell>
          <cell r="J1151">
            <v>1.54</v>
          </cell>
          <cell r="K1151"/>
          <cell r="L1151">
            <v>1.59</v>
          </cell>
          <cell r="M1151"/>
          <cell r="N1151">
            <v>1.59</v>
          </cell>
          <cell r="O1151"/>
          <cell r="P1151"/>
          <cell r="Q1151"/>
          <cell r="R1151">
            <v>1.86</v>
          </cell>
          <cell r="S1151"/>
          <cell r="T1151"/>
          <cell r="U1151" t="str">
            <v xml:space="preserve">Yes, but te samples we have now is with little bit different composition.  </v>
          </cell>
          <cell r="V1151">
            <v>15</v>
          </cell>
          <cell r="W1151" t="str">
            <v>MOQ FOR PRINT IS 1500M</v>
          </cell>
          <cell r="X1151" t="str">
            <v>NICKY</v>
          </cell>
          <cell r="Y1151"/>
          <cell r="Z1151" t="str">
            <v>NICKLY ' MAIL 8/12/17</v>
          </cell>
          <cell r="AA1151"/>
          <cell r="AB1151">
            <v>43077</v>
          </cell>
          <cell r="AC1151">
            <v>5179</v>
          </cell>
        </row>
        <row r="1152">
          <cell r="B1152">
            <v>3997</v>
          </cell>
          <cell r="C1152" t="str">
            <v>T-2152</v>
          </cell>
          <cell r="D1152" t="str">
            <v>TAILORING</v>
          </cell>
          <cell r="E1152" t="str">
            <v>85x81</v>
          </cell>
          <cell r="F1152" t="str">
            <v>T100%</v>
          </cell>
          <cell r="G1152" t="str">
            <v xml:space="preserve">100%POLYESTER </v>
          </cell>
          <cell r="H1152">
            <v>65</v>
          </cell>
          <cell r="I1152">
            <v>307</v>
          </cell>
          <cell r="J1152">
            <v>2.7</v>
          </cell>
          <cell r="K1152"/>
          <cell r="L1152">
            <v>2.75</v>
          </cell>
          <cell r="M1152"/>
          <cell r="N1152">
            <v>2.75</v>
          </cell>
          <cell r="O1152"/>
          <cell r="P1152"/>
          <cell r="Q1152"/>
          <cell r="R1152">
            <v>3.2</v>
          </cell>
          <cell r="S1152"/>
          <cell r="T1152"/>
          <cell r="U1152"/>
          <cell r="V1152">
            <v>15</v>
          </cell>
          <cell r="W1152"/>
          <cell r="X1152" t="str">
            <v>LIVALTEX</v>
          </cell>
          <cell r="Y1152"/>
          <cell r="Z1152" t="str">
            <v>QUYNH MAIL 11/12/17</v>
          </cell>
          <cell r="AA1152"/>
          <cell r="AB1152">
            <v>43076</v>
          </cell>
          <cell r="AC1152">
            <v>5181</v>
          </cell>
        </row>
        <row r="1153">
          <cell r="B1153">
            <v>3996</v>
          </cell>
          <cell r="C1153" t="str">
            <v>SYS-280</v>
          </cell>
          <cell r="D1153" t="str">
            <v xml:space="preserve">Y/D TAILORING WITH LUREX </v>
          </cell>
          <cell r="E1153" t="str">
            <v>40/2x32/2+40D+LUREX/73x47</v>
          </cell>
          <cell r="F1153" t="str">
            <v>T/R/S 60/38/2</v>
          </cell>
          <cell r="G1153" t="str">
            <v xml:space="preserve">60%POLY  38%RAYON  2%SPANDEX </v>
          </cell>
          <cell r="H1153" t="str">
            <v>56/57</v>
          </cell>
          <cell r="I1153">
            <v>183</v>
          </cell>
          <cell r="J1153">
            <v>3.28</v>
          </cell>
          <cell r="K1153"/>
          <cell r="L1153">
            <v>3.32</v>
          </cell>
          <cell r="M1153"/>
          <cell r="N1153">
            <v>3.32</v>
          </cell>
          <cell r="O1153"/>
          <cell r="P1153"/>
          <cell r="Q1153"/>
          <cell r="R1153">
            <v>3.82</v>
          </cell>
          <cell r="S1153"/>
          <cell r="T1153"/>
          <cell r="U1153"/>
          <cell r="V1153">
            <v>15</v>
          </cell>
          <cell r="W1153"/>
          <cell r="X1153" t="str">
            <v>LIVALTEX</v>
          </cell>
          <cell r="Y1153"/>
          <cell r="Z1153" t="str">
            <v>QUYNH MAIL 11/12/17</v>
          </cell>
          <cell r="AA1153"/>
          <cell r="AB1153">
            <v>43076</v>
          </cell>
          <cell r="AC1153">
            <v>5191</v>
          </cell>
        </row>
        <row r="1154">
          <cell r="B1154">
            <v>3995</v>
          </cell>
          <cell r="C1154" t="str">
            <v>SYS-400</v>
          </cell>
          <cell r="D1154" t="str">
            <v>Y/D TAILORING</v>
          </cell>
          <cell r="E1154" t="str">
            <v>32/2x32/2+40D/90x56</v>
          </cell>
          <cell r="F1154" t="str">
            <v>T/R/S 65/33/2</v>
          </cell>
          <cell r="G1154" t="str">
            <v>65%POLY  33%RAYON  2%SPANDEX</v>
          </cell>
          <cell r="H1154" t="str">
            <v>57/58</v>
          </cell>
          <cell r="I1154">
            <v>255</v>
          </cell>
          <cell r="J1154">
            <v>3.28</v>
          </cell>
          <cell r="K1154"/>
          <cell r="L1154">
            <v>3.32</v>
          </cell>
          <cell r="M1154"/>
          <cell r="N1154">
            <v>3.32</v>
          </cell>
          <cell r="O1154"/>
          <cell r="P1154"/>
          <cell r="Q1154"/>
          <cell r="R1154">
            <v>3.82</v>
          </cell>
          <cell r="S1154"/>
          <cell r="T1154"/>
          <cell r="U1154"/>
          <cell r="V1154">
            <v>15</v>
          </cell>
          <cell r="W1154"/>
          <cell r="X1154" t="str">
            <v>LIVALTEX</v>
          </cell>
          <cell r="Y1154"/>
          <cell r="Z1154" t="str">
            <v>QUYNH MAIL 11/12/17</v>
          </cell>
          <cell r="AA1154"/>
          <cell r="AB1154">
            <v>43076</v>
          </cell>
          <cell r="AC1154">
            <v>5192</v>
          </cell>
        </row>
        <row r="1155">
          <cell r="B1155">
            <v>3994</v>
          </cell>
          <cell r="C1155" t="str">
            <v>SYS-411</v>
          </cell>
          <cell r="D1155" t="str">
            <v>SLUB Y/D TAILORING</v>
          </cell>
          <cell r="E1155"/>
          <cell r="F1155" t="str">
            <v>T100%</v>
          </cell>
          <cell r="G1155" t="str">
            <v xml:space="preserve">100% POLYESTER </v>
          </cell>
          <cell r="H1155" t="str">
            <v>57/58</v>
          </cell>
          <cell r="I1155">
            <v>350</v>
          </cell>
          <cell r="J1155">
            <v>4.4400000000000004</v>
          </cell>
          <cell r="K1155"/>
          <cell r="L1155">
            <v>4.49</v>
          </cell>
          <cell r="M1155"/>
          <cell r="N1155">
            <v>4.49</v>
          </cell>
          <cell r="O1155"/>
          <cell r="P1155"/>
          <cell r="Q1155"/>
          <cell r="R1155">
            <v>4.9000000000000004</v>
          </cell>
          <cell r="S1155"/>
          <cell r="T1155"/>
          <cell r="U1155"/>
          <cell r="V1155">
            <v>15</v>
          </cell>
          <cell r="W1155"/>
          <cell r="X1155" t="str">
            <v>LIVALTEX</v>
          </cell>
          <cell r="Y1155"/>
          <cell r="Z1155" t="str">
            <v>QUYNH MAIL 11/12/17</v>
          </cell>
          <cell r="AA1155"/>
          <cell r="AB1155">
            <v>43076</v>
          </cell>
          <cell r="AC1155">
            <v>5182</v>
          </cell>
        </row>
        <row r="1156">
          <cell r="B1156">
            <v>3989</v>
          </cell>
          <cell r="C1156" t="str">
            <v>T-2227</v>
          </cell>
          <cell r="D1156" t="str">
            <v>CHIFFRON WITH LUREX CIRCLE</v>
          </cell>
          <cell r="E1156"/>
          <cell r="F1156" t="str">
            <v>T100%</v>
          </cell>
          <cell r="G1156" t="str">
            <v xml:space="preserve">100% POLYESTER </v>
          </cell>
          <cell r="H1156" t="str">
            <v>56/57</v>
          </cell>
          <cell r="I1156">
            <v>68</v>
          </cell>
          <cell r="J1156">
            <v>3.63</v>
          </cell>
          <cell r="K1156"/>
          <cell r="L1156">
            <v>3.68</v>
          </cell>
          <cell r="M1156"/>
          <cell r="N1156">
            <v>3.68</v>
          </cell>
          <cell r="O1156"/>
          <cell r="P1156"/>
          <cell r="Q1156"/>
          <cell r="R1156">
            <v>4.18</v>
          </cell>
          <cell r="S1156"/>
          <cell r="T1156"/>
          <cell r="U1156"/>
          <cell r="V1156">
            <v>15</v>
          </cell>
          <cell r="W1156"/>
          <cell r="X1156" t="str">
            <v>LIVALTEX</v>
          </cell>
          <cell r="Y1156"/>
          <cell r="Z1156" t="str">
            <v>ROSE ' MAIL 7/12/17</v>
          </cell>
          <cell r="AA1156"/>
          <cell r="AB1156">
            <v>43076</v>
          </cell>
          <cell r="AC1156">
            <v>5183</v>
          </cell>
        </row>
        <row r="1157">
          <cell r="B1157">
            <v>3988</v>
          </cell>
          <cell r="C1157" t="str">
            <v>ME-357</v>
          </cell>
          <cell r="D1157" t="str">
            <v>MESH WITH DOTS</v>
          </cell>
          <cell r="E1157"/>
          <cell r="F1157" t="str">
            <v>N100% / C100% DOT</v>
          </cell>
          <cell r="G1157" t="str">
            <v>100%NYLON / DOTS : 100%COTTON</v>
          </cell>
          <cell r="H1157" t="str">
            <v>50/51</v>
          </cell>
          <cell r="I1157">
            <v>57</v>
          </cell>
          <cell r="J1157">
            <v>3.07</v>
          </cell>
          <cell r="K1157"/>
          <cell r="L1157">
            <v>3.12</v>
          </cell>
          <cell r="M1157"/>
          <cell r="N1157">
            <v>3.12</v>
          </cell>
          <cell r="O1157"/>
          <cell r="P1157"/>
          <cell r="Q1157"/>
          <cell r="R1157">
            <v>3.5</v>
          </cell>
          <cell r="S1157"/>
          <cell r="T1157"/>
          <cell r="U1157"/>
          <cell r="V1157">
            <v>15</v>
          </cell>
          <cell r="W1157"/>
          <cell r="X1157" t="str">
            <v>LIVALTEX</v>
          </cell>
          <cell r="Y1157"/>
          <cell r="Z1157" t="str">
            <v>ROSE ' MAIL 7/12/17</v>
          </cell>
          <cell r="AA1157"/>
          <cell r="AB1157">
            <v>43076</v>
          </cell>
          <cell r="AC1157">
            <v>5184</v>
          </cell>
        </row>
        <row r="1158">
          <cell r="B1158">
            <v>3987</v>
          </cell>
          <cell r="C1158" t="str">
            <v>T-2225</v>
          </cell>
          <cell r="D1158" t="str">
            <v>TWILL SATEEN</v>
          </cell>
          <cell r="E1158"/>
          <cell r="F1158" t="str">
            <v>T100%</v>
          </cell>
          <cell r="G1158" t="str">
            <v xml:space="preserve">100% POLYESTER </v>
          </cell>
          <cell r="H1158" t="str">
            <v>56/57</v>
          </cell>
          <cell r="I1158">
            <v>95</v>
          </cell>
          <cell r="J1158">
            <v>2.0499999999999998</v>
          </cell>
          <cell r="K1158"/>
          <cell r="L1158">
            <v>2.1</v>
          </cell>
          <cell r="M1158"/>
          <cell r="N1158">
            <v>2.1</v>
          </cell>
          <cell r="O1158"/>
          <cell r="P1158"/>
          <cell r="Q1158"/>
          <cell r="R1158">
            <v>2.6</v>
          </cell>
          <cell r="S1158"/>
          <cell r="T1158"/>
          <cell r="U1158"/>
          <cell r="V1158">
            <v>15</v>
          </cell>
          <cell r="W1158"/>
          <cell r="X1158" t="str">
            <v>LIVALTEX</v>
          </cell>
          <cell r="Y1158"/>
          <cell r="Z1158" t="str">
            <v>ROSE ' MAIL 7/12/17</v>
          </cell>
          <cell r="AA1158"/>
          <cell r="AB1158">
            <v>43076</v>
          </cell>
          <cell r="AC1158">
            <v>5190</v>
          </cell>
        </row>
        <row r="1159">
          <cell r="B1159">
            <v>3986</v>
          </cell>
          <cell r="C1159" t="str">
            <v>T-2226</v>
          </cell>
          <cell r="D1159" t="str">
            <v>CRINKLE CHIFFON WITH LUREX</v>
          </cell>
          <cell r="E1159"/>
          <cell r="F1159" t="str">
            <v>T100%</v>
          </cell>
          <cell r="G1159" t="str">
            <v xml:space="preserve">100% POLYESTER </v>
          </cell>
          <cell r="H1159" t="str">
            <v>54/55</v>
          </cell>
          <cell r="I1159">
            <v>72</v>
          </cell>
          <cell r="J1159">
            <v>1.87</v>
          </cell>
          <cell r="K1159"/>
          <cell r="L1159">
            <v>1.9</v>
          </cell>
          <cell r="M1159"/>
          <cell r="N1159">
            <v>1.9</v>
          </cell>
          <cell r="O1159"/>
          <cell r="P1159"/>
          <cell r="Q1159"/>
          <cell r="R1159">
            <v>2.4</v>
          </cell>
          <cell r="S1159"/>
          <cell r="T1159"/>
          <cell r="U1159"/>
          <cell r="V1159">
            <v>15</v>
          </cell>
          <cell r="W1159"/>
          <cell r="X1159" t="str">
            <v>LIVALTEX</v>
          </cell>
          <cell r="Y1159"/>
          <cell r="Z1159" t="str">
            <v>ROSE ' MAIL 7/12/17</v>
          </cell>
          <cell r="AA1159"/>
          <cell r="AB1159">
            <v>43076</v>
          </cell>
          <cell r="AC1159">
            <v>5185</v>
          </cell>
        </row>
        <row r="1160">
          <cell r="B1160">
            <v>3985</v>
          </cell>
          <cell r="C1160" t="str">
            <v>K-3027</v>
          </cell>
          <cell r="D1160" t="str">
            <v xml:space="preserve">JERSEY </v>
          </cell>
          <cell r="E1160"/>
          <cell r="F1160" t="str">
            <v>T/S 92/5</v>
          </cell>
          <cell r="G1160" t="str">
            <v>92% POLYESTER /8% SPANDEX</v>
          </cell>
          <cell r="H1160" t="str">
            <v>56/57</v>
          </cell>
          <cell r="I1160">
            <v>164</v>
          </cell>
          <cell r="J1160">
            <v>1.94</v>
          </cell>
          <cell r="K1160"/>
          <cell r="L1160">
            <v>1.99</v>
          </cell>
          <cell r="M1160"/>
          <cell r="N1160">
            <v>1.99</v>
          </cell>
          <cell r="O1160"/>
          <cell r="P1160"/>
          <cell r="Q1160"/>
          <cell r="R1160">
            <v>2.39</v>
          </cell>
          <cell r="S1160"/>
          <cell r="T1160"/>
          <cell r="U1160"/>
          <cell r="V1160"/>
          <cell r="W1160"/>
          <cell r="X1160" t="str">
            <v>LIVALTEX</v>
          </cell>
          <cell r="Y1160"/>
          <cell r="Z1160" t="str">
            <v>ROSE ' MAIL 7/12/17</v>
          </cell>
          <cell r="AA1160"/>
          <cell r="AB1160">
            <v>43076</v>
          </cell>
          <cell r="AC1160">
            <v>5186</v>
          </cell>
        </row>
        <row r="1161">
          <cell r="B1161">
            <v>3881</v>
          </cell>
          <cell r="C1161" t="str">
            <v>T-2228</v>
          </cell>
          <cell r="D1161" t="str">
            <v>CRINKLE CHIIFFON WITH SATEEN LINE</v>
          </cell>
          <cell r="E1161"/>
          <cell r="F1161" t="str">
            <v>T100%</v>
          </cell>
          <cell r="G1161" t="str">
            <v xml:space="preserve">100% POLYESTER </v>
          </cell>
          <cell r="H1161" t="str">
            <v>54/55</v>
          </cell>
          <cell r="I1161">
            <v>125</v>
          </cell>
          <cell r="J1161">
            <v>2.0499999999999998</v>
          </cell>
          <cell r="K1161"/>
          <cell r="L1161">
            <v>2.1</v>
          </cell>
          <cell r="M1161"/>
          <cell r="N1161">
            <v>2.1</v>
          </cell>
          <cell r="O1161"/>
          <cell r="P1161"/>
          <cell r="Q1161"/>
          <cell r="R1161">
            <v>2.5</v>
          </cell>
          <cell r="S1161"/>
          <cell r="T1161"/>
          <cell r="U1161"/>
          <cell r="V1161">
            <v>15</v>
          </cell>
          <cell r="W1161"/>
          <cell r="X1161" t="str">
            <v>LIVALTEX</v>
          </cell>
          <cell r="Y1161"/>
          <cell r="Z1161" t="str">
            <v>ROSE ' MAIL 7/12/17</v>
          </cell>
          <cell r="AA1161"/>
          <cell r="AB1161">
            <v>43076</v>
          </cell>
          <cell r="AC1161">
            <v>5189</v>
          </cell>
        </row>
        <row r="1162">
          <cell r="B1162">
            <v>2915</v>
          </cell>
          <cell r="C1162" t="str">
            <v>WW-22223</v>
          </cell>
          <cell r="D1162"/>
          <cell r="E1162"/>
          <cell r="F1162" t="str">
            <v>T100%</v>
          </cell>
          <cell r="G1162" t="str">
            <v xml:space="preserve">100%POLYESTER </v>
          </cell>
          <cell r="H1162" t="str">
            <v>57/58</v>
          </cell>
          <cell r="I1162">
            <v>165</v>
          </cell>
          <cell r="J1162">
            <v>1.75</v>
          </cell>
          <cell r="K1162">
            <v>2.0499999999999998</v>
          </cell>
          <cell r="L1162">
            <v>1.75</v>
          </cell>
          <cell r="M1162">
            <v>2.0499999999999998</v>
          </cell>
          <cell r="N1162">
            <v>1.85</v>
          </cell>
          <cell r="O1162">
            <v>2.15</v>
          </cell>
          <cell r="P1162"/>
          <cell r="Q1162"/>
          <cell r="R1162">
            <v>1.95</v>
          </cell>
          <cell r="S1162">
            <v>2.25</v>
          </cell>
          <cell r="T1162"/>
          <cell r="U1162"/>
          <cell r="V1162">
            <v>15</v>
          </cell>
          <cell r="W1162"/>
          <cell r="X1162" t="str">
            <v>PANI</v>
          </cell>
          <cell r="Y1162"/>
          <cell r="Z1162" t="str">
            <v>AMY' MAIL 7/12/17</v>
          </cell>
          <cell r="AA1162"/>
          <cell r="AB1162">
            <v>43076</v>
          </cell>
          <cell r="AC1162">
            <v>5188</v>
          </cell>
        </row>
        <row r="1163">
          <cell r="B1163">
            <v>1971</v>
          </cell>
          <cell r="C1163" t="str">
            <v>LX2016621</v>
          </cell>
          <cell r="D1163"/>
          <cell r="E1163"/>
          <cell r="F1163" t="str">
            <v>T/S 95/5</v>
          </cell>
          <cell r="G1163" t="str">
            <v xml:space="preserve">95%POLY  5%SPANDEX </v>
          </cell>
          <cell r="H1163" t="str">
            <v>160CM</v>
          </cell>
          <cell r="I1163">
            <v>207</v>
          </cell>
          <cell r="J1163">
            <v>1.72</v>
          </cell>
          <cell r="K1163"/>
          <cell r="L1163">
            <v>1.75</v>
          </cell>
          <cell r="M1163"/>
          <cell r="N1163">
            <v>1.8</v>
          </cell>
          <cell r="O1163"/>
          <cell r="P1163"/>
          <cell r="Q1163"/>
          <cell r="R1163">
            <v>1.85</v>
          </cell>
          <cell r="S1163"/>
          <cell r="T1163"/>
          <cell r="U1163"/>
          <cell r="V1163"/>
          <cell r="W1163"/>
          <cell r="X1163" t="str">
            <v>TINA</v>
          </cell>
          <cell r="Y1163"/>
          <cell r="Z1163" t="str">
            <v>TINA ' MAIL7/12/17</v>
          </cell>
          <cell r="AA1163"/>
          <cell r="AB1163">
            <v>43076</v>
          </cell>
          <cell r="AC1163">
            <v>5187</v>
          </cell>
        </row>
        <row r="1164">
          <cell r="B1164" t="str">
            <v>1895C</v>
          </cell>
          <cell r="C1164" t="str">
            <v>TS-028C</v>
          </cell>
          <cell r="D1164" t="str">
            <v>CREPE</v>
          </cell>
          <cell r="E1164"/>
          <cell r="F1164" t="str">
            <v>T100%</v>
          </cell>
          <cell r="G1164" t="str">
            <v xml:space="preserve">100%POLYESTER </v>
          </cell>
          <cell r="H1164" t="str">
            <v>57/58</v>
          </cell>
          <cell r="I1164">
            <v>116</v>
          </cell>
          <cell r="J1164">
            <v>1.08</v>
          </cell>
          <cell r="K1164">
            <v>1.26</v>
          </cell>
          <cell r="L1164">
            <v>1.1000000000000001</v>
          </cell>
          <cell r="M1164">
            <v>1.29</v>
          </cell>
          <cell r="N1164">
            <v>1.1200000000000001</v>
          </cell>
          <cell r="O1164">
            <v>1.32</v>
          </cell>
          <cell r="P1164"/>
          <cell r="Q1164"/>
          <cell r="R1164">
            <v>1.27</v>
          </cell>
          <cell r="S1164">
            <v>1.57</v>
          </cell>
          <cell r="T1164"/>
          <cell r="U1164"/>
          <cell r="V1164">
            <v>15</v>
          </cell>
          <cell r="W1164"/>
          <cell r="X1164" t="str">
            <v>GAVIN</v>
          </cell>
          <cell r="Y1164"/>
          <cell r="Z1164" t="str">
            <v>GAVIN ' MAIL 6/12/17</v>
          </cell>
          <cell r="AA1164"/>
          <cell r="AB1164">
            <v>43075</v>
          </cell>
          <cell r="AC1164">
            <v>5195</v>
          </cell>
        </row>
        <row r="1165">
          <cell r="B1165">
            <v>3459</v>
          </cell>
          <cell r="C1165" t="str">
            <v>K-2766</v>
          </cell>
          <cell r="D1165"/>
          <cell r="E1165"/>
          <cell r="F1165" t="str">
            <v>T/S 95/5</v>
          </cell>
          <cell r="G1165" t="str">
            <v>95%POLY  5%SPAN</v>
          </cell>
          <cell r="H1165" t="str">
            <v>57/58</v>
          </cell>
          <cell r="I1165">
            <v>290</v>
          </cell>
          <cell r="J1165">
            <v>3.2</v>
          </cell>
          <cell r="K1165"/>
          <cell r="L1165">
            <v>3.25</v>
          </cell>
          <cell r="M1165"/>
          <cell r="N1165">
            <v>3.25</v>
          </cell>
          <cell r="O1165"/>
          <cell r="P1165"/>
          <cell r="Q1165"/>
          <cell r="R1165">
            <v>3.75</v>
          </cell>
          <cell r="S1165"/>
          <cell r="T1165"/>
          <cell r="U1165"/>
          <cell r="V1165">
            <v>15</v>
          </cell>
          <cell r="W1165"/>
          <cell r="X1165" t="str">
            <v>LIVALTEX</v>
          </cell>
          <cell r="Y1165"/>
          <cell r="Z1165" t="str">
            <v>ROSE' MAIL 6/12/17</v>
          </cell>
          <cell r="AA1165"/>
          <cell r="AB1165">
            <v>43075</v>
          </cell>
          <cell r="AC1165">
            <v>5194</v>
          </cell>
        </row>
        <row r="1166">
          <cell r="B1166">
            <v>3429</v>
          </cell>
          <cell r="C1166" t="str">
            <v>M-2015023</v>
          </cell>
          <cell r="D1166" t="str">
            <v>BUBBLE CREPE</v>
          </cell>
          <cell r="E1166" t="str">
            <v>75D+40D*75D+40D</v>
          </cell>
          <cell r="F1166" t="str">
            <v>T/S 97/3</v>
          </cell>
          <cell r="G1166" t="str">
            <v>97% POLYESTER 3% SPANDEX</v>
          </cell>
          <cell r="H1166" t="str">
            <v>57/58</v>
          </cell>
          <cell r="I1166" t="str">
            <v>120-130</v>
          </cell>
          <cell r="J1166">
            <v>1.25</v>
          </cell>
          <cell r="K1166">
            <v>1.5</v>
          </cell>
          <cell r="L1166">
            <v>1.25</v>
          </cell>
          <cell r="M1166">
            <v>1.5</v>
          </cell>
          <cell r="N1166">
            <v>1.25</v>
          </cell>
          <cell r="O1166">
            <v>1.55</v>
          </cell>
          <cell r="P1166"/>
          <cell r="Q1166"/>
          <cell r="R1166">
            <v>1.35</v>
          </cell>
          <cell r="S1166">
            <v>1.7</v>
          </cell>
          <cell r="T1166"/>
          <cell r="U1166"/>
          <cell r="V1166">
            <v>15</v>
          </cell>
          <cell r="W1166"/>
          <cell r="X1166" t="str">
            <v>LINDA</v>
          </cell>
          <cell r="Y1166"/>
          <cell r="Z1166" t="str">
            <v>LINDA' MAIL  6/12/17</v>
          </cell>
          <cell r="AA1166"/>
          <cell r="AB1166">
            <v>43075</v>
          </cell>
          <cell r="AC1166">
            <v>5193</v>
          </cell>
        </row>
        <row r="1167">
          <cell r="B1167">
            <v>3406</v>
          </cell>
          <cell r="C1167" t="str">
            <v>M-1001 PLEAT</v>
          </cell>
          <cell r="D1167" t="str">
            <v>PLEAT JERSEY WITH FOIL</v>
          </cell>
          <cell r="E1167"/>
          <cell r="F1167" t="str">
            <v>T100%</v>
          </cell>
          <cell r="G1167" t="str">
            <v>100% POLYESTER</v>
          </cell>
          <cell r="H1167" t="str">
            <v>58/59</v>
          </cell>
          <cell r="I1167" t="str">
            <v>115-120</v>
          </cell>
          <cell r="J1167">
            <v>2</v>
          </cell>
          <cell r="K1167">
            <v>2.4700000000000002</v>
          </cell>
          <cell r="L1167">
            <v>2</v>
          </cell>
          <cell r="M1167">
            <v>2.4700000000000002</v>
          </cell>
          <cell r="N1167">
            <v>2</v>
          </cell>
          <cell r="O1167">
            <v>2.5</v>
          </cell>
          <cell r="P1167"/>
          <cell r="Q1167"/>
          <cell r="R1167">
            <v>2.5</v>
          </cell>
          <cell r="S1167">
            <v>3</v>
          </cell>
          <cell r="T1167"/>
          <cell r="U1167"/>
          <cell r="V1167">
            <v>15</v>
          </cell>
          <cell r="W1167"/>
          <cell r="X1167" t="str">
            <v>LINDA</v>
          </cell>
          <cell r="Y1167"/>
          <cell r="Z1167" t="str">
            <v>LINDA ' MAIL 6/12/17</v>
          </cell>
          <cell r="AA1167"/>
          <cell r="AB1167">
            <v>43075</v>
          </cell>
          <cell r="AC1167">
            <v>5196</v>
          </cell>
        </row>
        <row r="1168">
          <cell r="B1168">
            <v>2977</v>
          </cell>
          <cell r="C1168" t="str">
            <v>TS-158</v>
          </cell>
          <cell r="D1168"/>
          <cell r="E1168"/>
          <cell r="F1168" t="str">
            <v>T/S 96/4</v>
          </cell>
          <cell r="G1168" t="str">
            <v>96%POLY  4%SPAN</v>
          </cell>
          <cell r="H1168" t="str">
            <v>58/59</v>
          </cell>
          <cell r="I1168">
            <v>225</v>
          </cell>
          <cell r="J1168">
            <v>2.11</v>
          </cell>
          <cell r="K1168">
            <v>2.29</v>
          </cell>
          <cell r="L1168">
            <v>2.13</v>
          </cell>
          <cell r="M1168">
            <v>2.3199999999999998</v>
          </cell>
          <cell r="N1168">
            <v>2.15</v>
          </cell>
          <cell r="O1168">
            <v>2.35</v>
          </cell>
          <cell r="P1168"/>
          <cell r="Q1168"/>
          <cell r="R1168">
            <v>2.2999999999999998</v>
          </cell>
          <cell r="S1168">
            <v>2.6</v>
          </cell>
          <cell r="T1168"/>
          <cell r="U1168"/>
          <cell r="V1168">
            <v>15</v>
          </cell>
          <cell r="W1168"/>
          <cell r="X1168" t="str">
            <v>GAVIN</v>
          </cell>
          <cell r="Y1168"/>
          <cell r="Z1168" t="str">
            <v>GAVIN ' MAIL 6/12/17</v>
          </cell>
          <cell r="AA1168"/>
          <cell r="AB1168">
            <v>43075</v>
          </cell>
          <cell r="AC1168">
            <v>5197</v>
          </cell>
        </row>
        <row r="1169">
          <cell r="B1169">
            <v>2963</v>
          </cell>
          <cell r="C1169" t="str">
            <v>TS-148</v>
          </cell>
          <cell r="D1169" t="str">
            <v>PONTE</v>
          </cell>
          <cell r="E1169"/>
          <cell r="F1169" t="str">
            <v>N/T/S 70/25.5/4.5</v>
          </cell>
          <cell r="G1169" t="str">
            <v xml:space="preserve">70% RAYON 25.5% POLY 4.5% SPANDEX </v>
          </cell>
          <cell r="H1169" t="str">
            <v>58/59</v>
          </cell>
          <cell r="I1169">
            <v>330</v>
          </cell>
          <cell r="J1169">
            <v>3.36</v>
          </cell>
          <cell r="K1169">
            <v>3.54</v>
          </cell>
          <cell r="L1169">
            <v>3.38</v>
          </cell>
          <cell r="M1169">
            <v>3.57</v>
          </cell>
          <cell r="N1169">
            <v>3.4</v>
          </cell>
          <cell r="O1169">
            <v>3.6</v>
          </cell>
          <cell r="P1169"/>
          <cell r="Q1169"/>
          <cell r="R1169">
            <v>3.55</v>
          </cell>
          <cell r="S1169">
            <v>3.85</v>
          </cell>
          <cell r="T1169"/>
          <cell r="U1169"/>
          <cell r="V1169">
            <v>15</v>
          </cell>
          <cell r="W1169"/>
          <cell r="X1169" t="str">
            <v>GAVIN</v>
          </cell>
          <cell r="Y1169"/>
          <cell r="Z1169" t="str">
            <v>GAVIN ' MAIL 6/12/17</v>
          </cell>
          <cell r="AA1169"/>
          <cell r="AB1169">
            <v>43075</v>
          </cell>
          <cell r="AC1169">
            <v>5198</v>
          </cell>
        </row>
        <row r="1170">
          <cell r="B1170">
            <v>1987</v>
          </cell>
          <cell r="C1170" t="str">
            <v>BM-011</v>
          </cell>
          <cell r="D1170"/>
          <cell r="E1170"/>
          <cell r="F1170" t="str">
            <v xml:space="preserve">T/R/S 65/30/5 </v>
          </cell>
          <cell r="G1170" t="str">
            <v>65%POLY  30%RAYON  5%SPAN</v>
          </cell>
          <cell r="H1170" t="str">
            <v>59/60</v>
          </cell>
          <cell r="I1170">
            <v>320</v>
          </cell>
          <cell r="J1170">
            <v>2.81</v>
          </cell>
          <cell r="K1170">
            <v>3.09</v>
          </cell>
          <cell r="L1170">
            <v>2.83</v>
          </cell>
          <cell r="M1170">
            <v>3.12</v>
          </cell>
          <cell r="N1170">
            <v>2.85</v>
          </cell>
          <cell r="O1170">
            <v>3.15</v>
          </cell>
          <cell r="P1170"/>
          <cell r="Q1170"/>
          <cell r="R1170">
            <v>3</v>
          </cell>
          <cell r="S1170">
            <v>3.4</v>
          </cell>
          <cell r="T1170"/>
          <cell r="U1170"/>
          <cell r="V1170">
            <v>15</v>
          </cell>
          <cell r="W1170"/>
          <cell r="X1170" t="str">
            <v>GAVIN</v>
          </cell>
          <cell r="Y1170"/>
          <cell r="Z1170" t="str">
            <v>GAVIN ' MAIL 6/12/17</v>
          </cell>
          <cell r="AA1170"/>
          <cell r="AB1170">
            <v>43075</v>
          </cell>
          <cell r="AC1170">
            <v>5200</v>
          </cell>
        </row>
        <row r="1171">
          <cell r="B1171">
            <v>1942</v>
          </cell>
          <cell r="C1171" t="str">
            <v>BG2573</v>
          </cell>
          <cell r="D1171" t="str">
            <v>ITY</v>
          </cell>
          <cell r="E1171"/>
          <cell r="F1171" t="str">
            <v>T/S 95/5</v>
          </cell>
          <cell r="G1171" t="str">
            <v>95%POLY  5%SPAN</v>
          </cell>
          <cell r="H1171" t="str">
            <v>58/60</v>
          </cell>
          <cell r="I1171">
            <v>210</v>
          </cell>
          <cell r="J1171">
            <v>1.52</v>
          </cell>
          <cell r="K1171">
            <v>1.75</v>
          </cell>
          <cell r="L1171">
            <v>1.55</v>
          </cell>
          <cell r="M1171">
            <v>1.8</v>
          </cell>
          <cell r="N1171">
            <v>1.57</v>
          </cell>
          <cell r="O1171">
            <v>1.85</v>
          </cell>
          <cell r="P1171"/>
          <cell r="Q1171"/>
          <cell r="R1171">
            <v>1.67</v>
          </cell>
          <cell r="S1171">
            <v>2.2000000000000002</v>
          </cell>
          <cell r="T1171"/>
          <cell r="U1171"/>
          <cell r="V1171">
            <v>15</v>
          </cell>
          <cell r="W1171"/>
          <cell r="X1171" t="str">
            <v>EDWIN</v>
          </cell>
          <cell r="Y1171"/>
          <cell r="Z1171" t="str">
            <v>EDWIN ' MAIL 6/12/17</v>
          </cell>
          <cell r="AA1171"/>
          <cell r="AB1171">
            <v>43075</v>
          </cell>
          <cell r="AC1171">
            <v>5199</v>
          </cell>
        </row>
        <row r="1172">
          <cell r="B1172">
            <v>4063</v>
          </cell>
          <cell r="C1172" t="str">
            <v>KTC-73992</v>
          </cell>
          <cell r="D1172" t="str">
            <v>CRINKLE POLY</v>
          </cell>
          <cell r="E1172"/>
          <cell r="F1172" t="str">
            <v>T100%</v>
          </cell>
          <cell r="G1172" t="str">
            <v>100% POLYESTER</v>
          </cell>
          <cell r="H1172" t="str">
            <v>58/60</v>
          </cell>
          <cell r="I1172">
            <v>203</v>
          </cell>
          <cell r="J1172"/>
          <cell r="K1172"/>
          <cell r="L1172"/>
          <cell r="M1172"/>
          <cell r="N1172">
            <v>1.86</v>
          </cell>
          <cell r="O1172"/>
          <cell r="P1172"/>
          <cell r="Q1172"/>
          <cell r="R1172"/>
          <cell r="S1172"/>
          <cell r="T1172"/>
          <cell r="U1172"/>
          <cell r="V1172">
            <v>15</v>
          </cell>
          <cell r="W1172"/>
          <cell r="X1172" t="str">
            <v>T.Đ.QUANG</v>
          </cell>
          <cell r="Y1172"/>
          <cell r="Z1172" t="str">
            <v>HƯƠNG ' MAIL 5/12/17</v>
          </cell>
          <cell r="AA1172"/>
          <cell r="AB1172">
            <v>43074</v>
          </cell>
          <cell r="AC1172">
            <v>5205</v>
          </cell>
        </row>
        <row r="1173">
          <cell r="B1173">
            <v>3992</v>
          </cell>
          <cell r="C1173" t="str">
            <v>BG3931</v>
          </cell>
          <cell r="D1173" t="str">
            <v>CHIFFRON WITH JAC DOT</v>
          </cell>
          <cell r="E1173" t="str">
            <v>75D+68D*75D</v>
          </cell>
          <cell r="F1173" t="str">
            <v>T100%</v>
          </cell>
          <cell r="G1173" t="str">
            <v xml:space="preserve">100% POLYESTER </v>
          </cell>
          <cell r="H1173" t="str">
            <v>57/58</v>
          </cell>
          <cell r="I1173">
            <v>68</v>
          </cell>
          <cell r="J1173">
            <v>1.65</v>
          </cell>
          <cell r="K1173">
            <v>1.9</v>
          </cell>
          <cell r="L1173">
            <v>1.68</v>
          </cell>
          <cell r="M1173">
            <v>2</v>
          </cell>
          <cell r="N1173">
            <v>1.7</v>
          </cell>
          <cell r="O1173">
            <v>2.0499999999999998</v>
          </cell>
          <cell r="P1173"/>
          <cell r="Q1173"/>
          <cell r="R1173">
            <v>1.9</v>
          </cell>
          <cell r="S1173">
            <v>2.2999999999999998</v>
          </cell>
          <cell r="T1173"/>
          <cell r="U1173"/>
          <cell r="V1173">
            <v>15</v>
          </cell>
          <cell r="W1173"/>
          <cell r="X1173" t="str">
            <v>EDWIN</v>
          </cell>
          <cell r="Y1173"/>
          <cell r="Z1173" t="str">
            <v>EDWIN ' MAIL 5/12/17</v>
          </cell>
          <cell r="AA1173"/>
          <cell r="AB1173">
            <v>43074</v>
          </cell>
          <cell r="AC1173">
            <v>5201</v>
          </cell>
        </row>
        <row r="1174">
          <cell r="B1174">
            <v>3991</v>
          </cell>
          <cell r="C1174" t="str">
            <v>BG3930</v>
          </cell>
          <cell r="D1174" t="str">
            <v>CHIFFRON WITH JAC DOT</v>
          </cell>
          <cell r="E1174" t="str">
            <v>75D+100D*75D</v>
          </cell>
          <cell r="F1174" t="str">
            <v>T100%</v>
          </cell>
          <cell r="G1174" t="str">
            <v xml:space="preserve">100% POLYESTER </v>
          </cell>
          <cell r="H1174" t="str">
            <v>57/58</v>
          </cell>
          <cell r="I1174">
            <v>77</v>
          </cell>
          <cell r="J1174">
            <v>1.7</v>
          </cell>
          <cell r="K1174">
            <v>2</v>
          </cell>
          <cell r="L1174">
            <v>1.73</v>
          </cell>
          <cell r="M1174">
            <v>2.0499999999999998</v>
          </cell>
          <cell r="N1174">
            <v>1.75</v>
          </cell>
          <cell r="O1174">
            <v>2.1</v>
          </cell>
          <cell r="P1174"/>
          <cell r="Q1174"/>
          <cell r="R1174">
            <v>2</v>
          </cell>
          <cell r="S1174">
            <v>2.4</v>
          </cell>
          <cell r="T1174"/>
          <cell r="U1174"/>
          <cell r="V1174">
            <v>15</v>
          </cell>
          <cell r="W1174"/>
          <cell r="X1174" t="str">
            <v>EDWIN</v>
          </cell>
          <cell r="Y1174"/>
          <cell r="Z1174" t="str">
            <v>EDWIN ' MAIL 5/12/17</v>
          </cell>
          <cell r="AA1174"/>
          <cell r="AB1174">
            <v>43074</v>
          </cell>
          <cell r="AC1174">
            <v>5204</v>
          </cell>
        </row>
        <row r="1175">
          <cell r="B1175">
            <v>3990</v>
          </cell>
          <cell r="C1175" t="str">
            <v>BG2301</v>
          </cell>
          <cell r="D1175" t="str">
            <v>INTERLOCK - LINING</v>
          </cell>
          <cell r="E1175" t="str">
            <v xml:space="preserve">75D*75D </v>
          </cell>
          <cell r="F1175" t="str">
            <v>T100%</v>
          </cell>
          <cell r="G1175" t="str">
            <v xml:space="preserve">100% POLYESTER </v>
          </cell>
          <cell r="H1175" t="str">
            <v>64/65</v>
          </cell>
          <cell r="I1175">
            <v>132</v>
          </cell>
          <cell r="J1175">
            <v>1.18</v>
          </cell>
          <cell r="K1175">
            <v>1.45</v>
          </cell>
          <cell r="L1175">
            <v>1.2</v>
          </cell>
          <cell r="M1175">
            <v>1.5</v>
          </cell>
          <cell r="N1175">
            <v>1.22</v>
          </cell>
          <cell r="O1175">
            <v>1.55</v>
          </cell>
          <cell r="P1175"/>
          <cell r="Q1175"/>
          <cell r="R1175">
            <v>1.5</v>
          </cell>
          <cell r="S1175">
            <v>1.9</v>
          </cell>
          <cell r="T1175"/>
          <cell r="U1175"/>
          <cell r="V1175">
            <v>15</v>
          </cell>
          <cell r="W1175"/>
          <cell r="X1175" t="str">
            <v>EDWIN</v>
          </cell>
          <cell r="Y1175"/>
          <cell r="Z1175" t="str">
            <v>EDWIN ' MAIL 5/12/17</v>
          </cell>
          <cell r="AA1175"/>
          <cell r="AB1175">
            <v>43074</v>
          </cell>
          <cell r="AC1175">
            <v>5202</v>
          </cell>
        </row>
        <row r="1176">
          <cell r="B1176">
            <v>1943</v>
          </cell>
          <cell r="C1176" t="str">
            <v>BG2572</v>
          </cell>
          <cell r="D1176"/>
          <cell r="E1176"/>
          <cell r="F1176" t="str">
            <v>T/S 92/8</v>
          </cell>
          <cell r="G1176" t="str">
            <v xml:space="preserve">92%POLY  8%SPANDEX </v>
          </cell>
          <cell r="H1176" t="str">
            <v>60/61</v>
          </cell>
          <cell r="I1176">
            <v>250</v>
          </cell>
          <cell r="J1176">
            <v>1.85</v>
          </cell>
          <cell r="K1176">
            <v>2.1</v>
          </cell>
          <cell r="L1176">
            <v>1.88</v>
          </cell>
          <cell r="M1176">
            <v>2.15</v>
          </cell>
          <cell r="N1176">
            <v>1.9</v>
          </cell>
          <cell r="O1176">
            <v>2.2000000000000002</v>
          </cell>
          <cell r="P1176"/>
          <cell r="Q1176"/>
          <cell r="R1176">
            <v>1.95</v>
          </cell>
          <cell r="S1176">
            <v>2.5</v>
          </cell>
          <cell r="T1176"/>
          <cell r="U1176"/>
          <cell r="V1176">
            <v>15</v>
          </cell>
          <cell r="W1176"/>
          <cell r="X1176" t="str">
            <v>EDWIN</v>
          </cell>
          <cell r="Y1176"/>
          <cell r="Z1176" t="str">
            <v>EDWIN ' MAIL 5/12/17</v>
          </cell>
          <cell r="AA1176"/>
          <cell r="AB1176">
            <v>43074</v>
          </cell>
          <cell r="AC1176">
            <v>5203</v>
          </cell>
        </row>
        <row r="1177">
          <cell r="B1177">
            <v>3938</v>
          </cell>
          <cell r="C1177" t="str">
            <v>BG3929</v>
          </cell>
          <cell r="D1177"/>
          <cell r="E1177"/>
          <cell r="F1177" t="str">
            <v>T 100%</v>
          </cell>
          <cell r="G1177" t="str">
            <v>100% POLYESTER</v>
          </cell>
          <cell r="H1177" t="str">
            <v>57/58</v>
          </cell>
          <cell r="I1177">
            <v>190</v>
          </cell>
          <cell r="J1177">
            <v>1.8</v>
          </cell>
          <cell r="K1177">
            <v>2.1</v>
          </cell>
          <cell r="L1177">
            <v>1.83</v>
          </cell>
          <cell r="M1177">
            <v>2.15</v>
          </cell>
          <cell r="N1177">
            <v>1.85</v>
          </cell>
          <cell r="O1177">
            <v>2.2000000000000002</v>
          </cell>
          <cell r="P1177"/>
          <cell r="Q1177"/>
          <cell r="R1177">
            <v>2.1</v>
          </cell>
          <cell r="S1177">
            <v>2.5</v>
          </cell>
          <cell r="T1177"/>
          <cell r="U1177"/>
          <cell r="V1177">
            <v>15</v>
          </cell>
          <cell r="W1177"/>
          <cell r="X1177" t="str">
            <v>EDWIN</v>
          </cell>
          <cell r="Y1177"/>
          <cell r="Z1177" t="str">
            <v>EDWIN 2/12/17</v>
          </cell>
          <cell r="AA1177"/>
          <cell r="AB1177">
            <v>43071</v>
          </cell>
          <cell r="AC1177">
            <v>5217</v>
          </cell>
        </row>
        <row r="1178">
          <cell r="B1178">
            <v>3936</v>
          </cell>
          <cell r="C1178" t="str">
            <v>GL1598</v>
          </cell>
          <cell r="D1178" t="str">
            <v>JACQUARD KNITTING</v>
          </cell>
          <cell r="E1178"/>
          <cell r="F1178" t="str">
            <v>T/C/S 58/40/2</v>
          </cell>
          <cell r="G1178" t="str">
            <v xml:space="preserve">58%POLY  40%COTTON  2%SPANDEX </v>
          </cell>
          <cell r="H1178" t="str">
            <v>153CM</v>
          </cell>
          <cell r="I1178">
            <v>255</v>
          </cell>
          <cell r="J1178">
            <v>2.21</v>
          </cell>
          <cell r="K1178"/>
          <cell r="L1178">
            <v>2.25</v>
          </cell>
          <cell r="M1178"/>
          <cell r="N1178">
            <v>2.25</v>
          </cell>
          <cell r="O1178"/>
          <cell r="P1178"/>
          <cell r="Q1178"/>
          <cell r="R1178">
            <v>2.39</v>
          </cell>
          <cell r="S1178"/>
          <cell r="T1178"/>
          <cell r="U1178"/>
          <cell r="V1178">
            <v>15</v>
          </cell>
          <cell r="W1178"/>
          <cell r="X1178" t="str">
            <v>NICKY</v>
          </cell>
          <cell r="Y1178"/>
          <cell r="Z1178" t="str">
            <v>NICKY 2/12/17</v>
          </cell>
          <cell r="AA1178"/>
          <cell r="AB1178">
            <v>43071</v>
          </cell>
          <cell r="AC1178">
            <v>5210</v>
          </cell>
        </row>
        <row r="1179">
          <cell r="B1179">
            <v>3935</v>
          </cell>
          <cell r="C1179" t="str">
            <v>GL15048</v>
          </cell>
          <cell r="D1179" t="str">
            <v>JACQUARD KNITTING</v>
          </cell>
          <cell r="E1179"/>
          <cell r="F1179" t="str">
            <v>T/R/S 61/37/2</v>
          </cell>
          <cell r="G1179" t="str">
            <v xml:space="preserve">61%POLY  37%RAYON  2%SPANDEX </v>
          </cell>
          <cell r="H1179" t="str">
            <v>155CM</v>
          </cell>
          <cell r="I1179">
            <v>245</v>
          </cell>
          <cell r="J1179">
            <v>2.08</v>
          </cell>
          <cell r="K1179"/>
          <cell r="L1179">
            <v>2.12</v>
          </cell>
          <cell r="M1179"/>
          <cell r="N1179">
            <v>2.12</v>
          </cell>
          <cell r="O1179"/>
          <cell r="P1179"/>
          <cell r="Q1179"/>
          <cell r="R1179">
            <v>2.2599999999999998</v>
          </cell>
          <cell r="S1179"/>
          <cell r="T1179"/>
          <cell r="U1179"/>
          <cell r="V1179">
            <v>15</v>
          </cell>
          <cell r="W1179"/>
          <cell r="X1179" t="str">
            <v>NICKY</v>
          </cell>
          <cell r="Y1179"/>
          <cell r="Z1179" t="str">
            <v>NICKY 2/12/17</v>
          </cell>
          <cell r="AA1179"/>
          <cell r="AB1179">
            <v>43071</v>
          </cell>
          <cell r="AC1179">
            <v>5207</v>
          </cell>
        </row>
        <row r="1180">
          <cell r="B1180">
            <v>3934</v>
          </cell>
          <cell r="C1180" t="str">
            <v>GL1328</v>
          </cell>
          <cell r="D1180" t="str">
            <v>JACQUARD KNITTING</v>
          </cell>
          <cell r="E1180"/>
          <cell r="F1180" t="str">
            <v>R/T/S</v>
          </cell>
          <cell r="G1180" t="str">
            <v>R/T/SP</v>
          </cell>
          <cell r="H1180" t="str">
            <v>160CM</v>
          </cell>
          <cell r="I1180">
            <v>320</v>
          </cell>
          <cell r="J1180">
            <v>2.79</v>
          </cell>
          <cell r="K1180"/>
          <cell r="L1180">
            <v>2.83</v>
          </cell>
          <cell r="M1180"/>
          <cell r="N1180">
            <v>2.83</v>
          </cell>
          <cell r="O1180"/>
          <cell r="P1180"/>
          <cell r="Q1180"/>
          <cell r="R1180">
            <v>2.97</v>
          </cell>
          <cell r="S1180"/>
          <cell r="T1180"/>
          <cell r="U1180"/>
          <cell r="V1180">
            <v>15</v>
          </cell>
          <cell r="W1180"/>
          <cell r="X1180" t="str">
            <v>NICKY</v>
          </cell>
          <cell r="Y1180"/>
          <cell r="Z1180" t="str">
            <v>NICKY 2/12/17</v>
          </cell>
          <cell r="AA1180"/>
          <cell r="AB1180">
            <v>43071</v>
          </cell>
          <cell r="AC1180">
            <v>5211</v>
          </cell>
        </row>
        <row r="1181">
          <cell r="B1181">
            <v>3933</v>
          </cell>
          <cell r="C1181" t="str">
            <v>GL1254</v>
          </cell>
          <cell r="D1181" t="str">
            <v>JACQUARD KNITTING</v>
          </cell>
          <cell r="E1181"/>
          <cell r="F1181" t="str">
            <v>T/R/S</v>
          </cell>
          <cell r="G1181" t="str">
            <v>82%POLY  15%RAYON  3%SPANDEX</v>
          </cell>
          <cell r="H1181" t="str">
            <v>160CM</v>
          </cell>
          <cell r="I1181">
            <v>320</v>
          </cell>
          <cell r="J1181">
            <v>2.25</v>
          </cell>
          <cell r="K1181"/>
          <cell r="L1181">
            <v>2.29</v>
          </cell>
          <cell r="M1181"/>
          <cell r="N1181">
            <v>2.29</v>
          </cell>
          <cell r="O1181"/>
          <cell r="P1181"/>
          <cell r="Q1181"/>
          <cell r="R1181">
            <v>2.4300000000000002</v>
          </cell>
          <cell r="S1181"/>
          <cell r="T1181"/>
          <cell r="U1181"/>
          <cell r="V1181">
            <v>15</v>
          </cell>
          <cell r="W1181"/>
          <cell r="X1181" t="str">
            <v>NICKY</v>
          </cell>
          <cell r="Y1181"/>
          <cell r="Z1181" t="str">
            <v>NICKY 2/12/17</v>
          </cell>
          <cell r="AA1181"/>
          <cell r="AB1181">
            <v>43071</v>
          </cell>
          <cell r="AC1181">
            <v>5208</v>
          </cell>
        </row>
        <row r="1182">
          <cell r="B1182">
            <v>3932</v>
          </cell>
          <cell r="C1182" t="str">
            <v>GL1578</v>
          </cell>
          <cell r="D1182" t="str">
            <v>JACQUARD KNITTING</v>
          </cell>
          <cell r="E1182"/>
          <cell r="F1182" t="str">
            <v>T/C/S 49/48/3</v>
          </cell>
          <cell r="G1182" t="str">
            <v xml:space="preserve">49%POLY  48%COTTON  3%SPANDEX </v>
          </cell>
          <cell r="H1182" t="str">
            <v>160CM</v>
          </cell>
          <cell r="I1182">
            <v>340</v>
          </cell>
          <cell r="J1182">
            <v>2.54</v>
          </cell>
          <cell r="K1182"/>
          <cell r="L1182">
            <v>2.58</v>
          </cell>
          <cell r="M1182"/>
          <cell r="N1182">
            <v>2.58</v>
          </cell>
          <cell r="O1182"/>
          <cell r="P1182"/>
          <cell r="Q1182"/>
          <cell r="R1182">
            <v>2.72</v>
          </cell>
          <cell r="S1182"/>
          <cell r="T1182"/>
          <cell r="U1182"/>
          <cell r="V1182">
            <v>15</v>
          </cell>
          <cell r="W1182"/>
          <cell r="X1182" t="str">
            <v>NICKY</v>
          </cell>
          <cell r="Y1182"/>
          <cell r="Z1182" t="str">
            <v>NICKY 2/12/17</v>
          </cell>
          <cell r="AA1182"/>
          <cell r="AB1182">
            <v>43071</v>
          </cell>
          <cell r="AC1182">
            <v>5212</v>
          </cell>
        </row>
        <row r="1183">
          <cell r="B1183">
            <v>3931</v>
          </cell>
          <cell r="C1183" t="str">
            <v>GL1261</v>
          </cell>
          <cell r="D1183" t="str">
            <v>JACQUARD KNITTING</v>
          </cell>
          <cell r="E1183"/>
          <cell r="F1183" t="str">
            <v>T/S 97/3</v>
          </cell>
          <cell r="G1183" t="str">
            <v xml:space="preserve">97%POLY  3%SPANDEX </v>
          </cell>
          <cell r="H1183" t="str">
            <v>160CM</v>
          </cell>
          <cell r="I1183">
            <v>320</v>
          </cell>
          <cell r="J1183">
            <v>2.14</v>
          </cell>
          <cell r="K1183"/>
          <cell r="L1183">
            <v>2.1800000000000002</v>
          </cell>
          <cell r="M1183"/>
          <cell r="N1183">
            <v>2.1800000000000002</v>
          </cell>
          <cell r="O1183"/>
          <cell r="P1183"/>
          <cell r="Q1183"/>
          <cell r="R1183">
            <v>2.3199999999999998</v>
          </cell>
          <cell r="S1183"/>
          <cell r="T1183"/>
          <cell r="U1183"/>
          <cell r="V1183">
            <v>15</v>
          </cell>
          <cell r="W1183"/>
          <cell r="X1183" t="str">
            <v>NICKY</v>
          </cell>
          <cell r="Y1183"/>
          <cell r="Z1183" t="str">
            <v>NICKY 2/12/17</v>
          </cell>
          <cell r="AA1183"/>
          <cell r="AB1183">
            <v>43071</v>
          </cell>
          <cell r="AC1183">
            <v>5213</v>
          </cell>
        </row>
        <row r="1184">
          <cell r="B1184">
            <v>3930</v>
          </cell>
          <cell r="C1184" t="str">
            <v>GL1595</v>
          </cell>
          <cell r="D1184" t="str">
            <v>JACQUARD KNITTING</v>
          </cell>
          <cell r="E1184"/>
          <cell r="F1184" t="str">
            <v>T/S 97/3</v>
          </cell>
          <cell r="G1184" t="str">
            <v>95%POLY  5%SPANDEX</v>
          </cell>
          <cell r="H1184" t="str">
            <v>160CM</v>
          </cell>
          <cell r="I1184">
            <v>250</v>
          </cell>
          <cell r="J1184">
            <v>1.71</v>
          </cell>
          <cell r="K1184"/>
          <cell r="L1184">
            <v>1.75</v>
          </cell>
          <cell r="M1184"/>
          <cell r="N1184">
            <v>1.75</v>
          </cell>
          <cell r="O1184"/>
          <cell r="P1184"/>
          <cell r="Q1184"/>
          <cell r="R1184">
            <v>1.89</v>
          </cell>
          <cell r="S1184"/>
          <cell r="T1184"/>
          <cell r="U1184"/>
          <cell r="V1184">
            <v>15</v>
          </cell>
          <cell r="W1184"/>
          <cell r="X1184" t="str">
            <v>NICKY</v>
          </cell>
          <cell r="Y1184"/>
          <cell r="Z1184" t="str">
            <v>NICKY 2/12/17</v>
          </cell>
          <cell r="AA1184"/>
          <cell r="AB1184">
            <v>43071</v>
          </cell>
          <cell r="AC1184">
            <v>5214</v>
          </cell>
        </row>
        <row r="1185">
          <cell r="B1185">
            <v>3929</v>
          </cell>
          <cell r="C1185" t="str">
            <v>GL14135</v>
          </cell>
          <cell r="D1185" t="str">
            <v>JACQUARD KNITTING</v>
          </cell>
          <cell r="E1185"/>
          <cell r="F1185" t="str">
            <v>T/R/S 82/15/3</v>
          </cell>
          <cell r="G1185" t="str">
            <v>T/R/SP</v>
          </cell>
          <cell r="H1185" t="str">
            <v>160CM</v>
          </cell>
          <cell r="I1185">
            <v>310</v>
          </cell>
          <cell r="J1185">
            <v>2.0299999999999998</v>
          </cell>
          <cell r="K1185"/>
          <cell r="L1185">
            <v>2.0699999999999998</v>
          </cell>
          <cell r="M1185"/>
          <cell r="N1185">
            <v>2.0699999999999998</v>
          </cell>
          <cell r="O1185"/>
          <cell r="P1185"/>
          <cell r="Q1185"/>
          <cell r="R1185">
            <v>2.21</v>
          </cell>
          <cell r="S1185"/>
          <cell r="T1185"/>
          <cell r="U1185"/>
          <cell r="V1185">
            <v>15</v>
          </cell>
          <cell r="W1185"/>
          <cell r="X1185" t="str">
            <v>NICKY</v>
          </cell>
          <cell r="Y1185"/>
          <cell r="Z1185" t="str">
            <v>NICKY 2/12/17</v>
          </cell>
          <cell r="AA1185"/>
          <cell r="AB1185">
            <v>43071</v>
          </cell>
          <cell r="AC1185">
            <v>5206</v>
          </cell>
        </row>
        <row r="1186">
          <cell r="B1186">
            <v>3928</v>
          </cell>
          <cell r="C1186" t="str">
            <v>GL1327</v>
          </cell>
          <cell r="D1186" t="str">
            <v>JACQUARD KNITTING</v>
          </cell>
          <cell r="E1186"/>
          <cell r="F1186" t="str">
            <v>T/S 97/3</v>
          </cell>
          <cell r="G1186" t="str">
            <v xml:space="preserve">97%POLY  3%SPANDEX </v>
          </cell>
          <cell r="H1186" t="str">
            <v>160CM</v>
          </cell>
          <cell r="I1186">
            <v>330</v>
          </cell>
          <cell r="J1186">
            <v>2.13</v>
          </cell>
          <cell r="K1186"/>
          <cell r="L1186">
            <v>2.17</v>
          </cell>
          <cell r="M1186"/>
          <cell r="N1186">
            <v>2.17</v>
          </cell>
          <cell r="O1186"/>
          <cell r="P1186"/>
          <cell r="Q1186"/>
          <cell r="R1186">
            <v>2.31</v>
          </cell>
          <cell r="S1186"/>
          <cell r="T1186"/>
          <cell r="U1186"/>
          <cell r="V1186">
            <v>15</v>
          </cell>
          <cell r="W1186"/>
          <cell r="X1186" t="str">
            <v>NICKY</v>
          </cell>
          <cell r="Y1186"/>
          <cell r="Z1186" t="str">
            <v>NICKY 2/12/17</v>
          </cell>
          <cell r="AA1186"/>
          <cell r="AB1186">
            <v>43071</v>
          </cell>
          <cell r="AC1186">
            <v>5215</v>
          </cell>
        </row>
        <row r="1187">
          <cell r="B1187">
            <v>3927</v>
          </cell>
          <cell r="C1187" t="str">
            <v>GL1605</v>
          </cell>
          <cell r="D1187" t="str">
            <v>JACQUARD KNITTING</v>
          </cell>
          <cell r="E1187"/>
          <cell r="F1187" t="str">
            <v>T/R/S</v>
          </cell>
          <cell r="G1187" t="str">
            <v>T/R/SP</v>
          </cell>
          <cell r="H1187" t="str">
            <v>155CM</v>
          </cell>
          <cell r="I1187">
            <v>320</v>
          </cell>
          <cell r="J1187">
            <v>2.29</v>
          </cell>
          <cell r="K1187"/>
          <cell r="L1187">
            <v>2.33</v>
          </cell>
          <cell r="M1187"/>
          <cell r="N1187">
            <v>2.33</v>
          </cell>
          <cell r="O1187"/>
          <cell r="P1187"/>
          <cell r="Q1187"/>
          <cell r="R1187">
            <v>2.4700000000000002</v>
          </cell>
          <cell r="S1187"/>
          <cell r="T1187"/>
          <cell r="U1187"/>
          <cell r="V1187">
            <v>15</v>
          </cell>
          <cell r="W1187"/>
          <cell r="X1187" t="str">
            <v>NICKY</v>
          </cell>
          <cell r="Y1187"/>
          <cell r="Z1187" t="str">
            <v>NICKY 2/12/17</v>
          </cell>
          <cell r="AA1187"/>
          <cell r="AB1187">
            <v>43071</v>
          </cell>
          <cell r="AC1187">
            <v>5209</v>
          </cell>
        </row>
        <row r="1188">
          <cell r="B1188">
            <v>3926</v>
          </cell>
          <cell r="C1188" t="str">
            <v>GL1255</v>
          </cell>
          <cell r="D1188" t="str">
            <v>JACQUARD KNITTING</v>
          </cell>
          <cell r="E1188"/>
          <cell r="F1188" t="str">
            <v>T/S 97/3</v>
          </cell>
          <cell r="G1188" t="str">
            <v xml:space="preserve">97%POLY  3%SPANDEX </v>
          </cell>
          <cell r="H1188" t="str">
            <v>160CM</v>
          </cell>
          <cell r="I1188">
            <v>320</v>
          </cell>
          <cell r="J1188">
            <v>2.0699999999999998</v>
          </cell>
          <cell r="K1188"/>
          <cell r="L1188">
            <v>2.11</v>
          </cell>
          <cell r="M1188"/>
          <cell r="N1188">
            <v>2.11</v>
          </cell>
          <cell r="O1188"/>
          <cell r="P1188"/>
          <cell r="Q1188"/>
          <cell r="R1188">
            <v>2.25</v>
          </cell>
          <cell r="S1188"/>
          <cell r="T1188"/>
          <cell r="U1188"/>
          <cell r="V1188">
            <v>15</v>
          </cell>
          <cell r="W1188"/>
          <cell r="X1188" t="str">
            <v>NICKY</v>
          </cell>
          <cell r="Y1188"/>
          <cell r="Z1188" t="str">
            <v>NICKY 2/12/17</v>
          </cell>
          <cell r="AA1188"/>
          <cell r="AB1188">
            <v>43071</v>
          </cell>
          <cell r="AC1188">
            <v>5216</v>
          </cell>
        </row>
        <row r="1189">
          <cell r="B1189">
            <v>3952</v>
          </cell>
          <cell r="C1189" t="str">
            <v>ME-308</v>
          </cell>
          <cell r="D1189" t="str">
            <v>LACE</v>
          </cell>
          <cell r="E1189"/>
          <cell r="F1189" t="str">
            <v>N/S 92/8</v>
          </cell>
          <cell r="G1189" t="str">
            <v xml:space="preserve">92%NYLON  8%SPANDEX </v>
          </cell>
          <cell r="H1189" t="str">
            <v>57/58</v>
          </cell>
          <cell r="I1189"/>
          <cell r="J1189">
            <v>2.08</v>
          </cell>
          <cell r="K1189"/>
          <cell r="L1189">
            <v>2.13</v>
          </cell>
          <cell r="M1189"/>
          <cell r="N1189">
            <v>2.13</v>
          </cell>
          <cell r="O1189"/>
          <cell r="P1189"/>
          <cell r="Q1189"/>
          <cell r="R1189">
            <v>2.48</v>
          </cell>
          <cell r="S1189"/>
          <cell r="T1189"/>
          <cell r="U1189"/>
          <cell r="V1189"/>
          <cell r="W1189"/>
          <cell r="X1189" t="str">
            <v>LIVALTEX</v>
          </cell>
          <cell r="Y1189"/>
          <cell r="Z1189" t="str">
            <v>TONY' MAIL 1/12/17</v>
          </cell>
          <cell r="AA1189"/>
          <cell r="AB1189">
            <v>43070</v>
          </cell>
          <cell r="AC1189">
            <v>5218</v>
          </cell>
        </row>
        <row r="1190">
          <cell r="B1190">
            <v>3924</v>
          </cell>
          <cell r="C1190" t="str">
            <v>TS-493</v>
          </cell>
          <cell r="D1190" t="str">
            <v>VISCOSE CREPE</v>
          </cell>
          <cell r="E1190" t="str">
            <v>120X120</v>
          </cell>
          <cell r="F1190" t="str">
            <v>V100%</v>
          </cell>
          <cell r="G1190" t="str">
            <v>100% VISCOSE</v>
          </cell>
          <cell r="H1190" t="str">
            <v>59/60</v>
          </cell>
          <cell r="I1190">
            <v>164</v>
          </cell>
          <cell r="J1190">
            <v>3.91</v>
          </cell>
          <cell r="K1190">
            <v>4.3899999999999997</v>
          </cell>
          <cell r="L1190">
            <v>3.93</v>
          </cell>
          <cell r="M1190">
            <v>4.32</v>
          </cell>
          <cell r="N1190">
            <v>3.95</v>
          </cell>
          <cell r="O1190">
            <v>4.3499999999999996</v>
          </cell>
          <cell r="P1190"/>
          <cell r="Q1190"/>
          <cell r="R1190">
            <v>4.47</v>
          </cell>
          <cell r="S1190">
            <v>4.5999999999999996</v>
          </cell>
          <cell r="T1190"/>
          <cell r="U1190"/>
          <cell r="V1190">
            <v>15</v>
          </cell>
          <cell r="W1190"/>
          <cell r="X1190" t="str">
            <v>GAVIN</v>
          </cell>
          <cell r="Y1190"/>
          <cell r="Z1190" t="str">
            <v>GAVIN 1/12/17</v>
          </cell>
          <cell r="AA1190"/>
          <cell r="AB1190">
            <v>43070</v>
          </cell>
          <cell r="AC1190">
            <v>5220</v>
          </cell>
        </row>
        <row r="1191">
          <cell r="B1191">
            <v>3923</v>
          </cell>
          <cell r="C1191" t="str">
            <v>TS-492</v>
          </cell>
          <cell r="D1191" t="str">
            <v>TAILORING - TWILL</v>
          </cell>
          <cell r="E1191" t="str">
            <v>180DX180D</v>
          </cell>
          <cell r="F1191" t="str">
            <v>T100%</v>
          </cell>
          <cell r="G1191" t="str">
            <v>100% POLYESTER</v>
          </cell>
          <cell r="H1191" t="str">
            <v>59/60</v>
          </cell>
          <cell r="I1191">
            <v>268</v>
          </cell>
          <cell r="J1191">
            <v>2.86</v>
          </cell>
          <cell r="K1191">
            <v>2.99</v>
          </cell>
          <cell r="L1191">
            <v>2.88</v>
          </cell>
          <cell r="M1191" t="str">
            <v>#3.02</v>
          </cell>
          <cell r="N1191">
            <v>2.9</v>
          </cell>
          <cell r="O1191">
            <v>3.05</v>
          </cell>
          <cell r="P1191"/>
          <cell r="Q1191"/>
          <cell r="R1191">
            <v>3.05</v>
          </cell>
          <cell r="S1191">
            <v>3.3</v>
          </cell>
          <cell r="T1191"/>
          <cell r="U1191"/>
          <cell r="V1191">
            <v>15</v>
          </cell>
          <cell r="W1191"/>
          <cell r="X1191" t="str">
            <v>GAVIN</v>
          </cell>
          <cell r="Y1191"/>
          <cell r="Z1191" t="str">
            <v>GAVIN 1/12/17</v>
          </cell>
          <cell r="AA1191"/>
          <cell r="AB1191">
            <v>43070</v>
          </cell>
          <cell r="AC1191">
            <v>5219</v>
          </cell>
        </row>
        <row r="1192">
          <cell r="B1192">
            <v>3919</v>
          </cell>
          <cell r="C1192" t="str">
            <v>ME-281</v>
          </cell>
          <cell r="D1192" t="str">
            <v>LACE</v>
          </cell>
          <cell r="E1192"/>
          <cell r="F1192" t="str">
            <v>N100%</v>
          </cell>
          <cell r="G1192" t="str">
            <v>100% NYLON</v>
          </cell>
          <cell r="H1192" t="str">
            <v>58/59</v>
          </cell>
          <cell r="I1192">
            <v>80</v>
          </cell>
          <cell r="J1192">
            <v>2.79</v>
          </cell>
          <cell r="K1192"/>
          <cell r="L1192">
            <v>2.84</v>
          </cell>
          <cell r="M1192"/>
          <cell r="N1192">
            <v>2.84</v>
          </cell>
          <cell r="O1192"/>
          <cell r="P1192"/>
          <cell r="Q1192"/>
          <cell r="R1192">
            <v>3.29</v>
          </cell>
          <cell r="S1192"/>
          <cell r="T1192"/>
          <cell r="U1192"/>
          <cell r="V1192">
            <v>15</v>
          </cell>
          <cell r="W1192"/>
          <cell r="X1192" t="str">
            <v>LIVALTEX</v>
          </cell>
          <cell r="Y1192"/>
          <cell r="Z1192" t="str">
            <v>ROSE ' MAIL 30/11/17</v>
          </cell>
          <cell r="AA1192"/>
          <cell r="AB1192">
            <v>43069</v>
          </cell>
          <cell r="AC1192">
            <v>5221</v>
          </cell>
        </row>
        <row r="1193">
          <cell r="B1193">
            <v>3918</v>
          </cell>
          <cell r="C1193" t="str">
            <v>M-335</v>
          </cell>
          <cell r="D1193" t="str">
            <v>CHENILLE LACE</v>
          </cell>
          <cell r="E1193"/>
          <cell r="F1193" t="str">
            <v>T/R</v>
          </cell>
          <cell r="G1193" t="str">
            <v>POLY / RAYON</v>
          </cell>
          <cell r="H1193" t="str">
            <v>57/58</v>
          </cell>
          <cell r="I1193">
            <v>175</v>
          </cell>
          <cell r="J1193">
            <v>3.02</v>
          </cell>
          <cell r="K1193"/>
          <cell r="L1193">
            <v>3.07</v>
          </cell>
          <cell r="M1193"/>
          <cell r="N1193">
            <v>3.07</v>
          </cell>
          <cell r="O1193"/>
          <cell r="P1193"/>
          <cell r="Q1193"/>
          <cell r="R1193">
            <v>3.52</v>
          </cell>
          <cell r="S1193"/>
          <cell r="T1193"/>
          <cell r="U1193"/>
          <cell r="V1193">
            <v>15</v>
          </cell>
          <cell r="W1193"/>
          <cell r="X1193" t="str">
            <v>LIVALTEX</v>
          </cell>
          <cell r="Y1193"/>
          <cell r="Z1193" t="str">
            <v>ROSE ' MAIL 30/11/17</v>
          </cell>
          <cell r="AA1193"/>
          <cell r="AB1193">
            <v>43069</v>
          </cell>
          <cell r="AC1193">
            <v>5222</v>
          </cell>
        </row>
        <row r="1194">
          <cell r="B1194">
            <v>3910</v>
          </cell>
          <cell r="C1194" t="str">
            <v>M-401</v>
          </cell>
          <cell r="D1194" t="str">
            <v>LACE</v>
          </cell>
          <cell r="E1194"/>
          <cell r="F1194" t="str">
            <v>T100%</v>
          </cell>
          <cell r="G1194" t="str">
            <v>100%POLYESTER</v>
          </cell>
          <cell r="H1194" t="str">
            <v>140CM</v>
          </cell>
          <cell r="I1194">
            <v>145</v>
          </cell>
          <cell r="J1194">
            <v>1.88</v>
          </cell>
          <cell r="K1194"/>
          <cell r="L1194">
            <v>1.93</v>
          </cell>
          <cell r="M1194"/>
          <cell r="N1194">
            <v>1.93</v>
          </cell>
          <cell r="O1194"/>
          <cell r="P1194"/>
          <cell r="Q1194"/>
          <cell r="R1194">
            <v>2.38</v>
          </cell>
          <cell r="S1194"/>
          <cell r="T1194"/>
          <cell r="U1194"/>
          <cell r="V1194">
            <v>15</v>
          </cell>
          <cell r="W1194"/>
          <cell r="X1194" t="str">
            <v>LIVALTEX</v>
          </cell>
          <cell r="Y1194"/>
          <cell r="Z1194" t="str">
            <v>ROSE ' MAIL 30/11/17</v>
          </cell>
          <cell r="AA1194"/>
          <cell r="AB1194">
            <v>43069</v>
          </cell>
          <cell r="AC1194">
            <v>5223</v>
          </cell>
        </row>
        <row r="1195">
          <cell r="B1195">
            <v>3909</v>
          </cell>
          <cell r="C1195" t="str">
            <v>M-142</v>
          </cell>
          <cell r="D1195" t="str">
            <v>CHENILLE LACE</v>
          </cell>
          <cell r="E1195"/>
          <cell r="F1195" t="str">
            <v>N/S</v>
          </cell>
          <cell r="G1195" t="str">
            <v xml:space="preserve">NYLON / SPANDEX </v>
          </cell>
          <cell r="H1195" t="str">
            <v>130CM</v>
          </cell>
          <cell r="I1195">
            <v>210</v>
          </cell>
          <cell r="J1195">
            <v>3.19</v>
          </cell>
          <cell r="K1195"/>
          <cell r="L1195">
            <v>3.24</v>
          </cell>
          <cell r="M1195"/>
          <cell r="N1195">
            <v>3.24</v>
          </cell>
          <cell r="O1195"/>
          <cell r="P1195"/>
          <cell r="Q1195"/>
          <cell r="R1195">
            <v>3.69</v>
          </cell>
          <cell r="S1195"/>
          <cell r="T1195"/>
          <cell r="U1195"/>
          <cell r="V1195">
            <v>15</v>
          </cell>
          <cell r="W1195"/>
          <cell r="X1195" t="str">
            <v>LIVALTEX</v>
          </cell>
          <cell r="Y1195"/>
          <cell r="Z1195" t="str">
            <v>ROSE ' MAIL 30/11/17</v>
          </cell>
          <cell r="AA1195"/>
          <cell r="AB1195">
            <v>43069</v>
          </cell>
          <cell r="AC1195">
            <v>5224</v>
          </cell>
        </row>
        <row r="1196">
          <cell r="B1196">
            <v>3908</v>
          </cell>
          <cell r="C1196" t="str">
            <v>ME-305</v>
          </cell>
          <cell r="D1196" t="str">
            <v>LACE</v>
          </cell>
          <cell r="E1196"/>
          <cell r="F1196" t="str">
            <v>T100%</v>
          </cell>
          <cell r="G1196" t="str">
            <v xml:space="preserve">100% POLYESTER </v>
          </cell>
          <cell r="H1196" t="str">
            <v>57/58</v>
          </cell>
          <cell r="I1196">
            <v>130</v>
          </cell>
          <cell r="J1196">
            <v>2.35</v>
          </cell>
          <cell r="K1196"/>
          <cell r="L1196">
            <v>2.4</v>
          </cell>
          <cell r="M1196"/>
          <cell r="N1196">
            <v>2.4</v>
          </cell>
          <cell r="O1196"/>
          <cell r="P1196"/>
          <cell r="Q1196"/>
          <cell r="R1196">
            <v>2.85</v>
          </cell>
          <cell r="S1196"/>
          <cell r="T1196"/>
          <cell r="U1196"/>
          <cell r="V1196">
            <v>15</v>
          </cell>
          <cell r="W1196"/>
          <cell r="X1196" t="str">
            <v>LIVALTEX</v>
          </cell>
          <cell r="Y1196"/>
          <cell r="Z1196" t="str">
            <v>ROSE ' MAIL 30/11/17</v>
          </cell>
          <cell r="AA1196"/>
          <cell r="AB1196">
            <v>43069</v>
          </cell>
          <cell r="AC1196">
            <v>5225</v>
          </cell>
        </row>
        <row r="1197">
          <cell r="B1197">
            <v>3907</v>
          </cell>
          <cell r="C1197" t="str">
            <v>ME-306</v>
          </cell>
          <cell r="D1197" t="str">
            <v>LACE</v>
          </cell>
          <cell r="E1197"/>
          <cell r="F1197" t="str">
            <v>C/N 75/25</v>
          </cell>
          <cell r="G1197" t="str">
            <v>75%COTTON  25%NYLON</v>
          </cell>
          <cell r="H1197" t="str">
            <v>56/57</v>
          </cell>
          <cell r="I1197">
            <v>130</v>
          </cell>
          <cell r="J1197">
            <v>2.74</v>
          </cell>
          <cell r="K1197"/>
          <cell r="L1197">
            <v>2.79</v>
          </cell>
          <cell r="M1197"/>
          <cell r="N1197">
            <v>2.79</v>
          </cell>
          <cell r="O1197"/>
          <cell r="P1197"/>
          <cell r="Q1197"/>
          <cell r="R1197">
            <v>3.24</v>
          </cell>
          <cell r="S1197"/>
          <cell r="T1197"/>
          <cell r="U1197"/>
          <cell r="V1197">
            <v>15</v>
          </cell>
          <cell r="W1197"/>
          <cell r="X1197" t="str">
            <v>LIVALTEX</v>
          </cell>
          <cell r="Y1197"/>
          <cell r="Z1197" t="str">
            <v>ROSE ' MAIL 30/11/17</v>
          </cell>
          <cell r="AA1197"/>
          <cell r="AB1197">
            <v>43069</v>
          </cell>
          <cell r="AC1197">
            <v>5226</v>
          </cell>
        </row>
        <row r="1198">
          <cell r="B1198">
            <v>3906</v>
          </cell>
          <cell r="C1198" t="str">
            <v>M-394</v>
          </cell>
          <cell r="D1198" t="str">
            <v>LACE</v>
          </cell>
          <cell r="E1198"/>
          <cell r="F1198" t="str">
            <v>N/S 92/8</v>
          </cell>
          <cell r="G1198" t="str">
            <v xml:space="preserve">92%NYLON  8%SPANDEX </v>
          </cell>
          <cell r="H1198" t="str">
            <v>57/58</v>
          </cell>
          <cell r="I1198">
            <v>100</v>
          </cell>
          <cell r="J1198">
            <v>2.04</v>
          </cell>
          <cell r="K1198"/>
          <cell r="L1198">
            <v>2.09</v>
          </cell>
          <cell r="M1198"/>
          <cell r="N1198">
            <v>2.09</v>
          </cell>
          <cell r="O1198"/>
          <cell r="P1198"/>
          <cell r="Q1198"/>
          <cell r="R1198">
            <v>2.54</v>
          </cell>
          <cell r="S1198"/>
          <cell r="T1198"/>
          <cell r="U1198"/>
          <cell r="V1198">
            <v>15</v>
          </cell>
          <cell r="W1198"/>
          <cell r="X1198" t="str">
            <v>LIVALTEX</v>
          </cell>
          <cell r="Y1198"/>
          <cell r="Z1198" t="str">
            <v>ROSE ' MAIL 30/11/17</v>
          </cell>
          <cell r="AA1198"/>
          <cell r="AB1198">
            <v>43069</v>
          </cell>
          <cell r="AC1198">
            <v>5227</v>
          </cell>
        </row>
        <row r="1199">
          <cell r="B1199">
            <v>3269</v>
          </cell>
          <cell r="C1199" t="str">
            <v>M-510</v>
          </cell>
          <cell r="D1199" t="str">
            <v>LACE</v>
          </cell>
          <cell r="E1199"/>
          <cell r="F1199" t="str">
            <v>N/T/S 55/40/5</v>
          </cell>
          <cell r="G1199" t="str">
            <v>55% NYLON 40% POLYESTER 5% SPANDEX</v>
          </cell>
          <cell r="H1199" t="str">
            <v>57/58</v>
          </cell>
          <cell r="I1199">
            <v>208</v>
          </cell>
          <cell r="J1199">
            <v>3.2</v>
          </cell>
          <cell r="K1199"/>
          <cell r="L1199">
            <v>3.25</v>
          </cell>
          <cell r="M1199"/>
          <cell r="N1199">
            <v>3.25</v>
          </cell>
          <cell r="O1199"/>
          <cell r="P1199"/>
          <cell r="Q1199"/>
          <cell r="R1199">
            <v>3.7</v>
          </cell>
          <cell r="S1199"/>
          <cell r="T1199"/>
          <cell r="U1199"/>
          <cell r="V1199">
            <v>15</v>
          </cell>
          <cell r="W1199"/>
          <cell r="X1199" t="str">
            <v>LIVALTEX</v>
          </cell>
          <cell r="Y1199"/>
          <cell r="Z1199" t="str">
            <v>ROSE ' MAIL 30/11/17</v>
          </cell>
          <cell r="AA1199"/>
          <cell r="AB1199">
            <v>43069</v>
          </cell>
          <cell r="AC1199">
            <v>5228</v>
          </cell>
        </row>
        <row r="1200">
          <cell r="B1200">
            <v>3263</v>
          </cell>
          <cell r="C1200" t="str">
            <v>M-504</v>
          </cell>
          <cell r="D1200" t="str">
            <v>LACE</v>
          </cell>
          <cell r="E1200"/>
          <cell r="F1200" t="str">
            <v>N/T/S</v>
          </cell>
          <cell r="G1200" t="str">
            <v>NYLON POLYESTER SPANDEX</v>
          </cell>
          <cell r="H1200" t="str">
            <v>57/58</v>
          </cell>
          <cell r="I1200">
            <v>138</v>
          </cell>
          <cell r="J1200">
            <v>2.25</v>
          </cell>
          <cell r="K1200"/>
          <cell r="L1200">
            <v>2.2999999999999998</v>
          </cell>
          <cell r="M1200"/>
          <cell r="N1200">
            <v>2.2999999999999998</v>
          </cell>
          <cell r="O1200"/>
          <cell r="P1200"/>
          <cell r="Q1200"/>
          <cell r="R1200">
            <v>2.75</v>
          </cell>
          <cell r="S1200"/>
          <cell r="T1200"/>
          <cell r="U1200"/>
          <cell r="V1200">
            <v>15</v>
          </cell>
          <cell r="W1200"/>
          <cell r="X1200" t="str">
            <v>LIVALTEX</v>
          </cell>
          <cell r="Y1200"/>
          <cell r="Z1200" t="str">
            <v>ROSE ' MAIL 30/11/17</v>
          </cell>
          <cell r="AA1200"/>
          <cell r="AB1200">
            <v>43069</v>
          </cell>
          <cell r="AC1200">
            <v>5229</v>
          </cell>
        </row>
        <row r="1201">
          <cell r="B1201">
            <v>3394</v>
          </cell>
          <cell r="C1201" t="str">
            <v>M-1746</v>
          </cell>
          <cell r="D1201" t="str">
            <v>CDC</v>
          </cell>
          <cell r="E1201" t="str">
            <v>50D*75D</v>
          </cell>
          <cell r="F1201" t="str">
            <v>T100%</v>
          </cell>
          <cell r="G1201" t="str">
            <v xml:space="preserve">100% POLYESTER </v>
          </cell>
          <cell r="H1201" t="str">
            <v>57/58</v>
          </cell>
          <cell r="I1201">
            <v>85</v>
          </cell>
          <cell r="J1201">
            <v>0.86</v>
          </cell>
          <cell r="K1201">
            <v>1.1100000000000001</v>
          </cell>
          <cell r="L1201">
            <v>0.86</v>
          </cell>
          <cell r="M1201">
            <v>1.1099999999999999</v>
          </cell>
          <cell r="N1201">
            <v>0.9</v>
          </cell>
          <cell r="O1201">
            <v>1.1499999999999999</v>
          </cell>
          <cell r="P1201"/>
          <cell r="Q1201"/>
          <cell r="R1201">
            <v>1</v>
          </cell>
          <cell r="S1201">
            <v>1.35</v>
          </cell>
          <cell r="T1201"/>
          <cell r="U1201"/>
          <cell r="V1201"/>
          <cell r="W1201"/>
          <cell r="X1201" t="str">
            <v>M-TEX</v>
          </cell>
          <cell r="Y1201"/>
          <cell r="Z1201" t="str">
            <v>LINDA ' MAIL 29/11/17</v>
          </cell>
          <cell r="AA1201"/>
          <cell r="AB1201">
            <v>43068</v>
          </cell>
          <cell r="AC1201">
            <v>5230</v>
          </cell>
        </row>
        <row r="1202">
          <cell r="B1202">
            <v>3167</v>
          </cell>
          <cell r="C1202" t="str">
            <v>HLT5814</v>
          </cell>
          <cell r="D1202"/>
          <cell r="E1202"/>
          <cell r="F1202" t="str">
            <v>T/S 90/10</v>
          </cell>
          <cell r="G1202" t="str">
            <v>90% POLYESTER 10% SPAN</v>
          </cell>
          <cell r="H1202" t="str">
            <v>160 CM</v>
          </cell>
          <cell r="I1202">
            <v>210</v>
          </cell>
          <cell r="J1202">
            <v>1.9631745147209101</v>
          </cell>
          <cell r="K1202"/>
          <cell r="L1202">
            <v>1.96</v>
          </cell>
          <cell r="M1202"/>
          <cell r="N1202">
            <v>2.06</v>
          </cell>
          <cell r="O1202"/>
          <cell r="P1202"/>
          <cell r="Q1202"/>
          <cell r="R1202">
            <v>2.16</v>
          </cell>
          <cell r="S1202"/>
          <cell r="T1202"/>
          <cell r="U1202"/>
          <cell r="V1202">
            <v>15</v>
          </cell>
          <cell r="W1202"/>
          <cell r="X1202" t="str">
            <v>CANDY</v>
          </cell>
          <cell r="Y1202"/>
          <cell r="Z1202" t="str">
            <v>LEI WANG 29/11/17</v>
          </cell>
          <cell r="AA1202"/>
          <cell r="AB1202">
            <v>43068</v>
          </cell>
          <cell r="AC1202">
            <v>5231</v>
          </cell>
        </row>
        <row r="1203">
          <cell r="B1203">
            <v>3939</v>
          </cell>
          <cell r="C1203" t="str">
            <v>BG1252</v>
          </cell>
          <cell r="D1203"/>
          <cell r="E1203" t="str">
            <v>20D*32S</v>
          </cell>
          <cell r="F1203" t="str">
            <v>R/N 83/17</v>
          </cell>
          <cell r="G1203" t="str">
            <v>83% RAYON+17%NYLON</v>
          </cell>
          <cell r="H1203" t="str">
            <v>54/55</v>
          </cell>
          <cell r="I1203">
            <v>70</v>
          </cell>
          <cell r="J1203">
            <v>1.25</v>
          </cell>
          <cell r="K1203">
            <v>1.6</v>
          </cell>
          <cell r="L1203">
            <v>1.3</v>
          </cell>
          <cell r="M1203">
            <v>1.65</v>
          </cell>
          <cell r="N1203">
            <v>1.35</v>
          </cell>
          <cell r="O1203">
            <v>1.7</v>
          </cell>
          <cell r="P1203"/>
          <cell r="Q1203"/>
          <cell r="R1203">
            <v>1.5</v>
          </cell>
          <cell r="S1203">
            <v>2.1</v>
          </cell>
          <cell r="T1203"/>
          <cell r="U1203"/>
          <cell r="V1203">
            <v>15</v>
          </cell>
          <cell r="W1203"/>
          <cell r="X1203" t="str">
            <v>EDWIN</v>
          </cell>
          <cell r="Y1203"/>
          <cell r="Z1203" t="str">
            <v>EDWIN ' MAIL 28/11/17</v>
          </cell>
          <cell r="AA1203"/>
          <cell r="AB1203">
            <v>43067</v>
          </cell>
          <cell r="AC1203">
            <v>5233</v>
          </cell>
        </row>
        <row r="1204">
          <cell r="B1204">
            <v>3937</v>
          </cell>
          <cell r="C1204" t="str">
            <v>BG3932</v>
          </cell>
          <cell r="D1204"/>
          <cell r="E1204" t="str">
            <v>20D*60S</v>
          </cell>
          <cell r="F1204" t="str">
            <v>R/N 65/35</v>
          </cell>
          <cell r="G1204" t="str">
            <v>65%RAYON+35%NYLON</v>
          </cell>
          <cell r="H1204" t="str">
            <v>54/55</v>
          </cell>
          <cell r="I1204">
            <v>47</v>
          </cell>
          <cell r="J1204">
            <v>1.23</v>
          </cell>
          <cell r="K1204">
            <v>1.58</v>
          </cell>
          <cell r="L1204">
            <v>1.28</v>
          </cell>
          <cell r="M1204">
            <v>1.63</v>
          </cell>
          <cell r="N1204">
            <v>1.33</v>
          </cell>
          <cell r="O1204">
            <v>1.68</v>
          </cell>
          <cell r="P1204"/>
          <cell r="Q1204"/>
          <cell r="R1204">
            <v>1.48</v>
          </cell>
          <cell r="S1204">
            <v>2.08</v>
          </cell>
          <cell r="T1204"/>
          <cell r="U1204"/>
          <cell r="V1204">
            <v>15</v>
          </cell>
          <cell r="W1204"/>
          <cell r="X1204" t="str">
            <v>EDWIN</v>
          </cell>
          <cell r="Y1204"/>
          <cell r="Z1204" t="str">
            <v>EDWIN ' MAIL 28/11/17</v>
          </cell>
          <cell r="AA1204"/>
          <cell r="AB1204">
            <v>43067</v>
          </cell>
          <cell r="AC1204">
            <v>5234</v>
          </cell>
        </row>
        <row r="1205">
          <cell r="B1205">
            <v>3889</v>
          </cell>
          <cell r="C1205">
            <v>9719</v>
          </cell>
          <cell r="D1205" t="str">
            <v>VISCOSE CREPE</v>
          </cell>
          <cell r="E1205" t="str">
            <v>120D*120SD</v>
          </cell>
          <cell r="F1205" t="str">
            <v>V100%</v>
          </cell>
          <cell r="G1205" t="str">
            <v>100% VISCOSE</v>
          </cell>
          <cell r="H1205" t="str">
            <v>54/55</v>
          </cell>
          <cell r="I1205">
            <v>160</v>
          </cell>
          <cell r="J1205">
            <v>4.07</v>
          </cell>
          <cell r="K1205">
            <v>4.7300000000000004</v>
          </cell>
          <cell r="L1205">
            <v>4.09</v>
          </cell>
          <cell r="M1205">
            <v>4.8099999999999996</v>
          </cell>
          <cell r="N1205">
            <v>4.1399999999999997</v>
          </cell>
          <cell r="O1205">
            <v>4.8499999999999996</v>
          </cell>
          <cell r="P1205"/>
          <cell r="Q1205"/>
          <cell r="R1205">
            <v>4.22</v>
          </cell>
          <cell r="S1205">
            <v>5.34</v>
          </cell>
          <cell r="T1205"/>
          <cell r="U1205"/>
          <cell r="V1205">
            <v>15</v>
          </cell>
          <cell r="W1205"/>
          <cell r="X1205" t="str">
            <v>TERESA</v>
          </cell>
          <cell r="Y1205"/>
          <cell r="Z1205" t="str">
            <v>TERESA ' MAIL 28/11/17</v>
          </cell>
          <cell r="AA1205"/>
          <cell r="AB1205">
            <v>43067</v>
          </cell>
          <cell r="AC1205">
            <v>5237</v>
          </cell>
        </row>
        <row r="1206">
          <cell r="B1206">
            <v>3381</v>
          </cell>
          <cell r="C1206" t="str">
            <v>T004</v>
          </cell>
          <cell r="D1206" t="str">
            <v>POLY CREPE ( replace for AMW2002 )</v>
          </cell>
          <cell r="E1206" t="str">
            <v>75D*75D</v>
          </cell>
          <cell r="F1206" t="str">
            <v>T 100%</v>
          </cell>
          <cell r="G1206" t="str">
            <v xml:space="preserve">100% POLYESTER </v>
          </cell>
          <cell r="H1206" t="str">
            <v>57/58</v>
          </cell>
          <cell r="I1206">
            <v>120</v>
          </cell>
          <cell r="J1206">
            <v>1.1299999999999999</v>
          </cell>
          <cell r="K1206">
            <v>1.31</v>
          </cell>
          <cell r="L1206">
            <v>1.1499999999999999</v>
          </cell>
          <cell r="M1206">
            <v>1.39</v>
          </cell>
          <cell r="N1206">
            <v>1.2</v>
          </cell>
          <cell r="O1206">
            <v>1.43</v>
          </cell>
          <cell r="P1206"/>
          <cell r="Q1206"/>
          <cell r="R1206">
            <v>1.28</v>
          </cell>
          <cell r="S1206">
            <v>1.92</v>
          </cell>
          <cell r="T1206"/>
          <cell r="U1206"/>
          <cell r="V1206">
            <v>15</v>
          </cell>
          <cell r="W1206" t="str">
            <v>hand feel was improved softer.</v>
          </cell>
          <cell r="X1206" t="str">
            <v>TERESA</v>
          </cell>
          <cell r="Y1206"/>
          <cell r="Z1206" t="str">
            <v>TERESA ' MAIL 28/11/17</v>
          </cell>
          <cell r="AA1206"/>
          <cell r="AB1206">
            <v>43067</v>
          </cell>
          <cell r="AC1206">
            <v>5235</v>
          </cell>
        </row>
        <row r="1207">
          <cell r="B1207">
            <v>2914</v>
          </cell>
          <cell r="C1207" t="str">
            <v>GL1699(RING - SPUN)</v>
          </cell>
          <cell r="D1207" t="str">
            <v>SINGLE JERSEY</v>
          </cell>
          <cell r="E1207"/>
          <cell r="F1207" t="str">
            <v>V/S 95/5</v>
          </cell>
          <cell r="G1207" t="str">
            <v xml:space="preserve">95% VISCOSE  5%SPANDEX </v>
          </cell>
          <cell r="H1207" t="str">
            <v>165CM</v>
          </cell>
          <cell r="I1207">
            <v>180</v>
          </cell>
          <cell r="J1207">
            <v>1.59</v>
          </cell>
          <cell r="K1207"/>
          <cell r="L1207">
            <v>1.62</v>
          </cell>
          <cell r="M1207"/>
          <cell r="N1207">
            <v>1.66</v>
          </cell>
          <cell r="O1207"/>
          <cell r="P1207"/>
          <cell r="Q1207"/>
          <cell r="R1207">
            <v>2</v>
          </cell>
          <cell r="S1207"/>
          <cell r="T1207"/>
          <cell r="U1207"/>
          <cell r="V1207">
            <v>15</v>
          </cell>
          <cell r="W1207" t="str">
            <v>MOQ 1500m</v>
          </cell>
          <cell r="X1207" t="str">
            <v>NICKY</v>
          </cell>
          <cell r="Y1207"/>
          <cell r="Z1207" t="str">
            <v>NICKY ' MAIL 28/11/17</v>
          </cell>
          <cell r="AA1207"/>
          <cell r="AB1207">
            <v>43067</v>
          </cell>
          <cell r="AC1207">
            <v>5232</v>
          </cell>
        </row>
        <row r="1208">
          <cell r="B1208">
            <v>2147</v>
          </cell>
          <cell r="C1208" t="str">
            <v>HLT1287</v>
          </cell>
          <cell r="D1208" t="str">
            <v>SINGLE JERSEY</v>
          </cell>
          <cell r="E1208"/>
          <cell r="F1208" t="str">
            <v>R/S 95/5</v>
          </cell>
          <cell r="G1208" t="str">
            <v>95% RAYON 5% SPANDEX</v>
          </cell>
          <cell r="H1208" t="str">
            <v>155CM</v>
          </cell>
          <cell r="I1208">
            <v>195</v>
          </cell>
          <cell r="J1208">
            <v>1.8949887387387383</v>
          </cell>
          <cell r="K1208">
            <v>2.1694819819819813</v>
          </cell>
          <cell r="L1208">
            <v>1.9449887387387383</v>
          </cell>
          <cell r="M1208">
            <v>2.2694819819819814</v>
          </cell>
          <cell r="N1208">
            <v>2.0449887387387382</v>
          </cell>
          <cell r="O1208">
            <v>2.3694819819819815</v>
          </cell>
          <cell r="P1208"/>
          <cell r="Q1208"/>
          <cell r="R1208">
            <v>2.2449887387387384</v>
          </cell>
          <cell r="S1208">
            <v>2.5694819819819816</v>
          </cell>
          <cell r="T1208"/>
          <cell r="U1208"/>
          <cell r="V1208">
            <v>15</v>
          </cell>
          <cell r="W1208"/>
          <cell r="X1208" t="str">
            <v>CANDY</v>
          </cell>
          <cell r="Y1208"/>
          <cell r="Z1208" t="str">
            <v>CANDY ' MAIL 28/11/17</v>
          </cell>
          <cell r="AA1208"/>
          <cell r="AB1208">
            <v>43067</v>
          </cell>
          <cell r="AC1208">
            <v>5236</v>
          </cell>
        </row>
        <row r="1209">
          <cell r="B1209">
            <v>3887</v>
          </cell>
          <cell r="C1209" t="str">
            <v>BG3910</v>
          </cell>
          <cell r="D1209" t="str">
            <v>JACQUARD POLY</v>
          </cell>
          <cell r="E1209" t="str">
            <v>68D*150D</v>
          </cell>
          <cell r="F1209" t="str">
            <v>T100%</v>
          </cell>
          <cell r="G1209" t="str">
            <v>100% POLYESTER</v>
          </cell>
          <cell r="H1209" t="str">
            <v>57/58</v>
          </cell>
          <cell r="I1209">
            <v>90</v>
          </cell>
          <cell r="J1209">
            <v>2.0499999999999998</v>
          </cell>
          <cell r="K1209">
            <v>2.2999999999999998</v>
          </cell>
          <cell r="L1209">
            <v>2.08</v>
          </cell>
          <cell r="M1209">
            <v>2.35</v>
          </cell>
          <cell r="N1209">
            <v>2.1</v>
          </cell>
          <cell r="O1209">
            <v>2.4</v>
          </cell>
          <cell r="P1209"/>
          <cell r="Q1209"/>
          <cell r="R1209">
            <v>2.4</v>
          </cell>
          <cell r="S1209">
            <v>2.8</v>
          </cell>
          <cell r="T1209"/>
          <cell r="U1209"/>
          <cell r="V1209">
            <v>15</v>
          </cell>
          <cell r="W1209"/>
          <cell r="X1209" t="str">
            <v>EDWIN</v>
          </cell>
          <cell r="Y1209"/>
          <cell r="Z1209" t="str">
            <v>EDWIN ' MAIL 27/11/17</v>
          </cell>
          <cell r="AA1209"/>
          <cell r="AB1209">
            <v>43066</v>
          </cell>
          <cell r="AC1209">
            <v>5241</v>
          </cell>
        </row>
        <row r="1210">
          <cell r="B1210">
            <v>3886</v>
          </cell>
          <cell r="C1210" t="str">
            <v>BG2989</v>
          </cell>
          <cell r="D1210" t="str">
            <v>CREPE</v>
          </cell>
          <cell r="E1210" t="str">
            <v>75D*75D</v>
          </cell>
          <cell r="F1210" t="str">
            <v>T100%</v>
          </cell>
          <cell r="G1210" t="str">
            <v>100% POLYESTER</v>
          </cell>
          <cell r="H1210" t="str">
            <v>57/58</v>
          </cell>
          <cell r="I1210">
            <v>120</v>
          </cell>
          <cell r="J1210">
            <v>1.52</v>
          </cell>
          <cell r="K1210">
            <v>1.85</v>
          </cell>
          <cell r="L1210">
            <v>1.55</v>
          </cell>
          <cell r="M1210">
            <v>1.9</v>
          </cell>
          <cell r="N1210">
            <v>1.57</v>
          </cell>
          <cell r="O1210">
            <v>1.95</v>
          </cell>
          <cell r="P1210"/>
          <cell r="Q1210"/>
          <cell r="R1210">
            <v>1.75</v>
          </cell>
          <cell r="S1210">
            <v>2.2999999999999998</v>
          </cell>
          <cell r="T1210"/>
          <cell r="U1210"/>
          <cell r="V1210">
            <v>15</v>
          </cell>
          <cell r="W1210"/>
          <cell r="X1210" t="str">
            <v>EDWIN</v>
          </cell>
          <cell r="Y1210"/>
          <cell r="Z1210" t="str">
            <v>EDWIN ' MAIL 27/11/17</v>
          </cell>
          <cell r="AA1210"/>
          <cell r="AB1210">
            <v>43066</v>
          </cell>
          <cell r="AC1210">
            <v>5242</v>
          </cell>
        </row>
        <row r="1211">
          <cell r="B1211">
            <v>3885</v>
          </cell>
          <cell r="C1211" t="str">
            <v>BG3355</v>
          </cell>
          <cell r="D1211" t="str">
            <v>CREPE</v>
          </cell>
          <cell r="E1211" t="str">
            <v>75D*75D</v>
          </cell>
          <cell r="F1211" t="str">
            <v>T100%</v>
          </cell>
          <cell r="G1211" t="str">
            <v>100% POLYESTER</v>
          </cell>
          <cell r="H1211" t="str">
            <v>57/58</v>
          </cell>
          <cell r="I1211">
            <v>110</v>
          </cell>
          <cell r="J1211">
            <v>1.52</v>
          </cell>
          <cell r="K1211">
            <v>1.85</v>
          </cell>
          <cell r="L1211">
            <v>1.55</v>
          </cell>
          <cell r="M1211">
            <v>1.9</v>
          </cell>
          <cell r="N1211">
            <v>1.57</v>
          </cell>
          <cell r="O1211">
            <v>1.95</v>
          </cell>
          <cell r="P1211"/>
          <cell r="Q1211"/>
          <cell r="R1211">
            <v>1.75</v>
          </cell>
          <cell r="S1211">
            <v>2.2999999999999998</v>
          </cell>
          <cell r="T1211"/>
          <cell r="U1211"/>
          <cell r="V1211">
            <v>15</v>
          </cell>
          <cell r="W1211"/>
          <cell r="X1211" t="str">
            <v>EDWIN</v>
          </cell>
          <cell r="Y1211"/>
          <cell r="Z1211" t="str">
            <v>EDWIN ' MAIL 27/11/17</v>
          </cell>
          <cell r="AA1211"/>
          <cell r="AB1211">
            <v>43066</v>
          </cell>
          <cell r="AC1211">
            <v>5243</v>
          </cell>
        </row>
        <row r="1212">
          <cell r="B1212">
            <v>3884</v>
          </cell>
          <cell r="C1212" t="str">
            <v>BG3331</v>
          </cell>
          <cell r="D1212" t="str">
            <v>CRINKLE CHIFFON WITH SATEEN LINE</v>
          </cell>
          <cell r="E1212" t="str">
            <v>100D*100D/100D</v>
          </cell>
          <cell r="F1212" t="str">
            <v>T100%</v>
          </cell>
          <cell r="G1212" t="str">
            <v>100% POLYESTER</v>
          </cell>
          <cell r="H1212" t="str">
            <v>57/58</v>
          </cell>
          <cell r="I1212">
            <v>150</v>
          </cell>
          <cell r="J1212">
            <v>1.85</v>
          </cell>
          <cell r="K1212">
            <v>2.1</v>
          </cell>
          <cell r="L1212">
            <v>1.88</v>
          </cell>
          <cell r="M1212">
            <v>2.15</v>
          </cell>
          <cell r="N1212">
            <v>1.9</v>
          </cell>
          <cell r="O1212">
            <v>2.2000000000000002</v>
          </cell>
          <cell r="P1212"/>
          <cell r="Q1212"/>
          <cell r="R1212">
            <v>2.1</v>
          </cell>
          <cell r="S1212">
            <v>2.5</v>
          </cell>
          <cell r="T1212"/>
          <cell r="U1212"/>
          <cell r="V1212">
            <v>15</v>
          </cell>
          <cell r="W1212"/>
          <cell r="X1212" t="str">
            <v>EDWIN</v>
          </cell>
          <cell r="Y1212"/>
          <cell r="Z1212" t="str">
            <v>EDWIN ' MAIL 27/11/17</v>
          </cell>
          <cell r="AA1212"/>
          <cell r="AB1212">
            <v>43066</v>
          </cell>
          <cell r="AC1212">
            <v>5246</v>
          </cell>
        </row>
        <row r="1213">
          <cell r="B1213">
            <v>3882</v>
          </cell>
          <cell r="C1213" t="str">
            <v>BG3927</v>
          </cell>
          <cell r="D1213" t="str">
            <v>RAYON WITH DOTS</v>
          </cell>
          <cell r="E1213" t="str">
            <v>45S*45S 105*76</v>
          </cell>
          <cell r="F1213" t="str">
            <v>R100%</v>
          </cell>
          <cell r="G1213" t="str">
            <v>100% RAYON</v>
          </cell>
          <cell r="H1213" t="str">
            <v>53/54</v>
          </cell>
          <cell r="I1213">
            <v>110</v>
          </cell>
          <cell r="J1213">
            <v>1.85</v>
          </cell>
          <cell r="K1213">
            <v>2.1</v>
          </cell>
          <cell r="L1213">
            <v>1.88</v>
          </cell>
          <cell r="M1213">
            <v>2.15</v>
          </cell>
          <cell r="N1213">
            <v>1.9</v>
          </cell>
          <cell r="O1213">
            <v>2.2000000000000002</v>
          </cell>
          <cell r="P1213"/>
          <cell r="Q1213"/>
          <cell r="R1213">
            <v>2.1</v>
          </cell>
          <cell r="S1213">
            <v>2.5</v>
          </cell>
          <cell r="T1213"/>
          <cell r="U1213"/>
          <cell r="V1213">
            <v>15</v>
          </cell>
          <cell r="W1213"/>
          <cell r="X1213" t="str">
            <v>EDWIN</v>
          </cell>
          <cell r="Y1213"/>
          <cell r="Z1213" t="str">
            <v>EDWIN ' MAIL 27/11/17</v>
          </cell>
          <cell r="AA1213"/>
          <cell r="AB1213">
            <v>43066</v>
          </cell>
          <cell r="AC1213">
            <v>5244</v>
          </cell>
        </row>
        <row r="1214">
          <cell r="B1214">
            <v>3219</v>
          </cell>
          <cell r="C1214" t="str">
            <v>LX17-515-3</v>
          </cell>
          <cell r="D1214" t="str">
            <v>CHEMICAL LACE</v>
          </cell>
          <cell r="E1214"/>
          <cell r="F1214" t="str">
            <v>T100%</v>
          </cell>
          <cell r="G1214" t="str">
            <v>100% POLYESTER</v>
          </cell>
          <cell r="H1214" t="str">
            <v>115CM</v>
          </cell>
          <cell r="I1214">
            <v>215</v>
          </cell>
          <cell r="J1214">
            <v>3.47</v>
          </cell>
          <cell r="K1214"/>
          <cell r="L1214">
            <v>3.47</v>
          </cell>
          <cell r="M1214"/>
          <cell r="N1214">
            <v>3.47</v>
          </cell>
          <cell r="O1214"/>
          <cell r="P1214"/>
          <cell r="Q1214"/>
          <cell r="R1214">
            <v>3.47</v>
          </cell>
          <cell r="S1214"/>
          <cell r="T1214"/>
          <cell r="U1214"/>
          <cell r="V1214"/>
          <cell r="W1214" t="str">
            <v>Less than 1000M， surcharge+$150</v>
          </cell>
          <cell r="X1214" t="str">
            <v>TINA</v>
          </cell>
          <cell r="Y1214"/>
          <cell r="Z1214" t="str">
            <v>TINA ' MAIL 27/11/17</v>
          </cell>
          <cell r="AA1214"/>
          <cell r="AB1214">
            <v>43066</v>
          </cell>
          <cell r="AC1214">
            <v>5238</v>
          </cell>
        </row>
        <row r="1215">
          <cell r="B1215">
            <v>3218</v>
          </cell>
          <cell r="C1215" t="str">
            <v>LX17-515-2</v>
          </cell>
          <cell r="D1215" t="str">
            <v>CHEMICAL LACE</v>
          </cell>
          <cell r="E1215"/>
          <cell r="F1215" t="str">
            <v>T100%</v>
          </cell>
          <cell r="G1215" t="str">
            <v>100% POLYESTER</v>
          </cell>
          <cell r="H1215" t="str">
            <v>124CM</v>
          </cell>
          <cell r="I1215">
            <v>202</v>
          </cell>
          <cell r="J1215">
            <v>3.45</v>
          </cell>
          <cell r="K1215"/>
          <cell r="L1215">
            <v>3.45</v>
          </cell>
          <cell r="M1215"/>
          <cell r="N1215">
            <v>3.45</v>
          </cell>
          <cell r="O1215"/>
          <cell r="P1215"/>
          <cell r="Q1215"/>
          <cell r="R1215">
            <v>3.45</v>
          </cell>
          <cell r="S1215"/>
          <cell r="T1215"/>
          <cell r="U1215"/>
          <cell r="V1215"/>
          <cell r="W1215" t="str">
            <v>Less than 1000M， surcharge+$150</v>
          </cell>
          <cell r="X1215" t="str">
            <v>TINA</v>
          </cell>
          <cell r="Y1215"/>
          <cell r="Z1215" t="str">
            <v>TINA ' MAIL 27/11/17</v>
          </cell>
          <cell r="AA1215"/>
          <cell r="AB1215">
            <v>43066</v>
          </cell>
          <cell r="AC1215">
            <v>5239</v>
          </cell>
        </row>
        <row r="1216">
          <cell r="B1216">
            <v>2412</v>
          </cell>
          <cell r="C1216" t="str">
            <v>HLT1417</v>
          </cell>
          <cell r="D1216" t="str">
            <v>LACE</v>
          </cell>
          <cell r="E1216"/>
          <cell r="F1216" t="str">
            <v>T100%</v>
          </cell>
          <cell r="G1216" t="str">
            <v>100% POLYESTER</v>
          </cell>
          <cell r="H1216" t="str">
            <v>125CM</v>
          </cell>
          <cell r="I1216"/>
          <cell r="J1216">
            <v>4.18</v>
          </cell>
          <cell r="K1216"/>
          <cell r="L1216">
            <v>4.18</v>
          </cell>
          <cell r="M1216"/>
          <cell r="N1216">
            <v>4.28</v>
          </cell>
          <cell r="O1216"/>
          <cell r="P1216"/>
          <cell r="Q1216"/>
          <cell r="R1216">
            <v>4.58</v>
          </cell>
          <cell r="S1216"/>
          <cell r="T1216"/>
          <cell r="U1216"/>
          <cell r="V1216">
            <v>15</v>
          </cell>
          <cell r="W1216"/>
          <cell r="X1216" t="str">
            <v>CANDY</v>
          </cell>
          <cell r="Y1216"/>
          <cell r="Z1216" t="str">
            <v>CANDY ' MAIL 27/11/17</v>
          </cell>
          <cell r="AA1216"/>
          <cell r="AB1216">
            <v>43066</v>
          </cell>
          <cell r="AC1216">
            <v>5240</v>
          </cell>
        </row>
        <row r="1217">
          <cell r="B1217">
            <v>1615</v>
          </cell>
          <cell r="C1217" t="str">
            <v>TS-054</v>
          </cell>
          <cell r="D1217" t="str">
            <v>SCALLOP LACE</v>
          </cell>
          <cell r="E1217"/>
          <cell r="F1217" t="str">
            <v>N/R 70/30</v>
          </cell>
          <cell r="G1217" t="str">
            <v>70% NYLON 30% RAYON</v>
          </cell>
          <cell r="H1217" t="str">
            <v>150CM</v>
          </cell>
          <cell r="I1217">
            <v>112</v>
          </cell>
          <cell r="J1217">
            <v>2.2599999999999998</v>
          </cell>
          <cell r="K1217">
            <v>2.34</v>
          </cell>
          <cell r="L1217">
            <v>2.2799999999999998</v>
          </cell>
          <cell r="M1217">
            <v>2.37</v>
          </cell>
          <cell r="N1217">
            <v>2.2000000000000002</v>
          </cell>
          <cell r="O1217">
            <v>2.4</v>
          </cell>
          <cell r="P1217"/>
          <cell r="Q1217"/>
          <cell r="R1217">
            <v>2.35</v>
          </cell>
          <cell r="S1217">
            <v>2.65</v>
          </cell>
          <cell r="T1217"/>
          <cell r="U1217"/>
          <cell r="V1217">
            <v>15</v>
          </cell>
          <cell r="W1217"/>
          <cell r="X1217" t="str">
            <v>GAVIN</v>
          </cell>
          <cell r="Y1217"/>
          <cell r="Z1217" t="str">
            <v>GAVIN ' MAIL 27/11/17</v>
          </cell>
          <cell r="AA1217"/>
          <cell r="AB1217">
            <v>43066</v>
          </cell>
          <cell r="AC1217">
            <v>5245</v>
          </cell>
        </row>
        <row r="1218">
          <cell r="B1218">
            <v>3917</v>
          </cell>
          <cell r="C1218" t="str">
            <v>OLP-PN00090</v>
          </cell>
          <cell r="D1218" t="str">
            <v>CHENILLE LACE</v>
          </cell>
          <cell r="E1218"/>
          <cell r="F1218" t="str">
            <v>N/CHENILLE/S 55/40/5</v>
          </cell>
          <cell r="G1218" t="str">
            <v xml:space="preserve">55%NYLON  40%CHENILLE  5%SPANDEX </v>
          </cell>
          <cell r="H1218" t="str">
            <v>57/58</v>
          </cell>
          <cell r="I1218">
            <v>175</v>
          </cell>
          <cell r="J1218">
            <v>3.2</v>
          </cell>
          <cell r="K1218"/>
          <cell r="L1218">
            <v>3.28</v>
          </cell>
          <cell r="M1218"/>
          <cell r="N1218">
            <v>3.38</v>
          </cell>
          <cell r="O1218"/>
          <cell r="P1218"/>
          <cell r="Q1218"/>
          <cell r="R1218">
            <v>3.52</v>
          </cell>
          <cell r="S1218"/>
          <cell r="T1218"/>
          <cell r="U1218"/>
          <cell r="V1218">
            <v>15</v>
          </cell>
          <cell r="W1218"/>
          <cell r="X1218" t="str">
            <v>OWEN</v>
          </cell>
          <cell r="Y1218"/>
          <cell r="Z1218" t="str">
            <v>SANDY ' MAIL 25/11/17</v>
          </cell>
          <cell r="AA1218"/>
          <cell r="AB1218">
            <v>43064</v>
          </cell>
          <cell r="AC1218">
            <v>5247</v>
          </cell>
        </row>
        <row r="1219">
          <cell r="B1219">
            <v>3916</v>
          </cell>
          <cell r="C1219" t="str">
            <v>OLP-PN00089</v>
          </cell>
          <cell r="D1219" t="str">
            <v>CHENILLE LACE</v>
          </cell>
          <cell r="E1219"/>
          <cell r="F1219" t="str">
            <v>N/CHENILLE/S 77/15/8</v>
          </cell>
          <cell r="G1219" t="str">
            <v xml:space="preserve">77%NYLON  15%CHENILLE  8%SPANDEX </v>
          </cell>
          <cell r="H1219" t="str">
            <v>57/58</v>
          </cell>
          <cell r="I1219">
            <v>150</v>
          </cell>
          <cell r="J1219">
            <v>3.45</v>
          </cell>
          <cell r="K1219"/>
          <cell r="L1219">
            <v>3.52</v>
          </cell>
          <cell r="M1219"/>
          <cell r="N1219">
            <v>3.62</v>
          </cell>
          <cell r="O1219"/>
          <cell r="P1219"/>
          <cell r="Q1219"/>
          <cell r="R1219">
            <v>3.77</v>
          </cell>
          <cell r="S1219"/>
          <cell r="T1219"/>
          <cell r="U1219"/>
          <cell r="V1219">
            <v>15</v>
          </cell>
          <cell r="W1219"/>
          <cell r="X1219" t="str">
            <v>OWEN</v>
          </cell>
          <cell r="Y1219"/>
          <cell r="Z1219" t="str">
            <v>SANDY ' MAIL 25/11/17</v>
          </cell>
          <cell r="AA1219"/>
          <cell r="AB1219">
            <v>43064</v>
          </cell>
          <cell r="AC1219">
            <v>5248</v>
          </cell>
        </row>
        <row r="1220">
          <cell r="B1220">
            <v>3915</v>
          </cell>
          <cell r="C1220" t="str">
            <v>OLP-PN00088</v>
          </cell>
          <cell r="D1220" t="str">
            <v>CHENILLE LACE</v>
          </cell>
          <cell r="E1220"/>
          <cell r="F1220" t="str">
            <v>CHENILLE/N/S 72/20/8</v>
          </cell>
          <cell r="G1220" t="str">
            <v xml:space="preserve">72%CHENILLE  20%NYLON  8%SPANDEX </v>
          </cell>
          <cell r="H1220" t="str">
            <v>56/57</v>
          </cell>
          <cell r="I1220">
            <v>170</v>
          </cell>
          <cell r="J1220">
            <v>3.05</v>
          </cell>
          <cell r="K1220"/>
          <cell r="L1220">
            <v>3.12</v>
          </cell>
          <cell r="M1220"/>
          <cell r="N1220">
            <v>3.22</v>
          </cell>
          <cell r="O1220"/>
          <cell r="P1220"/>
          <cell r="Q1220"/>
          <cell r="R1220">
            <v>3.37</v>
          </cell>
          <cell r="S1220"/>
          <cell r="T1220"/>
          <cell r="U1220"/>
          <cell r="V1220">
            <v>15</v>
          </cell>
          <cell r="W1220"/>
          <cell r="X1220" t="str">
            <v>OWEN</v>
          </cell>
          <cell r="Y1220"/>
          <cell r="Z1220" t="str">
            <v>SANDY ' MAIL 25/11/17</v>
          </cell>
          <cell r="AA1220"/>
          <cell r="AB1220">
            <v>43064</v>
          </cell>
          <cell r="AC1220">
            <v>5249</v>
          </cell>
        </row>
        <row r="1221">
          <cell r="B1221">
            <v>3914</v>
          </cell>
          <cell r="C1221" t="str">
            <v>OLP-SP00309</v>
          </cell>
          <cell r="D1221" t="str">
            <v xml:space="preserve">CRINKLE CHIFON WITH LUREX </v>
          </cell>
          <cell r="E1221" t="str">
            <v>75D*75D</v>
          </cell>
          <cell r="F1221" t="str">
            <v>T100%</v>
          </cell>
          <cell r="G1221" t="str">
            <v xml:space="preserve">100% POLYESTER </v>
          </cell>
          <cell r="H1221" t="str">
            <v>57/58</v>
          </cell>
          <cell r="I1221">
            <v>65</v>
          </cell>
          <cell r="J1221">
            <v>1.78</v>
          </cell>
          <cell r="K1221">
            <v>2.0499999999999998</v>
          </cell>
          <cell r="L1221">
            <v>1.85</v>
          </cell>
          <cell r="M1221">
            <v>2.12</v>
          </cell>
          <cell r="N1221">
            <v>1.95</v>
          </cell>
          <cell r="O1221">
            <v>2.25</v>
          </cell>
          <cell r="P1221"/>
          <cell r="Q1221"/>
          <cell r="R1221">
            <v>2.1</v>
          </cell>
          <cell r="S1221">
            <v>3</v>
          </cell>
          <cell r="T1221"/>
          <cell r="U1221"/>
          <cell r="V1221">
            <v>15</v>
          </cell>
          <cell r="W1221"/>
          <cell r="X1221" t="str">
            <v>OWEN</v>
          </cell>
          <cell r="Y1221"/>
          <cell r="Z1221" t="str">
            <v>SANDY ' MAIL 25/11/17</v>
          </cell>
          <cell r="AA1221"/>
          <cell r="AB1221">
            <v>43064</v>
          </cell>
          <cell r="AC1221">
            <v>5252</v>
          </cell>
        </row>
        <row r="1222">
          <cell r="B1222">
            <v>3913</v>
          </cell>
          <cell r="C1222" t="str">
            <v>OLP-SP00311</v>
          </cell>
          <cell r="D1222" t="str">
            <v xml:space="preserve">CRINKLE CHIFON WITH LUREX </v>
          </cell>
          <cell r="E1222" t="str">
            <v>75D*75D</v>
          </cell>
          <cell r="F1222" t="str">
            <v>T100%</v>
          </cell>
          <cell r="G1222" t="str">
            <v xml:space="preserve">100% POLYESTER </v>
          </cell>
          <cell r="H1222" t="str">
            <v>57/58</v>
          </cell>
          <cell r="I1222">
            <v>65</v>
          </cell>
          <cell r="J1222">
            <v>1.6</v>
          </cell>
          <cell r="K1222">
            <v>1.83</v>
          </cell>
          <cell r="L1222">
            <v>1.67</v>
          </cell>
          <cell r="M1222">
            <v>1.9</v>
          </cell>
          <cell r="N1222">
            <v>1.77</v>
          </cell>
          <cell r="O1222">
            <v>2.02</v>
          </cell>
          <cell r="P1222"/>
          <cell r="Q1222"/>
          <cell r="R1222">
            <v>1.92</v>
          </cell>
          <cell r="S1222">
            <v>2.77</v>
          </cell>
          <cell r="T1222"/>
          <cell r="U1222"/>
          <cell r="V1222">
            <v>15</v>
          </cell>
          <cell r="W1222"/>
          <cell r="X1222" t="str">
            <v>OWEN</v>
          </cell>
          <cell r="Y1222"/>
          <cell r="Z1222" t="str">
            <v>SANDY ' MAIL 25/11/17</v>
          </cell>
          <cell r="AA1222"/>
          <cell r="AB1222">
            <v>43064</v>
          </cell>
          <cell r="AC1222">
            <v>5253</v>
          </cell>
        </row>
        <row r="1223">
          <cell r="B1223">
            <v>3912</v>
          </cell>
          <cell r="C1223" t="str">
            <v>OLP-SP00308</v>
          </cell>
          <cell r="D1223" t="str">
            <v xml:space="preserve">CHIFFON WITH LUREX </v>
          </cell>
          <cell r="E1223" t="str">
            <v>75D*75D</v>
          </cell>
          <cell r="F1223" t="str">
            <v>T100%</v>
          </cell>
          <cell r="G1223" t="str">
            <v xml:space="preserve">100% POLYESTER </v>
          </cell>
          <cell r="H1223" t="str">
            <v>57/58</v>
          </cell>
          <cell r="I1223">
            <v>65</v>
          </cell>
          <cell r="J1223">
            <v>1.78</v>
          </cell>
          <cell r="K1223">
            <v>2.0499999999999998</v>
          </cell>
          <cell r="L1223">
            <v>1.85</v>
          </cell>
          <cell r="M1223">
            <v>2.12</v>
          </cell>
          <cell r="N1223">
            <v>1.95</v>
          </cell>
          <cell r="O1223">
            <v>2.25</v>
          </cell>
          <cell r="P1223"/>
          <cell r="Q1223"/>
          <cell r="R1223">
            <v>2.1</v>
          </cell>
          <cell r="S1223">
            <v>3</v>
          </cell>
          <cell r="T1223"/>
          <cell r="U1223"/>
          <cell r="V1223">
            <v>15</v>
          </cell>
          <cell r="W1223"/>
          <cell r="X1223" t="str">
            <v>OWEN</v>
          </cell>
          <cell r="Y1223"/>
          <cell r="Z1223" t="str">
            <v>SANDY ' MAIL 25/11/17</v>
          </cell>
          <cell r="AA1223"/>
          <cell r="AB1223">
            <v>43064</v>
          </cell>
          <cell r="AC1223">
            <v>5254</v>
          </cell>
        </row>
        <row r="1224">
          <cell r="B1224">
            <v>3911</v>
          </cell>
          <cell r="C1224" t="str">
            <v>OLP-SP00310</v>
          </cell>
          <cell r="D1224" t="str">
            <v xml:space="preserve">CHIFFON WITH LUREX </v>
          </cell>
          <cell r="E1224" t="str">
            <v>75D*75D</v>
          </cell>
          <cell r="F1224" t="str">
            <v>T100%</v>
          </cell>
          <cell r="G1224" t="str">
            <v xml:space="preserve">100% POLYESTER </v>
          </cell>
          <cell r="H1224" t="str">
            <v>57/58</v>
          </cell>
          <cell r="I1224">
            <v>62</v>
          </cell>
          <cell r="J1224">
            <v>1.6</v>
          </cell>
          <cell r="K1224">
            <v>1.83</v>
          </cell>
          <cell r="L1224">
            <v>1.67</v>
          </cell>
          <cell r="M1224">
            <v>1.9</v>
          </cell>
          <cell r="N1224">
            <v>1.77</v>
          </cell>
          <cell r="O1224">
            <v>2.02</v>
          </cell>
          <cell r="P1224"/>
          <cell r="Q1224"/>
          <cell r="R1224">
            <v>1.92</v>
          </cell>
          <cell r="S1224">
            <v>2.77</v>
          </cell>
          <cell r="T1224"/>
          <cell r="U1224"/>
          <cell r="V1224">
            <v>15</v>
          </cell>
          <cell r="W1224"/>
          <cell r="X1224" t="str">
            <v>OWEN</v>
          </cell>
          <cell r="Y1224"/>
          <cell r="Z1224" t="str">
            <v>SANDY ' MAIL 25/11/17</v>
          </cell>
          <cell r="AA1224"/>
          <cell r="AB1224">
            <v>43064</v>
          </cell>
          <cell r="AC1224">
            <v>5255</v>
          </cell>
        </row>
        <row r="1225">
          <cell r="B1225">
            <v>3883</v>
          </cell>
          <cell r="C1225" t="str">
            <v>TS-491</v>
          </cell>
          <cell r="D1225" t="str">
            <v>HEAVY CREPE</v>
          </cell>
          <cell r="E1225" t="str">
            <v xml:space="preserve">180D SPANDEX CREPE </v>
          </cell>
          <cell r="F1225" t="str">
            <v>T100%</v>
          </cell>
          <cell r="G1225" t="str">
            <v xml:space="preserve">100% POLYESTER </v>
          </cell>
          <cell r="H1225" t="str">
            <v>57/58</v>
          </cell>
          <cell r="I1225">
            <v>230</v>
          </cell>
          <cell r="J1225">
            <v>2.36</v>
          </cell>
          <cell r="K1225">
            <v>2.34</v>
          </cell>
          <cell r="L1225">
            <v>2.38</v>
          </cell>
          <cell r="M1225">
            <v>2.37</v>
          </cell>
          <cell r="N1225">
            <v>2.4</v>
          </cell>
          <cell r="O1225">
            <v>2.5499999999999998</v>
          </cell>
          <cell r="P1225"/>
          <cell r="Q1225"/>
          <cell r="R1225">
            <v>2.5499999999999998</v>
          </cell>
          <cell r="S1225">
            <v>2.8</v>
          </cell>
          <cell r="T1225"/>
          <cell r="U1225"/>
          <cell r="V1225">
            <v>15</v>
          </cell>
          <cell r="W1225"/>
          <cell r="X1225" t="str">
            <v>GAVIN</v>
          </cell>
          <cell r="Y1225"/>
          <cell r="Z1225" t="str">
            <v>GAVIN 'MAIL 25/11/17</v>
          </cell>
          <cell r="AA1225"/>
          <cell r="AB1225">
            <v>43064</v>
          </cell>
          <cell r="AC1225">
            <v>5256</v>
          </cell>
        </row>
        <row r="1226">
          <cell r="B1226">
            <v>3880</v>
          </cell>
          <cell r="C1226" t="str">
            <v>ME-287</v>
          </cell>
          <cell r="D1226" t="str">
            <v>CHEMICAL LACE</v>
          </cell>
          <cell r="E1226"/>
          <cell r="F1226" t="str">
            <v>T100%</v>
          </cell>
          <cell r="G1226" t="str">
            <v xml:space="preserve">100% POLYESTER </v>
          </cell>
          <cell r="H1226" t="str">
            <v>47/48</v>
          </cell>
          <cell r="I1226"/>
          <cell r="J1226">
            <v>3.97</v>
          </cell>
          <cell r="K1226"/>
          <cell r="L1226">
            <v>4.07</v>
          </cell>
          <cell r="M1226"/>
          <cell r="N1226">
            <v>4.07</v>
          </cell>
          <cell r="O1226"/>
          <cell r="P1226"/>
          <cell r="Q1226"/>
          <cell r="R1226">
            <v>4.17</v>
          </cell>
          <cell r="S1226"/>
          <cell r="T1226"/>
          <cell r="U1226"/>
          <cell r="V1226"/>
          <cell r="W1226"/>
          <cell r="X1226" t="str">
            <v>LIVALTEX</v>
          </cell>
          <cell r="Y1226"/>
          <cell r="Z1226" t="str">
            <v>TONY ' MAIL 25/11/17</v>
          </cell>
          <cell r="AA1226"/>
          <cell r="AB1226">
            <v>43064</v>
          </cell>
          <cell r="AC1226">
            <v>5250</v>
          </cell>
        </row>
        <row r="1227">
          <cell r="B1227">
            <v>3879</v>
          </cell>
          <cell r="C1227" t="str">
            <v>ME-286 D</v>
          </cell>
          <cell r="D1227" t="str">
            <v>CHEMICAL LACE</v>
          </cell>
          <cell r="E1227"/>
          <cell r="F1227" t="str">
            <v>T100%</v>
          </cell>
          <cell r="G1227" t="str">
            <v xml:space="preserve">100% POLYESTER </v>
          </cell>
          <cell r="H1227" t="str">
            <v>47/48</v>
          </cell>
          <cell r="I1227"/>
          <cell r="J1227">
            <v>4.46</v>
          </cell>
          <cell r="K1227"/>
          <cell r="L1227">
            <v>4.5599999999999996</v>
          </cell>
          <cell r="M1227"/>
          <cell r="N1227">
            <v>4.5599999999999996</v>
          </cell>
          <cell r="O1227"/>
          <cell r="P1227"/>
          <cell r="Q1227"/>
          <cell r="R1227">
            <v>4.66</v>
          </cell>
          <cell r="S1227"/>
          <cell r="T1227"/>
          <cell r="U1227"/>
          <cell r="V1227">
            <v>15</v>
          </cell>
          <cell r="W1227"/>
          <cell r="X1227" t="str">
            <v>LIVALTEX</v>
          </cell>
          <cell r="Y1227"/>
          <cell r="Z1227" t="str">
            <v>TONY ' MAIL 25/11/17</v>
          </cell>
          <cell r="AA1227"/>
          <cell r="AB1227">
            <v>43064</v>
          </cell>
          <cell r="AC1227">
            <v>5251</v>
          </cell>
        </row>
        <row r="1228">
          <cell r="B1228">
            <v>3878</v>
          </cell>
          <cell r="C1228" t="str">
            <v>SS-7746</v>
          </cell>
          <cell r="D1228" t="str">
            <v>JACQUARD GEOGETTE</v>
          </cell>
          <cell r="E1228"/>
          <cell r="F1228" t="str">
            <v>T100%</v>
          </cell>
          <cell r="G1228" t="str">
            <v>100% POLYESTER</v>
          </cell>
          <cell r="H1228" t="str">
            <v>55/56</v>
          </cell>
          <cell r="I1228">
            <v>155</v>
          </cell>
          <cell r="J1228"/>
          <cell r="K1228"/>
          <cell r="L1228"/>
          <cell r="M1228"/>
          <cell r="N1228">
            <v>3.15</v>
          </cell>
          <cell r="O1228"/>
          <cell r="P1228"/>
          <cell r="Q1228"/>
          <cell r="R1228"/>
          <cell r="S1228"/>
          <cell r="T1228"/>
          <cell r="U1228"/>
          <cell r="V1228">
            <v>15</v>
          </cell>
          <cell r="W1228"/>
          <cell r="X1228" t="str">
            <v>T.Đ.QUANG</v>
          </cell>
          <cell r="Y1228"/>
          <cell r="Z1228" t="str">
            <v>HƯƠNG' MAIL 24/11/17</v>
          </cell>
          <cell r="AA1228"/>
          <cell r="AB1228">
            <v>43063</v>
          </cell>
          <cell r="AC1228">
            <v>5258</v>
          </cell>
        </row>
        <row r="1229">
          <cell r="B1229">
            <v>3877</v>
          </cell>
          <cell r="C1229" t="str">
            <v>SS7749</v>
          </cell>
          <cell r="D1229" t="str">
            <v>Y/D SUITING</v>
          </cell>
          <cell r="E1229"/>
          <cell r="F1229" t="str">
            <v>T/S 92/8</v>
          </cell>
          <cell r="G1229" t="str">
            <v>92% POLYESTER 8% SPANDEX</v>
          </cell>
          <cell r="H1229" t="str">
            <v>58/60</v>
          </cell>
          <cell r="I1229">
            <v>198</v>
          </cell>
          <cell r="J1229"/>
          <cell r="K1229"/>
          <cell r="L1229"/>
          <cell r="M1229"/>
          <cell r="N1229">
            <v>4.25</v>
          </cell>
          <cell r="O1229"/>
          <cell r="P1229"/>
          <cell r="Q1229"/>
          <cell r="R1229"/>
          <cell r="S1229"/>
          <cell r="T1229"/>
          <cell r="U1229"/>
          <cell r="V1229">
            <v>15</v>
          </cell>
          <cell r="W1229"/>
          <cell r="X1229" t="str">
            <v>T.Đ.QUANG</v>
          </cell>
          <cell r="Y1229"/>
          <cell r="Z1229" t="str">
            <v>HƯƠNG' MAIL 24/11/17</v>
          </cell>
          <cell r="AA1229"/>
          <cell r="AB1229">
            <v>43063</v>
          </cell>
          <cell r="AC1229">
            <v>5259</v>
          </cell>
        </row>
        <row r="1230">
          <cell r="B1230">
            <v>3876</v>
          </cell>
          <cell r="C1230" t="str">
            <v>SS 7787</v>
          </cell>
          <cell r="D1230" t="str">
            <v>CRINKLE PEACH SATEEN</v>
          </cell>
          <cell r="E1230"/>
          <cell r="F1230" t="str">
            <v>T100%</v>
          </cell>
          <cell r="G1230" t="str">
            <v>100% POLYESTER</v>
          </cell>
          <cell r="H1230" t="str">
            <v>57/59</v>
          </cell>
          <cell r="I1230">
            <v>161</v>
          </cell>
          <cell r="J1230"/>
          <cell r="K1230"/>
          <cell r="L1230"/>
          <cell r="M1230"/>
          <cell r="N1230">
            <v>3.65</v>
          </cell>
          <cell r="O1230"/>
          <cell r="P1230"/>
          <cell r="Q1230"/>
          <cell r="R1230"/>
          <cell r="S1230"/>
          <cell r="T1230"/>
          <cell r="U1230"/>
          <cell r="V1230">
            <v>15</v>
          </cell>
          <cell r="W1230"/>
          <cell r="X1230" t="str">
            <v>T.Đ.QUANG</v>
          </cell>
          <cell r="Y1230"/>
          <cell r="Z1230" t="str">
            <v>HƯƠNG' MAIL 24/11/17</v>
          </cell>
          <cell r="AA1230"/>
          <cell r="AB1230">
            <v>43063</v>
          </cell>
          <cell r="AC1230">
            <v>5261</v>
          </cell>
        </row>
        <row r="1231">
          <cell r="B1231">
            <v>3857</v>
          </cell>
          <cell r="C1231" t="str">
            <v>ST-611474</v>
          </cell>
          <cell r="D1231" t="str">
            <v>HEAVY CREPE</v>
          </cell>
          <cell r="E1231" t="str">
            <v>(125DFDY+40D)*(125DFDY+40D)</v>
          </cell>
          <cell r="F1231" t="str">
            <v>T/S 95/5</v>
          </cell>
          <cell r="G1231" t="str">
            <v>95% POLYESTER 5%SPANDEX</v>
          </cell>
          <cell r="H1231" t="str">
            <v>57/58</v>
          </cell>
          <cell r="I1231">
            <v>200</v>
          </cell>
          <cell r="J1231">
            <v>2.11</v>
          </cell>
          <cell r="K1231">
            <v>2.37</v>
          </cell>
          <cell r="L1231">
            <v>2.12</v>
          </cell>
          <cell r="M1231">
            <v>2.38</v>
          </cell>
          <cell r="N1231">
            <v>2.14</v>
          </cell>
          <cell r="O1231">
            <v>2.4</v>
          </cell>
          <cell r="P1231"/>
          <cell r="Q1231"/>
          <cell r="R1231">
            <v>2.25</v>
          </cell>
          <cell r="S1231">
            <v>2.5099999999999998</v>
          </cell>
          <cell r="T1231"/>
          <cell r="U1231"/>
          <cell r="V1231"/>
          <cell r="W1231"/>
          <cell r="X1231" t="str">
            <v>SIGER</v>
          </cell>
          <cell r="Y1231"/>
          <cell r="Z1231" t="str">
            <v>SIGER ' MAIL 24/11/17</v>
          </cell>
          <cell r="AA1231"/>
          <cell r="AB1231">
            <v>43063</v>
          </cell>
          <cell r="AC1231">
            <v>5260</v>
          </cell>
        </row>
        <row r="1232">
          <cell r="B1232">
            <v>3856</v>
          </cell>
          <cell r="C1232" t="str">
            <v>ST-W7062</v>
          </cell>
          <cell r="D1232" t="str">
            <v>HEAVY CREPE</v>
          </cell>
          <cell r="E1232" t="str">
            <v>75D*75D</v>
          </cell>
          <cell r="F1232" t="str">
            <v>T100%</v>
          </cell>
          <cell r="G1232" t="str">
            <v>100% POLYESTER</v>
          </cell>
          <cell r="H1232" t="str">
            <v>57/58</v>
          </cell>
          <cell r="I1232">
            <v>125</v>
          </cell>
          <cell r="J1232">
            <v>1.71</v>
          </cell>
          <cell r="K1232">
            <v>1.97</v>
          </cell>
          <cell r="L1232">
            <v>1.73</v>
          </cell>
          <cell r="M1232">
            <v>1.99</v>
          </cell>
          <cell r="N1232">
            <v>1.75</v>
          </cell>
          <cell r="O1232">
            <v>2.0099999999999998</v>
          </cell>
          <cell r="P1232"/>
          <cell r="Q1232"/>
          <cell r="R1232">
            <v>1.85</v>
          </cell>
          <cell r="S1232">
            <v>2.1</v>
          </cell>
          <cell r="T1232"/>
          <cell r="U1232"/>
          <cell r="V1232"/>
          <cell r="W1232"/>
          <cell r="X1232" t="str">
            <v>SIGER</v>
          </cell>
          <cell r="Y1232"/>
          <cell r="Z1232" t="str">
            <v>SIGER ' MAIL 24/11/17</v>
          </cell>
          <cell r="AA1232"/>
          <cell r="AB1232">
            <v>43063</v>
          </cell>
          <cell r="AC1232">
            <v>5257</v>
          </cell>
        </row>
        <row r="1233">
          <cell r="B1233">
            <v>3888</v>
          </cell>
          <cell r="C1233" t="str">
            <v>BG1247</v>
          </cell>
          <cell r="D1233"/>
          <cell r="E1233"/>
          <cell r="F1233" t="str">
            <v>T/R 50/50</v>
          </cell>
          <cell r="G1233" t="str">
            <v>50% POLYESTER 50% RAYON</v>
          </cell>
          <cell r="H1233" t="str">
            <v>54/55</v>
          </cell>
          <cell r="I1233">
            <v>86</v>
          </cell>
          <cell r="J1233">
            <v>1.2</v>
          </cell>
          <cell r="K1233">
            <v>1.5</v>
          </cell>
          <cell r="L1233">
            <v>1.25</v>
          </cell>
          <cell r="M1233">
            <v>1.55</v>
          </cell>
          <cell r="N1233">
            <v>1.3</v>
          </cell>
          <cell r="O1233">
            <v>1.6</v>
          </cell>
          <cell r="P1233"/>
          <cell r="Q1233"/>
          <cell r="R1233">
            <v>1.45</v>
          </cell>
          <cell r="S1233">
            <v>2</v>
          </cell>
          <cell r="T1233"/>
          <cell r="U1233"/>
          <cell r="V1233">
            <v>15</v>
          </cell>
          <cell r="W1233"/>
          <cell r="X1233" t="str">
            <v>EDWIN</v>
          </cell>
          <cell r="Y1233"/>
          <cell r="Z1233" t="str">
            <v>EDWIN ' MAIL 23/11/17</v>
          </cell>
          <cell r="AA1233"/>
          <cell r="AB1233">
            <v>43062</v>
          </cell>
          <cell r="AC1233">
            <v>5262</v>
          </cell>
        </row>
        <row r="1234">
          <cell r="B1234">
            <v>2490</v>
          </cell>
          <cell r="C1234" t="str">
            <v>GLLPPS-102303</v>
          </cell>
          <cell r="D1234" t="str">
            <v>BUBBLE</v>
          </cell>
          <cell r="E1234"/>
          <cell r="F1234" t="str">
            <v>T/S 97/3</v>
          </cell>
          <cell r="G1234" t="str">
            <v>97% POLYESTER 3% SPANDEX</v>
          </cell>
          <cell r="H1234" t="str">
            <v>57/58</v>
          </cell>
          <cell r="I1234">
            <v>120</v>
          </cell>
          <cell r="J1234">
            <v>1.29</v>
          </cell>
          <cell r="K1234">
            <v>1.53</v>
          </cell>
          <cell r="L1234">
            <v>1.31</v>
          </cell>
          <cell r="M1234">
            <v>1.57</v>
          </cell>
          <cell r="N1234">
            <v>1.32</v>
          </cell>
          <cell r="O1234">
            <v>1.65</v>
          </cell>
          <cell r="P1234"/>
          <cell r="Q1234"/>
          <cell r="R1234">
            <v>1.37</v>
          </cell>
          <cell r="S1234">
            <v>1.95</v>
          </cell>
          <cell r="T1234"/>
          <cell r="U1234"/>
          <cell r="V1234">
            <v>15</v>
          </cell>
          <cell r="W1234" t="str">
            <v>as per 04 color way</v>
          </cell>
          <cell r="X1234" t="str">
            <v>HOWARD</v>
          </cell>
          <cell r="Y1234"/>
          <cell r="Z1234" t="str">
            <v>HOWARD ' MAIL 23/11/17</v>
          </cell>
          <cell r="AA1234"/>
          <cell r="AB1234">
            <v>43062</v>
          </cell>
          <cell r="AC1234">
            <v>5263</v>
          </cell>
        </row>
        <row r="1235">
          <cell r="B1235">
            <v>3855</v>
          </cell>
          <cell r="C1235" t="str">
            <v>BG3923</v>
          </cell>
          <cell r="D1235" t="str">
            <v>POLY CREPE WITH FLOCKING</v>
          </cell>
          <cell r="E1235" t="str">
            <v>75D*75D flocking</v>
          </cell>
          <cell r="F1235" t="str">
            <v>T100%</v>
          </cell>
          <cell r="G1235" t="str">
            <v>100%POLY</v>
          </cell>
          <cell r="H1235" t="str">
            <v>57/58</v>
          </cell>
          <cell r="I1235">
            <v>147</v>
          </cell>
          <cell r="J1235">
            <v>2.5</v>
          </cell>
          <cell r="K1235"/>
          <cell r="L1235">
            <v>2.5499999999999998</v>
          </cell>
          <cell r="M1235"/>
          <cell r="N1235">
            <v>2.6</v>
          </cell>
          <cell r="O1235"/>
          <cell r="P1235"/>
          <cell r="Q1235"/>
          <cell r="R1235">
            <v>2.9</v>
          </cell>
          <cell r="S1235"/>
          <cell r="T1235"/>
          <cell r="U1235"/>
          <cell r="V1235">
            <v>15</v>
          </cell>
          <cell r="W1235"/>
          <cell r="X1235" t="str">
            <v>EDWIN</v>
          </cell>
          <cell r="Y1235"/>
          <cell r="Z1235" t="str">
            <v>EDWIN ' MAIL 22/11/17</v>
          </cell>
          <cell r="AA1235"/>
          <cell r="AB1235">
            <v>43061</v>
          </cell>
          <cell r="AC1235">
            <v>5264</v>
          </cell>
        </row>
        <row r="1236">
          <cell r="B1236">
            <v>3875</v>
          </cell>
          <cell r="C1236" t="str">
            <v>HY-10V171117-3</v>
          </cell>
          <cell r="D1236" t="str">
            <v>ITY-JERSEY</v>
          </cell>
          <cell r="E1236"/>
          <cell r="F1236" t="str">
            <v>T/S 96/4</v>
          </cell>
          <cell r="G1236" t="str">
            <v xml:space="preserve">96%POLY  4%SPANDEX </v>
          </cell>
          <cell r="H1236" t="str">
            <v>57/58</v>
          </cell>
          <cell r="I1236">
            <v>210</v>
          </cell>
          <cell r="J1236"/>
          <cell r="K1236"/>
          <cell r="L1236"/>
          <cell r="M1236"/>
          <cell r="N1236">
            <v>2.08</v>
          </cell>
          <cell r="O1236"/>
          <cell r="P1236"/>
          <cell r="Q1236"/>
          <cell r="R1236"/>
          <cell r="S1236"/>
          <cell r="T1236"/>
          <cell r="U1236"/>
          <cell r="V1236">
            <v>15</v>
          </cell>
          <cell r="W1236"/>
          <cell r="X1236" t="str">
            <v>HANSHOW</v>
          </cell>
          <cell r="Y1236"/>
          <cell r="Z1236" t="str">
            <v>JESSIE ' MAIL 21/11/17</v>
          </cell>
          <cell r="AA1236"/>
          <cell r="AB1236">
            <v>43060</v>
          </cell>
          <cell r="AC1236">
            <v>5268</v>
          </cell>
        </row>
        <row r="1237">
          <cell r="B1237">
            <v>3874</v>
          </cell>
          <cell r="C1237" t="str">
            <v>HY-10V171117-4</v>
          </cell>
          <cell r="D1237" t="str">
            <v>CREPE</v>
          </cell>
          <cell r="E1237"/>
          <cell r="F1237" t="str">
            <v>T100%</v>
          </cell>
          <cell r="G1237" t="str">
            <v xml:space="preserve">100% POLYESTER </v>
          </cell>
          <cell r="H1237" t="str">
            <v>57/58</v>
          </cell>
          <cell r="I1237">
            <v>115</v>
          </cell>
          <cell r="J1237"/>
          <cell r="K1237"/>
          <cell r="L1237"/>
          <cell r="M1237"/>
          <cell r="N1237">
            <v>1.52</v>
          </cell>
          <cell r="O1237"/>
          <cell r="P1237"/>
          <cell r="Q1237"/>
          <cell r="R1237"/>
          <cell r="S1237"/>
          <cell r="T1237"/>
          <cell r="U1237"/>
          <cell r="V1237">
            <v>15</v>
          </cell>
          <cell r="W1237"/>
          <cell r="X1237" t="str">
            <v>HANSHOW</v>
          </cell>
          <cell r="Y1237"/>
          <cell r="Z1237" t="str">
            <v>JESSIE ' MAIL 21/11/17</v>
          </cell>
          <cell r="AA1237"/>
          <cell r="AB1237">
            <v>43060</v>
          </cell>
          <cell r="AC1237">
            <v>5269</v>
          </cell>
        </row>
        <row r="1238">
          <cell r="B1238">
            <v>3873</v>
          </cell>
          <cell r="C1238" t="str">
            <v>HY-K171116D</v>
          </cell>
          <cell r="D1238" t="str">
            <v>CREPE</v>
          </cell>
          <cell r="E1238"/>
          <cell r="F1238" t="str">
            <v>T100%</v>
          </cell>
          <cell r="G1238" t="str">
            <v xml:space="preserve">100% POLYESTER </v>
          </cell>
          <cell r="H1238" t="str">
            <v>57/58</v>
          </cell>
          <cell r="I1238">
            <v>110</v>
          </cell>
          <cell r="J1238"/>
          <cell r="K1238"/>
          <cell r="L1238"/>
          <cell r="M1238"/>
          <cell r="N1238">
            <v>1.52</v>
          </cell>
          <cell r="O1238"/>
          <cell r="P1238"/>
          <cell r="Q1238"/>
          <cell r="R1238"/>
          <cell r="S1238"/>
          <cell r="T1238"/>
          <cell r="U1238"/>
          <cell r="V1238">
            <v>15</v>
          </cell>
          <cell r="W1238"/>
          <cell r="X1238" t="str">
            <v>HANSHOW</v>
          </cell>
          <cell r="Y1238"/>
          <cell r="Z1238" t="str">
            <v>JESSIE ' MAIL 21/11/17</v>
          </cell>
          <cell r="AA1238"/>
          <cell r="AB1238">
            <v>43060</v>
          </cell>
          <cell r="AC1238">
            <v>5270</v>
          </cell>
        </row>
        <row r="1239">
          <cell r="B1239">
            <v>3872</v>
          </cell>
          <cell r="C1239" t="str">
            <v>HY-K171116C</v>
          </cell>
          <cell r="D1239" t="str">
            <v>CREPE</v>
          </cell>
          <cell r="E1239"/>
          <cell r="F1239" t="str">
            <v>T100%</v>
          </cell>
          <cell r="G1239" t="str">
            <v xml:space="preserve">100% POLYESTER </v>
          </cell>
          <cell r="H1239" t="str">
            <v>57/58</v>
          </cell>
          <cell r="I1239">
            <v>120</v>
          </cell>
          <cell r="J1239"/>
          <cell r="K1239"/>
          <cell r="L1239"/>
          <cell r="M1239"/>
          <cell r="N1239">
            <v>1.53</v>
          </cell>
          <cell r="O1239">
            <v>1.86</v>
          </cell>
          <cell r="P1239"/>
          <cell r="Q1239"/>
          <cell r="R1239"/>
          <cell r="S1239"/>
          <cell r="T1239"/>
          <cell r="U1239"/>
          <cell r="V1239">
            <v>15</v>
          </cell>
          <cell r="W1239"/>
          <cell r="X1239" t="str">
            <v>HANSHOW</v>
          </cell>
          <cell r="Y1239"/>
          <cell r="Z1239" t="str">
            <v>JESSIE ' MAIL 21/11/17</v>
          </cell>
          <cell r="AA1239"/>
          <cell r="AB1239">
            <v>43060</v>
          </cell>
          <cell r="AC1239">
            <v>5287</v>
          </cell>
        </row>
        <row r="1240">
          <cell r="B1240">
            <v>3871</v>
          </cell>
          <cell r="C1240" t="str">
            <v>HY-10V171117-5</v>
          </cell>
          <cell r="D1240" t="str">
            <v>CREPE</v>
          </cell>
          <cell r="E1240"/>
          <cell r="F1240" t="str">
            <v>T100%</v>
          </cell>
          <cell r="G1240" t="str">
            <v xml:space="preserve">100% POLYESTER </v>
          </cell>
          <cell r="H1240" t="str">
            <v>57/58</v>
          </cell>
          <cell r="I1240">
            <v>120</v>
          </cell>
          <cell r="J1240"/>
          <cell r="K1240"/>
          <cell r="L1240"/>
          <cell r="M1240"/>
          <cell r="N1240"/>
          <cell r="O1240">
            <v>1.86</v>
          </cell>
          <cell r="P1240"/>
          <cell r="Q1240"/>
          <cell r="R1240"/>
          <cell r="S1240"/>
          <cell r="T1240"/>
          <cell r="U1240"/>
          <cell r="V1240">
            <v>15</v>
          </cell>
          <cell r="W1240"/>
          <cell r="X1240" t="str">
            <v>HANSHOW</v>
          </cell>
          <cell r="Y1240"/>
          <cell r="Z1240" t="str">
            <v>JESSIE ' MAIL 21/11/17</v>
          </cell>
          <cell r="AA1240"/>
          <cell r="AB1240">
            <v>43060</v>
          </cell>
          <cell r="AC1240">
            <v>5288</v>
          </cell>
        </row>
        <row r="1241">
          <cell r="B1241">
            <v>3870</v>
          </cell>
          <cell r="C1241" t="str">
            <v>HY-10V171117-6</v>
          </cell>
          <cell r="D1241" t="str">
            <v>CDC</v>
          </cell>
          <cell r="E1241"/>
          <cell r="F1241" t="str">
            <v>T100%</v>
          </cell>
          <cell r="G1241" t="str">
            <v xml:space="preserve">100%POLYESTER </v>
          </cell>
          <cell r="H1241" t="str">
            <v>57/58</v>
          </cell>
          <cell r="I1241">
            <v>82</v>
          </cell>
          <cell r="J1241"/>
          <cell r="K1241"/>
          <cell r="L1241"/>
          <cell r="M1241"/>
          <cell r="N1241">
            <v>1.27</v>
          </cell>
          <cell r="O1241"/>
          <cell r="P1241"/>
          <cell r="Q1241"/>
          <cell r="R1241"/>
          <cell r="S1241"/>
          <cell r="T1241"/>
          <cell r="U1241"/>
          <cell r="V1241">
            <v>15</v>
          </cell>
          <cell r="W1241"/>
          <cell r="X1241" t="str">
            <v>HANSHOW</v>
          </cell>
          <cell r="Y1241"/>
          <cell r="Z1241" t="str">
            <v>JESSIE ' MAIL 21/11/17</v>
          </cell>
          <cell r="AA1241"/>
          <cell r="AB1241">
            <v>43060</v>
          </cell>
          <cell r="AC1241">
            <v>5292</v>
          </cell>
        </row>
        <row r="1242">
          <cell r="B1242">
            <v>3869</v>
          </cell>
          <cell r="C1242" t="str">
            <v>HY-3W6533</v>
          </cell>
          <cell r="D1242" t="str">
            <v>PONTE</v>
          </cell>
          <cell r="E1242"/>
          <cell r="F1242" t="str">
            <v>R/N/S 70/26/4</v>
          </cell>
          <cell r="G1242" t="str">
            <v xml:space="preserve">70% RAYON  26%NYLON  4%SPANDEX </v>
          </cell>
          <cell r="H1242" t="str">
            <v>61/62</v>
          </cell>
          <cell r="I1242">
            <v>360</v>
          </cell>
          <cell r="J1242"/>
          <cell r="K1242"/>
          <cell r="L1242"/>
          <cell r="M1242"/>
          <cell r="N1242">
            <v>3.88</v>
          </cell>
          <cell r="O1242"/>
          <cell r="P1242"/>
          <cell r="Q1242"/>
          <cell r="R1242"/>
          <cell r="S1242"/>
          <cell r="T1242"/>
          <cell r="U1242"/>
          <cell r="V1242">
            <v>15</v>
          </cell>
          <cell r="W1242"/>
          <cell r="X1242" t="str">
            <v>HANSHOW</v>
          </cell>
          <cell r="Y1242"/>
          <cell r="Z1242" t="str">
            <v>JESSIE ' MAIL 21/11/17</v>
          </cell>
          <cell r="AA1242"/>
          <cell r="AB1242">
            <v>43060</v>
          </cell>
          <cell r="AC1242">
            <v>5271</v>
          </cell>
        </row>
        <row r="1243">
          <cell r="B1243">
            <v>3868</v>
          </cell>
          <cell r="C1243" t="str">
            <v>HY-K171116A</v>
          </cell>
          <cell r="D1243" t="str">
            <v>CREPE</v>
          </cell>
          <cell r="E1243"/>
          <cell r="F1243" t="str">
            <v>T/S 95/5</v>
          </cell>
          <cell r="G1243" t="str">
            <v xml:space="preserve">95%POLY  5%SPANDEX </v>
          </cell>
          <cell r="H1243" t="str">
            <v>57/58</v>
          </cell>
          <cell r="I1243">
            <v>165</v>
          </cell>
          <cell r="J1243"/>
          <cell r="K1243"/>
          <cell r="L1243"/>
          <cell r="M1243"/>
          <cell r="N1243">
            <v>1.81</v>
          </cell>
          <cell r="O1243"/>
          <cell r="P1243"/>
          <cell r="Q1243"/>
          <cell r="R1243"/>
          <cell r="S1243"/>
          <cell r="T1243"/>
          <cell r="U1243"/>
          <cell r="V1243">
            <v>15</v>
          </cell>
          <cell r="W1243"/>
          <cell r="X1243" t="str">
            <v>HANSHOW</v>
          </cell>
          <cell r="Y1243"/>
          <cell r="Z1243" t="str">
            <v>JESSIE ' MAIL 21/11/17</v>
          </cell>
          <cell r="AA1243"/>
          <cell r="AB1243">
            <v>43060</v>
          </cell>
          <cell r="AC1243">
            <v>5267</v>
          </cell>
        </row>
        <row r="1244">
          <cell r="B1244">
            <v>3867</v>
          </cell>
          <cell r="C1244" t="str">
            <v>HY-K171116B</v>
          </cell>
          <cell r="D1244" t="str">
            <v>CHIFFON</v>
          </cell>
          <cell r="E1244"/>
          <cell r="F1244" t="str">
            <v>T100%</v>
          </cell>
          <cell r="G1244" t="str">
            <v xml:space="preserve">100% POLYESTER </v>
          </cell>
          <cell r="H1244" t="str">
            <v>57/58</v>
          </cell>
          <cell r="I1244">
            <v>88</v>
          </cell>
          <cell r="J1244"/>
          <cell r="K1244"/>
          <cell r="L1244"/>
          <cell r="M1244"/>
          <cell r="N1244">
            <v>1.38</v>
          </cell>
          <cell r="O1244">
            <v>1.73</v>
          </cell>
          <cell r="P1244"/>
          <cell r="Q1244"/>
          <cell r="R1244"/>
          <cell r="S1244"/>
          <cell r="T1244"/>
          <cell r="U1244"/>
          <cell r="V1244">
            <v>15</v>
          </cell>
          <cell r="W1244"/>
          <cell r="X1244" t="str">
            <v>HANSHOW</v>
          </cell>
          <cell r="Y1244"/>
          <cell r="Z1244" t="str">
            <v>JESSIE ' MAIL 21/11/17</v>
          </cell>
          <cell r="AA1244"/>
          <cell r="AB1244">
            <v>43060</v>
          </cell>
          <cell r="AC1244">
            <v>5291</v>
          </cell>
        </row>
        <row r="1245">
          <cell r="B1245">
            <v>3866</v>
          </cell>
          <cell r="C1245" t="str">
            <v>HY-10V171117-9</v>
          </cell>
          <cell r="D1245" t="str">
            <v>VISCOSE</v>
          </cell>
          <cell r="E1245"/>
          <cell r="F1245" t="str">
            <v>R100%</v>
          </cell>
          <cell r="G1245" t="str">
            <v xml:space="preserve">100% RAYON </v>
          </cell>
          <cell r="H1245" t="str">
            <v>53/54</v>
          </cell>
          <cell r="I1245">
            <v>85</v>
          </cell>
          <cell r="J1245"/>
          <cell r="K1245"/>
          <cell r="L1245"/>
          <cell r="M1245"/>
          <cell r="N1245">
            <v>1.59</v>
          </cell>
          <cell r="O1245">
            <v>1.81</v>
          </cell>
          <cell r="P1245"/>
          <cell r="Q1245"/>
          <cell r="R1245"/>
          <cell r="S1245"/>
          <cell r="T1245"/>
          <cell r="U1245"/>
          <cell r="V1245">
            <v>15</v>
          </cell>
          <cell r="W1245"/>
          <cell r="X1245" t="str">
            <v>HANSHOW</v>
          </cell>
          <cell r="Y1245"/>
          <cell r="Z1245" t="str">
            <v>JESSIE ' MAIL 21/11/17</v>
          </cell>
          <cell r="AA1245"/>
          <cell r="AB1245">
            <v>43060</v>
          </cell>
          <cell r="AC1245">
            <v>5289</v>
          </cell>
        </row>
        <row r="1246">
          <cell r="B1246">
            <v>3865</v>
          </cell>
          <cell r="C1246" t="str">
            <v>HY-10V171117-7</v>
          </cell>
          <cell r="D1246" t="str">
            <v>BUBBLE CREPE</v>
          </cell>
          <cell r="E1246"/>
          <cell r="F1246" t="str">
            <v>T/S 96/4</v>
          </cell>
          <cell r="G1246" t="str">
            <v xml:space="preserve">96%POLY  4%SPANDEX </v>
          </cell>
          <cell r="H1246" t="str">
            <v>57/58</v>
          </cell>
          <cell r="I1246">
            <v>120</v>
          </cell>
          <cell r="J1246"/>
          <cell r="K1246"/>
          <cell r="L1246"/>
          <cell r="M1246"/>
          <cell r="N1246">
            <v>1.86</v>
          </cell>
          <cell r="O1246">
            <v>2.2400000000000002</v>
          </cell>
          <cell r="P1246"/>
          <cell r="Q1246"/>
          <cell r="R1246"/>
          <cell r="S1246"/>
          <cell r="T1246"/>
          <cell r="U1246"/>
          <cell r="V1246">
            <v>15</v>
          </cell>
          <cell r="W1246"/>
          <cell r="X1246" t="str">
            <v>HANSHOW</v>
          </cell>
          <cell r="Y1246"/>
          <cell r="Z1246" t="str">
            <v>JESSIE ' MAIL 21/11/17</v>
          </cell>
          <cell r="AA1246"/>
          <cell r="AB1246">
            <v>43060</v>
          </cell>
          <cell r="AC1246">
            <v>5293</v>
          </cell>
        </row>
        <row r="1247">
          <cell r="B1247">
            <v>3864</v>
          </cell>
          <cell r="C1247" t="str">
            <v>HY-7K161010</v>
          </cell>
          <cell r="D1247" t="str">
            <v>CRINKLE RAYON</v>
          </cell>
          <cell r="E1247"/>
          <cell r="F1247" t="str">
            <v>C100%</v>
          </cell>
          <cell r="G1247" t="str">
            <v xml:space="preserve">100% COTTON </v>
          </cell>
          <cell r="H1247" t="str">
            <v>48/49</v>
          </cell>
          <cell r="I1247">
            <v>120</v>
          </cell>
          <cell r="J1247"/>
          <cell r="K1247"/>
          <cell r="L1247"/>
          <cell r="M1247"/>
          <cell r="N1247">
            <v>1.37</v>
          </cell>
          <cell r="O1247"/>
          <cell r="P1247"/>
          <cell r="Q1247"/>
          <cell r="R1247"/>
          <cell r="S1247"/>
          <cell r="T1247"/>
          <cell r="U1247"/>
          <cell r="V1247">
            <v>15</v>
          </cell>
          <cell r="W1247"/>
          <cell r="X1247" t="str">
            <v>HANSHOW</v>
          </cell>
          <cell r="Y1247"/>
          <cell r="Z1247" t="str">
            <v>JESSIE ' MAIL 21/11/17</v>
          </cell>
          <cell r="AA1247"/>
          <cell r="AB1247">
            <v>43060</v>
          </cell>
          <cell r="AC1247">
            <v>5265</v>
          </cell>
        </row>
        <row r="1248">
          <cell r="B1248">
            <v>3863</v>
          </cell>
          <cell r="C1248" t="str">
            <v>HY-7K170908</v>
          </cell>
          <cell r="D1248" t="str">
            <v>CRINKLE RAYON</v>
          </cell>
          <cell r="E1248"/>
          <cell r="F1248" t="str">
            <v>R100%</v>
          </cell>
          <cell r="G1248" t="str">
            <v xml:space="preserve">100% RAYON </v>
          </cell>
          <cell r="H1248" t="str">
            <v>50/51</v>
          </cell>
          <cell r="I1248">
            <v>140</v>
          </cell>
          <cell r="J1248"/>
          <cell r="K1248"/>
          <cell r="L1248"/>
          <cell r="M1248"/>
          <cell r="N1248">
            <v>1.53</v>
          </cell>
          <cell r="O1248"/>
          <cell r="P1248"/>
          <cell r="Q1248"/>
          <cell r="R1248"/>
          <cell r="S1248"/>
          <cell r="T1248"/>
          <cell r="U1248"/>
          <cell r="V1248">
            <v>15</v>
          </cell>
          <cell r="W1248"/>
          <cell r="X1248" t="str">
            <v>HANSHOW</v>
          </cell>
          <cell r="Y1248"/>
          <cell r="Z1248" t="str">
            <v>JESSIE ' MAIL 21/11/17</v>
          </cell>
          <cell r="AA1248"/>
          <cell r="AB1248">
            <v>43060</v>
          </cell>
          <cell r="AC1248">
            <v>5272</v>
          </cell>
        </row>
        <row r="1249">
          <cell r="B1249">
            <v>3862</v>
          </cell>
          <cell r="C1249" t="str">
            <v>HY-10V171117-2</v>
          </cell>
          <cell r="D1249" t="str">
            <v>HEAVY CREPE</v>
          </cell>
          <cell r="E1249"/>
          <cell r="F1249" t="str">
            <v>T/S 96/4</v>
          </cell>
          <cell r="G1249" t="str">
            <v xml:space="preserve">96%POLY  4%SPANDEX </v>
          </cell>
          <cell r="H1249" t="str">
            <v>57/58</v>
          </cell>
          <cell r="I1249">
            <v>159</v>
          </cell>
          <cell r="J1249"/>
          <cell r="K1249"/>
          <cell r="L1249"/>
          <cell r="M1249"/>
          <cell r="N1249">
            <v>1.81</v>
          </cell>
          <cell r="O1249"/>
          <cell r="P1249"/>
          <cell r="Q1249"/>
          <cell r="R1249"/>
          <cell r="S1249"/>
          <cell r="T1249"/>
          <cell r="U1249"/>
          <cell r="V1249">
            <v>15</v>
          </cell>
          <cell r="W1249"/>
          <cell r="X1249" t="str">
            <v>HANSHOW</v>
          </cell>
          <cell r="Y1249"/>
          <cell r="Z1249" t="str">
            <v>JESSIE ' MAIL 21/11/17</v>
          </cell>
          <cell r="AA1249"/>
          <cell r="AB1249">
            <v>43060</v>
          </cell>
          <cell r="AC1249">
            <v>5266</v>
          </cell>
        </row>
        <row r="1250">
          <cell r="B1250">
            <v>3861</v>
          </cell>
          <cell r="C1250" t="str">
            <v>HY-BJ-ZF-029</v>
          </cell>
          <cell r="D1250" t="str">
            <v xml:space="preserve">PONTE </v>
          </cell>
          <cell r="E1250"/>
          <cell r="F1250" t="str">
            <v>R/T/S 68/28/4</v>
          </cell>
          <cell r="G1250" t="str">
            <v>68%RAYON  28%POLY  4%SPANDEX</v>
          </cell>
          <cell r="H1250" t="str">
            <v>57/58</v>
          </cell>
          <cell r="I1250">
            <v>300</v>
          </cell>
          <cell r="J1250"/>
          <cell r="K1250"/>
          <cell r="L1250"/>
          <cell r="M1250"/>
          <cell r="N1250">
            <v>2.35</v>
          </cell>
          <cell r="O1250"/>
          <cell r="P1250"/>
          <cell r="Q1250"/>
          <cell r="R1250"/>
          <cell r="S1250"/>
          <cell r="T1250"/>
          <cell r="U1250"/>
          <cell r="V1250">
            <v>15</v>
          </cell>
          <cell r="W1250"/>
          <cell r="X1250" t="str">
            <v>HANSHOW</v>
          </cell>
          <cell r="Y1250"/>
          <cell r="Z1250" t="str">
            <v>JESSIE ' MAIL 21/11/17</v>
          </cell>
          <cell r="AA1250"/>
          <cell r="AB1250">
            <v>43060</v>
          </cell>
          <cell r="AC1250">
            <v>5273</v>
          </cell>
        </row>
        <row r="1251">
          <cell r="B1251">
            <v>3854</v>
          </cell>
          <cell r="C1251" t="str">
            <v>HY-7KC1007</v>
          </cell>
          <cell r="D1251" t="str">
            <v>LACE</v>
          </cell>
          <cell r="E1251"/>
          <cell r="F1251" t="str">
            <v>C/N 60/40</v>
          </cell>
          <cell r="G1251" t="str">
            <v>60%COTTON  40%NYLON</v>
          </cell>
          <cell r="H1251" t="str">
            <v>56/57</v>
          </cell>
          <cell r="I1251">
            <v>146</v>
          </cell>
          <cell r="J1251"/>
          <cell r="K1251"/>
          <cell r="L1251"/>
          <cell r="M1251"/>
          <cell r="N1251">
            <v>3.06</v>
          </cell>
          <cell r="O1251"/>
          <cell r="P1251"/>
          <cell r="Q1251"/>
          <cell r="R1251"/>
          <cell r="S1251"/>
          <cell r="T1251"/>
          <cell r="U1251"/>
          <cell r="V1251">
            <v>15</v>
          </cell>
          <cell r="W1251"/>
          <cell r="X1251" t="str">
            <v>HANSHOW</v>
          </cell>
          <cell r="Y1251"/>
          <cell r="Z1251" t="str">
            <v>JESSIE ' MAIL 21/11/17</v>
          </cell>
          <cell r="AA1251"/>
          <cell r="AB1251">
            <v>43060</v>
          </cell>
          <cell r="AC1251">
            <v>5274</v>
          </cell>
        </row>
        <row r="1252">
          <cell r="B1252">
            <v>3853</v>
          </cell>
          <cell r="C1252" t="str">
            <v>HY-7KC302</v>
          </cell>
          <cell r="D1252" t="str">
            <v>LACE</v>
          </cell>
          <cell r="E1252"/>
          <cell r="F1252" t="str">
            <v>N/C/R 45/35/20</v>
          </cell>
          <cell r="G1252" t="str">
            <v>45%NYLON  35%COTTON  20%RAYON</v>
          </cell>
          <cell r="H1252" t="str">
            <v>56/57</v>
          </cell>
          <cell r="I1252">
            <v>185</v>
          </cell>
          <cell r="J1252"/>
          <cell r="K1252"/>
          <cell r="L1252"/>
          <cell r="M1252"/>
          <cell r="N1252">
            <v>3.5</v>
          </cell>
          <cell r="O1252"/>
          <cell r="P1252"/>
          <cell r="Q1252"/>
          <cell r="R1252"/>
          <cell r="S1252"/>
          <cell r="T1252"/>
          <cell r="U1252"/>
          <cell r="V1252">
            <v>15</v>
          </cell>
          <cell r="W1252"/>
          <cell r="X1252" t="str">
            <v>HANSHOW</v>
          </cell>
          <cell r="Y1252"/>
          <cell r="Z1252" t="str">
            <v>JESSIE ' MAIL 21/11/17</v>
          </cell>
          <cell r="AA1252"/>
          <cell r="AB1252">
            <v>43060</v>
          </cell>
          <cell r="AC1252">
            <v>5275</v>
          </cell>
        </row>
        <row r="1253">
          <cell r="B1253">
            <v>3852</v>
          </cell>
          <cell r="C1253" t="str">
            <v>HY-7KJ009</v>
          </cell>
          <cell r="D1253" t="str">
            <v>LACE</v>
          </cell>
          <cell r="E1253"/>
          <cell r="F1253" t="str">
            <v>N100%</v>
          </cell>
          <cell r="G1253" t="str">
            <v xml:space="preserve">100% NYLON </v>
          </cell>
          <cell r="H1253" t="str">
            <v>290CM</v>
          </cell>
          <cell r="I1253">
            <v>75</v>
          </cell>
          <cell r="J1253"/>
          <cell r="K1253"/>
          <cell r="L1253"/>
          <cell r="M1253"/>
          <cell r="N1253">
            <v>2.68</v>
          </cell>
          <cell r="O1253"/>
          <cell r="P1253"/>
          <cell r="Q1253"/>
          <cell r="R1253"/>
          <cell r="S1253"/>
          <cell r="T1253"/>
          <cell r="U1253"/>
          <cell r="V1253">
            <v>15</v>
          </cell>
          <cell r="W1253"/>
          <cell r="X1253" t="str">
            <v>HANSHOW</v>
          </cell>
          <cell r="Y1253"/>
          <cell r="Z1253" t="str">
            <v>JESSIE ' MAIL 21/11/17</v>
          </cell>
          <cell r="AA1253"/>
          <cell r="AB1253">
            <v>43060</v>
          </cell>
          <cell r="AC1253">
            <v>5276</v>
          </cell>
        </row>
        <row r="1254">
          <cell r="B1254">
            <v>3851</v>
          </cell>
          <cell r="C1254" t="str">
            <v>HY-7KC800-1</v>
          </cell>
          <cell r="D1254" t="str">
            <v>LACE</v>
          </cell>
          <cell r="E1254"/>
          <cell r="F1254" t="str">
            <v>N/C/R 45/35/20</v>
          </cell>
          <cell r="G1254" t="str">
            <v xml:space="preserve">45%NYLON  35%COTTON  20%POLY </v>
          </cell>
          <cell r="H1254" t="str">
            <v>56/57</v>
          </cell>
          <cell r="I1254">
            <v>148</v>
          </cell>
          <cell r="J1254"/>
          <cell r="K1254"/>
          <cell r="L1254"/>
          <cell r="M1254"/>
          <cell r="N1254">
            <v>3.06</v>
          </cell>
          <cell r="O1254"/>
          <cell r="P1254"/>
          <cell r="Q1254"/>
          <cell r="R1254"/>
          <cell r="S1254"/>
          <cell r="T1254"/>
          <cell r="U1254"/>
          <cell r="V1254">
            <v>15</v>
          </cell>
          <cell r="W1254"/>
          <cell r="X1254" t="str">
            <v>HANSHOW</v>
          </cell>
          <cell r="Y1254"/>
          <cell r="Z1254" t="str">
            <v>JESSIE ' MAIL 21/11/17</v>
          </cell>
          <cell r="AA1254"/>
          <cell r="AB1254">
            <v>43060</v>
          </cell>
          <cell r="AC1254">
            <v>5277</v>
          </cell>
        </row>
        <row r="1255">
          <cell r="B1255">
            <v>3850</v>
          </cell>
          <cell r="C1255" t="str">
            <v>HY-7KJ257</v>
          </cell>
          <cell r="D1255" t="str">
            <v>LACE</v>
          </cell>
          <cell r="E1255"/>
          <cell r="F1255" t="str">
            <v>N/C/R 45/35/20</v>
          </cell>
          <cell r="G1255" t="str">
            <v>45%NYLON  35%COTTON  20%RAYON</v>
          </cell>
          <cell r="H1255" t="str">
            <v>56/57</v>
          </cell>
          <cell r="I1255">
            <v>160</v>
          </cell>
          <cell r="J1255"/>
          <cell r="K1255"/>
          <cell r="L1255"/>
          <cell r="M1255"/>
          <cell r="N1255">
            <v>3.06</v>
          </cell>
          <cell r="O1255"/>
          <cell r="P1255"/>
          <cell r="Q1255"/>
          <cell r="R1255"/>
          <cell r="S1255"/>
          <cell r="T1255"/>
          <cell r="U1255"/>
          <cell r="V1255">
            <v>15</v>
          </cell>
          <cell r="W1255"/>
          <cell r="X1255" t="str">
            <v>HANSHOW</v>
          </cell>
          <cell r="Y1255"/>
          <cell r="Z1255" t="str">
            <v>JESSIE ' MAIL 21/11/17</v>
          </cell>
          <cell r="AA1255"/>
          <cell r="AB1255">
            <v>43060</v>
          </cell>
          <cell r="AC1255">
            <v>5278</v>
          </cell>
        </row>
        <row r="1256">
          <cell r="B1256">
            <v>3849</v>
          </cell>
          <cell r="C1256" t="str">
            <v>HY-7KN1305</v>
          </cell>
          <cell r="D1256" t="str">
            <v>LACE</v>
          </cell>
          <cell r="E1256"/>
          <cell r="F1256" t="str">
            <v>N/S 92/8</v>
          </cell>
          <cell r="G1256" t="str">
            <v xml:space="preserve">92%NYLON  8%SPANDEX </v>
          </cell>
          <cell r="H1256" t="str">
            <v>56/57</v>
          </cell>
          <cell r="I1256">
            <v>164</v>
          </cell>
          <cell r="J1256"/>
          <cell r="K1256"/>
          <cell r="L1256"/>
          <cell r="M1256"/>
          <cell r="N1256">
            <v>2.58</v>
          </cell>
          <cell r="O1256"/>
          <cell r="P1256"/>
          <cell r="Q1256"/>
          <cell r="R1256"/>
          <cell r="S1256"/>
          <cell r="T1256"/>
          <cell r="U1256"/>
          <cell r="V1256">
            <v>15</v>
          </cell>
          <cell r="W1256"/>
          <cell r="X1256" t="str">
            <v>HANSHOW</v>
          </cell>
          <cell r="Y1256"/>
          <cell r="Z1256" t="str">
            <v>JESSIE ' MAIL 21/11/17</v>
          </cell>
          <cell r="AA1256"/>
          <cell r="AB1256">
            <v>43060</v>
          </cell>
          <cell r="AC1256">
            <v>5279</v>
          </cell>
        </row>
        <row r="1257">
          <cell r="B1257">
            <v>3848</v>
          </cell>
          <cell r="C1257" t="str">
            <v>HY-7KN632</v>
          </cell>
          <cell r="D1257" t="str">
            <v>LACE</v>
          </cell>
          <cell r="E1257"/>
          <cell r="F1257" t="str">
            <v>N100%</v>
          </cell>
          <cell r="G1257" t="str">
            <v xml:space="preserve">100% NYLON </v>
          </cell>
          <cell r="H1257" t="str">
            <v>56/57</v>
          </cell>
          <cell r="I1257">
            <v>148</v>
          </cell>
          <cell r="J1257"/>
          <cell r="K1257"/>
          <cell r="L1257"/>
          <cell r="M1257"/>
          <cell r="N1257">
            <v>2.9</v>
          </cell>
          <cell r="O1257"/>
          <cell r="P1257"/>
          <cell r="Q1257"/>
          <cell r="R1257"/>
          <cell r="S1257"/>
          <cell r="T1257"/>
          <cell r="U1257"/>
          <cell r="V1257">
            <v>15</v>
          </cell>
          <cell r="W1257"/>
          <cell r="X1257" t="str">
            <v>HANSHOW</v>
          </cell>
          <cell r="Y1257"/>
          <cell r="Z1257" t="str">
            <v>JESSIE ' MAIL 21/11/17</v>
          </cell>
          <cell r="AA1257"/>
          <cell r="AB1257">
            <v>43060</v>
          </cell>
          <cell r="AC1257">
            <v>5280</v>
          </cell>
        </row>
        <row r="1258">
          <cell r="B1258">
            <v>3847</v>
          </cell>
          <cell r="C1258" t="str">
            <v>HY-7KC811-2</v>
          </cell>
          <cell r="D1258" t="str">
            <v>LACE</v>
          </cell>
          <cell r="E1258"/>
          <cell r="F1258" t="str">
            <v>N/C/R 45/35/20</v>
          </cell>
          <cell r="G1258" t="str">
            <v>45%NYLON  35%COTTON  20%RAYON</v>
          </cell>
          <cell r="H1258" t="str">
            <v>56/57</v>
          </cell>
          <cell r="I1258">
            <v>130</v>
          </cell>
          <cell r="J1258"/>
          <cell r="K1258"/>
          <cell r="L1258"/>
          <cell r="M1258"/>
          <cell r="N1258">
            <v>2.79</v>
          </cell>
          <cell r="O1258"/>
          <cell r="P1258"/>
          <cell r="Q1258"/>
          <cell r="R1258"/>
          <cell r="S1258"/>
          <cell r="T1258"/>
          <cell r="U1258"/>
          <cell r="V1258">
            <v>15</v>
          </cell>
          <cell r="W1258"/>
          <cell r="X1258" t="str">
            <v>HANSHOW</v>
          </cell>
          <cell r="Y1258"/>
          <cell r="Z1258" t="str">
            <v>JESSIE ' MAIL 21/11/17</v>
          </cell>
          <cell r="AA1258"/>
          <cell r="AB1258">
            <v>43060</v>
          </cell>
          <cell r="AC1258">
            <v>5281</v>
          </cell>
        </row>
        <row r="1259">
          <cell r="B1259">
            <v>3846</v>
          </cell>
          <cell r="C1259" t="str">
            <v>HY-7KC738-1</v>
          </cell>
          <cell r="D1259" t="str">
            <v>LACE</v>
          </cell>
          <cell r="E1259"/>
          <cell r="F1259" t="str">
            <v>N/C/R 47/30/23</v>
          </cell>
          <cell r="G1259" t="str">
            <v>47%NYLON  30%COTTON  23%RAYON</v>
          </cell>
          <cell r="H1259" t="str">
            <v>56/57</v>
          </cell>
          <cell r="I1259">
            <v>145</v>
          </cell>
          <cell r="J1259"/>
          <cell r="K1259"/>
          <cell r="L1259"/>
          <cell r="M1259"/>
          <cell r="N1259">
            <v>2.95</v>
          </cell>
          <cell r="O1259"/>
          <cell r="P1259"/>
          <cell r="Q1259"/>
          <cell r="R1259"/>
          <cell r="S1259"/>
          <cell r="T1259"/>
          <cell r="U1259"/>
          <cell r="V1259">
            <v>15</v>
          </cell>
          <cell r="W1259"/>
          <cell r="X1259" t="str">
            <v>HANSHOW</v>
          </cell>
          <cell r="Y1259"/>
          <cell r="Z1259" t="str">
            <v>JESSIE ' MAIL 21/11/17</v>
          </cell>
          <cell r="AA1259"/>
          <cell r="AB1259">
            <v>43060</v>
          </cell>
          <cell r="AC1259">
            <v>5282</v>
          </cell>
        </row>
        <row r="1260">
          <cell r="B1260">
            <v>3845</v>
          </cell>
          <cell r="C1260" t="str">
            <v>HY-7KC845</v>
          </cell>
          <cell r="D1260" t="str">
            <v>LACE</v>
          </cell>
          <cell r="E1260"/>
          <cell r="F1260" t="str">
            <v>N/C/R 45/35/20</v>
          </cell>
          <cell r="G1260" t="str">
            <v>45%NYLON  35%COTTON  20%RAYON</v>
          </cell>
          <cell r="H1260" t="str">
            <v>56/57</v>
          </cell>
          <cell r="I1260">
            <v>145</v>
          </cell>
          <cell r="J1260"/>
          <cell r="K1260"/>
          <cell r="L1260"/>
          <cell r="M1260"/>
          <cell r="N1260">
            <v>2.96</v>
          </cell>
          <cell r="O1260"/>
          <cell r="P1260"/>
          <cell r="Q1260"/>
          <cell r="R1260"/>
          <cell r="S1260"/>
          <cell r="T1260"/>
          <cell r="U1260"/>
          <cell r="V1260">
            <v>15</v>
          </cell>
          <cell r="W1260"/>
          <cell r="X1260" t="str">
            <v>HANSHOW</v>
          </cell>
          <cell r="Y1260"/>
          <cell r="Z1260" t="str">
            <v>JESSIE ' MAIL 21/11/17</v>
          </cell>
          <cell r="AA1260"/>
          <cell r="AB1260">
            <v>43060</v>
          </cell>
          <cell r="AC1260">
            <v>5283</v>
          </cell>
        </row>
        <row r="1261">
          <cell r="B1261">
            <v>3844</v>
          </cell>
          <cell r="C1261" t="str">
            <v>HY-9A17523</v>
          </cell>
          <cell r="D1261" t="str">
            <v>CHEMICAL LACE</v>
          </cell>
          <cell r="E1261"/>
          <cell r="F1261" t="str">
            <v>T100%</v>
          </cell>
          <cell r="G1261" t="str">
            <v xml:space="preserve">100% POLYESTER </v>
          </cell>
          <cell r="H1261" t="str">
            <v>48/49</v>
          </cell>
          <cell r="I1261" t="str">
            <v>N/A</v>
          </cell>
          <cell r="J1261"/>
          <cell r="K1261"/>
          <cell r="L1261"/>
          <cell r="M1261"/>
          <cell r="N1261">
            <v>4.95</v>
          </cell>
          <cell r="O1261"/>
          <cell r="P1261"/>
          <cell r="Q1261"/>
          <cell r="R1261"/>
          <cell r="S1261"/>
          <cell r="T1261"/>
          <cell r="U1261"/>
          <cell r="V1261">
            <v>15</v>
          </cell>
          <cell r="W1261"/>
          <cell r="X1261" t="str">
            <v>HANSHOW</v>
          </cell>
          <cell r="Y1261"/>
          <cell r="Z1261" t="str">
            <v>JESSIE ' MAIL 21/11/17</v>
          </cell>
          <cell r="AA1261"/>
          <cell r="AB1261">
            <v>43060</v>
          </cell>
          <cell r="AC1261">
            <v>5284</v>
          </cell>
        </row>
        <row r="1262">
          <cell r="B1262">
            <v>3843</v>
          </cell>
          <cell r="C1262" t="str">
            <v>HY-7K407-3</v>
          </cell>
          <cell r="D1262" t="str">
            <v>TRICOLOR LACE</v>
          </cell>
          <cell r="E1262"/>
          <cell r="F1262" t="str">
            <v>N/C/R/T 25/25/25/25</v>
          </cell>
          <cell r="G1262" t="str">
            <v>25%NYLON  25%COTTON  25%RAYON  25%POLY</v>
          </cell>
          <cell r="H1262" t="str">
            <v>56/57</v>
          </cell>
          <cell r="I1262">
            <v>145</v>
          </cell>
          <cell r="J1262"/>
          <cell r="K1262"/>
          <cell r="L1262"/>
          <cell r="M1262"/>
          <cell r="N1262">
            <v>3.17</v>
          </cell>
          <cell r="O1262"/>
          <cell r="P1262"/>
          <cell r="Q1262"/>
          <cell r="R1262"/>
          <cell r="S1262"/>
          <cell r="T1262"/>
          <cell r="U1262"/>
          <cell r="V1262">
            <v>15</v>
          </cell>
          <cell r="W1262"/>
          <cell r="X1262" t="str">
            <v>HANSHOW</v>
          </cell>
          <cell r="Y1262"/>
          <cell r="Z1262" t="str">
            <v>JESSIE ' MAIL 21/11/17</v>
          </cell>
          <cell r="AA1262"/>
          <cell r="AB1262">
            <v>43060</v>
          </cell>
          <cell r="AC1262">
            <v>5285</v>
          </cell>
        </row>
        <row r="1263">
          <cell r="B1263">
            <v>3842</v>
          </cell>
          <cell r="C1263" t="str">
            <v>HY-7K407-4</v>
          </cell>
          <cell r="D1263" t="str">
            <v>TRICOLOR LACE</v>
          </cell>
          <cell r="E1263"/>
          <cell r="F1263" t="str">
            <v>N/C/R/T 25/25/25/25</v>
          </cell>
          <cell r="G1263" t="str">
            <v>25%NYLON  25%COTTON  25%RAYON  25%POLY</v>
          </cell>
          <cell r="H1263" t="str">
            <v>56/57</v>
          </cell>
          <cell r="I1263">
            <v>130</v>
          </cell>
          <cell r="J1263"/>
          <cell r="K1263"/>
          <cell r="L1263"/>
          <cell r="M1263"/>
          <cell r="N1263">
            <v>3.06</v>
          </cell>
          <cell r="O1263"/>
          <cell r="P1263"/>
          <cell r="Q1263"/>
          <cell r="R1263"/>
          <cell r="S1263"/>
          <cell r="T1263"/>
          <cell r="U1263"/>
          <cell r="V1263">
            <v>15</v>
          </cell>
          <cell r="W1263"/>
          <cell r="X1263" t="str">
            <v>HANSHOW</v>
          </cell>
          <cell r="Y1263"/>
          <cell r="Z1263" t="str">
            <v>JESSIE ' MAIL 21/11/17</v>
          </cell>
          <cell r="AA1263"/>
          <cell r="AB1263">
            <v>43060</v>
          </cell>
          <cell r="AC1263">
            <v>5286</v>
          </cell>
        </row>
        <row r="1264">
          <cell r="B1264">
            <v>2002</v>
          </cell>
          <cell r="C1264" t="str">
            <v>BG2286</v>
          </cell>
          <cell r="D1264" t="str">
            <v>CREPE</v>
          </cell>
          <cell r="E1264" t="str">
            <v>75D x 75D</v>
          </cell>
          <cell r="F1264" t="str">
            <v>T 100%</v>
          </cell>
          <cell r="G1264" t="str">
            <v xml:space="preserve">100% POLYESTER </v>
          </cell>
          <cell r="H1264" t="str">
            <v>57/58</v>
          </cell>
          <cell r="I1264">
            <v>117</v>
          </cell>
          <cell r="J1264">
            <v>1.52</v>
          </cell>
          <cell r="K1264">
            <v>1.85</v>
          </cell>
          <cell r="L1264">
            <v>1.55</v>
          </cell>
          <cell r="M1264">
            <v>1.9</v>
          </cell>
          <cell r="N1264">
            <v>1.57</v>
          </cell>
          <cell r="O1264">
            <v>1.95</v>
          </cell>
          <cell r="P1264"/>
          <cell r="Q1264"/>
          <cell r="R1264">
            <v>1.75</v>
          </cell>
          <cell r="S1264">
            <v>2.2999999999999998</v>
          </cell>
          <cell r="T1264"/>
          <cell r="U1264"/>
          <cell r="V1264">
            <v>15</v>
          </cell>
          <cell r="W1264"/>
          <cell r="X1264" t="str">
            <v>EDWIN</v>
          </cell>
          <cell r="Y1264" t="str">
            <v>DMCARE-TRI-02</v>
          </cell>
          <cell r="Z1264" t="str">
            <v>GRACE ' MAIL  21/11/17</v>
          </cell>
          <cell r="AA1264"/>
          <cell r="AB1264">
            <v>43060</v>
          </cell>
          <cell r="AC1264">
            <v>5290</v>
          </cell>
        </row>
        <row r="1265">
          <cell r="B1265">
            <v>3075</v>
          </cell>
          <cell r="C1265" t="str">
            <v>OLP-1742024RBE</v>
          </cell>
          <cell r="D1265" t="str">
            <v>POLY SATEEN - AIRFLOW EFFECT</v>
          </cell>
          <cell r="E1265"/>
          <cell r="F1265" t="str">
            <v>T100%</v>
          </cell>
          <cell r="G1265" t="str">
            <v xml:space="preserve">100% POLYESTER </v>
          </cell>
          <cell r="H1265" t="str">
            <v>57/58</v>
          </cell>
          <cell r="I1265">
            <v>106</v>
          </cell>
          <cell r="J1265">
            <v>1.51</v>
          </cell>
          <cell r="K1265">
            <v>1.81</v>
          </cell>
          <cell r="L1265">
            <v>1.61</v>
          </cell>
          <cell r="M1265">
            <v>1.92</v>
          </cell>
          <cell r="N1265">
            <v>1.76</v>
          </cell>
          <cell r="O1265">
            <v>2.12</v>
          </cell>
          <cell r="P1265"/>
          <cell r="Q1265"/>
          <cell r="R1265">
            <v>1.94</v>
          </cell>
          <cell r="S1265">
            <v>2.6</v>
          </cell>
          <cell r="T1265"/>
          <cell r="U1265"/>
          <cell r="V1265">
            <v>15</v>
          </cell>
          <cell r="W1265"/>
          <cell r="X1265" t="str">
            <v>OWEN</v>
          </cell>
          <cell r="Y1265" t="str">
            <v>DMCARE-TRI-02</v>
          </cell>
          <cell r="Z1265" t="str">
            <v>SANDY ' MAIL 20/11/17</v>
          </cell>
          <cell r="AA1265"/>
          <cell r="AB1265">
            <v>43059</v>
          </cell>
          <cell r="AC1265">
            <v>5297</v>
          </cell>
        </row>
        <row r="1266">
          <cell r="B1266">
            <v>3030</v>
          </cell>
          <cell r="C1266" t="str">
            <v>OLP-1731121XS</v>
          </cell>
          <cell r="D1266" t="str">
            <v>CRINKLE - REPLACE 993</v>
          </cell>
          <cell r="E1266"/>
          <cell r="F1266" t="str">
            <v>T100%</v>
          </cell>
          <cell r="G1266" t="str">
            <v xml:space="preserve">100% POLYESTER </v>
          </cell>
          <cell r="H1266" t="str">
            <v>57/58</v>
          </cell>
          <cell r="I1266">
            <v>70</v>
          </cell>
          <cell r="J1266">
            <v>1.1000000000000001</v>
          </cell>
          <cell r="K1266">
            <v>1.22</v>
          </cell>
          <cell r="L1266">
            <v>1.1499999999999999</v>
          </cell>
          <cell r="M1266">
            <v>1.27</v>
          </cell>
          <cell r="N1266">
            <v>1.2</v>
          </cell>
          <cell r="O1266">
            <v>1.45</v>
          </cell>
          <cell r="P1266"/>
          <cell r="Q1266"/>
          <cell r="R1266">
            <v>1.35</v>
          </cell>
          <cell r="S1266">
            <v>2.15</v>
          </cell>
          <cell r="T1266"/>
          <cell r="U1266"/>
          <cell r="V1266">
            <v>15</v>
          </cell>
          <cell r="W1266"/>
          <cell r="X1266" t="str">
            <v>OWEN</v>
          </cell>
          <cell r="Y1266"/>
          <cell r="Z1266" t="str">
            <v>SANDY ' MAIL 20/11/17</v>
          </cell>
          <cell r="AA1266"/>
          <cell r="AB1266">
            <v>43059</v>
          </cell>
          <cell r="AC1266">
            <v>5295</v>
          </cell>
        </row>
        <row r="1267">
          <cell r="B1267">
            <v>1949</v>
          </cell>
          <cell r="C1267" t="str">
            <v>237XS</v>
          </cell>
          <cell r="D1267"/>
          <cell r="E1267"/>
          <cell r="F1267" t="str">
            <v>T100%</v>
          </cell>
          <cell r="G1267" t="str">
            <v xml:space="preserve">100% POLYESTER </v>
          </cell>
          <cell r="H1267" t="str">
            <v>57/58</v>
          </cell>
          <cell r="I1267">
            <v>83</v>
          </cell>
          <cell r="J1267">
            <v>1.48</v>
          </cell>
          <cell r="K1267">
            <v>1.92</v>
          </cell>
          <cell r="L1267">
            <v>1.55</v>
          </cell>
          <cell r="M1267">
            <v>2</v>
          </cell>
          <cell r="N1267">
            <v>1.63</v>
          </cell>
          <cell r="O1267">
            <v>2.0499999999999998</v>
          </cell>
          <cell r="P1267"/>
          <cell r="Q1267"/>
          <cell r="R1267">
            <v>1.78</v>
          </cell>
          <cell r="S1267">
            <v>2.8</v>
          </cell>
          <cell r="T1267"/>
          <cell r="U1267"/>
          <cell r="V1267">
            <v>15</v>
          </cell>
          <cell r="W1267"/>
          <cell r="X1267" t="str">
            <v>OWEN</v>
          </cell>
          <cell r="Y1267"/>
          <cell r="Z1267" t="str">
            <v>SANDY ' MAIL 20/11/17</v>
          </cell>
          <cell r="AA1267"/>
          <cell r="AB1267">
            <v>43059</v>
          </cell>
          <cell r="AC1267">
            <v>5296</v>
          </cell>
        </row>
        <row r="1268">
          <cell r="B1268">
            <v>1509</v>
          </cell>
          <cell r="C1268" t="str">
            <v>OLP-151127XS0008</v>
          </cell>
          <cell r="D1268" t="str">
            <v>CHIFFON</v>
          </cell>
          <cell r="E1268"/>
          <cell r="F1268" t="str">
            <v>T100%</v>
          </cell>
          <cell r="G1268" t="str">
            <v xml:space="preserve">100% POLYESTER </v>
          </cell>
          <cell r="H1268" t="str">
            <v>57/58</v>
          </cell>
          <cell r="I1268">
            <v>75</v>
          </cell>
          <cell r="J1268">
            <v>1.03</v>
          </cell>
          <cell r="K1268">
            <v>1.37</v>
          </cell>
          <cell r="L1268">
            <v>1.1399999999999999</v>
          </cell>
          <cell r="M1268">
            <v>1.47</v>
          </cell>
          <cell r="N1268">
            <v>1.1599999999999999</v>
          </cell>
          <cell r="O1268">
            <v>1.49</v>
          </cell>
          <cell r="P1268"/>
          <cell r="Q1268"/>
          <cell r="R1268">
            <v>1.31</v>
          </cell>
          <cell r="S1268">
            <v>2.02</v>
          </cell>
          <cell r="T1268"/>
          <cell r="U1268"/>
          <cell r="V1268">
            <v>15</v>
          </cell>
          <cell r="W1268"/>
          <cell r="X1268" t="str">
            <v>OWEN</v>
          </cell>
          <cell r="Y1268"/>
          <cell r="Z1268" t="str">
            <v>SANDY ' MAIL 20/11/17</v>
          </cell>
          <cell r="AA1268"/>
          <cell r="AB1268">
            <v>43059</v>
          </cell>
          <cell r="AC1268">
            <v>5294</v>
          </cell>
        </row>
        <row r="1269">
          <cell r="B1269">
            <v>1132</v>
          </cell>
          <cell r="C1269" t="str">
            <v>OLP-15101703ZY</v>
          </cell>
          <cell r="D1269" t="str">
            <v>TERRY CREPE</v>
          </cell>
          <cell r="E1269"/>
          <cell r="F1269" t="str">
            <v>V100%</v>
          </cell>
          <cell r="G1269" t="str">
            <v>100% VISCOSE</v>
          </cell>
          <cell r="H1269">
            <v>50</v>
          </cell>
          <cell r="I1269">
            <v>155</v>
          </cell>
          <cell r="J1269">
            <v>2.0299999999999998</v>
          </cell>
          <cell r="K1269">
            <v>2.37</v>
          </cell>
          <cell r="L1269">
            <v>2.09</v>
          </cell>
          <cell r="M1269">
            <v>2.42</v>
          </cell>
          <cell r="N1269">
            <v>2.14</v>
          </cell>
          <cell r="O1269">
            <v>2.52</v>
          </cell>
          <cell r="P1269"/>
          <cell r="Q1269"/>
          <cell r="R1269">
            <v>2.29</v>
          </cell>
          <cell r="S1269">
            <v>2.92</v>
          </cell>
          <cell r="T1269"/>
          <cell r="U1269"/>
          <cell r="V1269">
            <v>15</v>
          </cell>
          <cell r="W1269"/>
          <cell r="X1269" t="str">
            <v>OWEN</v>
          </cell>
          <cell r="Y1269"/>
          <cell r="Z1269" t="str">
            <v>SANDY ' MAIL 20/11/17</v>
          </cell>
          <cell r="AA1269"/>
          <cell r="AB1269">
            <v>43059</v>
          </cell>
          <cell r="AC1269">
            <v>5298</v>
          </cell>
        </row>
        <row r="1270">
          <cell r="B1270">
            <v>3841</v>
          </cell>
          <cell r="C1270" t="str">
            <v>T-2221</v>
          </cell>
          <cell r="D1270" t="str">
            <v>Y/D</v>
          </cell>
          <cell r="E1270"/>
          <cell r="F1270" t="str">
            <v>T100%</v>
          </cell>
          <cell r="G1270" t="str">
            <v>100%POLY</v>
          </cell>
          <cell r="H1270" t="str">
            <v>56/57</v>
          </cell>
          <cell r="I1270" t="str">
            <v>200GSM</v>
          </cell>
          <cell r="J1270">
            <v>2.7</v>
          </cell>
          <cell r="K1270"/>
          <cell r="L1270">
            <v>2.75</v>
          </cell>
          <cell r="M1270"/>
          <cell r="N1270">
            <v>2.75</v>
          </cell>
          <cell r="O1270"/>
          <cell r="P1270"/>
          <cell r="Q1270"/>
          <cell r="R1270">
            <v>3.1</v>
          </cell>
          <cell r="S1270"/>
          <cell r="T1270"/>
          <cell r="U1270"/>
          <cell r="V1270">
            <v>15</v>
          </cell>
          <cell r="W1270"/>
          <cell r="X1270" t="str">
            <v>LIVATEX</v>
          </cell>
          <cell r="Y1270"/>
          <cell r="Z1270" t="str">
            <v>ROSE 'MAIL 18/11/17</v>
          </cell>
          <cell r="AA1270"/>
          <cell r="AB1270">
            <v>43057</v>
          </cell>
          <cell r="AC1270">
            <v>5299</v>
          </cell>
        </row>
        <row r="1271">
          <cell r="B1271">
            <v>3771</v>
          </cell>
          <cell r="C1271" t="str">
            <v>TS-488</v>
          </cell>
          <cell r="D1271"/>
          <cell r="E1271" t="str">
            <v>(20+26)X75d</v>
          </cell>
          <cell r="F1271" t="str">
            <v>T100%</v>
          </cell>
          <cell r="G1271" t="str">
            <v>100% POLYESTER</v>
          </cell>
          <cell r="H1271" t="str">
            <v>57/58</v>
          </cell>
          <cell r="I1271" t="str">
            <v>75(+-3g)</v>
          </cell>
          <cell r="J1271">
            <v>0.98</v>
          </cell>
          <cell r="K1271">
            <v>1.17</v>
          </cell>
          <cell r="L1271">
            <v>1</v>
          </cell>
          <cell r="M1271">
            <v>1.2</v>
          </cell>
          <cell r="N1271">
            <v>1.02</v>
          </cell>
          <cell r="O1271">
            <v>1.23</v>
          </cell>
          <cell r="P1271"/>
          <cell r="Q1271"/>
          <cell r="R1271">
            <v>1.17</v>
          </cell>
          <cell r="S1271">
            <v>1.48</v>
          </cell>
          <cell r="T1271"/>
          <cell r="U1271"/>
          <cell r="V1271">
            <v>15</v>
          </cell>
          <cell r="W1271"/>
          <cell r="X1271" t="str">
            <v>GAVIN</v>
          </cell>
          <cell r="Y1271"/>
          <cell r="Z1271" t="str">
            <v>GAVIN ' MAIL 18/11/17</v>
          </cell>
          <cell r="AA1271"/>
          <cell r="AB1271">
            <v>43057</v>
          </cell>
          <cell r="AC1271">
            <v>5300</v>
          </cell>
        </row>
        <row r="1272">
          <cell r="B1272">
            <v>3860</v>
          </cell>
          <cell r="C1272" t="str">
            <v>P78303</v>
          </cell>
          <cell r="D1272" t="str">
            <v>LINING</v>
          </cell>
          <cell r="E1272" t="str">
            <v>P50/72*P75/72/124*109</v>
          </cell>
          <cell r="F1272" t="str">
            <v>T100%</v>
          </cell>
          <cell r="G1272" t="str">
            <v xml:space="preserve">100% POLYESTER </v>
          </cell>
          <cell r="H1272" t="str">
            <v>148CM</v>
          </cell>
          <cell r="I1272">
            <v>73</v>
          </cell>
          <cell r="J1272"/>
          <cell r="K1272"/>
          <cell r="L1272">
            <v>1.6</v>
          </cell>
          <cell r="M1272"/>
          <cell r="N1272"/>
          <cell r="O1272"/>
          <cell r="P1272"/>
          <cell r="Q1272"/>
          <cell r="R1272"/>
          <cell r="S1272"/>
          <cell r="T1272"/>
          <cell r="U1272"/>
          <cell r="V1272">
            <v>15</v>
          </cell>
          <cell r="W1272"/>
          <cell r="X1272" t="str">
            <v>T.H.THÀNH</v>
          </cell>
          <cell r="Y1272"/>
          <cell r="Z1272" t="str">
            <v>HOA' MAIL 17/11/17</v>
          </cell>
          <cell r="AA1272"/>
          <cell r="AB1272">
            <v>43056</v>
          </cell>
          <cell r="AC1272">
            <v>5301</v>
          </cell>
        </row>
        <row r="1273">
          <cell r="B1273">
            <v>3859</v>
          </cell>
          <cell r="C1273" t="str">
            <v>P50202</v>
          </cell>
          <cell r="D1273" t="str">
            <v>LINING</v>
          </cell>
          <cell r="E1273" t="str">
            <v>50D*50D/120*110</v>
          </cell>
          <cell r="F1273" t="str">
            <v>T100%</v>
          </cell>
          <cell r="G1273" t="str">
            <v xml:space="preserve">100% POLYESTER </v>
          </cell>
          <cell r="H1273">
            <v>57</v>
          </cell>
          <cell r="I1273">
            <v>58</v>
          </cell>
          <cell r="J1273"/>
          <cell r="K1273"/>
          <cell r="L1273">
            <v>1.22</v>
          </cell>
          <cell r="M1273"/>
          <cell r="N1273"/>
          <cell r="O1273"/>
          <cell r="P1273"/>
          <cell r="Q1273"/>
          <cell r="R1273"/>
          <cell r="S1273"/>
          <cell r="T1273"/>
          <cell r="U1273"/>
          <cell r="V1273">
            <v>15</v>
          </cell>
          <cell r="W1273"/>
          <cell r="X1273" t="str">
            <v>T.H.THÀNH</v>
          </cell>
          <cell r="Y1273"/>
          <cell r="Z1273" t="str">
            <v>HOA' MAIL 17/11/17</v>
          </cell>
          <cell r="AA1273"/>
          <cell r="AB1273">
            <v>43056</v>
          </cell>
          <cell r="AC1273">
            <v>5302</v>
          </cell>
        </row>
        <row r="1274">
          <cell r="B1274">
            <v>3858</v>
          </cell>
          <cell r="C1274" t="str">
            <v>P68601</v>
          </cell>
          <cell r="D1274" t="str">
            <v>LINING</v>
          </cell>
          <cell r="E1274" t="str">
            <v>50D/72*50D/72/191*122</v>
          </cell>
          <cell r="F1274" t="str">
            <v>T100%</v>
          </cell>
          <cell r="G1274" t="str">
            <v xml:space="preserve">100% POLYESTER </v>
          </cell>
          <cell r="H1274">
            <v>59</v>
          </cell>
          <cell r="I1274">
            <v>75</v>
          </cell>
          <cell r="J1274"/>
          <cell r="K1274"/>
          <cell r="L1274">
            <v>0.95</v>
          </cell>
          <cell r="M1274"/>
          <cell r="N1274"/>
          <cell r="O1274"/>
          <cell r="P1274"/>
          <cell r="Q1274"/>
          <cell r="R1274"/>
          <cell r="S1274"/>
          <cell r="T1274"/>
          <cell r="U1274"/>
          <cell r="V1274">
            <v>15</v>
          </cell>
          <cell r="W1274"/>
          <cell r="X1274" t="str">
            <v>T.H.THÀNH</v>
          </cell>
          <cell r="Y1274"/>
          <cell r="Z1274" t="str">
            <v>HOA' MAIL 17/11/17</v>
          </cell>
          <cell r="AA1274"/>
          <cell r="AB1274">
            <v>43056</v>
          </cell>
          <cell r="AC1274">
            <v>5303</v>
          </cell>
        </row>
        <row r="1275">
          <cell r="B1275">
            <v>3828</v>
          </cell>
          <cell r="C1275" t="str">
            <v>TL-NA164</v>
          </cell>
          <cell r="D1275" t="str">
            <v>TAFFETA LINING</v>
          </cell>
          <cell r="E1275"/>
          <cell r="F1275" t="str">
            <v>T100%</v>
          </cell>
          <cell r="G1275" t="str">
            <v>100% POLYESTER ( TAFFETA )</v>
          </cell>
          <cell r="H1275" t="str">
            <v>150CM</v>
          </cell>
          <cell r="I1275">
            <v>87.3</v>
          </cell>
          <cell r="J1275">
            <v>0.55000000000000004</v>
          </cell>
          <cell r="K1275"/>
          <cell r="L1275">
            <v>0.56000000000000005</v>
          </cell>
          <cell r="M1275"/>
          <cell r="N1275">
            <v>0.56000000000000005</v>
          </cell>
          <cell r="O1275"/>
          <cell r="P1275"/>
          <cell r="Q1275"/>
          <cell r="R1275">
            <v>0.56000000000000005</v>
          </cell>
          <cell r="S1275"/>
          <cell r="T1275"/>
          <cell r="U1275"/>
          <cell r="V1275"/>
          <cell r="W1275"/>
          <cell r="X1275" t="str">
            <v>SUNG IL</v>
          </cell>
          <cell r="Y1275"/>
          <cell r="Z1275" t="str">
            <v>THUY ' MAIL 17/11/17</v>
          </cell>
          <cell r="AA1275"/>
          <cell r="AB1275">
            <v>43056</v>
          </cell>
          <cell r="AC1275">
            <v>5304</v>
          </cell>
        </row>
        <row r="1276">
          <cell r="B1276">
            <v>3833</v>
          </cell>
          <cell r="C1276" t="str">
            <v>UD-PY17111001</v>
          </cell>
          <cell r="D1276"/>
          <cell r="E1276"/>
          <cell r="F1276" t="str">
            <v>R/N/S 68/27/5</v>
          </cell>
          <cell r="G1276" t="str">
            <v xml:space="preserve">68% RAYON  27% NYLON  5% SPANDEX - 40S PRINT </v>
          </cell>
          <cell r="H1276" t="str">
            <v>150CM</v>
          </cell>
          <cell r="I1276">
            <v>380</v>
          </cell>
          <cell r="J1276">
            <v>3.58</v>
          </cell>
          <cell r="K1276">
            <v>5</v>
          </cell>
          <cell r="L1276">
            <v>3.6</v>
          </cell>
          <cell r="M1276">
            <v>5.05</v>
          </cell>
          <cell r="N1276">
            <v>3.66</v>
          </cell>
          <cell r="O1276">
            <v>5.12</v>
          </cell>
          <cell r="P1276"/>
          <cell r="Q1276"/>
          <cell r="R1276">
            <v>4.3499999999999996</v>
          </cell>
          <cell r="S1276">
            <v>6.15</v>
          </cell>
          <cell r="T1276"/>
          <cell r="U1276"/>
          <cell r="V1276">
            <v>15</v>
          </cell>
          <cell r="W1276" t="str">
            <v>prices for disperse printed</v>
          </cell>
          <cell r="X1276" t="str">
            <v>WANG  HUA</v>
          </cell>
          <cell r="Y1276"/>
          <cell r="Z1276" t="str">
            <v>WANG HUA ; MAIL 16/11/17</v>
          </cell>
          <cell r="AA1276"/>
          <cell r="AB1276">
            <v>43055</v>
          </cell>
          <cell r="AC1276">
            <v>5314</v>
          </cell>
        </row>
        <row r="1277">
          <cell r="B1277">
            <v>3832</v>
          </cell>
          <cell r="C1277" t="str">
            <v>UD-PY17013</v>
          </cell>
          <cell r="D1277"/>
          <cell r="E1277"/>
          <cell r="F1277" t="str">
            <v>T/C/S 65/30/5</v>
          </cell>
          <cell r="G1277" t="str">
            <v xml:space="preserve">65% POLY  30% COTTON  5% SPANDEX - T/C Ponte Roma Print </v>
          </cell>
          <cell r="H1277" t="str">
            <v>150CM</v>
          </cell>
          <cell r="I1277">
            <v>350</v>
          </cell>
          <cell r="J1277">
            <v>3.25</v>
          </cell>
          <cell r="K1277">
            <v>3.25</v>
          </cell>
          <cell r="L1277">
            <v>3.27</v>
          </cell>
          <cell r="M1277">
            <v>3.35</v>
          </cell>
          <cell r="N1277">
            <v>3.31</v>
          </cell>
          <cell r="O1277">
            <v>3.6</v>
          </cell>
          <cell r="P1277"/>
          <cell r="Q1277"/>
          <cell r="R1277">
            <v>3.95</v>
          </cell>
          <cell r="S1277"/>
          <cell r="T1277"/>
          <cell r="U1277"/>
          <cell r="V1277">
            <v>15</v>
          </cell>
          <cell r="W1277" t="str">
            <v>prices for paper printed</v>
          </cell>
          <cell r="X1277" t="str">
            <v>WANG  HUA</v>
          </cell>
          <cell r="Y1277"/>
          <cell r="Z1277" t="str">
            <v>WANG HUA ; MAIL 16/11/17</v>
          </cell>
          <cell r="AA1277"/>
          <cell r="AB1277">
            <v>43055</v>
          </cell>
          <cell r="AC1277">
            <v>5315</v>
          </cell>
        </row>
        <row r="1278">
          <cell r="B1278">
            <v>3831</v>
          </cell>
          <cell r="C1278" t="str">
            <v>UD-PY17047</v>
          </cell>
          <cell r="D1278"/>
          <cell r="E1278"/>
          <cell r="F1278" t="str">
            <v>T/S 95/5</v>
          </cell>
          <cell r="G1278" t="str">
            <v xml:space="preserve">95% POLY  5% SPANDEX - T Roma Print </v>
          </cell>
          <cell r="H1278" t="str">
            <v>150CM</v>
          </cell>
          <cell r="I1278">
            <v>330</v>
          </cell>
          <cell r="J1278">
            <v>2.4</v>
          </cell>
          <cell r="K1278">
            <v>2.98</v>
          </cell>
          <cell r="L1278">
            <v>2.42</v>
          </cell>
          <cell r="M1278">
            <v>3.16</v>
          </cell>
          <cell r="N1278">
            <v>2.46</v>
          </cell>
          <cell r="O1278">
            <v>3.3</v>
          </cell>
          <cell r="P1278"/>
          <cell r="Q1278"/>
          <cell r="R1278">
            <v>2.9</v>
          </cell>
          <cell r="S1278"/>
          <cell r="T1278"/>
          <cell r="U1278"/>
          <cell r="V1278">
            <v>15</v>
          </cell>
          <cell r="W1278" t="str">
            <v>prices for paper printed</v>
          </cell>
          <cell r="X1278" t="str">
            <v>WANG  HUA</v>
          </cell>
          <cell r="Y1278"/>
          <cell r="Z1278" t="str">
            <v>WANG HUA ; MAIL 16/11/17</v>
          </cell>
          <cell r="AA1278"/>
          <cell r="AB1278">
            <v>43055</v>
          </cell>
          <cell r="AC1278">
            <v>5316</v>
          </cell>
        </row>
        <row r="1279">
          <cell r="B1279">
            <v>3830</v>
          </cell>
          <cell r="C1279" t="str">
            <v>UD-PY171110</v>
          </cell>
          <cell r="D1279"/>
          <cell r="E1279"/>
          <cell r="F1279" t="str">
            <v>T/S 96/4</v>
          </cell>
          <cell r="G1279" t="str">
            <v xml:space="preserve">96% POLY  4% SPANDEX  - 30T Roma Print </v>
          </cell>
          <cell r="H1279" t="str">
            <v>150CM</v>
          </cell>
          <cell r="I1279">
            <v>280</v>
          </cell>
          <cell r="J1279">
            <v>1.98</v>
          </cell>
          <cell r="K1279">
            <v>2.48</v>
          </cell>
          <cell r="L1279">
            <v>2</v>
          </cell>
          <cell r="M1279">
            <v>2.52</v>
          </cell>
          <cell r="N1279">
            <v>2.04</v>
          </cell>
          <cell r="O1279">
            <v>2.58</v>
          </cell>
          <cell r="P1279"/>
          <cell r="Q1279"/>
          <cell r="R1279">
            <v>2.4</v>
          </cell>
          <cell r="S1279">
            <v>3.48</v>
          </cell>
          <cell r="T1279"/>
          <cell r="U1279"/>
          <cell r="V1279">
            <v>15</v>
          </cell>
          <cell r="W1279" t="str">
            <v>disperse printed</v>
          </cell>
          <cell r="X1279" t="str">
            <v>WANG  HUA</v>
          </cell>
          <cell r="Y1279"/>
          <cell r="Z1279" t="str">
            <v>WANG HUA ; MAIL 16/11/17</v>
          </cell>
          <cell r="AA1279"/>
          <cell r="AB1279">
            <v>43055</v>
          </cell>
          <cell r="AC1279">
            <v>5317</v>
          </cell>
        </row>
        <row r="1280">
          <cell r="B1280">
            <v>3829</v>
          </cell>
          <cell r="C1280" t="str">
            <v>UD-PY171117</v>
          </cell>
          <cell r="D1280"/>
          <cell r="E1280"/>
          <cell r="F1280" t="str">
            <v>T/R/S 72/23/5</v>
          </cell>
          <cell r="G1280" t="str">
            <v>72% POLY  23% RAYON  5% SPANDEX  Ponte Roma Solid Dyed</v>
          </cell>
          <cell r="H1280" t="str">
            <v>59/60</v>
          </cell>
          <cell r="I1280">
            <v>280</v>
          </cell>
          <cell r="J1280">
            <v>2.2599999999999998</v>
          </cell>
          <cell r="K1280"/>
          <cell r="L1280">
            <v>2.2799999999999998</v>
          </cell>
          <cell r="M1280"/>
          <cell r="N1280">
            <v>2.2999999999999998</v>
          </cell>
          <cell r="O1280"/>
          <cell r="P1280"/>
          <cell r="Q1280"/>
          <cell r="R1280">
            <v>2.75</v>
          </cell>
          <cell r="S1280"/>
          <cell r="T1280"/>
          <cell r="U1280"/>
          <cell r="V1280">
            <v>15</v>
          </cell>
          <cell r="W1280" t="str">
            <v>for printed, only can do pigment printing, the handfeeling will be hard, so don't offer printed price</v>
          </cell>
          <cell r="X1280" t="str">
            <v>WANG  HUA</v>
          </cell>
          <cell r="Y1280"/>
          <cell r="Z1280" t="str">
            <v>WANG HUA ; MAIL 16/11/17</v>
          </cell>
          <cell r="AA1280"/>
          <cell r="AB1280">
            <v>43055</v>
          </cell>
          <cell r="AC1280">
            <v>5318</v>
          </cell>
        </row>
        <row r="1281">
          <cell r="B1281">
            <v>3790</v>
          </cell>
          <cell r="C1281" t="str">
            <v>RPJ-034</v>
          </cell>
          <cell r="D1281" t="str">
            <v>RAYON WITH DOBBY</v>
          </cell>
          <cell r="E1281" t="str">
            <v>30x30/100x70</v>
          </cell>
          <cell r="F1281" t="str">
            <v>R100%</v>
          </cell>
          <cell r="G1281" t="str">
            <v xml:space="preserve">100%RAYON </v>
          </cell>
          <cell r="H1281" t="str">
            <v>53/54</v>
          </cell>
          <cell r="I1281">
            <v>149</v>
          </cell>
          <cell r="J1281">
            <v>2.5</v>
          </cell>
          <cell r="K1281"/>
          <cell r="L1281">
            <v>2.5499999999999998</v>
          </cell>
          <cell r="M1281"/>
          <cell r="N1281">
            <v>2.5499999999999998</v>
          </cell>
          <cell r="O1281"/>
          <cell r="P1281"/>
          <cell r="Q1281"/>
          <cell r="R1281">
            <v>3</v>
          </cell>
          <cell r="S1281"/>
          <cell r="T1281"/>
          <cell r="U1281"/>
          <cell r="V1281">
            <v>15</v>
          </cell>
          <cell r="W1281"/>
          <cell r="X1281" t="str">
            <v>LIVALTEX</v>
          </cell>
          <cell r="Y1281"/>
          <cell r="Z1281" t="str">
            <v>ROSE ; MAIL 16/11/17</v>
          </cell>
          <cell r="AA1281"/>
          <cell r="AB1281">
            <v>43055</v>
          </cell>
          <cell r="AC1281">
            <v>5305</v>
          </cell>
        </row>
        <row r="1282">
          <cell r="B1282">
            <v>3789</v>
          </cell>
          <cell r="C1282" t="str">
            <v>RPJ-035</v>
          </cell>
          <cell r="D1282" t="str">
            <v>RAYON WITH DOBBY</v>
          </cell>
          <cell r="E1282" t="str">
            <v>60x60/90x88</v>
          </cell>
          <cell r="F1282" t="str">
            <v>R100%</v>
          </cell>
          <cell r="G1282" t="str">
            <v xml:space="preserve">100% RAYON </v>
          </cell>
          <cell r="H1282" t="str">
            <v>53/54</v>
          </cell>
          <cell r="I1282">
            <v>76</v>
          </cell>
          <cell r="J1282">
            <v>2.34</v>
          </cell>
          <cell r="K1282"/>
          <cell r="L1282">
            <v>2.38</v>
          </cell>
          <cell r="M1282"/>
          <cell r="N1282">
            <v>2.38</v>
          </cell>
          <cell r="O1282"/>
          <cell r="P1282"/>
          <cell r="Q1282"/>
          <cell r="R1282">
            <v>2.83</v>
          </cell>
          <cell r="S1282"/>
          <cell r="T1282"/>
          <cell r="U1282"/>
          <cell r="V1282">
            <v>15</v>
          </cell>
          <cell r="W1282"/>
          <cell r="X1282" t="str">
            <v>LIVALTEX</v>
          </cell>
          <cell r="Y1282"/>
          <cell r="Z1282" t="str">
            <v>ROSE ; MAIL 16/11/17</v>
          </cell>
          <cell r="AA1282"/>
          <cell r="AB1282">
            <v>43055</v>
          </cell>
          <cell r="AC1282">
            <v>5306</v>
          </cell>
        </row>
        <row r="1283">
          <cell r="B1283">
            <v>3788</v>
          </cell>
          <cell r="C1283" t="str">
            <v>RCY-008</v>
          </cell>
          <cell r="D1283" t="str">
            <v>DOBBY Y/D COTTON /RAYON</v>
          </cell>
          <cell r="E1283"/>
          <cell r="F1283" t="str">
            <v>R/C 65/35</v>
          </cell>
          <cell r="G1283" t="str">
            <v xml:space="preserve">65% RAYON  35%COTTON </v>
          </cell>
          <cell r="H1283" t="str">
            <v>57/58</v>
          </cell>
          <cell r="I1283">
            <v>154</v>
          </cell>
          <cell r="J1283">
            <v>2.84</v>
          </cell>
          <cell r="K1283"/>
          <cell r="L1283">
            <v>2.89</v>
          </cell>
          <cell r="M1283"/>
          <cell r="N1283">
            <v>2.89</v>
          </cell>
          <cell r="O1283"/>
          <cell r="P1283"/>
          <cell r="Q1283"/>
          <cell r="R1283">
            <v>3.34</v>
          </cell>
          <cell r="S1283"/>
          <cell r="T1283"/>
          <cell r="U1283"/>
          <cell r="V1283">
            <v>15</v>
          </cell>
          <cell r="W1283"/>
          <cell r="X1283" t="str">
            <v>LIVALTEX</v>
          </cell>
          <cell r="Y1283"/>
          <cell r="Z1283" t="str">
            <v>ROSE ; MAIL 16/11/17</v>
          </cell>
          <cell r="AA1283"/>
          <cell r="AB1283">
            <v>43055</v>
          </cell>
          <cell r="AC1283">
            <v>5307</v>
          </cell>
        </row>
        <row r="1284">
          <cell r="B1284">
            <v>3787</v>
          </cell>
          <cell r="C1284" t="str">
            <v>RP-312</v>
          </cell>
          <cell r="D1284" t="str">
            <v>RAYON WITH DOBBY</v>
          </cell>
          <cell r="E1284" t="str">
            <v xml:space="preserve"> 60x60/97x78</v>
          </cell>
          <cell r="F1284" t="str">
            <v>R100%</v>
          </cell>
          <cell r="G1284" t="str">
            <v xml:space="preserve">100% RAYON </v>
          </cell>
          <cell r="H1284" t="str">
            <v>53/54</v>
          </cell>
          <cell r="I1284">
            <v>77</v>
          </cell>
          <cell r="J1284">
            <v>2.34</v>
          </cell>
          <cell r="K1284"/>
          <cell r="L1284">
            <v>2.38</v>
          </cell>
          <cell r="M1284"/>
          <cell r="N1284">
            <v>2.38</v>
          </cell>
          <cell r="O1284"/>
          <cell r="P1284"/>
          <cell r="Q1284"/>
          <cell r="R1284">
            <v>2.83</v>
          </cell>
          <cell r="S1284"/>
          <cell r="T1284"/>
          <cell r="U1284"/>
          <cell r="V1284">
            <v>15</v>
          </cell>
          <cell r="W1284"/>
          <cell r="X1284" t="str">
            <v>LIVALTEX</v>
          </cell>
          <cell r="Y1284"/>
          <cell r="Z1284" t="str">
            <v>ROSE ; MAIL 16/11/17</v>
          </cell>
          <cell r="AA1284"/>
          <cell r="AB1284">
            <v>43055</v>
          </cell>
          <cell r="AC1284">
            <v>5308</v>
          </cell>
        </row>
        <row r="1285">
          <cell r="B1285">
            <v>3786</v>
          </cell>
          <cell r="C1285" t="str">
            <v>RP-311</v>
          </cell>
          <cell r="D1285" t="str">
            <v>RAYON WITH DOBBY</v>
          </cell>
          <cell r="E1285" t="str">
            <v>45x45/90x84</v>
          </cell>
          <cell r="F1285" t="str">
            <v>R100%</v>
          </cell>
          <cell r="G1285" t="str">
            <v>100% RAYON</v>
          </cell>
          <cell r="H1285" t="str">
            <v>53/54</v>
          </cell>
          <cell r="I1285">
            <v>102</v>
          </cell>
          <cell r="J1285">
            <v>2.2999999999999998</v>
          </cell>
          <cell r="K1285"/>
          <cell r="L1285">
            <v>2.34</v>
          </cell>
          <cell r="M1285"/>
          <cell r="N1285">
            <v>2.34</v>
          </cell>
          <cell r="O1285"/>
          <cell r="P1285"/>
          <cell r="Q1285"/>
          <cell r="R1285">
            <v>2.8</v>
          </cell>
          <cell r="S1285"/>
          <cell r="T1285"/>
          <cell r="U1285"/>
          <cell r="V1285">
            <v>15</v>
          </cell>
          <cell r="W1285"/>
          <cell r="X1285" t="str">
            <v>LIVALTEX</v>
          </cell>
          <cell r="Y1285"/>
          <cell r="Z1285" t="str">
            <v>ROSE ; MAIL 16/11/17</v>
          </cell>
          <cell r="AA1285"/>
          <cell r="AB1285">
            <v>43055</v>
          </cell>
          <cell r="AC1285">
            <v>5309</v>
          </cell>
        </row>
        <row r="1286">
          <cell r="B1286">
            <v>3785</v>
          </cell>
          <cell r="C1286" t="str">
            <v>RP-313</v>
          </cell>
          <cell r="D1286" t="str">
            <v>RAYON WITH DOT</v>
          </cell>
          <cell r="E1286" t="str">
            <v xml:space="preserve"> 60x60/96x75</v>
          </cell>
          <cell r="F1286" t="str">
            <v>R100%</v>
          </cell>
          <cell r="G1286" t="str">
            <v xml:space="preserve">100% RAYON </v>
          </cell>
          <cell r="H1286" t="str">
            <v>53/54</v>
          </cell>
          <cell r="I1286">
            <v>80</v>
          </cell>
          <cell r="J1286">
            <v>2.34</v>
          </cell>
          <cell r="K1286"/>
          <cell r="L1286">
            <v>2.38</v>
          </cell>
          <cell r="M1286"/>
          <cell r="N1286">
            <v>2.38</v>
          </cell>
          <cell r="O1286"/>
          <cell r="P1286"/>
          <cell r="Q1286"/>
          <cell r="R1286">
            <v>2.83</v>
          </cell>
          <cell r="S1286"/>
          <cell r="T1286"/>
          <cell r="U1286"/>
          <cell r="V1286">
            <v>15</v>
          </cell>
          <cell r="W1286"/>
          <cell r="X1286" t="str">
            <v>LIVALTEX</v>
          </cell>
          <cell r="Y1286"/>
          <cell r="Z1286" t="str">
            <v>ROSE ; MAIL 16/11/17</v>
          </cell>
          <cell r="AA1286"/>
          <cell r="AB1286">
            <v>43055</v>
          </cell>
          <cell r="AC1286">
            <v>5310</v>
          </cell>
        </row>
        <row r="1287">
          <cell r="B1287">
            <v>3784</v>
          </cell>
          <cell r="C1287" t="str">
            <v>SP-695A</v>
          </cell>
          <cell r="D1287"/>
          <cell r="E1287" t="str">
            <v>32'X100d</v>
          </cell>
          <cell r="F1287" t="str">
            <v>R/T 65/35</v>
          </cell>
          <cell r="G1287" t="str">
            <v xml:space="preserve">65%RAYON /35% POLY </v>
          </cell>
          <cell r="H1287" t="str">
            <v>56/57</v>
          </cell>
          <cell r="I1287">
            <v>144</v>
          </cell>
          <cell r="J1287">
            <v>2.5299999999999998</v>
          </cell>
          <cell r="K1287"/>
          <cell r="L1287">
            <v>2.58</v>
          </cell>
          <cell r="M1287"/>
          <cell r="N1287">
            <v>2.58</v>
          </cell>
          <cell r="O1287"/>
          <cell r="P1287"/>
          <cell r="Q1287"/>
          <cell r="R1287">
            <v>3.03</v>
          </cell>
          <cell r="S1287"/>
          <cell r="T1287"/>
          <cell r="U1287"/>
          <cell r="V1287">
            <v>15</v>
          </cell>
          <cell r="W1287"/>
          <cell r="X1287" t="str">
            <v>LIVALTEX</v>
          </cell>
          <cell r="Y1287"/>
          <cell r="Z1287" t="str">
            <v>ROSE ; MAIL 16/11/17</v>
          </cell>
          <cell r="AA1287"/>
          <cell r="AB1287">
            <v>43055</v>
          </cell>
          <cell r="AC1287">
            <v>5311</v>
          </cell>
        </row>
        <row r="1288">
          <cell r="B1288">
            <v>3783</v>
          </cell>
          <cell r="C1288" t="str">
            <v>RP-310</v>
          </cell>
          <cell r="D1288"/>
          <cell r="E1288" t="str">
            <v>60x60+30/90x80</v>
          </cell>
          <cell r="F1288" t="str">
            <v>V100%</v>
          </cell>
          <cell r="G1288" t="str">
            <v>100%VISCOSE</v>
          </cell>
          <cell r="H1288" t="str">
            <v>55/56</v>
          </cell>
          <cell r="I1288" t="str">
            <v>120GSM</v>
          </cell>
          <cell r="J1288">
            <v>3.88</v>
          </cell>
          <cell r="K1288"/>
          <cell r="L1288">
            <v>3.92</v>
          </cell>
          <cell r="M1288"/>
          <cell r="N1288">
            <v>3.92</v>
          </cell>
          <cell r="O1288"/>
          <cell r="P1288"/>
          <cell r="Q1288"/>
          <cell r="R1288">
            <v>4.47</v>
          </cell>
          <cell r="S1288"/>
          <cell r="T1288"/>
          <cell r="U1288"/>
          <cell r="V1288">
            <v>15</v>
          </cell>
          <cell r="W1288"/>
          <cell r="X1288" t="str">
            <v>LIVALTEX</v>
          </cell>
          <cell r="Y1288"/>
          <cell r="Z1288" t="str">
            <v>ROSE ; MAIL 16/11/17</v>
          </cell>
          <cell r="AA1288"/>
          <cell r="AB1288">
            <v>43055</v>
          </cell>
          <cell r="AC1288">
            <v>5312</v>
          </cell>
        </row>
        <row r="1289">
          <cell r="B1289">
            <v>3782</v>
          </cell>
          <cell r="C1289" t="str">
            <v>T-2220</v>
          </cell>
          <cell r="D1289"/>
          <cell r="E1289" t="str">
            <v>50+50x75D</v>
          </cell>
          <cell r="F1289" t="str">
            <v>T100%</v>
          </cell>
          <cell r="G1289" t="str">
            <v xml:space="preserve">100% POLYESTER </v>
          </cell>
          <cell r="H1289" t="str">
            <v>57/58</v>
          </cell>
          <cell r="I1289">
            <v>105</v>
          </cell>
          <cell r="J1289">
            <v>1.85</v>
          </cell>
          <cell r="K1289"/>
          <cell r="L1289">
            <v>1.89</v>
          </cell>
          <cell r="M1289"/>
          <cell r="N1289">
            <v>1.89</v>
          </cell>
          <cell r="O1289"/>
          <cell r="P1289"/>
          <cell r="Q1289"/>
          <cell r="R1289">
            <v>2.34</v>
          </cell>
          <cell r="S1289"/>
          <cell r="T1289"/>
          <cell r="U1289"/>
          <cell r="V1289">
            <v>15</v>
          </cell>
          <cell r="W1289"/>
          <cell r="X1289" t="str">
            <v>LIVALTEX</v>
          </cell>
          <cell r="Y1289"/>
          <cell r="Z1289" t="str">
            <v>ROSE ; MAIL 16/11/17</v>
          </cell>
          <cell r="AA1289"/>
          <cell r="AB1289">
            <v>43055</v>
          </cell>
          <cell r="AC1289">
            <v>5313</v>
          </cell>
        </row>
        <row r="1290">
          <cell r="B1290">
            <v>3572</v>
          </cell>
          <cell r="C1290" t="str">
            <v>T-1869</v>
          </cell>
          <cell r="D1290" t="str">
            <v>POLY CREPE</v>
          </cell>
          <cell r="E1290" t="str">
            <v xml:space="preserve"> 150D+150D</v>
          </cell>
          <cell r="F1290" t="str">
            <v>T100%</v>
          </cell>
          <cell r="G1290" t="str">
            <v xml:space="preserve">100% POLYESTER </v>
          </cell>
          <cell r="H1290" t="str">
            <v>57/58</v>
          </cell>
          <cell r="I1290">
            <v>145</v>
          </cell>
          <cell r="J1290">
            <v>2.5099999999999998</v>
          </cell>
          <cell r="K1290"/>
          <cell r="L1290">
            <v>2.56</v>
          </cell>
          <cell r="M1290"/>
          <cell r="N1290">
            <v>2.56</v>
          </cell>
          <cell r="O1290"/>
          <cell r="P1290"/>
          <cell r="Q1290"/>
          <cell r="R1290">
            <v>3.01</v>
          </cell>
          <cell r="S1290"/>
          <cell r="T1290"/>
          <cell r="U1290"/>
          <cell r="V1290">
            <v>15</v>
          </cell>
          <cell r="W1290"/>
          <cell r="X1290" t="str">
            <v>LIVALTEX</v>
          </cell>
          <cell r="Y1290"/>
          <cell r="Z1290" t="str">
            <v>ROSE ; MAIL 16/11/17</v>
          </cell>
          <cell r="AA1290"/>
          <cell r="AB1290">
            <v>43055</v>
          </cell>
          <cell r="AC1290">
            <v>5319</v>
          </cell>
        </row>
        <row r="1291">
          <cell r="B1291">
            <v>3840</v>
          </cell>
          <cell r="C1291" t="str">
            <v>KPK-22754</v>
          </cell>
          <cell r="D1291" t="str">
            <v xml:space="preserve">MESH WITH DOT PRINT </v>
          </cell>
          <cell r="E1291"/>
          <cell r="F1291" t="str">
            <v>N100%</v>
          </cell>
          <cell r="G1291" t="str">
            <v xml:space="preserve">100% NYLON </v>
          </cell>
          <cell r="H1291" t="str">
            <v>148CM</v>
          </cell>
          <cell r="I1291">
            <v>20</v>
          </cell>
          <cell r="J1291">
            <v>0.85</v>
          </cell>
          <cell r="K1291">
            <v>1.1499999999999999</v>
          </cell>
          <cell r="L1291">
            <v>0.85</v>
          </cell>
          <cell r="M1291">
            <v>1.1499999999999999</v>
          </cell>
          <cell r="N1291">
            <v>0.89249999999999996</v>
          </cell>
          <cell r="O1291">
            <v>1.2075</v>
          </cell>
          <cell r="P1291"/>
          <cell r="Q1291"/>
          <cell r="R1291">
            <v>0.93500000000000005</v>
          </cell>
          <cell r="S1291">
            <v>1.2649999999999999</v>
          </cell>
          <cell r="T1291"/>
          <cell r="U1291"/>
          <cell r="V1291">
            <v>15</v>
          </cell>
          <cell r="W1291"/>
          <cell r="X1291" t="str">
            <v>PANI</v>
          </cell>
          <cell r="Y1291"/>
          <cell r="Z1291" t="str">
            <v>AMY' MAIL 15/11/17</v>
          </cell>
          <cell r="AA1291"/>
          <cell r="AB1291">
            <v>43054</v>
          </cell>
          <cell r="AC1291">
            <v>5321</v>
          </cell>
        </row>
        <row r="1292">
          <cell r="B1292">
            <v>3839</v>
          </cell>
          <cell r="C1292" t="str">
            <v>CK5995</v>
          </cell>
          <cell r="D1292" t="str">
            <v>CREPE WITH FOIL</v>
          </cell>
          <cell r="E1292"/>
          <cell r="F1292" t="str">
            <v>T100%</v>
          </cell>
          <cell r="G1292" t="str">
            <v xml:space="preserve">100% POLYESTER </v>
          </cell>
          <cell r="H1292" t="str">
            <v>57/58</v>
          </cell>
          <cell r="I1292">
            <v>120</v>
          </cell>
          <cell r="J1292">
            <v>1.35</v>
          </cell>
          <cell r="K1292">
            <v>2</v>
          </cell>
          <cell r="L1292">
            <v>1.35</v>
          </cell>
          <cell r="M1292">
            <v>2</v>
          </cell>
          <cell r="N1292">
            <v>1.4175000000000002</v>
          </cell>
          <cell r="O1292">
            <v>2.1</v>
          </cell>
          <cell r="P1292"/>
          <cell r="Q1292"/>
          <cell r="R1292">
            <v>1.4850000000000003</v>
          </cell>
          <cell r="S1292">
            <v>2.2000000000000002</v>
          </cell>
          <cell r="T1292"/>
          <cell r="U1292"/>
          <cell r="V1292">
            <v>15</v>
          </cell>
          <cell r="W1292"/>
          <cell r="X1292" t="str">
            <v>PANI</v>
          </cell>
          <cell r="Y1292"/>
          <cell r="Z1292" t="str">
            <v>AMY' MAIL 15/11/17</v>
          </cell>
          <cell r="AA1292"/>
          <cell r="AB1292">
            <v>43054</v>
          </cell>
          <cell r="AC1292">
            <v>5322</v>
          </cell>
        </row>
        <row r="1293">
          <cell r="B1293">
            <v>3838</v>
          </cell>
          <cell r="C1293" t="str">
            <v>SH742</v>
          </cell>
          <cell r="D1293"/>
          <cell r="E1293" t="str">
            <v>75D FDYx75D FDY</v>
          </cell>
          <cell r="F1293" t="str">
            <v>T100%</v>
          </cell>
          <cell r="G1293" t="str">
            <v>100% POLYESTER</v>
          </cell>
          <cell r="H1293" t="str">
            <v>150CM</v>
          </cell>
          <cell r="I1293">
            <v>140</v>
          </cell>
          <cell r="J1293">
            <v>1.5</v>
          </cell>
          <cell r="K1293">
            <v>1.8</v>
          </cell>
          <cell r="L1293">
            <v>1.5</v>
          </cell>
          <cell r="M1293">
            <v>1.8</v>
          </cell>
          <cell r="N1293">
            <v>1.5750000000000002</v>
          </cell>
          <cell r="O1293">
            <v>1.8900000000000001</v>
          </cell>
          <cell r="P1293"/>
          <cell r="Q1293"/>
          <cell r="R1293">
            <v>1.6500000000000001</v>
          </cell>
          <cell r="S1293">
            <v>1.9800000000000002</v>
          </cell>
          <cell r="T1293"/>
          <cell r="U1293"/>
          <cell r="V1293">
            <v>15</v>
          </cell>
          <cell r="W1293"/>
          <cell r="X1293" t="str">
            <v>PANI</v>
          </cell>
          <cell r="Y1293"/>
          <cell r="Z1293" t="str">
            <v>AMY' MAIL 15/11/17</v>
          </cell>
          <cell r="AA1293"/>
          <cell r="AB1293">
            <v>43054</v>
          </cell>
          <cell r="AC1293">
            <v>5323</v>
          </cell>
        </row>
        <row r="1294">
          <cell r="B1294">
            <v>3837</v>
          </cell>
          <cell r="C1294" t="str">
            <v>KPW-22992</v>
          </cell>
          <cell r="D1294" t="str">
            <v>SATEEN</v>
          </cell>
          <cell r="E1294"/>
          <cell r="F1294" t="str">
            <v>T/S 95/5</v>
          </cell>
          <cell r="G1294" t="str">
            <v xml:space="preserve">95% POLY  5% SPANDEX </v>
          </cell>
          <cell r="H1294" t="str">
            <v>57/58</v>
          </cell>
          <cell r="I1294">
            <v>110</v>
          </cell>
          <cell r="J1294">
            <v>1.7</v>
          </cell>
          <cell r="K1294">
            <v>2</v>
          </cell>
          <cell r="L1294">
            <v>1.7</v>
          </cell>
          <cell r="M1294">
            <v>2.1</v>
          </cell>
          <cell r="N1294">
            <v>1.7849999999999999</v>
          </cell>
          <cell r="O1294">
            <v>2.2050000000000001</v>
          </cell>
          <cell r="P1294"/>
          <cell r="Q1294"/>
          <cell r="R1294">
            <v>1.87</v>
          </cell>
          <cell r="S1294">
            <v>2.3100000000000005</v>
          </cell>
          <cell r="T1294"/>
          <cell r="U1294"/>
          <cell r="V1294">
            <v>15</v>
          </cell>
          <cell r="W1294"/>
          <cell r="X1294" t="str">
            <v>PANI</v>
          </cell>
          <cell r="Y1294"/>
          <cell r="Z1294" t="str">
            <v>AMY' MAIL 15/11/17</v>
          </cell>
          <cell r="AA1294"/>
          <cell r="AB1294">
            <v>43054</v>
          </cell>
          <cell r="AC1294">
            <v>5333</v>
          </cell>
        </row>
        <row r="1295">
          <cell r="B1295">
            <v>3836</v>
          </cell>
          <cell r="C1295" t="str">
            <v>XY-17045</v>
          </cell>
          <cell r="D1295" t="str">
            <v>CHIFFON WITH  JACQUARD AND DRIP</v>
          </cell>
          <cell r="E1295"/>
          <cell r="F1295" t="str">
            <v>T100%</v>
          </cell>
          <cell r="G1295" t="str">
            <v xml:space="preserve">100% POLYESTER </v>
          </cell>
          <cell r="H1295" t="str">
            <v xml:space="preserve">140CM </v>
          </cell>
          <cell r="I1295">
            <v>95</v>
          </cell>
          <cell r="J1295">
            <v>1.7</v>
          </cell>
          <cell r="K1295">
            <v>2.1</v>
          </cell>
          <cell r="L1295">
            <v>1.7</v>
          </cell>
          <cell r="M1295">
            <v>2.1</v>
          </cell>
          <cell r="N1295">
            <v>1.7849999999999999</v>
          </cell>
          <cell r="O1295">
            <v>2.2050000000000001</v>
          </cell>
          <cell r="P1295"/>
          <cell r="Q1295"/>
          <cell r="R1295">
            <v>1.87</v>
          </cell>
          <cell r="S1295">
            <v>2.3100000000000005</v>
          </cell>
          <cell r="T1295"/>
          <cell r="U1295"/>
          <cell r="V1295">
            <v>15</v>
          </cell>
          <cell r="W1295"/>
          <cell r="X1295" t="str">
            <v>PANI</v>
          </cell>
          <cell r="Y1295"/>
          <cell r="Z1295" t="str">
            <v>AMY' MAIL 15/11/17</v>
          </cell>
          <cell r="AA1295"/>
          <cell r="AB1295">
            <v>43054</v>
          </cell>
          <cell r="AC1295">
            <v>5324</v>
          </cell>
        </row>
        <row r="1296">
          <cell r="B1296">
            <v>3835</v>
          </cell>
          <cell r="C1296" t="str">
            <v>KPK-21731</v>
          </cell>
          <cell r="D1296" t="str">
            <v>MESH WITH FLOCKING DOT</v>
          </cell>
          <cell r="E1296"/>
          <cell r="F1296" t="str">
            <v>T100%</v>
          </cell>
          <cell r="G1296" t="str">
            <v xml:space="preserve">100% POLYESTER </v>
          </cell>
          <cell r="H1296" t="str">
            <v>155CM</v>
          </cell>
          <cell r="I1296">
            <v>55</v>
          </cell>
          <cell r="J1296">
            <v>0.75</v>
          </cell>
          <cell r="K1296">
            <v>1.35</v>
          </cell>
          <cell r="L1296">
            <v>0.75</v>
          </cell>
          <cell r="M1296">
            <v>1.35</v>
          </cell>
          <cell r="N1296">
            <v>0.78750000000000009</v>
          </cell>
          <cell r="O1296">
            <v>1.4175000000000002</v>
          </cell>
          <cell r="P1296"/>
          <cell r="Q1296"/>
          <cell r="R1296">
            <v>0.82500000000000007</v>
          </cell>
          <cell r="S1296">
            <v>1.4850000000000003</v>
          </cell>
          <cell r="T1296"/>
          <cell r="U1296"/>
          <cell r="V1296">
            <v>15</v>
          </cell>
          <cell r="W1296"/>
          <cell r="X1296" t="str">
            <v>PANI</v>
          </cell>
          <cell r="Y1296"/>
          <cell r="Z1296" t="str">
            <v>AMY' MAIL 15/11/17</v>
          </cell>
          <cell r="AA1296"/>
          <cell r="AB1296">
            <v>43054</v>
          </cell>
          <cell r="AC1296">
            <v>5325</v>
          </cell>
        </row>
        <row r="1297">
          <cell r="B1297">
            <v>3834</v>
          </cell>
          <cell r="C1297" t="str">
            <v>WW-23293</v>
          </cell>
          <cell r="D1297" t="str">
            <v>CRINKLE CHIFFON</v>
          </cell>
          <cell r="E1297"/>
          <cell r="F1297" t="str">
            <v>T100%</v>
          </cell>
          <cell r="G1297" t="str">
            <v xml:space="preserve">100% POLYESTER </v>
          </cell>
          <cell r="H1297" t="str">
            <v>58/60</v>
          </cell>
          <cell r="I1297">
            <v>95</v>
          </cell>
          <cell r="J1297">
            <v>1.7</v>
          </cell>
          <cell r="K1297">
            <v>2</v>
          </cell>
          <cell r="L1297">
            <v>1.7</v>
          </cell>
          <cell r="M1297">
            <v>2</v>
          </cell>
          <cell r="N1297">
            <v>1.7849999999999999</v>
          </cell>
          <cell r="O1297">
            <v>2.1</v>
          </cell>
          <cell r="P1297"/>
          <cell r="Q1297"/>
          <cell r="R1297">
            <v>1.87</v>
          </cell>
          <cell r="S1297">
            <v>2.2000000000000002</v>
          </cell>
          <cell r="T1297"/>
          <cell r="U1297"/>
          <cell r="V1297">
            <v>15</v>
          </cell>
          <cell r="W1297"/>
          <cell r="X1297" t="str">
            <v>PANI</v>
          </cell>
          <cell r="Y1297"/>
          <cell r="Z1297" t="str">
            <v>AMY' MAIL 15/11/17</v>
          </cell>
          <cell r="AA1297"/>
          <cell r="AB1297">
            <v>43054</v>
          </cell>
          <cell r="AC1297">
            <v>5326</v>
          </cell>
        </row>
        <row r="1298">
          <cell r="B1298">
            <v>3823</v>
          </cell>
          <cell r="C1298" t="str">
            <v>HLT229</v>
          </cell>
          <cell r="D1298" t="str">
            <v>SATEEN (PAPER)</v>
          </cell>
          <cell r="E1298"/>
          <cell r="F1298" t="str">
            <v>T100%</v>
          </cell>
          <cell r="G1298" t="str">
            <v xml:space="preserve">100% POLYESTER </v>
          </cell>
          <cell r="H1298" t="str">
            <v>57/58</v>
          </cell>
          <cell r="I1298">
            <v>85</v>
          </cell>
          <cell r="J1298">
            <v>1.45067567567568</v>
          </cell>
          <cell r="K1298">
            <v>1.5722972972972999</v>
          </cell>
          <cell r="L1298">
            <v>1.5506756756756801</v>
          </cell>
          <cell r="M1298">
            <v>1.6722972972973</v>
          </cell>
          <cell r="N1298">
            <v>1.65067567567568</v>
          </cell>
          <cell r="O1298">
            <v>1.7722972972972999</v>
          </cell>
          <cell r="P1298"/>
          <cell r="Q1298"/>
          <cell r="R1298">
            <v>1.8506756756756799</v>
          </cell>
          <cell r="S1298">
            <v>1.9722972972973001</v>
          </cell>
          <cell r="T1298"/>
          <cell r="U1298"/>
          <cell r="V1298">
            <v>15</v>
          </cell>
          <cell r="W1298"/>
          <cell r="X1298" t="str">
            <v>CANDY</v>
          </cell>
          <cell r="Y1298"/>
          <cell r="Z1298" t="str">
            <v>LEI WANG' MAIL 15/11/17</v>
          </cell>
          <cell r="AA1298"/>
          <cell r="AB1298">
            <v>43054</v>
          </cell>
          <cell r="AC1298">
            <v>5334</v>
          </cell>
        </row>
        <row r="1299">
          <cell r="B1299">
            <v>3822</v>
          </cell>
          <cell r="C1299" t="str">
            <v>HLT1812</v>
          </cell>
          <cell r="D1299" t="str">
            <v>SATEEN</v>
          </cell>
          <cell r="E1299" t="str">
            <v>20D+26D*20D+26D</v>
          </cell>
          <cell r="F1299" t="str">
            <v>T100%</v>
          </cell>
          <cell r="G1299" t="str">
            <v xml:space="preserve">100% POLYESTER  </v>
          </cell>
          <cell r="H1299" t="str">
            <v>57/58</v>
          </cell>
          <cell r="I1299">
            <v>110</v>
          </cell>
          <cell r="J1299">
            <v>1.2986486486486499</v>
          </cell>
          <cell r="K1299">
            <v>1.4202702702702701</v>
          </cell>
          <cell r="L1299">
            <v>1.39864864864865</v>
          </cell>
          <cell r="M1299">
            <v>1.52027027027027</v>
          </cell>
          <cell r="N1299">
            <v>1.4986486486486501</v>
          </cell>
          <cell r="O1299">
            <v>1.62027027027027</v>
          </cell>
          <cell r="P1299"/>
          <cell r="Q1299"/>
          <cell r="R1299">
            <v>1.6986486486486501</v>
          </cell>
          <cell r="S1299">
            <v>1.82027027027027</v>
          </cell>
          <cell r="T1299"/>
          <cell r="U1299"/>
          <cell r="V1299">
            <v>15</v>
          </cell>
          <cell r="W1299"/>
          <cell r="X1299" t="str">
            <v>CANDY</v>
          </cell>
          <cell r="Y1299"/>
          <cell r="Z1299" t="str">
            <v>LEI WANG' MAIL 15/11/17</v>
          </cell>
          <cell r="AA1299"/>
          <cell r="AB1299">
            <v>43054</v>
          </cell>
          <cell r="AC1299">
            <v>5320</v>
          </cell>
        </row>
        <row r="1300">
          <cell r="B1300">
            <v>3781</v>
          </cell>
          <cell r="C1300" t="str">
            <v>BG3351-A</v>
          </cell>
          <cell r="D1300"/>
          <cell r="E1300" t="str">
            <v xml:space="preserve"> 40S*75D/130*64</v>
          </cell>
          <cell r="F1300" t="str">
            <v>MODEL/T 78/22</v>
          </cell>
          <cell r="G1300" t="str">
            <v>78% MODEL  22% POLY</v>
          </cell>
          <cell r="H1300" t="str">
            <v>54/55</v>
          </cell>
          <cell r="I1300">
            <v>110</v>
          </cell>
          <cell r="J1300">
            <v>3.25</v>
          </cell>
          <cell r="K1300">
            <v>3.7</v>
          </cell>
          <cell r="L1300">
            <v>3.27</v>
          </cell>
          <cell r="M1300">
            <v>3.75</v>
          </cell>
          <cell r="N1300">
            <v>3.3</v>
          </cell>
          <cell r="O1300">
            <v>3.8</v>
          </cell>
          <cell r="P1300"/>
          <cell r="Q1300"/>
          <cell r="R1300">
            <v>3.5</v>
          </cell>
          <cell r="S1300">
            <v>4.5</v>
          </cell>
          <cell r="T1300"/>
          <cell r="U1300"/>
          <cell r="V1300">
            <v>15</v>
          </cell>
          <cell r="W1300"/>
          <cell r="X1300" t="str">
            <v>EDWIN</v>
          </cell>
          <cell r="Y1300"/>
          <cell r="Z1300" t="str">
            <v>EDWIN ' MAIL 15/11/17</v>
          </cell>
          <cell r="AA1300"/>
          <cell r="AB1300">
            <v>43054</v>
          </cell>
          <cell r="AC1300">
            <v>5327</v>
          </cell>
        </row>
        <row r="1301">
          <cell r="B1301">
            <v>3780</v>
          </cell>
          <cell r="C1301" t="str">
            <v>BG3886</v>
          </cell>
          <cell r="D1301"/>
          <cell r="E1301" t="str">
            <v>215DCEY*215DCEY</v>
          </cell>
          <cell r="F1301" t="str">
            <v>T100%</v>
          </cell>
          <cell r="G1301" t="str">
            <v xml:space="preserve">100% POLYESTER </v>
          </cell>
          <cell r="H1301" t="str">
            <v>57/58</v>
          </cell>
          <cell r="I1301">
            <v>195</v>
          </cell>
          <cell r="J1301">
            <v>2.35</v>
          </cell>
          <cell r="K1301">
            <v>2.6</v>
          </cell>
          <cell r="L1301">
            <v>2.37</v>
          </cell>
          <cell r="M1301">
            <v>2.65</v>
          </cell>
          <cell r="N1301">
            <v>2.4</v>
          </cell>
          <cell r="O1301">
            <v>2.7</v>
          </cell>
          <cell r="P1301"/>
          <cell r="Q1301"/>
          <cell r="R1301">
            <v>2.5499999999999998</v>
          </cell>
          <cell r="S1301">
            <v>3</v>
          </cell>
          <cell r="T1301"/>
          <cell r="U1301"/>
          <cell r="V1301">
            <v>15</v>
          </cell>
          <cell r="W1301"/>
          <cell r="X1301" t="str">
            <v>EDWIN</v>
          </cell>
          <cell r="Y1301"/>
          <cell r="Z1301" t="str">
            <v>EDWIN ' MAIL 15/11/17</v>
          </cell>
          <cell r="AA1301"/>
          <cell r="AB1301">
            <v>43054</v>
          </cell>
          <cell r="AC1301">
            <v>5328</v>
          </cell>
        </row>
        <row r="1302">
          <cell r="B1302">
            <v>3779</v>
          </cell>
          <cell r="C1302" t="str">
            <v>BG3431</v>
          </cell>
          <cell r="D1302"/>
          <cell r="E1302" t="str">
            <v>60S*60S</v>
          </cell>
          <cell r="F1302" t="str">
            <v>R100%</v>
          </cell>
          <cell r="G1302" t="str">
            <v xml:space="preserve">100% RAYON </v>
          </cell>
          <cell r="H1302" t="str">
            <v>53/54</v>
          </cell>
          <cell r="I1302">
            <v>83</v>
          </cell>
          <cell r="J1302">
            <v>1.75</v>
          </cell>
          <cell r="K1302">
            <v>2</v>
          </cell>
          <cell r="L1302">
            <v>1.78</v>
          </cell>
          <cell r="M1302">
            <v>2.0499999999999998</v>
          </cell>
          <cell r="N1302">
            <v>1.8</v>
          </cell>
          <cell r="O1302">
            <v>2.1</v>
          </cell>
          <cell r="P1302"/>
          <cell r="Q1302"/>
          <cell r="R1302">
            <v>1.95</v>
          </cell>
          <cell r="S1302">
            <v>2.35</v>
          </cell>
          <cell r="T1302"/>
          <cell r="U1302"/>
          <cell r="V1302">
            <v>15</v>
          </cell>
          <cell r="W1302"/>
          <cell r="X1302" t="str">
            <v>EDWIN</v>
          </cell>
          <cell r="Y1302"/>
          <cell r="Z1302" t="str">
            <v>EDWIN ' MAIL 15/11/17</v>
          </cell>
          <cell r="AA1302"/>
          <cell r="AB1302">
            <v>43054</v>
          </cell>
          <cell r="AC1302">
            <v>5329</v>
          </cell>
        </row>
        <row r="1303">
          <cell r="B1303">
            <v>3778</v>
          </cell>
          <cell r="C1303" t="str">
            <v>BG3296</v>
          </cell>
          <cell r="D1303" t="str">
            <v>DOBBY RAYON</v>
          </cell>
          <cell r="E1303" t="str">
            <v>60S*60S</v>
          </cell>
          <cell r="F1303" t="str">
            <v>R100%</v>
          </cell>
          <cell r="G1303" t="str">
            <v xml:space="preserve">100% RAYON </v>
          </cell>
          <cell r="H1303" t="str">
            <v>53/54</v>
          </cell>
          <cell r="I1303">
            <v>80</v>
          </cell>
          <cell r="J1303">
            <v>1.8</v>
          </cell>
          <cell r="K1303">
            <v>2.0499999999999998</v>
          </cell>
          <cell r="L1303">
            <v>1.83</v>
          </cell>
          <cell r="M1303">
            <v>2.1</v>
          </cell>
          <cell r="N1303">
            <v>1.85</v>
          </cell>
          <cell r="O1303">
            <v>2.15</v>
          </cell>
          <cell r="P1303"/>
          <cell r="Q1303"/>
          <cell r="R1303">
            <v>2</v>
          </cell>
          <cell r="S1303">
            <v>2.4</v>
          </cell>
          <cell r="T1303"/>
          <cell r="U1303"/>
          <cell r="V1303">
            <v>15</v>
          </cell>
          <cell r="W1303"/>
          <cell r="X1303" t="str">
            <v>EDWIN</v>
          </cell>
          <cell r="Y1303"/>
          <cell r="Z1303" t="str">
            <v>EDWIN ' MAIL 15/11/17</v>
          </cell>
          <cell r="AA1303"/>
          <cell r="AB1303">
            <v>43054</v>
          </cell>
          <cell r="AC1303">
            <v>5330</v>
          </cell>
        </row>
        <row r="1304">
          <cell r="B1304">
            <v>3777</v>
          </cell>
          <cell r="C1304" t="str">
            <v>BG3767</v>
          </cell>
          <cell r="D1304" t="str">
            <v>DOBBY RAYON</v>
          </cell>
          <cell r="E1304" t="str">
            <v xml:space="preserve"> 40*40 100*64</v>
          </cell>
          <cell r="F1304" t="str">
            <v>R100%</v>
          </cell>
          <cell r="G1304" t="str">
            <v xml:space="preserve">100% RAYON  </v>
          </cell>
          <cell r="H1304" t="str">
            <v>53/54</v>
          </cell>
          <cell r="I1304">
            <v>120</v>
          </cell>
          <cell r="J1304">
            <v>1.8</v>
          </cell>
          <cell r="K1304">
            <v>2.0499999999999998</v>
          </cell>
          <cell r="L1304">
            <v>1.83</v>
          </cell>
          <cell r="M1304">
            <v>2.1</v>
          </cell>
          <cell r="N1304">
            <v>1.85</v>
          </cell>
          <cell r="O1304">
            <v>2.15</v>
          </cell>
          <cell r="P1304"/>
          <cell r="Q1304"/>
          <cell r="R1304">
            <v>2</v>
          </cell>
          <cell r="S1304">
            <v>2.4</v>
          </cell>
          <cell r="T1304"/>
          <cell r="U1304"/>
          <cell r="V1304">
            <v>15</v>
          </cell>
          <cell r="W1304"/>
          <cell r="X1304" t="str">
            <v>EDWIN</v>
          </cell>
          <cell r="Y1304"/>
          <cell r="Z1304" t="str">
            <v>EDWIN ' MAIL 15/11/17</v>
          </cell>
          <cell r="AA1304"/>
          <cell r="AB1304">
            <v>43054</v>
          </cell>
          <cell r="AC1304">
            <v>5331</v>
          </cell>
        </row>
        <row r="1305">
          <cell r="B1305">
            <v>261</v>
          </cell>
          <cell r="C1305" t="str">
            <v>ST-4206</v>
          </cell>
          <cell r="D1305"/>
          <cell r="E1305" t="str">
            <v xml:space="preserve">20*26+75d </v>
          </cell>
          <cell r="F1305" t="str">
            <v>T100%</v>
          </cell>
          <cell r="G1305" t="str">
            <v>100% POLYESTER</v>
          </cell>
          <cell r="H1305" t="str">
            <v>57/58</v>
          </cell>
          <cell r="I1305">
            <v>70</v>
          </cell>
          <cell r="J1305">
            <v>1.24</v>
          </cell>
          <cell r="K1305">
            <v>1.44</v>
          </cell>
          <cell r="L1305">
            <v>1.25</v>
          </cell>
          <cell r="M1305">
            <v>1.44</v>
          </cell>
          <cell r="N1305">
            <v>1.25</v>
          </cell>
          <cell r="O1305">
            <v>1.44</v>
          </cell>
          <cell r="P1305"/>
          <cell r="Q1305"/>
          <cell r="R1305">
            <v>1.65</v>
          </cell>
          <cell r="S1305">
            <v>1.57</v>
          </cell>
          <cell r="T1305"/>
          <cell r="U1305"/>
          <cell r="V1305">
            <v>15</v>
          </cell>
          <cell r="W1305"/>
          <cell r="X1305" t="str">
            <v>SIGER</v>
          </cell>
          <cell r="Y1305"/>
          <cell r="Z1305" t="str">
            <v>CARA ' MAIL 15/11/17</v>
          </cell>
          <cell r="AA1305"/>
          <cell r="AB1305">
            <v>43054</v>
          </cell>
          <cell r="AC1305">
            <v>5332</v>
          </cell>
        </row>
        <row r="1306">
          <cell r="B1306">
            <v>3776</v>
          </cell>
          <cell r="C1306" t="str">
            <v>TS-487</v>
          </cell>
          <cell r="D1306" t="str">
            <v>MESH WITH DOT</v>
          </cell>
          <cell r="E1306"/>
          <cell r="F1306" t="str">
            <v>T/S</v>
          </cell>
          <cell r="G1306" t="str">
            <v>POLY/SPAN DOBBY</v>
          </cell>
          <cell r="H1306" t="str">
            <v>62/63</v>
          </cell>
          <cell r="I1306">
            <v>65</v>
          </cell>
          <cell r="J1306">
            <v>0.66</v>
          </cell>
          <cell r="K1306"/>
          <cell r="L1306">
            <v>0.68</v>
          </cell>
          <cell r="M1306"/>
          <cell r="N1306">
            <v>0.7</v>
          </cell>
          <cell r="O1306"/>
          <cell r="P1306"/>
          <cell r="Q1306"/>
          <cell r="R1306">
            <v>0.85</v>
          </cell>
          <cell r="S1306"/>
          <cell r="T1306"/>
          <cell r="U1306"/>
          <cell r="V1306">
            <v>15</v>
          </cell>
          <cell r="W1306"/>
          <cell r="X1306" t="str">
            <v>GAVIN</v>
          </cell>
          <cell r="Y1306"/>
          <cell r="Z1306" t="str">
            <v>GAVIN ' MAIL 14/11/17</v>
          </cell>
          <cell r="AA1306"/>
          <cell r="AB1306">
            <v>43053</v>
          </cell>
          <cell r="AC1306">
            <v>5335</v>
          </cell>
        </row>
        <row r="1307">
          <cell r="B1307">
            <v>3775</v>
          </cell>
          <cell r="C1307" t="str">
            <v>TS-485</v>
          </cell>
          <cell r="D1307" t="str">
            <v>CRINKLE CHIFFON WITH LUREX  LINE</v>
          </cell>
          <cell r="E1307"/>
          <cell r="F1307" t="str">
            <v>T/LUREX 98/3</v>
          </cell>
          <cell r="G1307" t="str">
            <v xml:space="preserve">98% POLY + 3% LUREX </v>
          </cell>
          <cell r="H1307" t="str">
            <v>57/58</v>
          </cell>
          <cell r="I1307">
            <v>73</v>
          </cell>
          <cell r="J1307">
            <v>1.21</v>
          </cell>
          <cell r="K1307"/>
          <cell r="L1307">
            <v>1.23</v>
          </cell>
          <cell r="M1307"/>
          <cell r="N1307">
            <v>1.25</v>
          </cell>
          <cell r="O1307"/>
          <cell r="P1307"/>
          <cell r="Q1307"/>
          <cell r="R1307">
            <v>1.4</v>
          </cell>
          <cell r="S1307"/>
          <cell r="T1307"/>
          <cell r="U1307"/>
          <cell r="V1307">
            <v>15</v>
          </cell>
          <cell r="W1307"/>
          <cell r="X1307" t="str">
            <v>GAVIN</v>
          </cell>
          <cell r="Y1307"/>
          <cell r="Z1307" t="str">
            <v>GAVIN ' MAIL 14/11/17</v>
          </cell>
          <cell r="AA1307"/>
          <cell r="AB1307">
            <v>43053</v>
          </cell>
          <cell r="AC1307">
            <v>5336</v>
          </cell>
        </row>
        <row r="1308">
          <cell r="B1308">
            <v>3774</v>
          </cell>
          <cell r="C1308" t="str">
            <v>TS-484</v>
          </cell>
          <cell r="D1308" t="str">
            <v xml:space="preserve">COTTON WITH LUREX DOT </v>
          </cell>
          <cell r="E1308"/>
          <cell r="F1308" t="str">
            <v>C/N/LUREX 80/15/5</v>
          </cell>
          <cell r="G1308" t="str">
            <v xml:space="preserve">80% COTTON 15% NYLON 5% LUREX </v>
          </cell>
          <cell r="H1308" t="str">
            <v>57/58</v>
          </cell>
          <cell r="I1308">
            <v>81</v>
          </cell>
          <cell r="J1308">
            <v>2.0099999999999998</v>
          </cell>
          <cell r="K1308"/>
          <cell r="L1308">
            <v>2.0299999999999998</v>
          </cell>
          <cell r="M1308"/>
          <cell r="N1308">
            <v>2.0499999999999998</v>
          </cell>
          <cell r="O1308"/>
          <cell r="P1308"/>
          <cell r="Q1308"/>
          <cell r="R1308">
            <v>2.2000000000000002</v>
          </cell>
          <cell r="S1308"/>
          <cell r="T1308"/>
          <cell r="U1308"/>
          <cell r="V1308">
            <v>15</v>
          </cell>
          <cell r="W1308"/>
          <cell r="X1308" t="str">
            <v>GAVIN</v>
          </cell>
          <cell r="Y1308"/>
          <cell r="Z1308" t="str">
            <v>GAVIN ' MAIL 14/11/17</v>
          </cell>
          <cell r="AA1308"/>
          <cell r="AB1308">
            <v>43053</v>
          </cell>
          <cell r="AC1308">
            <v>5337</v>
          </cell>
        </row>
        <row r="1309">
          <cell r="B1309">
            <v>3773</v>
          </cell>
          <cell r="C1309" t="str">
            <v>TS-483</v>
          </cell>
          <cell r="D1309" t="str">
            <v xml:space="preserve">COTTON WITH LUREX DOT </v>
          </cell>
          <cell r="E1309"/>
          <cell r="F1309" t="str">
            <v>T/C/LUREX 55/30/15</v>
          </cell>
          <cell r="G1309" t="str">
            <v xml:space="preserve">55% POLYESTER 30% COTTON 15% LUREX </v>
          </cell>
          <cell r="H1309" t="str">
            <v>57/58</v>
          </cell>
          <cell r="I1309">
            <v>175</v>
          </cell>
          <cell r="J1309">
            <v>2.21</v>
          </cell>
          <cell r="K1309"/>
          <cell r="L1309">
            <v>2.23</v>
          </cell>
          <cell r="M1309"/>
          <cell r="N1309">
            <v>2.25</v>
          </cell>
          <cell r="O1309"/>
          <cell r="P1309"/>
          <cell r="Q1309"/>
          <cell r="R1309">
            <v>2.4</v>
          </cell>
          <cell r="S1309"/>
          <cell r="T1309"/>
          <cell r="U1309"/>
          <cell r="V1309">
            <v>15</v>
          </cell>
          <cell r="W1309"/>
          <cell r="X1309" t="str">
            <v>GAVIN</v>
          </cell>
          <cell r="Y1309"/>
          <cell r="Z1309" t="str">
            <v>GAVIN ' MAIL 14/11/17</v>
          </cell>
          <cell r="AA1309"/>
          <cell r="AB1309">
            <v>43053</v>
          </cell>
          <cell r="AC1309">
            <v>5338</v>
          </cell>
        </row>
        <row r="1310">
          <cell r="B1310">
            <v>3772</v>
          </cell>
          <cell r="C1310" t="str">
            <v>TS-391</v>
          </cell>
          <cell r="D1310" t="str">
            <v>POLY TWILL - MEMORY FABRIC</v>
          </cell>
          <cell r="E1310"/>
          <cell r="F1310" t="str">
            <v>T100%</v>
          </cell>
          <cell r="G1310" t="str">
            <v>100% POLYESTER (MEMORY FABRIC)</v>
          </cell>
          <cell r="H1310" t="str">
            <v>57/58</v>
          </cell>
          <cell r="I1310">
            <v>215</v>
          </cell>
          <cell r="J1310">
            <v>1.31</v>
          </cell>
          <cell r="K1310">
            <v>1.49</v>
          </cell>
          <cell r="L1310">
            <v>1.33</v>
          </cell>
          <cell r="M1310">
            <v>1.52</v>
          </cell>
          <cell r="N1310">
            <v>1.35</v>
          </cell>
          <cell r="O1310">
            <v>1.55</v>
          </cell>
          <cell r="P1310"/>
          <cell r="Q1310"/>
          <cell r="R1310">
            <v>1.5</v>
          </cell>
          <cell r="S1310">
            <v>1.8</v>
          </cell>
          <cell r="T1310"/>
          <cell r="U1310"/>
          <cell r="V1310">
            <v>15</v>
          </cell>
          <cell r="W1310"/>
          <cell r="X1310" t="str">
            <v>GAVIN</v>
          </cell>
          <cell r="Y1310"/>
          <cell r="Z1310" t="str">
            <v>GAVIN ' MAIL 14/11/17</v>
          </cell>
          <cell r="AA1310"/>
          <cell r="AB1310">
            <v>43053</v>
          </cell>
          <cell r="AC1310">
            <v>5340</v>
          </cell>
        </row>
        <row r="1311">
          <cell r="B1311">
            <v>3353</v>
          </cell>
          <cell r="C1311" t="str">
            <v>XP116</v>
          </cell>
          <cell r="D1311" t="str">
            <v>CHEMICAL LACE</v>
          </cell>
          <cell r="E1311"/>
          <cell r="F1311" t="str">
            <v>T100%</v>
          </cell>
          <cell r="G1311" t="str">
            <v>100% POLYESTER</v>
          </cell>
          <cell r="H1311" t="str">
            <v>120CM</v>
          </cell>
          <cell r="I1311">
            <v>252</v>
          </cell>
          <cell r="J1311">
            <v>5.5</v>
          </cell>
          <cell r="K1311"/>
          <cell r="L1311">
            <v>5.6</v>
          </cell>
          <cell r="M1311"/>
          <cell r="N1311">
            <v>5.7</v>
          </cell>
          <cell r="O1311"/>
          <cell r="P1311"/>
          <cell r="Q1311"/>
          <cell r="R1311">
            <v>5.7</v>
          </cell>
          <cell r="S1311"/>
          <cell r="T1311"/>
          <cell r="U1311"/>
          <cell r="V1311">
            <v>15</v>
          </cell>
          <cell r="W1311"/>
          <cell r="X1311" t="str">
            <v>ANGELA</v>
          </cell>
          <cell r="Y1311"/>
          <cell r="Z1311" t="str">
            <v>ANGELA ' MAIL 14/11/17</v>
          </cell>
          <cell r="AA1311"/>
          <cell r="AB1311">
            <v>43053</v>
          </cell>
          <cell r="AC1311">
            <v>5339</v>
          </cell>
        </row>
        <row r="1312">
          <cell r="B1312">
            <v>2440</v>
          </cell>
          <cell r="C1312" t="str">
            <v>TS-045</v>
          </cell>
          <cell r="D1312" t="str">
            <v>STRETCH LINING</v>
          </cell>
          <cell r="E1312"/>
          <cell r="F1312" t="str">
            <v>T/S 96/4</v>
          </cell>
          <cell r="G1312" t="str">
            <v>96% POLYESTER 4% SPANDEX</v>
          </cell>
          <cell r="H1312" t="str">
            <v>57/58</v>
          </cell>
          <cell r="I1312">
            <v>95</v>
          </cell>
          <cell r="J1312">
            <v>1.33</v>
          </cell>
          <cell r="K1312">
            <v>1.65</v>
          </cell>
          <cell r="L1312">
            <v>1.35</v>
          </cell>
          <cell r="M1312">
            <v>1.68</v>
          </cell>
          <cell r="N1312">
            <v>1.35</v>
          </cell>
          <cell r="O1312">
            <v>1.68</v>
          </cell>
          <cell r="P1312"/>
          <cell r="Q1312"/>
          <cell r="R1312">
            <v>1.5</v>
          </cell>
          <cell r="S1312">
            <v>1.88</v>
          </cell>
          <cell r="T1312"/>
          <cell r="U1312"/>
          <cell r="V1312">
            <v>15</v>
          </cell>
          <cell r="W1312"/>
          <cell r="X1312" t="str">
            <v>GAVIN</v>
          </cell>
          <cell r="Y1312"/>
          <cell r="Z1312" t="str">
            <v>GAVIN ' MAIL 14/11/17</v>
          </cell>
          <cell r="AA1312"/>
          <cell r="AB1312">
            <v>43053</v>
          </cell>
          <cell r="AC1312">
            <v>5341</v>
          </cell>
        </row>
        <row r="1313">
          <cell r="B1313">
            <v>3161</v>
          </cell>
          <cell r="C1313" t="str">
            <v>HLT5262</v>
          </cell>
          <cell r="D1313" t="str">
            <v>TAILORING</v>
          </cell>
          <cell r="E1313"/>
          <cell r="F1313" t="str">
            <v>T/R/S 65/33/2</v>
          </cell>
          <cell r="G1313" t="str">
            <v xml:space="preserve">65% POLYESTER  33% RAYON  2% SPANDEX </v>
          </cell>
          <cell r="H1313">
            <v>56</v>
          </cell>
          <cell r="I1313">
            <v>205</v>
          </cell>
          <cell r="J1313">
            <v>2.8378378378378399</v>
          </cell>
          <cell r="K1313"/>
          <cell r="L1313">
            <v>2.93783783783784</v>
          </cell>
          <cell r="M1313"/>
          <cell r="N1313">
            <v>3.0378378378378401</v>
          </cell>
          <cell r="O1313"/>
          <cell r="P1313"/>
          <cell r="Q1313"/>
          <cell r="R1313">
            <v>3.2378378378378398</v>
          </cell>
          <cell r="S1313"/>
          <cell r="T1313"/>
          <cell r="U1313"/>
          <cell r="V1313">
            <v>15</v>
          </cell>
          <cell r="W1313"/>
          <cell r="X1313" t="str">
            <v>CANDY</v>
          </cell>
          <cell r="Y1313"/>
          <cell r="Z1313" t="str">
            <v>LEI WANG ' MAIL 13/11/17</v>
          </cell>
          <cell r="AA1313"/>
          <cell r="AB1313">
            <v>43052</v>
          </cell>
          <cell r="AC1313">
            <v>5343</v>
          </cell>
        </row>
        <row r="1314">
          <cell r="B1314">
            <v>2030</v>
          </cell>
          <cell r="C1314" t="str">
            <v>ST-W5363</v>
          </cell>
          <cell r="D1314"/>
          <cell r="E1314"/>
          <cell r="F1314" t="str">
            <v>MODAL/T 70/30</v>
          </cell>
          <cell r="G1314" t="str">
            <v xml:space="preserve">70% MODAL  30% POLYESTER </v>
          </cell>
          <cell r="H1314" t="str">
            <v>57/58</v>
          </cell>
          <cell r="I1314">
            <v>115</v>
          </cell>
          <cell r="J1314">
            <v>2.96</v>
          </cell>
          <cell r="K1314"/>
          <cell r="L1314">
            <v>2.98</v>
          </cell>
          <cell r="M1314"/>
          <cell r="N1314">
            <v>3.02</v>
          </cell>
          <cell r="O1314"/>
          <cell r="P1314"/>
          <cell r="Q1314"/>
          <cell r="R1314">
            <v>3.12</v>
          </cell>
          <cell r="S1314"/>
          <cell r="T1314"/>
          <cell r="U1314"/>
          <cell r="V1314"/>
          <cell r="W1314"/>
          <cell r="X1314" t="str">
            <v>SIGER</v>
          </cell>
          <cell r="Y1314"/>
          <cell r="Z1314" t="str">
            <v>SIGER ' MAIL 13/11/17</v>
          </cell>
          <cell r="AA1314"/>
          <cell r="AB1314">
            <v>43052</v>
          </cell>
          <cell r="AC1314">
            <v>5342</v>
          </cell>
        </row>
        <row r="1315">
          <cell r="B1315">
            <v>1735</v>
          </cell>
          <cell r="C1315" t="str">
            <v>OLP-4011090</v>
          </cell>
          <cell r="D1315"/>
          <cell r="E1315"/>
          <cell r="F1315" t="str">
            <v>R100%</v>
          </cell>
          <cell r="G1315" t="str">
            <v>100% RAYON</v>
          </cell>
          <cell r="H1315" t="str">
            <v>53/54</v>
          </cell>
          <cell r="I1315">
            <v>125</v>
          </cell>
          <cell r="J1315">
            <v>1.48</v>
          </cell>
          <cell r="K1315">
            <v>1.62</v>
          </cell>
          <cell r="L1315">
            <v>1.49</v>
          </cell>
          <cell r="M1315">
            <v>1.88</v>
          </cell>
          <cell r="N1315">
            <v>1.51</v>
          </cell>
          <cell r="O1315">
            <v>1.99</v>
          </cell>
          <cell r="P1315"/>
          <cell r="Q1315"/>
          <cell r="R1315">
            <v>1.68</v>
          </cell>
          <cell r="S1315">
            <v>2.69</v>
          </cell>
          <cell r="T1315"/>
          <cell r="U1315"/>
          <cell r="V1315"/>
          <cell r="W1315"/>
          <cell r="X1315" t="str">
            <v>OWEN</v>
          </cell>
          <cell r="Y1315" t="str">
            <v>OWEN OCT10 ( UPDATE PRICE )</v>
          </cell>
          <cell r="Z1315"/>
          <cell r="AA1315"/>
          <cell r="AB1315">
            <v>43051</v>
          </cell>
          <cell r="AC1315">
            <v>5344</v>
          </cell>
        </row>
        <row r="1316">
          <cell r="B1316">
            <v>4098</v>
          </cell>
          <cell r="C1316" t="str">
            <v>HLS17048</v>
          </cell>
          <cell r="D1316" t="str">
            <v>JERSEY - ITY</v>
          </cell>
          <cell r="E1316"/>
          <cell r="F1316" t="str">
            <v>T/S 95/5</v>
          </cell>
          <cell r="G1316" t="str">
            <v>95%POLYESTER 5%SPANDEX</v>
          </cell>
          <cell r="H1316" t="str">
            <v>160CM</v>
          </cell>
          <cell r="I1316">
            <v>210</v>
          </cell>
          <cell r="J1316">
            <v>1.9228622129477599</v>
          </cell>
          <cell r="K1316">
            <v>2.1461409863471701</v>
          </cell>
          <cell r="L1316">
            <v>2.0228622129477598</v>
          </cell>
          <cell r="M1316">
            <v>2.2461409863471702</v>
          </cell>
          <cell r="N1316">
            <v>2.1228622129477599</v>
          </cell>
          <cell r="O1316">
            <v>2.3461409863471698</v>
          </cell>
          <cell r="P1316"/>
          <cell r="Q1316"/>
          <cell r="R1316">
            <v>2.3228622129477601</v>
          </cell>
          <cell r="S1316">
            <v>2.54614098634717</v>
          </cell>
          <cell r="T1316"/>
          <cell r="U1316"/>
          <cell r="V1316">
            <v>15</v>
          </cell>
          <cell r="W1316"/>
          <cell r="X1316" t="str">
            <v>CANDY</v>
          </cell>
          <cell r="Y1316"/>
          <cell r="Z1316" t="str">
            <v>LEI WANG 11/11/17</v>
          </cell>
          <cell r="AA1316"/>
          <cell r="AB1316">
            <v>43050</v>
          </cell>
          <cell r="AC1316">
            <v>5367</v>
          </cell>
        </row>
        <row r="1317">
          <cell r="B1317">
            <v>3983</v>
          </cell>
          <cell r="C1317" t="str">
            <v>K-2609</v>
          </cell>
          <cell r="D1317" t="str">
            <v>PONTE</v>
          </cell>
          <cell r="E1317"/>
          <cell r="F1317" t="str">
            <v>T/N/S 68/27/5</v>
          </cell>
          <cell r="G1317" t="str">
            <v>68% POLYESTER  27% NYLON  5% SPANDEX</v>
          </cell>
          <cell r="H1317" t="str">
            <v>58/60</v>
          </cell>
          <cell r="I1317">
            <v>350</v>
          </cell>
          <cell r="J1317">
            <v>3.83</v>
          </cell>
          <cell r="K1317"/>
          <cell r="L1317">
            <v>3.88</v>
          </cell>
          <cell r="M1317"/>
          <cell r="N1317">
            <v>3.88</v>
          </cell>
          <cell r="O1317"/>
          <cell r="P1317"/>
          <cell r="Q1317"/>
          <cell r="R1317">
            <v>4.33</v>
          </cell>
          <cell r="S1317"/>
          <cell r="T1317"/>
          <cell r="U1317"/>
          <cell r="V1317">
            <v>15</v>
          </cell>
          <cell r="W1317"/>
          <cell r="X1317" t="str">
            <v>LIVALTEX</v>
          </cell>
          <cell r="Y1317"/>
          <cell r="Z1317" t="str">
            <v>ROSE ' MAIL 11/11/17</v>
          </cell>
          <cell r="AA1317"/>
          <cell r="AB1317">
            <v>43050</v>
          </cell>
          <cell r="AC1317">
            <v>5345</v>
          </cell>
        </row>
        <row r="1318">
          <cell r="B1318">
            <v>3982</v>
          </cell>
          <cell r="C1318" t="str">
            <v>T-1854</v>
          </cell>
          <cell r="D1318" t="str">
            <v>SLUB TAILORING</v>
          </cell>
          <cell r="E1318" t="str">
            <v>50S/2Tx200D/147x137</v>
          </cell>
          <cell r="F1318" t="str">
            <v>T100%</v>
          </cell>
          <cell r="G1318" t="str">
            <v xml:space="preserve">100% POLYESTER </v>
          </cell>
          <cell r="H1318" t="str">
            <v>56/57</v>
          </cell>
          <cell r="I1318">
            <v>410</v>
          </cell>
          <cell r="J1318">
            <v>4.13</v>
          </cell>
          <cell r="K1318"/>
          <cell r="L1318">
            <v>4.18</v>
          </cell>
          <cell r="M1318"/>
          <cell r="N1318">
            <v>4.18</v>
          </cell>
          <cell r="O1318"/>
          <cell r="P1318"/>
          <cell r="Q1318"/>
          <cell r="R1318">
            <v>4.83</v>
          </cell>
          <cell r="S1318"/>
          <cell r="T1318"/>
          <cell r="U1318"/>
          <cell r="V1318">
            <v>15</v>
          </cell>
          <cell r="W1318"/>
          <cell r="X1318" t="str">
            <v>LIVALTEX</v>
          </cell>
          <cell r="Y1318"/>
          <cell r="Z1318" t="str">
            <v>ROSE ' MAIL 11/11/17</v>
          </cell>
          <cell r="AA1318"/>
          <cell r="AB1318">
            <v>43050</v>
          </cell>
          <cell r="AC1318">
            <v>5346</v>
          </cell>
        </row>
        <row r="1319">
          <cell r="B1319">
            <v>3981</v>
          </cell>
          <cell r="C1319" t="str">
            <v>K-2548</v>
          </cell>
          <cell r="D1319" t="str">
            <v>PONTE</v>
          </cell>
          <cell r="E1319"/>
          <cell r="F1319" t="str">
            <v>T/R 90/10</v>
          </cell>
          <cell r="G1319" t="str">
            <v xml:space="preserve">90% POLYESTER  10% RAYON </v>
          </cell>
          <cell r="H1319" t="str">
            <v>57/58</v>
          </cell>
          <cell r="I1319">
            <v>319</v>
          </cell>
          <cell r="J1319">
            <v>4.57</v>
          </cell>
          <cell r="K1319"/>
          <cell r="L1319">
            <v>4.62</v>
          </cell>
          <cell r="M1319"/>
          <cell r="N1319">
            <v>4.62</v>
          </cell>
          <cell r="O1319"/>
          <cell r="P1319"/>
          <cell r="Q1319"/>
          <cell r="R1319">
            <v>5.07</v>
          </cell>
          <cell r="S1319"/>
          <cell r="T1319"/>
          <cell r="U1319"/>
          <cell r="V1319">
            <v>15</v>
          </cell>
          <cell r="W1319"/>
          <cell r="X1319" t="str">
            <v>LIVALTEX</v>
          </cell>
          <cell r="Y1319"/>
          <cell r="Z1319" t="str">
            <v>ROSE ' MAIL 11/11/17</v>
          </cell>
          <cell r="AA1319"/>
          <cell r="AB1319">
            <v>43050</v>
          </cell>
          <cell r="AC1319">
            <v>5347</v>
          </cell>
        </row>
        <row r="1320">
          <cell r="B1320">
            <v>3980</v>
          </cell>
          <cell r="C1320" t="str">
            <v>TSJ-045</v>
          </cell>
          <cell r="D1320" t="str">
            <v>PRINT JACQUARD TAILORING</v>
          </cell>
          <cell r="E1320"/>
          <cell r="F1320" t="str">
            <v>T/S 97/3</v>
          </cell>
          <cell r="G1320" t="str">
            <v xml:space="preserve">97% POLYESTER  3% SPANDEX </v>
          </cell>
          <cell r="H1320" t="str">
            <v>57/58</v>
          </cell>
          <cell r="I1320">
            <v>295</v>
          </cell>
          <cell r="J1320"/>
          <cell r="K1320">
            <v>3.32</v>
          </cell>
          <cell r="L1320"/>
          <cell r="M1320">
            <v>3.37</v>
          </cell>
          <cell r="N1320"/>
          <cell r="O1320">
            <v>3.37</v>
          </cell>
          <cell r="P1320"/>
          <cell r="Q1320"/>
          <cell r="R1320"/>
          <cell r="S1320">
            <v>4.0199999999999996</v>
          </cell>
          <cell r="T1320"/>
          <cell r="U1320"/>
          <cell r="V1320">
            <v>15</v>
          </cell>
          <cell r="W1320"/>
          <cell r="X1320" t="str">
            <v>LIVALTEX</v>
          </cell>
          <cell r="Y1320"/>
          <cell r="Z1320" t="str">
            <v>ROSE ' MAIL 11/11/17</v>
          </cell>
          <cell r="AA1320"/>
          <cell r="AB1320">
            <v>43050</v>
          </cell>
          <cell r="AC1320">
            <v>5368</v>
          </cell>
        </row>
        <row r="1321">
          <cell r="B1321">
            <v>3979</v>
          </cell>
          <cell r="C1321" t="str">
            <v>TCYS-083</v>
          </cell>
          <cell r="D1321" t="str">
            <v xml:space="preserve"> Y/D &amp; PRINT TAILORING </v>
          </cell>
          <cell r="E1321"/>
          <cell r="F1321" t="str">
            <v>C/T/R/S 60/24/14/2</v>
          </cell>
          <cell r="G1321" t="str">
            <v xml:space="preserve">60% COTTON 24% POLY  14% RAYON  2% SPANDEX </v>
          </cell>
          <cell r="H1321" t="str">
            <v>54/55</v>
          </cell>
          <cell r="I1321">
            <v>288</v>
          </cell>
          <cell r="J1321"/>
          <cell r="K1321">
            <v>4.3499999999999996</v>
          </cell>
          <cell r="L1321"/>
          <cell r="M1321">
            <v>4.4000000000000004</v>
          </cell>
          <cell r="N1321"/>
          <cell r="O1321">
            <v>4.4000000000000004</v>
          </cell>
          <cell r="P1321"/>
          <cell r="Q1321"/>
          <cell r="R1321"/>
          <cell r="S1321">
            <v>5.05</v>
          </cell>
          <cell r="T1321"/>
          <cell r="U1321"/>
          <cell r="V1321">
            <v>15</v>
          </cell>
          <cell r="W1321"/>
          <cell r="X1321" t="str">
            <v>LIVALTEX</v>
          </cell>
          <cell r="Y1321"/>
          <cell r="Z1321" t="str">
            <v>ROSE ' MAIL 11/11/17</v>
          </cell>
          <cell r="AA1321"/>
          <cell r="AB1321">
            <v>43050</v>
          </cell>
          <cell r="AC1321">
            <v>5375</v>
          </cell>
        </row>
        <row r="1322">
          <cell r="B1322">
            <v>3925</v>
          </cell>
          <cell r="C1322" t="str">
            <v>ME-309</v>
          </cell>
          <cell r="D1322" t="str">
            <v>LACE</v>
          </cell>
          <cell r="E1322"/>
          <cell r="F1322" t="str">
            <v>N/C 53/47</v>
          </cell>
          <cell r="G1322" t="str">
            <v>53%NYLON  47%COTTON</v>
          </cell>
          <cell r="H1322" t="str">
            <v>56/57</v>
          </cell>
          <cell r="I1322">
            <v>138</v>
          </cell>
          <cell r="J1322">
            <v>2.48</v>
          </cell>
          <cell r="K1322"/>
          <cell r="L1322">
            <v>2.5299999999999998</v>
          </cell>
          <cell r="M1322"/>
          <cell r="N1322">
            <v>2.5299999999999998</v>
          </cell>
          <cell r="O1322"/>
          <cell r="P1322"/>
          <cell r="Q1322"/>
          <cell r="R1322">
            <v>2.97</v>
          </cell>
          <cell r="S1322"/>
          <cell r="T1322"/>
          <cell r="U1322"/>
          <cell r="V1322">
            <v>15</v>
          </cell>
          <cell r="W1322"/>
          <cell r="X1322" t="str">
            <v>LIVALTEX</v>
          </cell>
          <cell r="Y1322"/>
          <cell r="Z1322" t="str">
            <v>ROSE 11/11/17</v>
          </cell>
          <cell r="AA1322"/>
          <cell r="AB1322">
            <v>43050</v>
          </cell>
          <cell r="AC1322">
            <v>5348</v>
          </cell>
        </row>
        <row r="1323">
          <cell r="B1323">
            <v>3922</v>
          </cell>
          <cell r="C1323" t="str">
            <v>T-2148</v>
          </cell>
          <cell r="D1323" t="str">
            <v>TAILORING</v>
          </cell>
          <cell r="E1323"/>
          <cell r="F1323"/>
          <cell r="G1323" t="str">
            <v xml:space="preserve">100% POLYESTER </v>
          </cell>
          <cell r="H1323" t="str">
            <v>57/58</v>
          </cell>
          <cell r="I1323">
            <v>200</v>
          </cell>
          <cell r="J1323">
            <v>3.25</v>
          </cell>
          <cell r="K1323"/>
          <cell r="L1323">
            <v>3.3</v>
          </cell>
          <cell r="M1323"/>
          <cell r="N1323">
            <v>3.3</v>
          </cell>
          <cell r="O1323"/>
          <cell r="P1323"/>
          <cell r="Q1323"/>
          <cell r="R1323">
            <v>3.75</v>
          </cell>
          <cell r="S1323"/>
          <cell r="T1323"/>
          <cell r="U1323"/>
          <cell r="V1323"/>
          <cell r="W1323"/>
          <cell r="X1323" t="str">
            <v>LIVALTEX</v>
          </cell>
          <cell r="Y1323"/>
          <cell r="Z1323" t="str">
            <v>ROSE 11/11/17</v>
          </cell>
          <cell r="AA1323"/>
          <cell r="AB1323">
            <v>43050</v>
          </cell>
          <cell r="AC1323">
            <v>5349</v>
          </cell>
        </row>
        <row r="1324">
          <cell r="B1324">
            <v>3921</v>
          </cell>
          <cell r="C1324" t="str">
            <v>SY-573</v>
          </cell>
          <cell r="D1324" t="str">
            <v>TAILORING</v>
          </cell>
          <cell r="E1324"/>
          <cell r="F1324"/>
          <cell r="G1324" t="str">
            <v>52%COTTON  42%POLY  6%ACRYLIC</v>
          </cell>
          <cell r="H1324" t="str">
            <v>57/58</v>
          </cell>
          <cell r="I1324">
            <v>420</v>
          </cell>
          <cell r="J1324">
            <v>6.1</v>
          </cell>
          <cell r="K1324"/>
          <cell r="L1324">
            <v>6.15</v>
          </cell>
          <cell r="M1324"/>
          <cell r="N1324">
            <v>6.15</v>
          </cell>
          <cell r="O1324"/>
          <cell r="P1324"/>
          <cell r="Q1324"/>
          <cell r="R1324">
            <v>6.6</v>
          </cell>
          <cell r="S1324"/>
          <cell r="T1324"/>
          <cell r="U1324"/>
          <cell r="V1324"/>
          <cell r="W1324"/>
          <cell r="X1324" t="str">
            <v>LIVALTEX</v>
          </cell>
          <cell r="Y1324"/>
          <cell r="Z1324" t="str">
            <v>ROSE 11/11/17</v>
          </cell>
          <cell r="AA1324"/>
          <cell r="AB1324">
            <v>43050</v>
          </cell>
          <cell r="AC1324">
            <v>5350</v>
          </cell>
        </row>
        <row r="1325">
          <cell r="B1325">
            <v>3920</v>
          </cell>
          <cell r="C1325" t="str">
            <v>TY-135</v>
          </cell>
          <cell r="D1325" t="str">
            <v>TAILORING</v>
          </cell>
          <cell r="E1325"/>
          <cell r="F1325" t="str">
            <v>T/LUREX 95/5</v>
          </cell>
          <cell r="G1325" t="str">
            <v>95%POLY  5%LUREX</v>
          </cell>
          <cell r="H1325" t="str">
            <v>57/58</v>
          </cell>
          <cell r="I1325">
            <v>320</v>
          </cell>
          <cell r="J1325">
            <v>4.4000000000000004</v>
          </cell>
          <cell r="K1325"/>
          <cell r="L1325">
            <v>4.45</v>
          </cell>
          <cell r="M1325"/>
          <cell r="N1325">
            <v>4.45</v>
          </cell>
          <cell r="O1325"/>
          <cell r="P1325"/>
          <cell r="Q1325"/>
          <cell r="R1325">
            <v>4.9000000000000004</v>
          </cell>
          <cell r="S1325"/>
          <cell r="T1325"/>
          <cell r="U1325"/>
          <cell r="V1325"/>
          <cell r="W1325"/>
          <cell r="X1325" t="str">
            <v>LIVALTEX</v>
          </cell>
          <cell r="Y1325"/>
          <cell r="Z1325" t="str">
            <v>ROSE 11/11/17</v>
          </cell>
          <cell r="AA1325"/>
          <cell r="AB1325">
            <v>43050</v>
          </cell>
          <cell r="AC1325">
            <v>5351</v>
          </cell>
        </row>
        <row r="1326">
          <cell r="B1326">
            <v>3905</v>
          </cell>
          <cell r="C1326" t="str">
            <v>TCP-477</v>
          </cell>
          <cell r="D1326" t="str">
            <v>TAILORING</v>
          </cell>
          <cell r="E1326"/>
          <cell r="F1326" t="str">
            <v>T/C 52/48</v>
          </cell>
          <cell r="G1326" t="str">
            <v xml:space="preserve">52%POLYESTER  48%COTTON </v>
          </cell>
          <cell r="H1326" t="str">
            <v>57/58</v>
          </cell>
          <cell r="I1326">
            <v>155</v>
          </cell>
          <cell r="J1326">
            <v>2.5</v>
          </cell>
          <cell r="K1326"/>
          <cell r="L1326">
            <v>2.52</v>
          </cell>
          <cell r="M1326"/>
          <cell r="N1326">
            <v>2.52</v>
          </cell>
          <cell r="O1326"/>
          <cell r="P1326"/>
          <cell r="Q1326"/>
          <cell r="R1326">
            <v>2.97</v>
          </cell>
          <cell r="S1326"/>
          <cell r="T1326"/>
          <cell r="U1326"/>
          <cell r="V1326"/>
          <cell r="W1326"/>
          <cell r="X1326" t="str">
            <v>LIVALTEX</v>
          </cell>
          <cell r="Y1326"/>
          <cell r="Z1326" t="str">
            <v>ROSE' MAIL 11/11/17</v>
          </cell>
          <cell r="AA1326"/>
          <cell r="AB1326">
            <v>43050</v>
          </cell>
          <cell r="AC1326">
            <v>5352</v>
          </cell>
        </row>
        <row r="1327">
          <cell r="B1327">
            <v>3904</v>
          </cell>
          <cell r="C1327" t="str">
            <v>SP-599</v>
          </cell>
          <cell r="D1327" t="str">
            <v>TAILORING</v>
          </cell>
          <cell r="E1327"/>
          <cell r="F1327" t="str">
            <v>T/R 70/30</v>
          </cell>
          <cell r="G1327" t="str">
            <v xml:space="preserve">70% POLY  30%RAYON </v>
          </cell>
          <cell r="H1327" t="str">
            <v>57/58</v>
          </cell>
          <cell r="I1327">
            <v>235</v>
          </cell>
          <cell r="J1327">
            <v>3.4</v>
          </cell>
          <cell r="K1327"/>
          <cell r="L1327">
            <v>3.45</v>
          </cell>
          <cell r="M1327"/>
          <cell r="N1327">
            <v>3.45</v>
          </cell>
          <cell r="O1327"/>
          <cell r="P1327"/>
          <cell r="Q1327"/>
          <cell r="R1327">
            <v>3.9</v>
          </cell>
          <cell r="S1327"/>
          <cell r="T1327"/>
          <cell r="U1327"/>
          <cell r="V1327"/>
          <cell r="W1327"/>
          <cell r="X1327" t="str">
            <v>LIVALTEX</v>
          </cell>
          <cell r="Y1327"/>
          <cell r="Z1327" t="str">
            <v>ROSE' MAIL 11/11/17</v>
          </cell>
          <cell r="AA1327"/>
          <cell r="AB1327">
            <v>43050</v>
          </cell>
          <cell r="AC1327">
            <v>5353</v>
          </cell>
        </row>
        <row r="1328">
          <cell r="B1328">
            <v>3903</v>
          </cell>
          <cell r="C1328" t="str">
            <v>SYS-391</v>
          </cell>
          <cell r="D1328" t="str">
            <v>TAILORING</v>
          </cell>
          <cell r="E1328"/>
          <cell r="F1328" t="str">
            <v>T/R/OP 63/34/3</v>
          </cell>
          <cell r="G1328" t="str">
            <v>63%POLY  34%RAYON  3%OP</v>
          </cell>
          <cell r="H1328">
            <v>57</v>
          </cell>
          <cell r="I1328">
            <v>307</v>
          </cell>
          <cell r="J1328">
            <v>3.4</v>
          </cell>
          <cell r="K1328"/>
          <cell r="L1328">
            <v>3.42</v>
          </cell>
          <cell r="M1328"/>
          <cell r="N1328">
            <v>3.42</v>
          </cell>
          <cell r="O1328"/>
          <cell r="P1328"/>
          <cell r="Q1328"/>
          <cell r="R1328">
            <v>3.88</v>
          </cell>
          <cell r="S1328"/>
          <cell r="T1328"/>
          <cell r="U1328"/>
          <cell r="V1328"/>
          <cell r="W1328"/>
          <cell r="X1328" t="str">
            <v>LIVALTEX</v>
          </cell>
          <cell r="Y1328"/>
          <cell r="Z1328" t="str">
            <v>ROSE' MAIL 11/11/17</v>
          </cell>
          <cell r="AA1328"/>
          <cell r="AB1328">
            <v>43050</v>
          </cell>
          <cell r="AC1328">
            <v>5354</v>
          </cell>
        </row>
        <row r="1329">
          <cell r="B1329">
            <v>3902</v>
          </cell>
          <cell r="C1329" t="str">
            <v>TCY-292</v>
          </cell>
          <cell r="D1329"/>
          <cell r="E1329"/>
          <cell r="F1329" t="str">
            <v>C/T 99/1</v>
          </cell>
          <cell r="G1329" t="str">
            <v>99%COTTON  1%POLY</v>
          </cell>
          <cell r="H1329" t="str">
            <v>57/58</v>
          </cell>
          <cell r="I1329">
            <v>120</v>
          </cell>
          <cell r="J1329">
            <v>2.65</v>
          </cell>
          <cell r="K1329"/>
          <cell r="L1329">
            <v>2.7</v>
          </cell>
          <cell r="M1329"/>
          <cell r="N1329">
            <v>2.7</v>
          </cell>
          <cell r="O1329"/>
          <cell r="P1329"/>
          <cell r="Q1329"/>
          <cell r="R1329">
            <v>3.15</v>
          </cell>
          <cell r="S1329"/>
          <cell r="T1329"/>
          <cell r="U1329"/>
          <cell r="V1329"/>
          <cell r="W1329"/>
          <cell r="X1329" t="str">
            <v>LIVALTEX</v>
          </cell>
          <cell r="Y1329"/>
          <cell r="Z1329" t="str">
            <v>ROSE' MAIL 11/11/17</v>
          </cell>
          <cell r="AA1329"/>
          <cell r="AB1329">
            <v>43050</v>
          </cell>
          <cell r="AC1329">
            <v>5355</v>
          </cell>
        </row>
        <row r="1330">
          <cell r="B1330">
            <v>3901</v>
          </cell>
          <cell r="C1330" t="str">
            <v>NPS-252</v>
          </cell>
          <cell r="D1330" t="str">
            <v>TAILORING</v>
          </cell>
          <cell r="E1330"/>
          <cell r="F1330" t="str">
            <v>N/S 96/4</v>
          </cell>
          <cell r="G1330" t="str">
            <v>96%NYLON  4%SPANDEX</v>
          </cell>
          <cell r="H1330" t="str">
            <v>57/58</v>
          </cell>
          <cell r="I1330">
            <v>220</v>
          </cell>
          <cell r="J1330">
            <v>3.2</v>
          </cell>
          <cell r="K1330"/>
          <cell r="L1330">
            <v>3.25</v>
          </cell>
          <cell r="M1330"/>
          <cell r="N1330">
            <v>3.25</v>
          </cell>
          <cell r="O1330"/>
          <cell r="P1330"/>
          <cell r="Q1330"/>
          <cell r="R1330">
            <v>3.7</v>
          </cell>
          <cell r="S1330"/>
          <cell r="T1330"/>
          <cell r="U1330"/>
          <cell r="V1330"/>
          <cell r="W1330"/>
          <cell r="X1330" t="str">
            <v>LIVALTEX</v>
          </cell>
          <cell r="Y1330"/>
          <cell r="Z1330" t="str">
            <v>ROSE' MAIL 11/11/17</v>
          </cell>
          <cell r="AA1330"/>
          <cell r="AB1330">
            <v>43050</v>
          </cell>
          <cell r="AC1330">
            <v>5356</v>
          </cell>
        </row>
        <row r="1331">
          <cell r="B1331">
            <v>3900</v>
          </cell>
          <cell r="C1331" t="str">
            <v>SY-429D</v>
          </cell>
          <cell r="D1331" t="str">
            <v>TAILORING WITH FOIL</v>
          </cell>
          <cell r="E1331"/>
          <cell r="F1331" t="str">
            <v>T/R 65/35</v>
          </cell>
          <cell r="G1331" t="str">
            <v>65%POLY  35%RAYON</v>
          </cell>
          <cell r="H1331" t="str">
            <v>57/58</v>
          </cell>
          <cell r="I1331">
            <v>295</v>
          </cell>
          <cell r="J1331">
            <v>3.2</v>
          </cell>
          <cell r="K1331"/>
          <cell r="L1331">
            <v>3.25</v>
          </cell>
          <cell r="M1331"/>
          <cell r="N1331">
            <v>3.25</v>
          </cell>
          <cell r="O1331"/>
          <cell r="P1331"/>
          <cell r="Q1331"/>
          <cell r="R1331">
            <v>3.7</v>
          </cell>
          <cell r="S1331"/>
          <cell r="T1331"/>
          <cell r="U1331"/>
          <cell r="V1331"/>
          <cell r="W1331"/>
          <cell r="X1331" t="str">
            <v>LIVALTEX</v>
          </cell>
          <cell r="Y1331"/>
          <cell r="Z1331" t="str">
            <v>ROSE' MAIL 11/11/17</v>
          </cell>
          <cell r="AA1331"/>
          <cell r="AB1331">
            <v>43050</v>
          </cell>
          <cell r="AC1331">
            <v>5357</v>
          </cell>
        </row>
        <row r="1332">
          <cell r="B1332">
            <v>3899</v>
          </cell>
          <cell r="C1332" t="str">
            <v>SY-568</v>
          </cell>
          <cell r="D1332" t="str">
            <v>TAILORING</v>
          </cell>
          <cell r="E1332"/>
          <cell r="F1332" t="str">
            <v>T/R 65/35</v>
          </cell>
          <cell r="G1332" t="str">
            <v>65%POLY  35%RAYON</v>
          </cell>
          <cell r="H1332" t="str">
            <v>57/58</v>
          </cell>
          <cell r="I1332">
            <v>350</v>
          </cell>
          <cell r="J1332">
            <v>3.45</v>
          </cell>
          <cell r="K1332"/>
          <cell r="L1332">
            <v>3.49</v>
          </cell>
          <cell r="M1332"/>
          <cell r="N1332">
            <v>3.49</v>
          </cell>
          <cell r="O1332"/>
          <cell r="P1332"/>
          <cell r="Q1332"/>
          <cell r="R1332">
            <v>3.94</v>
          </cell>
          <cell r="S1332"/>
          <cell r="T1332"/>
          <cell r="U1332"/>
          <cell r="V1332"/>
          <cell r="W1332"/>
          <cell r="X1332" t="str">
            <v>LIVALTEX</v>
          </cell>
          <cell r="Y1332"/>
          <cell r="Z1332" t="str">
            <v>ROSE' MAIL 11/11/17</v>
          </cell>
          <cell r="AA1332"/>
          <cell r="AB1332">
            <v>43050</v>
          </cell>
          <cell r="AC1332">
            <v>5358</v>
          </cell>
        </row>
        <row r="1333">
          <cell r="B1333">
            <v>3898</v>
          </cell>
          <cell r="C1333" t="str">
            <v>SYS-374</v>
          </cell>
          <cell r="D1333" t="str">
            <v>TAILORING</v>
          </cell>
          <cell r="E1333"/>
          <cell r="F1333" t="str">
            <v>T/R/S 64/34/2</v>
          </cell>
          <cell r="G1333" t="str">
            <v>64%POLYESTER  34%RAYON  2%SPANDEX</v>
          </cell>
          <cell r="H1333" t="str">
            <v>57/58</v>
          </cell>
          <cell r="I1333">
            <v>250</v>
          </cell>
          <cell r="J1333">
            <v>3.2</v>
          </cell>
          <cell r="K1333"/>
          <cell r="L1333">
            <v>3.22</v>
          </cell>
          <cell r="M1333"/>
          <cell r="N1333">
            <v>3.22</v>
          </cell>
          <cell r="O1333"/>
          <cell r="P1333"/>
          <cell r="Q1333"/>
          <cell r="R1333">
            <v>3.67</v>
          </cell>
          <cell r="S1333"/>
          <cell r="T1333"/>
          <cell r="U1333"/>
          <cell r="V1333"/>
          <cell r="W1333"/>
          <cell r="X1333" t="str">
            <v>LIVALTEX</v>
          </cell>
          <cell r="Y1333"/>
          <cell r="Z1333" t="str">
            <v>ROSE' MAIL 11/11/17</v>
          </cell>
          <cell r="AA1333"/>
          <cell r="AB1333">
            <v>43050</v>
          </cell>
          <cell r="AC1333">
            <v>5372</v>
          </cell>
        </row>
        <row r="1334">
          <cell r="B1334">
            <v>3897</v>
          </cell>
          <cell r="C1334" t="str">
            <v>CY-1753</v>
          </cell>
          <cell r="D1334" t="str">
            <v>TAILORING</v>
          </cell>
          <cell r="E1334"/>
          <cell r="F1334" t="str">
            <v>C100%</v>
          </cell>
          <cell r="G1334" t="str">
            <v xml:space="preserve">100% COTTON </v>
          </cell>
          <cell r="H1334" t="str">
            <v>57/58</v>
          </cell>
          <cell r="I1334">
            <v>150</v>
          </cell>
          <cell r="J1334">
            <v>2.85</v>
          </cell>
          <cell r="K1334"/>
          <cell r="L1334">
            <v>2.88</v>
          </cell>
          <cell r="M1334"/>
          <cell r="N1334">
            <v>2.88</v>
          </cell>
          <cell r="O1334"/>
          <cell r="P1334"/>
          <cell r="Q1334"/>
          <cell r="R1334">
            <v>3.33</v>
          </cell>
          <cell r="S1334"/>
          <cell r="T1334"/>
          <cell r="U1334"/>
          <cell r="V1334"/>
          <cell r="W1334"/>
          <cell r="X1334" t="str">
            <v>LIVALTEX</v>
          </cell>
          <cell r="Y1334"/>
          <cell r="Z1334" t="str">
            <v>ROSE' MAIL 11/11/17</v>
          </cell>
          <cell r="AA1334"/>
          <cell r="AB1334">
            <v>43050</v>
          </cell>
          <cell r="AC1334">
            <v>5376</v>
          </cell>
        </row>
        <row r="1335">
          <cell r="B1335">
            <v>3896</v>
          </cell>
          <cell r="C1335" t="str">
            <v>SPS-492</v>
          </cell>
          <cell r="D1335" t="str">
            <v>TAILORING</v>
          </cell>
          <cell r="E1335"/>
          <cell r="F1335" t="str">
            <v>T/R/S 79/18/3</v>
          </cell>
          <cell r="G1335" t="str">
            <v>79% POLY/18%RAYON/3%SPANDEX</v>
          </cell>
          <cell r="H1335" t="str">
            <v>57/58</v>
          </cell>
          <cell r="I1335">
            <v>265</v>
          </cell>
          <cell r="J1335">
            <v>3.43</v>
          </cell>
          <cell r="K1335"/>
          <cell r="L1335">
            <v>3.46</v>
          </cell>
          <cell r="M1335"/>
          <cell r="N1335">
            <v>3.46</v>
          </cell>
          <cell r="O1335"/>
          <cell r="P1335"/>
          <cell r="Q1335"/>
          <cell r="R1335">
            <v>3.91</v>
          </cell>
          <cell r="S1335"/>
          <cell r="T1335"/>
          <cell r="U1335"/>
          <cell r="V1335"/>
          <cell r="W1335"/>
          <cell r="X1335" t="str">
            <v>LIVALTEX</v>
          </cell>
          <cell r="Y1335"/>
          <cell r="Z1335" t="str">
            <v>ROSE' MAIL 11/11/17</v>
          </cell>
          <cell r="AA1335"/>
          <cell r="AB1335">
            <v>43050</v>
          </cell>
          <cell r="AC1335">
            <v>5373</v>
          </cell>
        </row>
        <row r="1336">
          <cell r="B1336">
            <v>3895</v>
          </cell>
          <cell r="C1336" t="str">
            <v>SPS-500</v>
          </cell>
          <cell r="D1336" t="str">
            <v>TAILORING</v>
          </cell>
          <cell r="E1336"/>
          <cell r="F1336" t="str">
            <v>T/R/S 64/34/2</v>
          </cell>
          <cell r="G1336" t="str">
            <v>64%POLY  34%RAYON  2%SPANDEX</v>
          </cell>
          <cell r="H1336" t="str">
            <v>56/57</v>
          </cell>
          <cell r="I1336">
            <v>282</v>
          </cell>
          <cell r="J1336">
            <v>3.55</v>
          </cell>
          <cell r="K1336"/>
          <cell r="L1336">
            <v>3.6</v>
          </cell>
          <cell r="M1336"/>
          <cell r="N1336">
            <v>3.6</v>
          </cell>
          <cell r="O1336"/>
          <cell r="P1336"/>
          <cell r="Q1336"/>
          <cell r="R1336">
            <v>4.05</v>
          </cell>
          <cell r="S1336"/>
          <cell r="T1336"/>
          <cell r="U1336"/>
          <cell r="V1336"/>
          <cell r="W1336"/>
          <cell r="X1336" t="str">
            <v>LIVALTEX</v>
          </cell>
          <cell r="Y1336"/>
          <cell r="Z1336" t="str">
            <v>ROSE' MAIL 11/11/17</v>
          </cell>
          <cell r="AA1336"/>
          <cell r="AB1336">
            <v>43050</v>
          </cell>
          <cell r="AC1336">
            <v>5374</v>
          </cell>
        </row>
        <row r="1337">
          <cell r="B1337">
            <v>3894</v>
          </cell>
          <cell r="C1337" t="str">
            <v>SY-446</v>
          </cell>
          <cell r="D1337" t="str">
            <v>TAILORING</v>
          </cell>
          <cell r="E1337"/>
          <cell r="F1337" t="str">
            <v>T/R 65/35</v>
          </cell>
          <cell r="G1337" t="str">
            <v>65% POLY 35% RAYON</v>
          </cell>
          <cell r="H1337" t="str">
            <v>57/58</v>
          </cell>
          <cell r="I1337">
            <v>325</v>
          </cell>
          <cell r="J1337">
            <v>3.93</v>
          </cell>
          <cell r="K1337"/>
          <cell r="L1337">
            <v>3.96</v>
          </cell>
          <cell r="M1337"/>
          <cell r="N1337">
            <v>3.96</v>
          </cell>
          <cell r="O1337"/>
          <cell r="P1337"/>
          <cell r="Q1337"/>
          <cell r="R1337">
            <v>4.42</v>
          </cell>
          <cell r="S1337"/>
          <cell r="T1337"/>
          <cell r="U1337"/>
          <cell r="V1337"/>
          <cell r="W1337"/>
          <cell r="X1337" t="str">
            <v>LIVALTEX</v>
          </cell>
          <cell r="Y1337"/>
          <cell r="Z1337" t="str">
            <v>ROSE' MAIL 11/11/17</v>
          </cell>
          <cell r="AA1337"/>
          <cell r="AB1337">
            <v>43050</v>
          </cell>
          <cell r="AC1337">
            <v>5359</v>
          </cell>
        </row>
        <row r="1338">
          <cell r="B1338">
            <v>3893</v>
          </cell>
          <cell r="C1338" t="str">
            <v>SY-567</v>
          </cell>
          <cell r="D1338" t="str">
            <v>TAILORING</v>
          </cell>
          <cell r="E1338"/>
          <cell r="F1338" t="str">
            <v>T/R 65/35</v>
          </cell>
          <cell r="G1338" t="str">
            <v>65% POLYESTER 35% RAYON</v>
          </cell>
          <cell r="H1338" t="str">
            <v>57/58</v>
          </cell>
          <cell r="I1338">
            <v>214</v>
          </cell>
          <cell r="J1338">
            <v>2.8</v>
          </cell>
          <cell r="K1338"/>
          <cell r="L1338">
            <v>2.85</v>
          </cell>
          <cell r="M1338"/>
          <cell r="N1338">
            <v>2.85</v>
          </cell>
          <cell r="O1338"/>
          <cell r="P1338"/>
          <cell r="Q1338"/>
          <cell r="R1338">
            <v>3.3</v>
          </cell>
          <cell r="S1338"/>
          <cell r="T1338"/>
          <cell r="U1338"/>
          <cell r="V1338"/>
          <cell r="W1338"/>
          <cell r="X1338" t="str">
            <v>LIVALTEX</v>
          </cell>
          <cell r="Y1338"/>
          <cell r="Z1338" t="str">
            <v>ROSE' MAIL 11/11/17</v>
          </cell>
          <cell r="AA1338"/>
          <cell r="AB1338">
            <v>43050</v>
          </cell>
          <cell r="AC1338">
            <v>5360</v>
          </cell>
        </row>
        <row r="1339">
          <cell r="B1339">
            <v>3892</v>
          </cell>
          <cell r="C1339" t="str">
            <v>SY-580</v>
          </cell>
          <cell r="D1339"/>
          <cell r="E1339"/>
          <cell r="F1339" t="str">
            <v>C/A/R 90/7/3</v>
          </cell>
          <cell r="G1339" t="str">
            <v xml:space="preserve">90%COTTON  7%ARCYLIC  3%RAYON </v>
          </cell>
          <cell r="H1339" t="str">
            <v>57/58</v>
          </cell>
          <cell r="I1339">
            <v>230</v>
          </cell>
          <cell r="J1339">
            <v>4.0999999999999996</v>
          </cell>
          <cell r="K1339"/>
          <cell r="L1339">
            <v>4.1500000000000004</v>
          </cell>
          <cell r="M1339"/>
          <cell r="N1339">
            <v>4.1500000000000004</v>
          </cell>
          <cell r="O1339"/>
          <cell r="P1339"/>
          <cell r="Q1339"/>
          <cell r="R1339">
            <v>4.5999999999999996</v>
          </cell>
          <cell r="S1339"/>
          <cell r="T1339"/>
          <cell r="U1339"/>
          <cell r="V1339"/>
          <cell r="W1339"/>
          <cell r="X1339" t="str">
            <v>LIVALTEX</v>
          </cell>
          <cell r="Y1339"/>
          <cell r="Z1339" t="str">
            <v>ROSE' MAIL 11/11/17</v>
          </cell>
          <cell r="AA1339"/>
          <cell r="AB1339">
            <v>43050</v>
          </cell>
          <cell r="AC1339">
            <v>5361</v>
          </cell>
        </row>
        <row r="1340">
          <cell r="B1340">
            <v>3891</v>
          </cell>
          <cell r="C1340" t="str">
            <v>SY-551</v>
          </cell>
          <cell r="D1340" t="str">
            <v>TAILORING WITH FOIL</v>
          </cell>
          <cell r="E1340"/>
          <cell r="F1340" t="str">
            <v>T/R 65/35</v>
          </cell>
          <cell r="G1340" t="str">
            <v xml:space="preserve">65% POLY  35% RAYON </v>
          </cell>
          <cell r="H1340" t="str">
            <v>57/58</v>
          </cell>
          <cell r="I1340">
            <v>295</v>
          </cell>
          <cell r="J1340">
            <v>3.2</v>
          </cell>
          <cell r="K1340"/>
          <cell r="L1340">
            <v>3.25</v>
          </cell>
          <cell r="M1340"/>
          <cell r="N1340">
            <v>3.25</v>
          </cell>
          <cell r="O1340"/>
          <cell r="P1340"/>
          <cell r="Q1340"/>
          <cell r="R1340">
            <v>3.7</v>
          </cell>
          <cell r="S1340"/>
          <cell r="T1340"/>
          <cell r="U1340"/>
          <cell r="V1340"/>
          <cell r="W1340"/>
          <cell r="X1340" t="str">
            <v>LIVALTEX</v>
          </cell>
          <cell r="Y1340"/>
          <cell r="Z1340" t="str">
            <v>ROSE' MAIL 11/11/17</v>
          </cell>
          <cell r="AA1340"/>
          <cell r="AB1340">
            <v>43050</v>
          </cell>
          <cell r="AC1340">
            <v>5362</v>
          </cell>
        </row>
        <row r="1341">
          <cell r="B1341">
            <v>3890</v>
          </cell>
          <cell r="C1341" t="str">
            <v>T-2191</v>
          </cell>
          <cell r="D1341" t="str">
            <v>DOBBY POLY</v>
          </cell>
          <cell r="E1341"/>
          <cell r="F1341" t="str">
            <v>T100%</v>
          </cell>
          <cell r="G1341" t="str">
            <v xml:space="preserve">100% POLYESTER </v>
          </cell>
          <cell r="H1341" t="str">
            <v>57/58</v>
          </cell>
          <cell r="I1341">
            <v>200</v>
          </cell>
          <cell r="J1341">
            <v>2.15</v>
          </cell>
          <cell r="K1341"/>
          <cell r="L1341">
            <v>2.19</v>
          </cell>
          <cell r="M1341"/>
          <cell r="N1341">
            <v>2.19</v>
          </cell>
          <cell r="O1341"/>
          <cell r="P1341"/>
          <cell r="Q1341"/>
          <cell r="R1341">
            <v>2.65</v>
          </cell>
          <cell r="S1341"/>
          <cell r="T1341"/>
          <cell r="U1341"/>
          <cell r="V1341"/>
          <cell r="W1341"/>
          <cell r="X1341" t="str">
            <v>LIVALTEX</v>
          </cell>
          <cell r="Y1341"/>
          <cell r="Z1341" t="str">
            <v>ROSE' MAIL 11/11/17</v>
          </cell>
          <cell r="AA1341"/>
          <cell r="AB1341">
            <v>43050</v>
          </cell>
          <cell r="AC1341">
            <v>5363</v>
          </cell>
        </row>
        <row r="1342">
          <cell r="B1342">
            <v>3827</v>
          </cell>
          <cell r="C1342" t="str">
            <v>T-2205</v>
          </cell>
          <cell r="D1342"/>
          <cell r="E1342"/>
          <cell r="F1342" t="str">
            <v>T100%</v>
          </cell>
          <cell r="G1342" t="str">
            <v>100%POLYESTER</v>
          </cell>
          <cell r="H1342" t="str">
            <v>57/58</v>
          </cell>
          <cell r="I1342" t="str">
            <v>260GSM</v>
          </cell>
          <cell r="J1342">
            <v>4.0199999999999996</v>
          </cell>
          <cell r="K1342">
            <v>4.4800000000000004</v>
          </cell>
          <cell r="L1342">
            <v>4.07</v>
          </cell>
          <cell r="M1342">
            <v>4.53</v>
          </cell>
          <cell r="N1342">
            <v>4.07</v>
          </cell>
          <cell r="O1342">
            <v>4.53</v>
          </cell>
          <cell r="P1342"/>
          <cell r="Q1342"/>
          <cell r="R1342">
            <v>4.5199999999999996</v>
          </cell>
          <cell r="S1342">
            <v>5.18</v>
          </cell>
          <cell r="T1342"/>
          <cell r="U1342"/>
          <cell r="V1342">
            <v>15</v>
          </cell>
          <cell r="W1342"/>
          <cell r="X1342" t="str">
            <v>LIVATEX</v>
          </cell>
          <cell r="Y1342"/>
          <cell r="Z1342" t="str">
            <v>ROSE ' MAIL 11/11/17</v>
          </cell>
          <cell r="AA1342"/>
          <cell r="AB1342">
            <v>43050</v>
          </cell>
          <cell r="AC1342">
            <v>5369</v>
          </cell>
        </row>
        <row r="1343">
          <cell r="B1343">
            <v>3826</v>
          </cell>
          <cell r="C1343" t="str">
            <v>T-2204</v>
          </cell>
          <cell r="D1343"/>
          <cell r="E1343"/>
          <cell r="F1343" t="str">
            <v>T100%</v>
          </cell>
          <cell r="G1343" t="str">
            <v>100%POLYESTER</v>
          </cell>
          <cell r="H1343" t="str">
            <v>57/58</v>
          </cell>
          <cell r="I1343" t="str">
            <v>305GSM</v>
          </cell>
          <cell r="J1343">
            <v>3.8</v>
          </cell>
          <cell r="K1343">
            <v>4.17</v>
          </cell>
          <cell r="L1343">
            <v>3.85</v>
          </cell>
          <cell r="M1343">
            <v>4.22</v>
          </cell>
          <cell r="N1343">
            <v>3.85</v>
          </cell>
          <cell r="O1343">
            <v>4.22</v>
          </cell>
          <cell r="P1343"/>
          <cell r="Q1343"/>
          <cell r="R1343">
            <v>4.3</v>
          </cell>
          <cell r="S1343">
            <v>4.87</v>
          </cell>
          <cell r="T1343"/>
          <cell r="U1343"/>
          <cell r="V1343">
            <v>15</v>
          </cell>
          <cell r="W1343"/>
          <cell r="X1343" t="str">
            <v>LIVATEX</v>
          </cell>
          <cell r="Y1343"/>
          <cell r="Z1343" t="str">
            <v>ROSE ' MAIL 11/11/17</v>
          </cell>
          <cell r="AA1343"/>
          <cell r="AB1343">
            <v>43050</v>
          </cell>
          <cell r="AC1343">
            <v>5370</v>
          </cell>
        </row>
        <row r="1344">
          <cell r="B1344">
            <v>3825</v>
          </cell>
          <cell r="C1344" t="str">
            <v>K-3026</v>
          </cell>
          <cell r="D1344" t="str">
            <v>PLEAT KNIT</v>
          </cell>
          <cell r="E1344"/>
          <cell r="F1344" t="str">
            <v>T100%</v>
          </cell>
          <cell r="G1344" t="str">
            <v>100%POLYESTER</v>
          </cell>
          <cell r="H1344" t="str">
            <v>57/58</v>
          </cell>
          <cell r="I1344" t="str">
            <v>185GSM</v>
          </cell>
          <cell r="J1344">
            <v>2.65</v>
          </cell>
          <cell r="K1344">
            <v>3.3</v>
          </cell>
          <cell r="L1344">
            <v>2.7</v>
          </cell>
          <cell r="M1344">
            <v>3.35</v>
          </cell>
          <cell r="N1344">
            <v>2.7</v>
          </cell>
          <cell r="O1344">
            <v>3.35</v>
          </cell>
          <cell r="P1344"/>
          <cell r="Q1344"/>
          <cell r="R1344">
            <v>3.15</v>
          </cell>
          <cell r="S1344">
            <v>4</v>
          </cell>
          <cell r="T1344"/>
          <cell r="U1344"/>
          <cell r="V1344">
            <v>15</v>
          </cell>
          <cell r="W1344"/>
          <cell r="X1344" t="str">
            <v>LIVATEX</v>
          </cell>
          <cell r="Y1344"/>
          <cell r="Z1344" t="str">
            <v>ROSE ' MAIL 11/11/17</v>
          </cell>
          <cell r="AA1344"/>
          <cell r="AB1344">
            <v>43050</v>
          </cell>
          <cell r="AC1344">
            <v>5371</v>
          </cell>
        </row>
        <row r="1345">
          <cell r="B1345">
            <v>3468</v>
          </cell>
          <cell r="C1345" t="str">
            <v>SP-623</v>
          </cell>
          <cell r="D1345" t="str">
            <v>TAILORING</v>
          </cell>
          <cell r="E1345"/>
          <cell r="F1345" t="str">
            <v>T/R 92/8</v>
          </cell>
          <cell r="G1345" t="str">
            <v>92%POLY  8%RAYON</v>
          </cell>
          <cell r="H1345" t="str">
            <v>57/59</v>
          </cell>
          <cell r="I1345">
            <v>200</v>
          </cell>
          <cell r="J1345">
            <v>2.5499999999999998</v>
          </cell>
          <cell r="K1345"/>
          <cell r="L1345">
            <v>2.6</v>
          </cell>
          <cell r="M1345"/>
          <cell r="N1345">
            <v>2.6</v>
          </cell>
          <cell r="O1345"/>
          <cell r="P1345"/>
          <cell r="Q1345"/>
          <cell r="R1345">
            <v>3.05</v>
          </cell>
          <cell r="S1345"/>
          <cell r="T1345"/>
          <cell r="U1345"/>
          <cell r="V1345"/>
          <cell r="W1345"/>
          <cell r="X1345" t="str">
            <v>LIVALTEX</v>
          </cell>
          <cell r="Y1345"/>
          <cell r="Z1345" t="str">
            <v>ROSE' MAIL 11/11/17</v>
          </cell>
          <cell r="AA1345"/>
          <cell r="AB1345">
            <v>43050</v>
          </cell>
          <cell r="AC1345">
            <v>5364</v>
          </cell>
        </row>
        <row r="1346">
          <cell r="B1346">
            <v>2962</v>
          </cell>
          <cell r="C1346" t="str">
            <v>TCY-249</v>
          </cell>
          <cell r="D1346" t="str">
            <v>TAILORING</v>
          </cell>
          <cell r="E1346" t="str">
            <v>100D x 16+70D / 220x66</v>
          </cell>
          <cell r="F1346" t="str">
            <v>T/C/R 68/23/9</v>
          </cell>
          <cell r="G1346" t="str">
            <v xml:space="preserve">68%POLY  23%COTTON  9%RAYON </v>
          </cell>
          <cell r="H1346" t="str">
            <v>57/58</v>
          </cell>
          <cell r="I1346">
            <v>234</v>
          </cell>
          <cell r="J1346">
            <v>4.7</v>
          </cell>
          <cell r="K1346"/>
          <cell r="L1346">
            <v>4.75</v>
          </cell>
          <cell r="M1346"/>
          <cell r="N1346">
            <v>4.75</v>
          </cell>
          <cell r="O1346"/>
          <cell r="P1346"/>
          <cell r="Q1346"/>
          <cell r="R1346">
            <v>5.2</v>
          </cell>
          <cell r="S1346"/>
          <cell r="T1346"/>
          <cell r="U1346"/>
          <cell r="V1346"/>
          <cell r="W1346"/>
          <cell r="X1346" t="str">
            <v>LIVALTEX</v>
          </cell>
          <cell r="Y1346"/>
          <cell r="Z1346" t="str">
            <v>ROSE 11/11/17</v>
          </cell>
          <cell r="AA1346"/>
          <cell r="AB1346">
            <v>43050</v>
          </cell>
          <cell r="AC1346">
            <v>5365</v>
          </cell>
        </row>
        <row r="1347">
          <cell r="B1347">
            <v>2030</v>
          </cell>
          <cell r="C1347" t="str">
            <v>ST-W5363</v>
          </cell>
          <cell r="D1347"/>
          <cell r="E1347"/>
          <cell r="F1347" t="str">
            <v>MODAL/T 70/30</v>
          </cell>
          <cell r="G1347" t="str">
            <v>70% MODAL 30% POLYESTER</v>
          </cell>
          <cell r="H1347" t="str">
            <v>57/58</v>
          </cell>
          <cell r="I1347">
            <v>115</v>
          </cell>
          <cell r="J1347"/>
          <cell r="K1347"/>
          <cell r="L1347"/>
          <cell r="M1347"/>
          <cell r="N1347"/>
          <cell r="O1347"/>
          <cell r="P1347"/>
          <cell r="Q1347"/>
          <cell r="R1347"/>
          <cell r="S1347"/>
          <cell r="T1347"/>
          <cell r="U1347"/>
          <cell r="V1347"/>
          <cell r="W1347"/>
          <cell r="X1347" t="str">
            <v>SIGER</v>
          </cell>
          <cell r="Y1347"/>
          <cell r="Z1347"/>
          <cell r="AA1347"/>
          <cell r="AB1347">
            <v>43050</v>
          </cell>
          <cell r="AC1347">
            <v>5366</v>
          </cell>
        </row>
        <row r="1348">
          <cell r="B1348">
            <v>3770</v>
          </cell>
          <cell r="C1348" t="str">
            <v>TS-486</v>
          </cell>
          <cell r="D1348" t="str">
            <v>HEAVY POLY CREPE</v>
          </cell>
          <cell r="E1348"/>
          <cell r="F1348" t="str">
            <v>T 100%</v>
          </cell>
          <cell r="G1348" t="str">
            <v xml:space="preserve">100% POLYESTER </v>
          </cell>
          <cell r="H1348" t="str">
            <v>57/58</v>
          </cell>
          <cell r="I1348" t="str">
            <v>220-230</v>
          </cell>
          <cell r="J1348">
            <v>1.76</v>
          </cell>
          <cell r="K1348">
            <v>1.94</v>
          </cell>
          <cell r="L1348">
            <v>1.78</v>
          </cell>
          <cell r="M1348">
            <v>1.97</v>
          </cell>
          <cell r="N1348">
            <v>1.8</v>
          </cell>
          <cell r="O1348">
            <v>2</v>
          </cell>
          <cell r="P1348"/>
          <cell r="Q1348"/>
          <cell r="R1348">
            <v>1.95</v>
          </cell>
          <cell r="S1348">
            <v>2.25</v>
          </cell>
          <cell r="T1348"/>
          <cell r="U1348"/>
          <cell r="V1348">
            <v>15</v>
          </cell>
          <cell r="W1348"/>
          <cell r="X1348" t="str">
            <v>GAVIN</v>
          </cell>
          <cell r="Y1348"/>
          <cell r="Z1348" t="str">
            <v>GAVIN ' MAIL 10/11/17</v>
          </cell>
          <cell r="AA1348"/>
          <cell r="AB1348">
            <v>43049</v>
          </cell>
          <cell r="AC1348">
            <v>5378</v>
          </cell>
        </row>
        <row r="1349">
          <cell r="B1349">
            <v>3769</v>
          </cell>
          <cell r="C1349" t="str">
            <v>DG-10633</v>
          </cell>
          <cell r="D1349"/>
          <cell r="E1349" t="str">
            <v>(p135d*p150/154*72)</v>
          </cell>
          <cell r="F1349" t="str">
            <v>T 100%</v>
          </cell>
          <cell r="G1349" t="str">
            <v xml:space="preserve"> 100% POLYESTER </v>
          </cell>
          <cell r="H1349" t="str">
            <v>58/60</v>
          </cell>
          <cell r="I1349">
            <v>150</v>
          </cell>
          <cell r="J1349"/>
          <cell r="K1349"/>
          <cell r="L1349"/>
          <cell r="M1349"/>
          <cell r="N1349">
            <v>1.95</v>
          </cell>
          <cell r="O1349"/>
          <cell r="P1349"/>
          <cell r="Q1349"/>
          <cell r="R1349"/>
          <cell r="S1349"/>
          <cell r="T1349"/>
          <cell r="U1349"/>
          <cell r="V1349" t="str">
            <v>2M</v>
          </cell>
          <cell r="W1349"/>
          <cell r="X1349" t="str">
            <v>T.Đ.QUANG</v>
          </cell>
          <cell r="Y1349"/>
          <cell r="Z1349" t="str">
            <v>HƯƠNG ' MAIL 10/11/17</v>
          </cell>
          <cell r="AA1349"/>
          <cell r="AB1349">
            <v>43049</v>
          </cell>
          <cell r="AC1349">
            <v>5377</v>
          </cell>
        </row>
        <row r="1350">
          <cell r="B1350">
            <v>4046</v>
          </cell>
          <cell r="C1350" t="str">
            <v>OLP-1741505YWD</v>
          </cell>
          <cell r="D1350" t="str">
            <v>CHECK - POLY</v>
          </cell>
          <cell r="E1350"/>
          <cell r="F1350" t="str">
            <v>T100%</v>
          </cell>
          <cell r="G1350" t="str">
            <v xml:space="preserve">100% POLYESTER </v>
          </cell>
          <cell r="H1350" t="str">
            <v>57/58</v>
          </cell>
          <cell r="I1350">
            <v>75</v>
          </cell>
          <cell r="J1350">
            <v>2.3199999999999998</v>
          </cell>
          <cell r="K1350">
            <v>2.7</v>
          </cell>
          <cell r="L1350">
            <v>2.42</v>
          </cell>
          <cell r="M1350">
            <v>2.8</v>
          </cell>
          <cell r="N1350">
            <v>2.5499999999999998</v>
          </cell>
          <cell r="O1350">
            <v>2.93</v>
          </cell>
          <cell r="P1350"/>
          <cell r="Q1350"/>
          <cell r="R1350">
            <v>2.7</v>
          </cell>
          <cell r="S1350">
            <v>3.68</v>
          </cell>
          <cell r="T1350"/>
          <cell r="U1350"/>
          <cell r="V1350"/>
          <cell r="W1350"/>
          <cell r="X1350" t="str">
            <v>OWEN</v>
          </cell>
          <cell r="Y1350"/>
          <cell r="Z1350" t="str">
            <v>SANDY ' MAIL 9/11/17</v>
          </cell>
          <cell r="AA1350"/>
          <cell r="AB1350">
            <v>43048</v>
          </cell>
          <cell r="AC1350">
            <v>5386</v>
          </cell>
        </row>
        <row r="1351">
          <cell r="B1351">
            <v>4045</v>
          </cell>
          <cell r="C1351" t="str">
            <v>OLP-1504-1-XS</v>
          </cell>
          <cell r="D1351" t="str">
            <v>CRINKLE CHIFFON</v>
          </cell>
          <cell r="E1351" t="str">
            <v>100*100</v>
          </cell>
          <cell r="F1351" t="str">
            <v>T100%</v>
          </cell>
          <cell r="G1351" t="str">
            <v xml:space="preserve">100% POLYESTER </v>
          </cell>
          <cell r="H1351" t="str">
            <v>57/58</v>
          </cell>
          <cell r="I1351">
            <v>125</v>
          </cell>
          <cell r="J1351">
            <v>1.5</v>
          </cell>
          <cell r="K1351">
            <v>1.78</v>
          </cell>
          <cell r="L1351">
            <v>1.6</v>
          </cell>
          <cell r="M1351">
            <v>1.93</v>
          </cell>
          <cell r="N1351">
            <v>1.7</v>
          </cell>
          <cell r="O1351">
            <v>2.1800000000000002</v>
          </cell>
          <cell r="P1351"/>
          <cell r="Q1351"/>
          <cell r="R1351">
            <v>1.85</v>
          </cell>
          <cell r="S1351">
            <v>3.93</v>
          </cell>
          <cell r="T1351"/>
          <cell r="U1351"/>
          <cell r="V1351"/>
          <cell r="W1351"/>
          <cell r="X1351" t="str">
            <v>OWEN</v>
          </cell>
          <cell r="Y1351"/>
          <cell r="Z1351" t="str">
            <v>SANDY ' MAIL 9/11/17</v>
          </cell>
          <cell r="AA1351"/>
          <cell r="AB1351">
            <v>43048</v>
          </cell>
          <cell r="AC1351">
            <v>5387</v>
          </cell>
        </row>
        <row r="1352">
          <cell r="B1352">
            <v>3972</v>
          </cell>
          <cell r="C1352" t="str">
            <v>TS-481</v>
          </cell>
          <cell r="D1352" t="str">
            <v>SATEEN VISCOSE</v>
          </cell>
          <cell r="E1352"/>
          <cell r="F1352" t="str">
            <v>V100%</v>
          </cell>
          <cell r="G1352" t="str">
            <v>100% VISCOSE</v>
          </cell>
          <cell r="H1352" t="str">
            <v>57/58</v>
          </cell>
          <cell r="I1352">
            <v>155</v>
          </cell>
          <cell r="J1352">
            <v>3.51</v>
          </cell>
          <cell r="K1352">
            <v>3.69</v>
          </cell>
          <cell r="L1352">
            <v>3.53</v>
          </cell>
          <cell r="M1352">
            <v>3.72</v>
          </cell>
          <cell r="N1352">
            <v>3.55</v>
          </cell>
          <cell r="O1352">
            <v>3.75</v>
          </cell>
          <cell r="P1352"/>
          <cell r="Q1352"/>
          <cell r="R1352">
            <v>3.7</v>
          </cell>
          <cell r="S1352">
            <v>4</v>
          </cell>
          <cell r="T1352"/>
          <cell r="U1352"/>
          <cell r="V1352" t="str">
            <v>OK</v>
          </cell>
          <cell r="W1352"/>
          <cell r="X1352" t="str">
            <v>GAVIN</v>
          </cell>
          <cell r="Y1352"/>
          <cell r="Z1352" t="str">
            <v>GAVIN 9/11/17</v>
          </cell>
          <cell r="AA1352"/>
          <cell r="AB1352">
            <v>43048</v>
          </cell>
          <cell r="AC1352">
            <v>5388</v>
          </cell>
        </row>
        <row r="1353">
          <cell r="B1353">
            <v>3971</v>
          </cell>
          <cell r="C1353" t="str">
            <v>OLP-SP00232</v>
          </cell>
          <cell r="D1353" t="str">
            <v>SATEEN</v>
          </cell>
          <cell r="E1353" t="str">
            <v>75+50+68*180</v>
          </cell>
          <cell r="F1353" t="str">
            <v>T100%</v>
          </cell>
          <cell r="G1353" t="str">
            <v xml:space="preserve">100% POLYESTER </v>
          </cell>
          <cell r="H1353" t="str">
            <v>57/58</v>
          </cell>
          <cell r="I1353">
            <v>235</v>
          </cell>
          <cell r="J1353">
            <v>1.87</v>
          </cell>
          <cell r="K1353">
            <v>3.25</v>
          </cell>
          <cell r="L1353">
            <v>1.93</v>
          </cell>
          <cell r="M1353">
            <v>3.32</v>
          </cell>
          <cell r="N1353">
            <v>3.02</v>
          </cell>
          <cell r="O1353">
            <v>3.45</v>
          </cell>
          <cell r="P1353"/>
          <cell r="Q1353"/>
          <cell r="R1353">
            <v>3.17</v>
          </cell>
          <cell r="S1353">
            <v>4.2</v>
          </cell>
          <cell r="T1353"/>
          <cell r="U1353"/>
          <cell r="V1353" t="str">
            <v>Y</v>
          </cell>
          <cell r="W1353"/>
          <cell r="X1353" t="str">
            <v>OWEN</v>
          </cell>
          <cell r="Y1353"/>
          <cell r="Z1353" t="str">
            <v>SANDY ' MAIL 9/11/17</v>
          </cell>
          <cell r="AA1353"/>
          <cell r="AB1353">
            <v>43048</v>
          </cell>
          <cell r="AC1353">
            <v>5406</v>
          </cell>
        </row>
        <row r="1354">
          <cell r="B1354">
            <v>3970</v>
          </cell>
          <cell r="C1354" t="str">
            <v>OLP-SP00281</v>
          </cell>
          <cell r="D1354" t="str">
            <v>SATEEN</v>
          </cell>
          <cell r="E1354" t="str">
            <v>50x75</v>
          </cell>
          <cell r="F1354" t="str">
            <v>T100%</v>
          </cell>
          <cell r="G1354" t="str">
            <v xml:space="preserve">100% POLYESTER </v>
          </cell>
          <cell r="H1354" t="str">
            <v>57/58</v>
          </cell>
          <cell r="I1354">
            <v>110</v>
          </cell>
          <cell r="J1354">
            <v>1.86</v>
          </cell>
          <cell r="K1354">
            <v>2.15</v>
          </cell>
          <cell r="L1354">
            <v>1.96</v>
          </cell>
          <cell r="M1354">
            <v>2.2999999999999998</v>
          </cell>
          <cell r="N1354">
            <v>2.08</v>
          </cell>
          <cell r="O1354">
            <v>2.5</v>
          </cell>
          <cell r="P1354"/>
          <cell r="Q1354"/>
          <cell r="R1354">
            <v>2.23</v>
          </cell>
          <cell r="S1354">
            <v>3.25</v>
          </cell>
          <cell r="T1354"/>
          <cell r="U1354"/>
          <cell r="V1354" t="str">
            <v>Y</v>
          </cell>
          <cell r="W1354"/>
          <cell r="X1354" t="str">
            <v>OWEN</v>
          </cell>
          <cell r="Y1354"/>
          <cell r="Z1354" t="str">
            <v>SANDY ' MAIL 9/11/17</v>
          </cell>
          <cell r="AA1354"/>
          <cell r="AB1354">
            <v>43048</v>
          </cell>
          <cell r="AC1354">
            <v>5403</v>
          </cell>
        </row>
        <row r="1355">
          <cell r="B1355">
            <v>3969</v>
          </cell>
          <cell r="C1355" t="str">
            <v>OLP-SP00284</v>
          </cell>
          <cell r="D1355" t="str">
            <v>SATEEN</v>
          </cell>
          <cell r="E1355" t="str">
            <v>15+15x75</v>
          </cell>
          <cell r="F1355" t="str">
            <v>T100%</v>
          </cell>
          <cell r="G1355" t="str">
            <v xml:space="preserve">100% POLYESTER </v>
          </cell>
          <cell r="H1355" t="str">
            <v>57/58</v>
          </cell>
          <cell r="I1355">
            <v>97</v>
          </cell>
          <cell r="J1355">
            <v>2.23</v>
          </cell>
          <cell r="K1355">
            <v>2.5</v>
          </cell>
          <cell r="L1355">
            <v>2.2999999999999998</v>
          </cell>
          <cell r="M1355">
            <v>2.65</v>
          </cell>
          <cell r="N1355">
            <v>2.4</v>
          </cell>
          <cell r="O1355">
            <v>2.85</v>
          </cell>
          <cell r="P1355"/>
          <cell r="Q1355"/>
          <cell r="R1355">
            <v>2.5499999999999998</v>
          </cell>
          <cell r="S1355">
            <v>3.6</v>
          </cell>
          <cell r="T1355"/>
          <cell r="U1355"/>
          <cell r="V1355" t="str">
            <v>Y</v>
          </cell>
          <cell r="W1355"/>
          <cell r="X1355" t="str">
            <v>OWEN</v>
          </cell>
          <cell r="Y1355"/>
          <cell r="Z1355" t="str">
            <v>SANDY ' MAIL 9/11/17</v>
          </cell>
          <cell r="AA1355"/>
          <cell r="AB1355">
            <v>43048</v>
          </cell>
          <cell r="AC1355">
            <v>5404</v>
          </cell>
        </row>
        <row r="1356">
          <cell r="B1356">
            <v>3968</v>
          </cell>
          <cell r="C1356" t="str">
            <v>OLP-SP00283</v>
          </cell>
          <cell r="D1356" t="str">
            <v>POLY</v>
          </cell>
          <cell r="E1356" t="str">
            <v xml:space="preserve"> 50+68x50+68</v>
          </cell>
          <cell r="F1356" t="str">
            <v>T100%</v>
          </cell>
          <cell r="G1356" t="str">
            <v>100% POLYESTER</v>
          </cell>
          <cell r="H1356" t="str">
            <v>57/58</v>
          </cell>
          <cell r="I1356">
            <v>180</v>
          </cell>
          <cell r="J1356">
            <v>2.2400000000000002</v>
          </cell>
          <cell r="K1356">
            <v>2.52</v>
          </cell>
          <cell r="L1356">
            <v>2.3199999999999998</v>
          </cell>
          <cell r="M1356">
            <v>2.68</v>
          </cell>
          <cell r="N1356">
            <v>2.42</v>
          </cell>
          <cell r="O1356">
            <v>2.83</v>
          </cell>
          <cell r="P1356"/>
          <cell r="Q1356"/>
          <cell r="R1356">
            <v>2.57</v>
          </cell>
          <cell r="S1356">
            <v>3.58</v>
          </cell>
          <cell r="T1356"/>
          <cell r="U1356"/>
          <cell r="V1356" t="str">
            <v>Y</v>
          </cell>
          <cell r="W1356"/>
          <cell r="X1356" t="str">
            <v>OWEN</v>
          </cell>
          <cell r="Y1356"/>
          <cell r="Z1356" t="str">
            <v>SANDY ' MAIL 9/11/17</v>
          </cell>
          <cell r="AA1356"/>
          <cell r="AB1356">
            <v>43048</v>
          </cell>
          <cell r="AC1356">
            <v>5389</v>
          </cell>
        </row>
        <row r="1357">
          <cell r="B1357">
            <v>3967</v>
          </cell>
          <cell r="C1357" t="str">
            <v>OLP-YR00203</v>
          </cell>
          <cell r="D1357" t="str">
            <v>Y/D COTTON</v>
          </cell>
          <cell r="E1357" t="str">
            <v>60x60</v>
          </cell>
          <cell r="F1357" t="str">
            <v>C100%</v>
          </cell>
          <cell r="G1357" t="str">
            <v xml:space="preserve">100% COTTON </v>
          </cell>
          <cell r="H1357" t="str">
            <v>57/58</v>
          </cell>
          <cell r="I1357">
            <v>78</v>
          </cell>
          <cell r="J1357">
            <v>1.85</v>
          </cell>
          <cell r="K1357"/>
          <cell r="L1357">
            <v>1.95</v>
          </cell>
          <cell r="M1357"/>
          <cell r="N1357">
            <v>2.0499999999999998</v>
          </cell>
          <cell r="O1357"/>
          <cell r="P1357"/>
          <cell r="Q1357"/>
          <cell r="R1357">
            <v>2.35</v>
          </cell>
          <cell r="S1357"/>
          <cell r="T1357"/>
          <cell r="U1357"/>
          <cell r="V1357" t="str">
            <v>Y</v>
          </cell>
          <cell r="W1357"/>
          <cell r="X1357" t="str">
            <v>OWEN</v>
          </cell>
          <cell r="Y1357"/>
          <cell r="Z1357" t="str">
            <v>SANDY ' MAIL 9/11/17</v>
          </cell>
          <cell r="AA1357"/>
          <cell r="AB1357">
            <v>43048</v>
          </cell>
          <cell r="AC1357">
            <v>5380</v>
          </cell>
        </row>
        <row r="1358">
          <cell r="B1358">
            <v>3966</v>
          </cell>
          <cell r="C1358" t="str">
            <v>OLP-YR00204</v>
          </cell>
          <cell r="D1358" t="str">
            <v>Y/D COTTON WITH FAGOTTING</v>
          </cell>
          <cell r="E1358" t="str">
            <v>50+40/2x50</v>
          </cell>
          <cell r="F1358" t="str">
            <v>C100%</v>
          </cell>
          <cell r="G1358" t="str">
            <v xml:space="preserve">100% COTTON </v>
          </cell>
          <cell r="H1358" t="str">
            <v>56/57</v>
          </cell>
          <cell r="I1358">
            <v>85</v>
          </cell>
          <cell r="J1358">
            <v>2.84</v>
          </cell>
          <cell r="K1358"/>
          <cell r="L1358">
            <v>2.9</v>
          </cell>
          <cell r="M1358"/>
          <cell r="N1358">
            <v>2.98</v>
          </cell>
          <cell r="O1358"/>
          <cell r="P1358"/>
          <cell r="Q1358"/>
          <cell r="R1358">
            <v>3.28</v>
          </cell>
          <cell r="S1358"/>
          <cell r="T1358"/>
          <cell r="U1358"/>
          <cell r="V1358" t="str">
            <v>Y</v>
          </cell>
          <cell r="W1358"/>
          <cell r="X1358" t="str">
            <v>OWEN</v>
          </cell>
          <cell r="Y1358"/>
          <cell r="Z1358" t="str">
            <v>SANDY ' MAIL 9/11/17</v>
          </cell>
          <cell r="AA1358"/>
          <cell r="AB1358">
            <v>43048</v>
          </cell>
          <cell r="AC1358">
            <v>5408</v>
          </cell>
        </row>
        <row r="1359">
          <cell r="B1359">
            <v>3965</v>
          </cell>
          <cell r="C1359" t="str">
            <v>OLP-SP00285</v>
          </cell>
          <cell r="D1359" t="str">
            <v>CDC</v>
          </cell>
          <cell r="E1359" t="str">
            <v>20+26x75</v>
          </cell>
          <cell r="F1359" t="str">
            <v>T100%</v>
          </cell>
          <cell r="G1359" t="str">
            <v xml:space="preserve">100% POLYESTER </v>
          </cell>
          <cell r="H1359" t="str">
            <v>57/58</v>
          </cell>
          <cell r="I1359">
            <v>80</v>
          </cell>
          <cell r="J1359">
            <v>1.5</v>
          </cell>
          <cell r="K1359">
            <v>1.76</v>
          </cell>
          <cell r="L1359">
            <v>1.62</v>
          </cell>
          <cell r="M1359">
            <v>1.91</v>
          </cell>
          <cell r="N1359">
            <v>1.72</v>
          </cell>
          <cell r="O1359">
            <v>2.21</v>
          </cell>
          <cell r="P1359"/>
          <cell r="Q1359"/>
          <cell r="R1359">
            <v>1.87</v>
          </cell>
          <cell r="S1359">
            <v>2.96</v>
          </cell>
          <cell r="T1359"/>
          <cell r="U1359"/>
          <cell r="V1359" t="str">
            <v>Y</v>
          </cell>
          <cell r="W1359"/>
          <cell r="X1359" t="str">
            <v>OWEN</v>
          </cell>
          <cell r="Y1359"/>
          <cell r="Z1359" t="str">
            <v>SANDY ' MAIL 9/11/17</v>
          </cell>
          <cell r="AA1359"/>
          <cell r="AB1359">
            <v>43048</v>
          </cell>
          <cell r="AC1359">
            <v>5405</v>
          </cell>
        </row>
        <row r="1360">
          <cell r="B1360">
            <v>3964</v>
          </cell>
          <cell r="C1360" t="str">
            <v>OLP-SP00282</v>
          </cell>
          <cell r="D1360"/>
          <cell r="E1360" t="str">
            <v xml:space="preserve"> 20+26x2</v>
          </cell>
          <cell r="F1360" t="str">
            <v>T100%</v>
          </cell>
          <cell r="G1360" t="str">
            <v xml:space="preserve">100% POLYESTER </v>
          </cell>
          <cell r="H1360" t="str">
            <v>57/58</v>
          </cell>
          <cell r="I1360">
            <v>120</v>
          </cell>
          <cell r="J1360">
            <v>2.23</v>
          </cell>
          <cell r="K1360">
            <v>2.5</v>
          </cell>
          <cell r="L1360">
            <v>2.2999999999999998</v>
          </cell>
          <cell r="M1360">
            <v>2.65</v>
          </cell>
          <cell r="N1360">
            <v>2.4</v>
          </cell>
          <cell r="O1360">
            <v>2.85</v>
          </cell>
          <cell r="P1360"/>
          <cell r="Q1360"/>
          <cell r="R1360">
            <v>2.5499999999999998</v>
          </cell>
          <cell r="S1360">
            <v>3.6</v>
          </cell>
          <cell r="T1360"/>
          <cell r="U1360"/>
          <cell r="V1360" t="str">
            <v>Y</v>
          </cell>
          <cell r="W1360"/>
          <cell r="X1360" t="str">
            <v>OWEN</v>
          </cell>
          <cell r="Y1360"/>
          <cell r="Z1360" t="str">
            <v>SANDY ' MAIL 9/11/17</v>
          </cell>
          <cell r="AA1360"/>
          <cell r="AB1360">
            <v>43048</v>
          </cell>
          <cell r="AC1360">
            <v>5390</v>
          </cell>
        </row>
        <row r="1361">
          <cell r="B1361">
            <v>3963</v>
          </cell>
          <cell r="C1361" t="str">
            <v>OLP-SP00278</v>
          </cell>
          <cell r="D1361"/>
          <cell r="E1361" t="str">
            <v>160x160</v>
          </cell>
          <cell r="F1361" t="str">
            <v>T100%</v>
          </cell>
          <cell r="G1361" t="str">
            <v xml:space="preserve">100% POLYESTER </v>
          </cell>
          <cell r="H1361" t="str">
            <v>57/58</v>
          </cell>
          <cell r="I1361">
            <v>150</v>
          </cell>
          <cell r="J1361">
            <v>1.93</v>
          </cell>
          <cell r="K1361">
            <v>2.1800000000000002</v>
          </cell>
          <cell r="L1361">
            <v>2.0299999999999998</v>
          </cell>
          <cell r="M1361">
            <v>2.33</v>
          </cell>
          <cell r="N1361">
            <v>2.13</v>
          </cell>
          <cell r="O1361">
            <v>2.58</v>
          </cell>
          <cell r="P1361"/>
          <cell r="Q1361"/>
          <cell r="R1361">
            <v>2.2799999999999998</v>
          </cell>
          <cell r="S1361">
            <v>3.33</v>
          </cell>
          <cell r="T1361"/>
          <cell r="U1361"/>
          <cell r="V1361" t="str">
            <v xml:space="preserve">Y </v>
          </cell>
          <cell r="W1361"/>
          <cell r="X1361" t="str">
            <v>OWEN</v>
          </cell>
          <cell r="Y1361"/>
          <cell r="Z1361" t="str">
            <v>SANDY ' MAIL 9/11/17</v>
          </cell>
          <cell r="AA1361"/>
          <cell r="AB1361">
            <v>43048</v>
          </cell>
          <cell r="AC1361">
            <v>5391</v>
          </cell>
        </row>
        <row r="1362">
          <cell r="B1362">
            <v>3962</v>
          </cell>
          <cell r="C1362" t="str">
            <v>OLP-SP00280</v>
          </cell>
          <cell r="D1362" t="str">
            <v>POLY</v>
          </cell>
          <cell r="E1362" t="str">
            <v xml:space="preserve"> 100x100</v>
          </cell>
          <cell r="F1362" t="str">
            <v>T100%</v>
          </cell>
          <cell r="G1362" t="str">
            <v xml:space="preserve">100% POLYESTER </v>
          </cell>
          <cell r="H1362" t="str">
            <v>57/58</v>
          </cell>
          <cell r="I1362">
            <v>170</v>
          </cell>
          <cell r="J1362">
            <v>3.09</v>
          </cell>
          <cell r="K1362">
            <v>3.42</v>
          </cell>
          <cell r="L1362">
            <v>3.18</v>
          </cell>
          <cell r="M1362">
            <v>3.57</v>
          </cell>
          <cell r="N1362">
            <v>3.28</v>
          </cell>
          <cell r="O1362">
            <v>3.77</v>
          </cell>
          <cell r="P1362"/>
          <cell r="Q1362"/>
          <cell r="R1362">
            <v>3.43</v>
          </cell>
          <cell r="S1362">
            <v>4.5199999999999996</v>
          </cell>
          <cell r="T1362"/>
          <cell r="U1362"/>
          <cell r="V1362" t="str">
            <v>Y</v>
          </cell>
          <cell r="W1362"/>
          <cell r="X1362" t="str">
            <v>OWEN</v>
          </cell>
          <cell r="Y1362"/>
          <cell r="Z1362" t="str">
            <v>SANDY ' MAIL 9/11/17</v>
          </cell>
          <cell r="AA1362"/>
          <cell r="AB1362">
            <v>43048</v>
          </cell>
          <cell r="AC1362">
            <v>5392</v>
          </cell>
        </row>
        <row r="1363">
          <cell r="B1363">
            <v>3961</v>
          </cell>
          <cell r="C1363" t="str">
            <v>OLP-YR00201</v>
          </cell>
          <cell r="D1363" t="str">
            <v>Y/D COTTON</v>
          </cell>
          <cell r="E1363" t="str">
            <v>60x60</v>
          </cell>
          <cell r="F1363" t="str">
            <v>C100%</v>
          </cell>
          <cell r="G1363" t="str">
            <v xml:space="preserve">100% COTTON </v>
          </cell>
          <cell r="H1363" t="str">
            <v>57/58</v>
          </cell>
          <cell r="I1363">
            <v>78</v>
          </cell>
          <cell r="J1363">
            <v>1.85</v>
          </cell>
          <cell r="K1363"/>
          <cell r="L1363">
            <v>1.95</v>
          </cell>
          <cell r="M1363"/>
          <cell r="N1363">
            <v>2.0499999999999998</v>
          </cell>
          <cell r="O1363"/>
          <cell r="P1363"/>
          <cell r="Q1363"/>
          <cell r="R1363">
            <v>2.35</v>
          </cell>
          <cell r="S1363"/>
          <cell r="T1363"/>
          <cell r="U1363"/>
          <cell r="V1363" t="str">
            <v>Y</v>
          </cell>
          <cell r="W1363"/>
          <cell r="X1363" t="str">
            <v>OWEN</v>
          </cell>
          <cell r="Y1363"/>
          <cell r="Z1363" t="str">
            <v>SANDY ' MAIL 9/11/17</v>
          </cell>
          <cell r="AA1363"/>
          <cell r="AB1363">
            <v>43048</v>
          </cell>
          <cell r="AC1363">
            <v>5381</v>
          </cell>
        </row>
        <row r="1364">
          <cell r="B1364">
            <v>3960</v>
          </cell>
          <cell r="C1364" t="str">
            <v>OLP-SP00279</v>
          </cell>
          <cell r="D1364" t="str">
            <v>SATEEN</v>
          </cell>
          <cell r="E1364" t="str">
            <v>50x50</v>
          </cell>
          <cell r="F1364" t="str">
            <v>T100%</v>
          </cell>
          <cell r="G1364" t="str">
            <v xml:space="preserve">100% POLYESTER </v>
          </cell>
          <cell r="H1364" t="str">
            <v>57/58</v>
          </cell>
          <cell r="I1364">
            <v>88</v>
          </cell>
          <cell r="J1364">
            <v>1.68</v>
          </cell>
          <cell r="K1364">
            <v>1.95</v>
          </cell>
          <cell r="L1364">
            <v>1.76</v>
          </cell>
          <cell r="M1364">
            <v>2.1</v>
          </cell>
          <cell r="N1364">
            <v>1.85</v>
          </cell>
          <cell r="O1364">
            <v>2.2999999999999998</v>
          </cell>
          <cell r="P1364"/>
          <cell r="Q1364"/>
          <cell r="R1364">
            <v>2</v>
          </cell>
          <cell r="S1364">
            <v>3.05</v>
          </cell>
          <cell r="T1364"/>
          <cell r="U1364"/>
          <cell r="V1364"/>
          <cell r="W1364"/>
          <cell r="X1364" t="str">
            <v>OWEN</v>
          </cell>
          <cell r="Y1364"/>
          <cell r="Z1364" t="str">
            <v>SANDY ' MAIL 9/11/17</v>
          </cell>
          <cell r="AA1364"/>
          <cell r="AB1364">
            <v>43048</v>
          </cell>
          <cell r="AC1364">
            <v>5402</v>
          </cell>
        </row>
        <row r="1365">
          <cell r="B1365">
            <v>3959</v>
          </cell>
          <cell r="C1365" t="str">
            <v>OLP-YR00205</v>
          </cell>
          <cell r="D1365" t="str">
            <v>Y/D COTTON</v>
          </cell>
          <cell r="E1365" t="str">
            <v>40x40</v>
          </cell>
          <cell r="F1365" t="str">
            <v>C100%</v>
          </cell>
          <cell r="G1365" t="str">
            <v xml:space="preserve">100% COTTON </v>
          </cell>
          <cell r="H1365" t="str">
            <v>57/58</v>
          </cell>
          <cell r="I1365">
            <v>80</v>
          </cell>
          <cell r="J1365">
            <v>1.98</v>
          </cell>
          <cell r="K1365"/>
          <cell r="L1365">
            <v>2.08</v>
          </cell>
          <cell r="M1365"/>
          <cell r="N1365">
            <v>2.1800000000000002</v>
          </cell>
          <cell r="O1365"/>
          <cell r="P1365"/>
          <cell r="Q1365"/>
          <cell r="R1365">
            <v>2.48</v>
          </cell>
          <cell r="S1365"/>
          <cell r="T1365"/>
          <cell r="U1365"/>
          <cell r="V1365" t="str">
            <v>Y</v>
          </cell>
          <cell r="W1365"/>
          <cell r="X1365" t="str">
            <v>OWEN</v>
          </cell>
          <cell r="Y1365"/>
          <cell r="Z1365" t="str">
            <v>SANDY ' MAIL 9/11/17</v>
          </cell>
          <cell r="AA1365"/>
          <cell r="AB1365">
            <v>43048</v>
          </cell>
          <cell r="AC1365">
            <v>5407</v>
          </cell>
        </row>
        <row r="1366">
          <cell r="B1366">
            <v>3958</v>
          </cell>
          <cell r="C1366" t="str">
            <v>OLP-SP00233</v>
          </cell>
          <cell r="D1366"/>
          <cell r="E1366" t="str">
            <v xml:space="preserve"> 50+50x50+50</v>
          </cell>
          <cell r="F1366" t="str">
            <v>T100%</v>
          </cell>
          <cell r="G1366" t="str">
            <v>100% POLYESTER</v>
          </cell>
          <cell r="H1366" t="str">
            <v>57/58</v>
          </cell>
          <cell r="I1366">
            <v>165</v>
          </cell>
          <cell r="J1366">
            <v>2.5499999999999998</v>
          </cell>
          <cell r="K1366">
            <v>2.96</v>
          </cell>
          <cell r="L1366">
            <v>2.62</v>
          </cell>
          <cell r="M1366">
            <v>3.04</v>
          </cell>
          <cell r="N1366">
            <v>2.7</v>
          </cell>
          <cell r="O1366">
            <v>3.12</v>
          </cell>
          <cell r="P1366"/>
          <cell r="Q1366"/>
          <cell r="R1366">
            <v>2.85</v>
          </cell>
          <cell r="S1366">
            <v>3.87</v>
          </cell>
          <cell r="T1366"/>
          <cell r="U1366"/>
          <cell r="V1366" t="str">
            <v>Y</v>
          </cell>
          <cell r="W1366"/>
          <cell r="X1366" t="str">
            <v>OWEN</v>
          </cell>
          <cell r="Y1366"/>
          <cell r="Z1366" t="str">
            <v>SANDY ' MAIL 9/11/17</v>
          </cell>
          <cell r="AA1366"/>
          <cell r="AB1366">
            <v>43048</v>
          </cell>
          <cell r="AC1366">
            <v>5393</v>
          </cell>
        </row>
        <row r="1367">
          <cell r="B1367">
            <v>3957</v>
          </cell>
          <cell r="C1367" t="str">
            <v>OLP-SP00231</v>
          </cell>
          <cell r="D1367"/>
          <cell r="E1367" t="str">
            <v>75+50+50*190</v>
          </cell>
          <cell r="F1367" t="str">
            <v>T100%</v>
          </cell>
          <cell r="G1367" t="str">
            <v xml:space="preserve">100% POLYESTER </v>
          </cell>
          <cell r="H1367" t="str">
            <v>57/58</v>
          </cell>
          <cell r="I1367">
            <v>230</v>
          </cell>
          <cell r="J1367">
            <v>3.9</v>
          </cell>
          <cell r="K1367">
            <v>3.17</v>
          </cell>
          <cell r="L1367">
            <v>2.97</v>
          </cell>
          <cell r="M1367">
            <v>3.25</v>
          </cell>
          <cell r="N1367">
            <v>3.05</v>
          </cell>
          <cell r="O1367">
            <v>3.35</v>
          </cell>
          <cell r="P1367"/>
          <cell r="Q1367"/>
          <cell r="R1367">
            <v>3.2</v>
          </cell>
          <cell r="S1367">
            <v>4.05</v>
          </cell>
          <cell r="T1367"/>
          <cell r="U1367"/>
          <cell r="V1367" t="str">
            <v>Y</v>
          </cell>
          <cell r="W1367"/>
          <cell r="X1367" t="str">
            <v>OWEN</v>
          </cell>
          <cell r="Y1367"/>
          <cell r="Z1367" t="str">
            <v>SANDY ' MAIL 9/11/17</v>
          </cell>
          <cell r="AA1367"/>
          <cell r="AB1367">
            <v>43048</v>
          </cell>
          <cell r="AC1367">
            <v>5394</v>
          </cell>
        </row>
        <row r="1368">
          <cell r="B1368">
            <v>3956</v>
          </cell>
          <cell r="C1368" t="str">
            <v>OLP-SP00229</v>
          </cell>
          <cell r="D1368"/>
          <cell r="E1368" t="str">
            <v>50*+50*150+40</v>
          </cell>
          <cell r="F1368" t="str">
            <v>T/S</v>
          </cell>
          <cell r="G1368" t="str">
            <v xml:space="preserve">POLYESTER/SPANDEX </v>
          </cell>
          <cell r="H1368" t="str">
            <v>57/58</v>
          </cell>
          <cell r="I1368">
            <v>205</v>
          </cell>
          <cell r="J1368">
            <v>2.3199999999999998</v>
          </cell>
          <cell r="K1368">
            <v>2.7</v>
          </cell>
          <cell r="L1368">
            <v>2.4</v>
          </cell>
          <cell r="M1368">
            <v>2.78</v>
          </cell>
          <cell r="N1368">
            <v>2.46</v>
          </cell>
          <cell r="O1368">
            <v>2.85</v>
          </cell>
          <cell r="P1368"/>
          <cell r="Q1368"/>
          <cell r="R1368">
            <v>2.61</v>
          </cell>
          <cell r="S1368">
            <v>3.55</v>
          </cell>
          <cell r="T1368"/>
          <cell r="U1368"/>
          <cell r="V1368" t="str">
            <v>Y</v>
          </cell>
          <cell r="W1368"/>
          <cell r="X1368" t="str">
            <v>OWEN</v>
          </cell>
          <cell r="Y1368"/>
          <cell r="Z1368" t="str">
            <v>SANDY ' MAIL 9/11/17</v>
          </cell>
          <cell r="AA1368"/>
          <cell r="AB1368">
            <v>43048</v>
          </cell>
          <cell r="AC1368">
            <v>5395</v>
          </cell>
        </row>
        <row r="1369">
          <cell r="B1369">
            <v>3955</v>
          </cell>
          <cell r="C1369" t="str">
            <v>OLP-SP00230</v>
          </cell>
          <cell r="D1369"/>
          <cell r="E1369" t="str">
            <v>75x150</v>
          </cell>
          <cell r="F1369" t="str">
            <v>T100%</v>
          </cell>
          <cell r="G1369" t="str">
            <v xml:space="preserve">100% POLYESTER </v>
          </cell>
          <cell r="H1369" t="str">
            <v>57/58</v>
          </cell>
          <cell r="I1369">
            <v>158</v>
          </cell>
          <cell r="J1369">
            <v>1.63</v>
          </cell>
          <cell r="K1369">
            <v>2.12</v>
          </cell>
          <cell r="L1369">
            <v>1.72</v>
          </cell>
          <cell r="M1369">
            <v>2.21</v>
          </cell>
          <cell r="N1369">
            <v>1.8</v>
          </cell>
          <cell r="O1369">
            <v>2.2999999999999998</v>
          </cell>
          <cell r="P1369"/>
          <cell r="Q1369"/>
          <cell r="R1369">
            <v>1.95</v>
          </cell>
          <cell r="S1369">
            <v>3.02</v>
          </cell>
          <cell r="T1369"/>
          <cell r="U1369"/>
          <cell r="V1369" t="str">
            <v>Y</v>
          </cell>
          <cell r="W1369"/>
          <cell r="X1369" t="str">
            <v>OWEN</v>
          </cell>
          <cell r="Y1369"/>
          <cell r="Z1369" t="str">
            <v>SANDY ' MAIL 9/11/17</v>
          </cell>
          <cell r="AA1369"/>
          <cell r="AB1369">
            <v>43048</v>
          </cell>
          <cell r="AC1369">
            <v>5396</v>
          </cell>
        </row>
        <row r="1370">
          <cell r="B1370">
            <v>3954</v>
          </cell>
          <cell r="C1370" t="str">
            <v>OLP-SP00234</v>
          </cell>
          <cell r="D1370"/>
          <cell r="E1370" t="str">
            <v>75+40x2</v>
          </cell>
          <cell r="F1370" t="str">
            <v>T/S</v>
          </cell>
          <cell r="G1370" t="str">
            <v xml:space="preserve">POLYESTER/SPANDEX </v>
          </cell>
          <cell r="H1370" t="str">
            <v>57/58</v>
          </cell>
          <cell r="I1370">
            <v>220</v>
          </cell>
          <cell r="J1370">
            <v>2.25</v>
          </cell>
          <cell r="K1370">
            <v>2.57</v>
          </cell>
          <cell r="L1370">
            <v>2.3199999999999998</v>
          </cell>
          <cell r="M1370">
            <v>2.65</v>
          </cell>
          <cell r="N1370">
            <v>2.42</v>
          </cell>
          <cell r="O1370">
            <v>2.75</v>
          </cell>
          <cell r="P1370"/>
          <cell r="Q1370"/>
          <cell r="R1370">
            <v>2.57</v>
          </cell>
          <cell r="S1370">
            <v>3.45</v>
          </cell>
          <cell r="T1370"/>
          <cell r="U1370"/>
          <cell r="V1370" t="str">
            <v>Y</v>
          </cell>
          <cell r="W1370"/>
          <cell r="X1370" t="str">
            <v>OWEN</v>
          </cell>
          <cell r="Y1370"/>
          <cell r="Z1370" t="str">
            <v>SANDY ' MAIL 9/11/17</v>
          </cell>
          <cell r="AA1370"/>
          <cell r="AB1370">
            <v>43048</v>
          </cell>
          <cell r="AC1370">
            <v>5397</v>
          </cell>
        </row>
        <row r="1371">
          <cell r="B1371">
            <v>3793</v>
          </cell>
          <cell r="C1371" t="str">
            <v>T-2193</v>
          </cell>
          <cell r="D1371" t="str">
            <v>LINING</v>
          </cell>
          <cell r="E1371"/>
          <cell r="F1371" t="str">
            <v>T100%</v>
          </cell>
          <cell r="G1371" t="str">
            <v xml:space="preserve">100% POLYESTER </v>
          </cell>
          <cell r="H1371" t="str">
            <v>57/58</v>
          </cell>
          <cell r="I1371">
            <v>56</v>
          </cell>
          <cell r="J1371">
            <v>0.67</v>
          </cell>
          <cell r="K1371"/>
          <cell r="L1371">
            <v>0.72</v>
          </cell>
          <cell r="M1371"/>
          <cell r="N1371">
            <v>0.72</v>
          </cell>
          <cell r="O1371"/>
          <cell r="P1371"/>
          <cell r="Q1371"/>
          <cell r="R1371">
            <v>0.87</v>
          </cell>
          <cell r="S1371"/>
          <cell r="T1371"/>
          <cell r="U1371"/>
          <cell r="V1371">
            <v>15</v>
          </cell>
          <cell r="W1371"/>
          <cell r="X1371" t="str">
            <v>LIVALTEX</v>
          </cell>
          <cell r="Y1371"/>
          <cell r="Z1371" t="str">
            <v>ROSE ' MAIL 9/11/17</v>
          </cell>
          <cell r="AA1371"/>
          <cell r="AB1371">
            <v>43048</v>
          </cell>
          <cell r="AC1371">
            <v>5382</v>
          </cell>
        </row>
        <row r="1372">
          <cell r="B1372">
            <v>3792</v>
          </cell>
          <cell r="C1372" t="str">
            <v xml:space="preserve">T-2194 </v>
          </cell>
          <cell r="D1372" t="str">
            <v>TAILORING - POLY TWILL</v>
          </cell>
          <cell r="E1372" t="str">
            <v>600D*300D</v>
          </cell>
          <cell r="F1372" t="str">
            <v>T100%</v>
          </cell>
          <cell r="G1372" t="str">
            <v xml:space="preserve">100%POLY  </v>
          </cell>
          <cell r="H1372" t="str">
            <v>56/57</v>
          </cell>
          <cell r="I1372" t="str">
            <v>278GSM</v>
          </cell>
          <cell r="J1372">
            <v>2.1800000000000002</v>
          </cell>
          <cell r="K1372"/>
          <cell r="L1372">
            <v>2.23</v>
          </cell>
          <cell r="M1372"/>
          <cell r="N1372">
            <v>2.23</v>
          </cell>
          <cell r="O1372"/>
          <cell r="P1372"/>
          <cell r="Q1372"/>
          <cell r="R1372">
            <v>2.58</v>
          </cell>
          <cell r="S1372"/>
          <cell r="T1372"/>
          <cell r="U1372"/>
          <cell r="V1372">
            <v>15</v>
          </cell>
          <cell r="W1372"/>
          <cell r="X1372" t="str">
            <v>LIVALTEX</v>
          </cell>
          <cell r="Y1372"/>
          <cell r="Z1372" t="str">
            <v>ROSE ' MAIL 9/11/17</v>
          </cell>
          <cell r="AA1372"/>
          <cell r="AB1372">
            <v>43048</v>
          </cell>
          <cell r="AC1372">
            <v>5383</v>
          </cell>
        </row>
        <row r="1373">
          <cell r="B1373">
            <v>3791</v>
          </cell>
          <cell r="C1373" t="str">
            <v>SP-633</v>
          </cell>
          <cell r="D1373"/>
          <cell r="E1373"/>
          <cell r="F1373" t="str">
            <v>T/R 73/27</v>
          </cell>
          <cell r="G1373" t="str">
            <v>73% POLYESTER 27% RAYON</v>
          </cell>
          <cell r="H1373">
            <v>58</v>
          </cell>
          <cell r="I1373">
            <v>290</v>
          </cell>
          <cell r="J1373">
            <v>2.8</v>
          </cell>
          <cell r="K1373"/>
          <cell r="L1373">
            <v>2.85</v>
          </cell>
          <cell r="M1373"/>
          <cell r="N1373">
            <v>2.85</v>
          </cell>
          <cell r="O1373"/>
          <cell r="P1373"/>
          <cell r="Q1373"/>
          <cell r="R1373">
            <v>3.28</v>
          </cell>
          <cell r="S1373"/>
          <cell r="T1373"/>
          <cell r="U1373"/>
          <cell r="V1373">
            <v>15</v>
          </cell>
          <cell r="W1373"/>
          <cell r="X1373" t="str">
            <v>LIVALTEX</v>
          </cell>
          <cell r="Y1373"/>
          <cell r="Z1373" t="str">
            <v>ROSE ' MAIL 9/11/17</v>
          </cell>
          <cell r="AA1373"/>
          <cell r="AB1373">
            <v>43048</v>
          </cell>
          <cell r="AC1373">
            <v>5384</v>
          </cell>
        </row>
        <row r="1374">
          <cell r="B1374">
            <v>3746</v>
          </cell>
          <cell r="C1374" t="str">
            <v>OLP-SR00296</v>
          </cell>
          <cell r="D1374" t="str">
            <v>HEAVY SATEEN</v>
          </cell>
          <cell r="E1374" t="str">
            <v>- 120D*40S+40D+120D</v>
          </cell>
          <cell r="F1374" t="str">
            <v>V/S 99/1</v>
          </cell>
          <cell r="G1374" t="str">
            <v xml:space="preserve">99% VISCOSE  1% SPANDEX </v>
          </cell>
          <cell r="H1374" t="str">
            <v>57/58</v>
          </cell>
          <cell r="I1374">
            <v>216</v>
          </cell>
          <cell r="J1374">
            <v>2.86</v>
          </cell>
          <cell r="K1374">
            <v>3.55</v>
          </cell>
          <cell r="L1374">
            <v>2.95</v>
          </cell>
          <cell r="M1374">
            <v>3.7</v>
          </cell>
          <cell r="N1374">
            <v>3.08</v>
          </cell>
          <cell r="O1374">
            <v>3.95</v>
          </cell>
          <cell r="P1374"/>
          <cell r="Q1374"/>
          <cell r="R1374">
            <v>3.23</v>
          </cell>
          <cell r="S1374">
            <v>4.7</v>
          </cell>
          <cell r="T1374"/>
          <cell r="U1374"/>
          <cell r="V1374">
            <v>15</v>
          </cell>
          <cell r="W1374"/>
          <cell r="X1374" t="str">
            <v>OWEN</v>
          </cell>
          <cell r="Y1374"/>
          <cell r="Z1374" t="str">
            <v>SANDY' MAIL 9/11/17</v>
          </cell>
          <cell r="AA1374"/>
          <cell r="AB1374">
            <v>43048</v>
          </cell>
          <cell r="AC1374">
            <v>5398</v>
          </cell>
        </row>
        <row r="1375">
          <cell r="B1375">
            <v>3744</v>
          </cell>
          <cell r="C1375" t="str">
            <v>W1576A</v>
          </cell>
          <cell r="D1375" t="str">
            <v>WOOL</v>
          </cell>
          <cell r="E1375"/>
          <cell r="F1375" t="str">
            <v>OTHER/W 90/10</v>
          </cell>
          <cell r="G1375" t="str">
            <v>90% OTHERS ( POLY, RAYON, ACRYLIC…) 10% WOOL</v>
          </cell>
          <cell r="H1375" t="str">
            <v>56/57</v>
          </cell>
          <cell r="I1375">
            <v>470</v>
          </cell>
          <cell r="J1375">
            <v>3.83</v>
          </cell>
          <cell r="K1375"/>
          <cell r="L1375">
            <v>3.88</v>
          </cell>
          <cell r="M1375"/>
          <cell r="N1375">
            <v>3.88</v>
          </cell>
          <cell r="O1375"/>
          <cell r="P1375"/>
          <cell r="Q1375"/>
          <cell r="R1375">
            <v>15</v>
          </cell>
          <cell r="S1375"/>
          <cell r="T1375" t="str">
            <v>LIVALTEX</v>
          </cell>
          <cell r="U1375"/>
          <cell r="V1375">
            <v>15</v>
          </cell>
          <cell r="W1375" t="str">
            <v>OTHER : POLY, ACRYLIC, RAYON…..</v>
          </cell>
          <cell r="X1375" t="str">
            <v>LIVALTEX</v>
          </cell>
          <cell r="Y1375"/>
          <cell r="Z1375" t="str">
            <v>ROSE ' MAIL 9/11/17</v>
          </cell>
          <cell r="AA1375"/>
          <cell r="AB1375">
            <v>43048</v>
          </cell>
          <cell r="AC1375">
            <v>5385</v>
          </cell>
        </row>
        <row r="1376">
          <cell r="B1376">
            <v>3240</v>
          </cell>
          <cell r="C1376" t="str">
            <v>TS-343</v>
          </cell>
          <cell r="D1376" t="str">
            <v>POLY TWILL SPANDEX</v>
          </cell>
          <cell r="E1376"/>
          <cell r="F1376" t="str">
            <v>T/S 94/6</v>
          </cell>
          <cell r="G1376" t="str">
            <v>94% POLYESTER 6% SPANDEX</v>
          </cell>
          <cell r="H1376" t="str">
            <v>57/58</v>
          </cell>
          <cell r="I1376">
            <v>215</v>
          </cell>
          <cell r="J1376">
            <v>2.02</v>
          </cell>
          <cell r="K1376">
            <v>2.21</v>
          </cell>
          <cell r="L1376">
            <v>2.04</v>
          </cell>
          <cell r="M1376">
            <v>2.23</v>
          </cell>
          <cell r="N1376">
            <v>2.06</v>
          </cell>
          <cell r="O1376">
            <v>2.2599999999999998</v>
          </cell>
          <cell r="P1376"/>
          <cell r="Q1376"/>
          <cell r="R1376">
            <v>2.21</v>
          </cell>
          <cell r="S1376">
            <v>2.5099999999999998</v>
          </cell>
          <cell r="T1376"/>
          <cell r="U1376"/>
          <cell r="V1376">
            <v>15</v>
          </cell>
          <cell r="W1376"/>
          <cell r="X1376" t="str">
            <v>GAVIN</v>
          </cell>
          <cell r="Y1376"/>
          <cell r="Z1376" t="str">
            <v>GAVIN ' MAIL 9/11/17</v>
          </cell>
          <cell r="AA1376"/>
          <cell r="AB1376">
            <v>43048</v>
          </cell>
          <cell r="AC1376">
            <v>5399</v>
          </cell>
        </row>
        <row r="1377">
          <cell r="B1377">
            <v>2963</v>
          </cell>
          <cell r="C1377" t="str">
            <v>TS-148</v>
          </cell>
          <cell r="D1377" t="str">
            <v>PONTE</v>
          </cell>
          <cell r="E1377"/>
          <cell r="F1377" t="str">
            <v>N/T/S 70/25.5/4.5</v>
          </cell>
          <cell r="G1377" t="str">
            <v xml:space="preserve">70% RAYON 25.5% POLY 4.5% SPANDEX </v>
          </cell>
          <cell r="H1377" t="str">
            <v>57/58</v>
          </cell>
          <cell r="I1377">
            <v>330</v>
          </cell>
          <cell r="J1377">
            <v>3.41</v>
          </cell>
          <cell r="K1377">
            <v>3.59</v>
          </cell>
          <cell r="L1377">
            <v>3.43</v>
          </cell>
          <cell r="M1377">
            <v>3.62</v>
          </cell>
          <cell r="N1377">
            <v>3.45</v>
          </cell>
          <cell r="O1377">
            <v>3.65</v>
          </cell>
          <cell r="P1377"/>
          <cell r="Q1377"/>
          <cell r="R1377">
            <v>3.6</v>
          </cell>
          <cell r="S1377">
            <v>3.95</v>
          </cell>
          <cell r="T1377"/>
          <cell r="U1377"/>
          <cell r="V1377">
            <v>15</v>
          </cell>
          <cell r="W1377"/>
          <cell r="X1377" t="str">
            <v>GAVIN</v>
          </cell>
          <cell r="Y1377"/>
          <cell r="Z1377" t="str">
            <v>GAVIN ' MAIL 9/11/17</v>
          </cell>
          <cell r="AA1377"/>
          <cell r="AB1377">
            <v>43048</v>
          </cell>
          <cell r="AC1377">
            <v>5400</v>
          </cell>
        </row>
        <row r="1378">
          <cell r="B1378">
            <v>2963</v>
          </cell>
          <cell r="C1378" t="str">
            <v>TS-148</v>
          </cell>
          <cell r="D1378" t="str">
            <v>PONTE</v>
          </cell>
          <cell r="E1378"/>
          <cell r="F1378" t="str">
            <v>N/T/S 70/25.5/4.5</v>
          </cell>
          <cell r="G1378" t="str">
            <v xml:space="preserve">70% RAYON 25.5% POLY 4.5% SPANDEX </v>
          </cell>
          <cell r="H1378" t="str">
            <v>57/58</v>
          </cell>
          <cell r="I1378">
            <v>330</v>
          </cell>
          <cell r="J1378">
            <v>3.41</v>
          </cell>
          <cell r="K1378">
            <v>3.59</v>
          </cell>
          <cell r="L1378">
            <v>3.43</v>
          </cell>
          <cell r="M1378">
            <v>3.62</v>
          </cell>
          <cell r="N1378">
            <v>3.45</v>
          </cell>
          <cell r="O1378">
            <v>3.65</v>
          </cell>
          <cell r="P1378"/>
          <cell r="Q1378"/>
          <cell r="R1378">
            <v>3.6</v>
          </cell>
          <cell r="S1378">
            <v>3.95</v>
          </cell>
          <cell r="T1378"/>
          <cell r="U1378"/>
          <cell r="V1378" t="str">
            <v>OK</v>
          </cell>
          <cell r="W1378"/>
          <cell r="X1378" t="str">
            <v>GAVIN</v>
          </cell>
          <cell r="Y1378"/>
          <cell r="Z1378" t="str">
            <v>GAVIN 9/11/17</v>
          </cell>
          <cell r="AA1378"/>
          <cell r="AB1378">
            <v>43048</v>
          </cell>
          <cell r="AC1378">
            <v>5401</v>
          </cell>
        </row>
        <row r="1379">
          <cell r="B1379">
            <v>2932</v>
          </cell>
          <cell r="C1379" t="str">
            <v>TS-333</v>
          </cell>
          <cell r="D1379" t="str">
            <v>CREPE</v>
          </cell>
          <cell r="E1379"/>
          <cell r="F1379" t="str">
            <v>T/S 98/2</v>
          </cell>
          <cell r="G1379" t="str">
            <v>98% POLYESTER 2% SPAN</v>
          </cell>
          <cell r="H1379" t="str">
            <v>57/58</v>
          </cell>
          <cell r="I1379">
            <v>160</v>
          </cell>
          <cell r="J1379">
            <v>1.54</v>
          </cell>
          <cell r="K1379">
            <v>1.72</v>
          </cell>
          <cell r="L1379">
            <v>1.56</v>
          </cell>
          <cell r="M1379">
            <v>1.75</v>
          </cell>
          <cell r="N1379">
            <v>1.58</v>
          </cell>
          <cell r="O1379">
            <v>1.78</v>
          </cell>
          <cell r="P1379"/>
          <cell r="Q1379"/>
          <cell r="R1379">
            <v>1.68</v>
          </cell>
          <cell r="S1379">
            <v>2.0299999999999998</v>
          </cell>
          <cell r="T1379"/>
          <cell r="U1379"/>
          <cell r="V1379">
            <v>15</v>
          </cell>
          <cell r="W1379"/>
          <cell r="X1379" t="str">
            <v>GAVIN</v>
          </cell>
          <cell r="Y1379"/>
          <cell r="Z1379" t="str">
            <v>GAVIN ' MAIL 9/11/17</v>
          </cell>
          <cell r="AA1379"/>
          <cell r="AB1379">
            <v>43048</v>
          </cell>
          <cell r="AC1379">
            <v>5379</v>
          </cell>
        </row>
        <row r="1380">
          <cell r="B1380">
            <v>3257</v>
          </cell>
          <cell r="C1380" t="str">
            <v>WW-20567</v>
          </cell>
          <cell r="D1380" t="str">
            <v>CHIFFON (ALISON HAYE) - REPLACE 1509</v>
          </cell>
          <cell r="E1380" t="str">
            <v>100D x 100D</v>
          </cell>
          <cell r="F1380" t="str">
            <v>T 100%</v>
          </cell>
          <cell r="G1380" t="str">
            <v>100% POLYESTER</v>
          </cell>
          <cell r="H1380" t="str">
            <v>57/58</v>
          </cell>
          <cell r="I1380">
            <v>72</v>
          </cell>
          <cell r="J1380">
            <v>0.9</v>
          </cell>
          <cell r="K1380">
            <v>1.2</v>
          </cell>
          <cell r="L1380">
            <v>0.9</v>
          </cell>
          <cell r="M1380">
            <v>1.2</v>
          </cell>
          <cell r="N1380">
            <v>1</v>
          </cell>
          <cell r="O1380">
            <v>1.3</v>
          </cell>
          <cell r="P1380"/>
          <cell r="Q1380"/>
          <cell r="R1380">
            <v>1.1000000000000001</v>
          </cell>
          <cell r="S1380">
            <v>1.4</v>
          </cell>
          <cell r="T1380" t="str">
            <v>PANI</v>
          </cell>
          <cell r="U1380" t="str">
            <v>PANI 6-SEP</v>
          </cell>
          <cell r="V1380"/>
          <cell r="W1380"/>
          <cell r="X1380" t="str">
            <v>PANI</v>
          </cell>
          <cell r="Y1380"/>
          <cell r="Z1380" t="str">
            <v>AMY ' MAIL 8/11/17</v>
          </cell>
          <cell r="AA1380"/>
          <cell r="AB1380">
            <v>43047</v>
          </cell>
          <cell r="AC1380">
            <v>5409</v>
          </cell>
        </row>
        <row r="1381">
          <cell r="B1381">
            <v>3978</v>
          </cell>
          <cell r="C1381" t="str">
            <v>T210</v>
          </cell>
          <cell r="D1381" t="str">
            <v>POLY</v>
          </cell>
          <cell r="E1381" t="str">
            <v>(68D+50D)*(68D+50D)</v>
          </cell>
          <cell r="F1381" t="str">
            <v>T100%</v>
          </cell>
          <cell r="G1381" t="str">
            <v xml:space="preserve">100% POLYESTER </v>
          </cell>
          <cell r="H1381" t="str">
            <v>57/58</v>
          </cell>
          <cell r="I1381">
            <v>193</v>
          </cell>
          <cell r="J1381">
            <v>1.84</v>
          </cell>
          <cell r="K1381">
            <v>1.97</v>
          </cell>
          <cell r="L1381">
            <v>1.86</v>
          </cell>
          <cell r="M1381">
            <v>2.0499999999999998</v>
          </cell>
          <cell r="N1381">
            <v>1.91</v>
          </cell>
          <cell r="O1381">
            <v>2.09</v>
          </cell>
          <cell r="P1381"/>
          <cell r="Q1381"/>
          <cell r="R1381">
            <v>1.99</v>
          </cell>
          <cell r="S1381">
            <v>2.58</v>
          </cell>
          <cell r="T1381"/>
          <cell r="U1381"/>
          <cell r="V1381">
            <v>15</v>
          </cell>
          <cell r="W1381"/>
          <cell r="X1381" t="str">
            <v>TERESA</v>
          </cell>
          <cell r="Y1381"/>
          <cell r="Z1381" t="str">
            <v>TERESA ' MAIL 7/11/17</v>
          </cell>
          <cell r="AA1381"/>
          <cell r="AB1381">
            <v>43046</v>
          </cell>
          <cell r="AC1381">
            <v>5424</v>
          </cell>
        </row>
        <row r="1382">
          <cell r="B1382">
            <v>3977</v>
          </cell>
          <cell r="C1382" t="str">
            <v>A-018</v>
          </cell>
          <cell r="D1382" t="str">
            <v>CHIFFON WITH FOIL PRINT</v>
          </cell>
          <cell r="E1382" t="str">
            <v>20D+26D*20D+26D</v>
          </cell>
          <cell r="F1382" t="str">
            <v>T100%</v>
          </cell>
          <cell r="G1382" t="str">
            <v xml:space="preserve">100% POLYESTER </v>
          </cell>
          <cell r="H1382" t="str">
            <v>57/58</v>
          </cell>
          <cell r="I1382">
            <v>75</v>
          </cell>
          <cell r="J1382">
            <v>1.46</v>
          </cell>
          <cell r="K1382">
            <v>1.61</v>
          </cell>
          <cell r="L1382">
            <v>1.48</v>
          </cell>
          <cell r="M1382">
            <v>1.69</v>
          </cell>
          <cell r="N1382">
            <v>1.53</v>
          </cell>
          <cell r="O1382">
            <v>1.73</v>
          </cell>
          <cell r="P1382"/>
          <cell r="Q1382"/>
          <cell r="R1382">
            <v>1.61</v>
          </cell>
          <cell r="S1382">
            <v>2.1</v>
          </cell>
          <cell r="T1382"/>
          <cell r="U1382"/>
          <cell r="V1382"/>
          <cell r="W1382"/>
          <cell r="X1382" t="str">
            <v>TERESA</v>
          </cell>
          <cell r="Y1382"/>
          <cell r="Z1382" t="str">
            <v>TERESA ' MAIL 7/11/17</v>
          </cell>
          <cell r="AA1382"/>
          <cell r="AB1382">
            <v>43046</v>
          </cell>
          <cell r="AC1382">
            <v>5425</v>
          </cell>
        </row>
        <row r="1383">
          <cell r="B1383">
            <v>3976</v>
          </cell>
          <cell r="C1383" t="str">
            <v>9736-2S</v>
          </cell>
          <cell r="D1383" t="str">
            <v>SLUB POLY RAYON BLEND</v>
          </cell>
          <cell r="E1383" t="str">
            <v>68D*32S</v>
          </cell>
          <cell r="F1383" t="str">
            <v>T/R</v>
          </cell>
          <cell r="G1383" t="str">
            <v>POLYESTER / RAYON</v>
          </cell>
          <cell r="H1383" t="str">
            <v>56/57</v>
          </cell>
          <cell r="I1383">
            <v>70</v>
          </cell>
          <cell r="J1383">
            <v>1.03</v>
          </cell>
          <cell r="K1383">
            <v>1.1599999999999999</v>
          </cell>
          <cell r="L1383">
            <v>1.05</v>
          </cell>
          <cell r="M1383">
            <v>1.24</v>
          </cell>
          <cell r="N1383">
            <v>1.1000000000000001</v>
          </cell>
          <cell r="O1383">
            <v>1.27</v>
          </cell>
          <cell r="P1383"/>
          <cell r="Q1383"/>
          <cell r="R1383">
            <v>1.18</v>
          </cell>
          <cell r="S1383">
            <v>1.76</v>
          </cell>
          <cell r="T1383"/>
          <cell r="U1383"/>
          <cell r="V1383">
            <v>15</v>
          </cell>
          <cell r="W1383"/>
          <cell r="X1383" t="str">
            <v>TERESA</v>
          </cell>
          <cell r="Y1383"/>
          <cell r="Z1383" t="str">
            <v>TERESA ' MAIL 7/11/17</v>
          </cell>
          <cell r="AA1383"/>
          <cell r="AB1383">
            <v>43046</v>
          </cell>
          <cell r="AC1383">
            <v>5426</v>
          </cell>
        </row>
        <row r="1384">
          <cell r="B1384">
            <v>3975</v>
          </cell>
          <cell r="C1384" t="str">
            <v>A-017</v>
          </cell>
          <cell r="D1384" t="str">
            <v>VISCOSE WITH FOIL PRINT</v>
          </cell>
          <cell r="E1384" t="str">
            <v>30S*30S 68*68</v>
          </cell>
          <cell r="F1384" t="str">
            <v>R100%</v>
          </cell>
          <cell r="G1384" t="str">
            <v xml:space="preserve">100% RAYON </v>
          </cell>
          <cell r="H1384" t="str">
            <v>53/54</v>
          </cell>
          <cell r="I1384">
            <v>135</v>
          </cell>
          <cell r="J1384">
            <v>1.47</v>
          </cell>
          <cell r="K1384">
            <v>1.68</v>
          </cell>
          <cell r="L1384">
            <v>1.49</v>
          </cell>
          <cell r="M1384">
            <v>1.76</v>
          </cell>
          <cell r="N1384">
            <v>1.54</v>
          </cell>
          <cell r="O1384">
            <v>1.8</v>
          </cell>
          <cell r="P1384"/>
          <cell r="Q1384"/>
          <cell r="R1384">
            <v>1.62</v>
          </cell>
          <cell r="S1384">
            <v>2.29</v>
          </cell>
          <cell r="T1384">
            <v>1.71</v>
          </cell>
          <cell r="U1384">
            <v>1.99</v>
          </cell>
          <cell r="V1384"/>
          <cell r="W1384"/>
          <cell r="X1384" t="str">
            <v>TERESA</v>
          </cell>
          <cell r="Y1384"/>
          <cell r="Z1384" t="str">
            <v>TERESA ' MAIL 7/11/17</v>
          </cell>
          <cell r="AA1384"/>
          <cell r="AB1384">
            <v>43046</v>
          </cell>
          <cell r="AC1384">
            <v>5427</v>
          </cell>
        </row>
        <row r="1385">
          <cell r="B1385">
            <v>3974</v>
          </cell>
          <cell r="C1385" t="str">
            <v>9695-2S</v>
          </cell>
          <cell r="D1385" t="str">
            <v>STRETCH CREPE</v>
          </cell>
          <cell r="E1385" t="str">
            <v>100D+40D*100D+40D</v>
          </cell>
          <cell r="F1385" t="str">
            <v>T/S 95/5</v>
          </cell>
          <cell r="G1385" t="str">
            <v xml:space="preserve">95% POLYESTER  5% SPAN </v>
          </cell>
          <cell r="H1385" t="str">
            <v>57/58</v>
          </cell>
          <cell r="I1385">
            <v>140</v>
          </cell>
          <cell r="J1385">
            <v>1.53</v>
          </cell>
          <cell r="K1385">
            <v>1.71</v>
          </cell>
          <cell r="L1385">
            <v>1.55</v>
          </cell>
          <cell r="M1385">
            <v>1.79</v>
          </cell>
          <cell r="N1385">
            <v>1.6</v>
          </cell>
          <cell r="O1385">
            <v>1.83</v>
          </cell>
          <cell r="P1385"/>
          <cell r="Q1385"/>
          <cell r="R1385">
            <v>1.68</v>
          </cell>
          <cell r="S1385">
            <v>2.3199999999999998</v>
          </cell>
          <cell r="T1385"/>
          <cell r="U1385"/>
          <cell r="V1385">
            <v>15</v>
          </cell>
          <cell r="W1385"/>
          <cell r="X1385" t="str">
            <v>TERESA</v>
          </cell>
          <cell r="Y1385"/>
          <cell r="Z1385" t="str">
            <v>TERESA ' MAIL 7/11/17</v>
          </cell>
          <cell r="AA1385"/>
          <cell r="AB1385">
            <v>43046</v>
          </cell>
          <cell r="AC1385">
            <v>5410</v>
          </cell>
        </row>
        <row r="1386">
          <cell r="B1386">
            <v>3973</v>
          </cell>
          <cell r="C1386">
            <v>9586</v>
          </cell>
          <cell r="D1386" t="str">
            <v>DOBBY VISCOSE</v>
          </cell>
          <cell r="E1386" t="str">
            <v xml:space="preserve"> 60*60</v>
          </cell>
          <cell r="F1386" t="str">
            <v>R100%</v>
          </cell>
          <cell r="G1386" t="str">
            <v>100% RAYON JAC</v>
          </cell>
          <cell r="H1386" t="str">
            <v>53/54</v>
          </cell>
          <cell r="I1386" t="str">
            <v>78-80</v>
          </cell>
          <cell r="J1386">
            <v>1.42</v>
          </cell>
          <cell r="K1386">
            <v>1.59</v>
          </cell>
          <cell r="L1386">
            <v>1.44</v>
          </cell>
          <cell r="M1386">
            <v>1.67</v>
          </cell>
          <cell r="N1386">
            <v>1.49</v>
          </cell>
          <cell r="O1386">
            <v>1.71</v>
          </cell>
          <cell r="P1386"/>
          <cell r="Q1386"/>
          <cell r="R1386">
            <v>1.57</v>
          </cell>
          <cell r="S1386">
            <v>2.2000000000000002</v>
          </cell>
          <cell r="T1386"/>
          <cell r="U1386"/>
          <cell r="V1386">
            <v>15</v>
          </cell>
          <cell r="W1386"/>
          <cell r="X1386" t="str">
            <v>TERESA</v>
          </cell>
          <cell r="Y1386"/>
          <cell r="Z1386" t="str">
            <v>TERESA ' MAIL 7/11/17</v>
          </cell>
          <cell r="AA1386"/>
          <cell r="AB1386">
            <v>43046</v>
          </cell>
          <cell r="AC1386">
            <v>5428</v>
          </cell>
        </row>
        <row r="1387">
          <cell r="B1387">
            <v>3763</v>
          </cell>
          <cell r="C1387" t="str">
            <v>CS0755</v>
          </cell>
          <cell r="D1387" t="str">
            <v>BENGALINE</v>
          </cell>
          <cell r="E1387" t="str">
            <v>- 70D+40Dx10S</v>
          </cell>
          <cell r="F1387" t="str">
            <v>R/N/S</v>
          </cell>
          <cell r="G1387" t="str">
            <v xml:space="preserve">R/N/SP BENGALINE FOIL PRINT </v>
          </cell>
          <cell r="H1387" t="str">
            <v>53/54</v>
          </cell>
          <cell r="I1387"/>
          <cell r="J1387">
            <v>2.85</v>
          </cell>
          <cell r="K1387"/>
          <cell r="L1387">
            <v>2.68</v>
          </cell>
          <cell r="M1387"/>
          <cell r="N1387">
            <v>2.71</v>
          </cell>
          <cell r="O1387"/>
          <cell r="P1387"/>
          <cell r="Q1387"/>
          <cell r="R1387">
            <v>3.25</v>
          </cell>
          <cell r="S1387"/>
          <cell r="T1387"/>
          <cell r="U1387"/>
          <cell r="V1387"/>
          <cell r="W1387"/>
          <cell r="X1387" t="str">
            <v>SONG</v>
          </cell>
          <cell r="Y1387"/>
          <cell r="Z1387" t="str">
            <v>SONG ' MAIL 7/11/17</v>
          </cell>
          <cell r="AA1387"/>
          <cell r="AB1387">
            <v>43046</v>
          </cell>
          <cell r="AC1387">
            <v>5413</v>
          </cell>
        </row>
        <row r="1388">
          <cell r="B1388">
            <v>3762</v>
          </cell>
          <cell r="C1388" t="str">
            <v>CS0982</v>
          </cell>
          <cell r="D1388" t="str">
            <v>Y/D LINEN</v>
          </cell>
          <cell r="E1388" t="str">
            <v>- 21x21/57x53</v>
          </cell>
          <cell r="F1388" t="str">
            <v>L/C 55/45 Y/D</v>
          </cell>
          <cell r="G1388" t="str">
            <v xml:space="preserve">55% LINEN 45% COTTON Y/D </v>
          </cell>
          <cell r="H1388" t="str">
            <v>54/55</v>
          </cell>
          <cell r="I1388"/>
          <cell r="J1388">
            <v>2.65</v>
          </cell>
          <cell r="K1388"/>
          <cell r="L1388">
            <v>2.68</v>
          </cell>
          <cell r="M1388"/>
          <cell r="N1388">
            <v>2.71</v>
          </cell>
          <cell r="O1388"/>
          <cell r="P1388"/>
          <cell r="Q1388"/>
          <cell r="R1388">
            <v>4.05</v>
          </cell>
          <cell r="S1388"/>
          <cell r="T1388"/>
          <cell r="U1388"/>
          <cell r="V1388"/>
          <cell r="W1388"/>
          <cell r="X1388" t="str">
            <v>SONG</v>
          </cell>
          <cell r="Y1388"/>
          <cell r="Z1388" t="str">
            <v>SONG ' MAIL 7/11/17</v>
          </cell>
          <cell r="AA1388"/>
          <cell r="AB1388">
            <v>43046</v>
          </cell>
          <cell r="AC1388">
            <v>5414</v>
          </cell>
        </row>
        <row r="1389">
          <cell r="B1389">
            <v>3761</v>
          </cell>
          <cell r="C1389" t="str">
            <v>CS1963</v>
          </cell>
          <cell r="D1389" t="str">
            <v xml:space="preserve">COTTON SLUB TWILL EMB </v>
          </cell>
          <cell r="E1389" t="str">
            <v>- 32x12+14/150x81</v>
          </cell>
          <cell r="F1389" t="str">
            <v>C100%</v>
          </cell>
          <cell r="G1389" t="str">
            <v xml:space="preserve">COTTON SLUB TWILL EMB </v>
          </cell>
          <cell r="H1389" t="str">
            <v>57/58</v>
          </cell>
          <cell r="I1389"/>
          <cell r="J1389">
            <v>4.55</v>
          </cell>
          <cell r="K1389"/>
          <cell r="L1389">
            <v>4.58</v>
          </cell>
          <cell r="M1389"/>
          <cell r="N1389"/>
          <cell r="O1389"/>
          <cell r="P1389"/>
          <cell r="Q1389"/>
          <cell r="R1389"/>
          <cell r="S1389"/>
          <cell r="T1389"/>
          <cell r="U1389"/>
          <cell r="V1389"/>
          <cell r="W1389"/>
          <cell r="X1389" t="str">
            <v>SONG</v>
          </cell>
          <cell r="Y1389"/>
          <cell r="Z1389" t="str">
            <v>SONG ' MAIL 7/11/17</v>
          </cell>
          <cell r="AA1389"/>
          <cell r="AB1389">
            <v>43046</v>
          </cell>
          <cell r="AC1389">
            <v>5457</v>
          </cell>
        </row>
        <row r="1390">
          <cell r="B1390">
            <v>3760</v>
          </cell>
          <cell r="C1390" t="str">
            <v>CS2031</v>
          </cell>
          <cell r="D1390" t="str">
            <v>POLY Y/D TRIPE EMB</v>
          </cell>
          <cell r="E1390"/>
          <cell r="F1390" t="str">
            <v>T100%</v>
          </cell>
          <cell r="G1390" t="str">
            <v>100% POLYESTER Y/D STRIPE EMB</v>
          </cell>
          <cell r="H1390" t="str">
            <v>57/58</v>
          </cell>
          <cell r="I1390"/>
          <cell r="J1390">
            <v>2.8</v>
          </cell>
          <cell r="K1390"/>
          <cell r="L1390">
            <v>2.83</v>
          </cell>
          <cell r="M1390"/>
          <cell r="N1390">
            <v>2.86</v>
          </cell>
          <cell r="O1390"/>
          <cell r="P1390"/>
          <cell r="Q1390"/>
          <cell r="R1390">
            <v>3.3</v>
          </cell>
          <cell r="S1390"/>
          <cell r="T1390"/>
          <cell r="U1390"/>
          <cell r="V1390"/>
          <cell r="W1390"/>
          <cell r="X1390" t="str">
            <v>SONG</v>
          </cell>
          <cell r="Y1390"/>
          <cell r="Z1390" t="str">
            <v>SONG ' MAIL 7/11/17</v>
          </cell>
          <cell r="AA1390"/>
          <cell r="AB1390">
            <v>43046</v>
          </cell>
          <cell r="AC1390">
            <v>5415</v>
          </cell>
        </row>
        <row r="1391">
          <cell r="B1391">
            <v>3759</v>
          </cell>
          <cell r="C1391" t="str">
            <v>CS1928</v>
          </cell>
          <cell r="D1391" t="str">
            <v>Y/D TRIPE EMB</v>
          </cell>
          <cell r="E1391"/>
          <cell r="F1391" t="str">
            <v>T/C</v>
          </cell>
          <cell r="G1391" t="str">
            <v>T/C Y/D STRIPE EMB</v>
          </cell>
          <cell r="H1391" t="str">
            <v>57/58</v>
          </cell>
          <cell r="I1391"/>
          <cell r="J1391">
            <v>2.85</v>
          </cell>
          <cell r="K1391"/>
          <cell r="L1391">
            <v>2.88</v>
          </cell>
          <cell r="M1391"/>
          <cell r="N1391">
            <v>2.91</v>
          </cell>
          <cell r="O1391"/>
          <cell r="P1391"/>
          <cell r="Q1391"/>
          <cell r="R1391">
            <v>3.35</v>
          </cell>
          <cell r="S1391"/>
          <cell r="T1391"/>
          <cell r="U1391"/>
          <cell r="V1391"/>
          <cell r="W1391"/>
          <cell r="X1391" t="str">
            <v>SONG</v>
          </cell>
          <cell r="Y1391"/>
          <cell r="Z1391" t="str">
            <v>SONG ' MAIL 7/11/17</v>
          </cell>
          <cell r="AA1391"/>
          <cell r="AB1391">
            <v>43046</v>
          </cell>
          <cell r="AC1391">
            <v>5416</v>
          </cell>
        </row>
        <row r="1392">
          <cell r="B1392">
            <v>3758</v>
          </cell>
          <cell r="C1392" t="str">
            <v>CS1927</v>
          </cell>
          <cell r="D1392" t="str">
            <v>Y/D CHECK EMB</v>
          </cell>
          <cell r="E1392"/>
          <cell r="F1392" t="str">
            <v>T/C</v>
          </cell>
          <cell r="G1392" t="str">
            <v>T/C Y/D CHECK EMB</v>
          </cell>
          <cell r="H1392" t="str">
            <v>57/58</v>
          </cell>
          <cell r="I1392"/>
          <cell r="J1392">
            <v>2.85</v>
          </cell>
          <cell r="K1392"/>
          <cell r="L1392">
            <v>2.88</v>
          </cell>
          <cell r="M1392"/>
          <cell r="N1392">
            <v>2.91</v>
          </cell>
          <cell r="O1392"/>
          <cell r="P1392"/>
          <cell r="Q1392"/>
          <cell r="R1392">
            <v>3.35</v>
          </cell>
          <cell r="S1392"/>
          <cell r="T1392"/>
          <cell r="U1392"/>
          <cell r="V1392"/>
          <cell r="W1392"/>
          <cell r="X1392" t="str">
            <v>SONG</v>
          </cell>
          <cell r="Y1392"/>
          <cell r="Z1392" t="str">
            <v>SONG ' MAIL 7/11/17</v>
          </cell>
          <cell r="AA1392"/>
          <cell r="AB1392">
            <v>43046</v>
          </cell>
          <cell r="AC1392">
            <v>5417</v>
          </cell>
        </row>
        <row r="1393">
          <cell r="B1393">
            <v>3757</v>
          </cell>
          <cell r="C1393" t="str">
            <v>CS1972</v>
          </cell>
          <cell r="D1393" t="str">
            <v>LINEN Y/D STRIPE</v>
          </cell>
          <cell r="E1393" t="str">
            <v>- 20x20/70x60</v>
          </cell>
          <cell r="F1393" t="str">
            <v>L100% Y/D</v>
          </cell>
          <cell r="G1393" t="str">
            <v xml:space="preserve">100% LINEN Y/D STRIPE </v>
          </cell>
          <cell r="H1393" t="str">
            <v>57/58</v>
          </cell>
          <cell r="I1393"/>
          <cell r="J1393">
            <v>4.6500000000000004</v>
          </cell>
          <cell r="K1393"/>
          <cell r="L1393">
            <v>4.68</v>
          </cell>
          <cell r="M1393"/>
          <cell r="N1393">
            <v>4.72</v>
          </cell>
          <cell r="O1393"/>
          <cell r="P1393"/>
          <cell r="Q1393"/>
          <cell r="R1393">
            <v>5.15</v>
          </cell>
          <cell r="S1393"/>
          <cell r="T1393"/>
          <cell r="U1393"/>
          <cell r="V1393"/>
          <cell r="W1393"/>
          <cell r="X1393" t="str">
            <v>SONG</v>
          </cell>
          <cell r="Y1393"/>
          <cell r="Z1393" t="str">
            <v>SONG ' MAIL 7/11/17</v>
          </cell>
          <cell r="AA1393"/>
          <cell r="AB1393">
            <v>43046</v>
          </cell>
          <cell r="AC1393">
            <v>5418</v>
          </cell>
        </row>
        <row r="1394">
          <cell r="B1394">
            <v>3756</v>
          </cell>
          <cell r="C1394" t="str">
            <v>CS1214</v>
          </cell>
          <cell r="D1394" t="str">
            <v>CHIFFON WITH FOIL</v>
          </cell>
          <cell r="E1394"/>
          <cell r="F1394" t="str">
            <v>T100%</v>
          </cell>
          <cell r="G1394" t="str">
            <v>100% POLYESTER CHIFFON WITH FOIL</v>
          </cell>
          <cell r="H1394" t="str">
            <v>57/58</v>
          </cell>
          <cell r="I1394"/>
          <cell r="J1394">
            <v>1.25</v>
          </cell>
          <cell r="K1394"/>
          <cell r="L1394">
            <v>1.28</v>
          </cell>
          <cell r="M1394"/>
          <cell r="N1394">
            <v>1.31</v>
          </cell>
          <cell r="O1394"/>
          <cell r="P1394"/>
          <cell r="Q1394"/>
          <cell r="R1394">
            <v>1.72</v>
          </cell>
          <cell r="S1394"/>
          <cell r="T1394"/>
          <cell r="U1394"/>
          <cell r="V1394"/>
          <cell r="W1394"/>
          <cell r="X1394" t="str">
            <v>SONG</v>
          </cell>
          <cell r="Y1394"/>
          <cell r="Z1394" t="str">
            <v>SONG ' MAIL 7/11/17</v>
          </cell>
          <cell r="AA1394"/>
          <cell r="AB1394">
            <v>43046</v>
          </cell>
          <cell r="AC1394">
            <v>5419</v>
          </cell>
        </row>
        <row r="1395">
          <cell r="B1395">
            <v>3755</v>
          </cell>
          <cell r="C1395" t="str">
            <v>CS1004</v>
          </cell>
          <cell r="D1395" t="str">
            <v>LINEN</v>
          </cell>
          <cell r="E1395" t="str">
            <v>- 15x15/63x48</v>
          </cell>
          <cell r="F1395" t="str">
            <v>L/R 55/45</v>
          </cell>
          <cell r="G1395" t="str">
            <v xml:space="preserve">55% LINEN 45% RAYON </v>
          </cell>
          <cell r="H1395" t="str">
            <v>53/54</v>
          </cell>
          <cell r="I1395">
            <v>157</v>
          </cell>
          <cell r="J1395">
            <v>2.1800000000000002</v>
          </cell>
          <cell r="K1395"/>
          <cell r="L1395">
            <v>2.21</v>
          </cell>
          <cell r="M1395"/>
          <cell r="N1395">
            <v>2.2400000000000002</v>
          </cell>
          <cell r="O1395"/>
          <cell r="P1395"/>
          <cell r="Q1395"/>
          <cell r="R1395">
            <v>2.64</v>
          </cell>
          <cell r="S1395"/>
          <cell r="T1395"/>
          <cell r="U1395"/>
          <cell r="V1395"/>
          <cell r="W1395"/>
          <cell r="X1395" t="str">
            <v>SONG</v>
          </cell>
          <cell r="Y1395"/>
          <cell r="Z1395" t="str">
            <v>SONG ' MAIL 7/11/17</v>
          </cell>
          <cell r="AA1395"/>
          <cell r="AB1395">
            <v>43046</v>
          </cell>
          <cell r="AC1395">
            <v>5420</v>
          </cell>
        </row>
        <row r="1396">
          <cell r="B1396">
            <v>3754</v>
          </cell>
          <cell r="C1396" t="str">
            <v>CS0845</v>
          </cell>
          <cell r="D1396" t="str">
            <v>LINEN</v>
          </cell>
          <cell r="E1396" t="str">
            <v xml:space="preserve"> - 10x10/44x38</v>
          </cell>
          <cell r="F1396" t="str">
            <v>L/R 55/45</v>
          </cell>
          <cell r="G1396" t="str">
            <v xml:space="preserve">55% LINEN 45% RAYON </v>
          </cell>
          <cell r="H1396" t="str">
            <v>51/52</v>
          </cell>
          <cell r="I1396">
            <v>185</v>
          </cell>
          <cell r="J1396">
            <v>1.95</v>
          </cell>
          <cell r="K1396"/>
          <cell r="L1396">
            <v>1.98</v>
          </cell>
          <cell r="M1396"/>
          <cell r="N1396">
            <v>2.0099999999999998</v>
          </cell>
          <cell r="O1396"/>
          <cell r="P1396"/>
          <cell r="Q1396"/>
          <cell r="R1396">
            <v>2.42</v>
          </cell>
          <cell r="S1396"/>
          <cell r="T1396"/>
          <cell r="U1396"/>
          <cell r="V1396"/>
          <cell r="W1396"/>
          <cell r="X1396" t="str">
            <v>SONG</v>
          </cell>
          <cell r="Y1396"/>
          <cell r="Z1396" t="str">
            <v>SONG ' MAIL 7/11/17</v>
          </cell>
          <cell r="AA1396"/>
          <cell r="AB1396">
            <v>43046</v>
          </cell>
          <cell r="AC1396">
            <v>5421</v>
          </cell>
        </row>
        <row r="1397">
          <cell r="B1397">
            <v>3753</v>
          </cell>
          <cell r="C1397" t="str">
            <v>CS1612</v>
          </cell>
          <cell r="D1397" t="str">
            <v>LINEN</v>
          </cell>
          <cell r="E1397" t="str">
            <v>- 17x17/56x48</v>
          </cell>
          <cell r="F1397" t="str">
            <v>L100%</v>
          </cell>
          <cell r="G1397" t="str">
            <v xml:space="preserve">100% LINEN </v>
          </cell>
          <cell r="H1397" t="str">
            <v>53/54</v>
          </cell>
          <cell r="I1397">
            <v>130</v>
          </cell>
          <cell r="J1397">
            <v>3.12</v>
          </cell>
          <cell r="K1397">
            <v>3.7</v>
          </cell>
          <cell r="L1397">
            <v>3.15</v>
          </cell>
          <cell r="M1397"/>
          <cell r="N1397">
            <v>3.18</v>
          </cell>
          <cell r="O1397"/>
          <cell r="P1397"/>
          <cell r="Q1397"/>
          <cell r="R1397">
            <v>3.58</v>
          </cell>
          <cell r="S1397"/>
          <cell r="T1397"/>
          <cell r="U1397"/>
          <cell r="V1397"/>
          <cell r="W1397"/>
          <cell r="X1397" t="str">
            <v>SONG</v>
          </cell>
          <cell r="Y1397"/>
          <cell r="Z1397" t="str">
            <v>SONG ' MAIL 7/11/17</v>
          </cell>
          <cell r="AA1397"/>
          <cell r="AB1397">
            <v>43046</v>
          </cell>
          <cell r="AC1397">
            <v>5453</v>
          </cell>
        </row>
        <row r="1398">
          <cell r="B1398">
            <v>3752</v>
          </cell>
          <cell r="C1398" t="str">
            <v>CS1005</v>
          </cell>
          <cell r="D1398" t="str">
            <v>LINEN</v>
          </cell>
          <cell r="E1398" t="str">
            <v xml:space="preserve"> - 21x21/58x49</v>
          </cell>
          <cell r="F1398" t="str">
            <v>L100%</v>
          </cell>
          <cell r="G1398" t="str">
            <v xml:space="preserve">100% LINEN </v>
          </cell>
          <cell r="H1398" t="str">
            <v>52/53</v>
          </cell>
          <cell r="I1398">
            <v>107</v>
          </cell>
          <cell r="J1398">
            <v>3.12</v>
          </cell>
          <cell r="K1398"/>
          <cell r="L1398">
            <v>3.15</v>
          </cell>
          <cell r="M1398"/>
          <cell r="N1398">
            <v>3.18</v>
          </cell>
          <cell r="O1398"/>
          <cell r="P1398"/>
          <cell r="Q1398"/>
          <cell r="R1398">
            <v>3.58</v>
          </cell>
          <cell r="S1398"/>
          <cell r="T1398"/>
          <cell r="U1398"/>
          <cell r="V1398"/>
          <cell r="W1398"/>
          <cell r="X1398" t="str">
            <v>SONG</v>
          </cell>
          <cell r="Y1398"/>
          <cell r="Z1398" t="str">
            <v>SONG ' MAIL 7/11/17</v>
          </cell>
          <cell r="AA1398"/>
          <cell r="AB1398">
            <v>43046</v>
          </cell>
          <cell r="AC1398">
            <v>5454</v>
          </cell>
        </row>
        <row r="1399">
          <cell r="B1399">
            <v>3751</v>
          </cell>
          <cell r="C1399" t="str">
            <v>CS1006</v>
          </cell>
          <cell r="D1399" t="str">
            <v>LINEN</v>
          </cell>
          <cell r="E1399" t="str">
            <v>- 17x21/58x50</v>
          </cell>
          <cell r="F1399" t="str">
            <v>L100%</v>
          </cell>
          <cell r="G1399" t="str">
            <v xml:space="preserve">100% LINEN </v>
          </cell>
          <cell r="H1399" t="str">
            <v>53/54</v>
          </cell>
          <cell r="I1399">
            <v>120</v>
          </cell>
          <cell r="J1399">
            <v>3.12</v>
          </cell>
          <cell r="K1399"/>
          <cell r="L1399">
            <v>3.15</v>
          </cell>
          <cell r="M1399"/>
          <cell r="N1399">
            <v>3.18</v>
          </cell>
          <cell r="O1399"/>
          <cell r="P1399"/>
          <cell r="Q1399"/>
          <cell r="R1399">
            <v>3.58</v>
          </cell>
          <cell r="S1399"/>
          <cell r="T1399"/>
          <cell r="U1399"/>
          <cell r="V1399"/>
          <cell r="W1399"/>
          <cell r="X1399" t="str">
            <v>SONG</v>
          </cell>
          <cell r="Y1399"/>
          <cell r="Z1399" t="str">
            <v>SONG ' MAIL 7/11/17</v>
          </cell>
          <cell r="AA1399"/>
          <cell r="AB1399">
            <v>43046</v>
          </cell>
          <cell r="AC1399">
            <v>5455</v>
          </cell>
        </row>
        <row r="1400">
          <cell r="B1400">
            <v>3750</v>
          </cell>
          <cell r="C1400" t="str">
            <v>CS0834</v>
          </cell>
          <cell r="D1400" t="str">
            <v>LINEN</v>
          </cell>
          <cell r="E1400" t="str">
            <v>- 14x14/54x50</v>
          </cell>
          <cell r="F1400" t="str">
            <v>L100%</v>
          </cell>
          <cell r="G1400" t="str">
            <v xml:space="preserve">100% LINEN SOLID </v>
          </cell>
          <cell r="H1400" t="str">
            <v>53/54</v>
          </cell>
          <cell r="I1400">
            <v>145</v>
          </cell>
          <cell r="J1400">
            <v>3.05</v>
          </cell>
          <cell r="K1400"/>
          <cell r="L1400">
            <v>3.08</v>
          </cell>
          <cell r="M1400"/>
          <cell r="N1400">
            <v>3.11</v>
          </cell>
          <cell r="O1400"/>
          <cell r="P1400"/>
          <cell r="Q1400"/>
          <cell r="R1400">
            <v>3.51</v>
          </cell>
          <cell r="S1400"/>
          <cell r="T1400"/>
          <cell r="U1400"/>
          <cell r="V1400"/>
          <cell r="W1400"/>
          <cell r="X1400" t="str">
            <v>SONG</v>
          </cell>
          <cell r="Y1400"/>
          <cell r="Z1400" t="str">
            <v>SONG ' MAIL 7/11/17</v>
          </cell>
          <cell r="AA1400"/>
          <cell r="AB1400">
            <v>43046</v>
          </cell>
          <cell r="AC1400">
            <v>5452</v>
          </cell>
        </row>
        <row r="1401">
          <cell r="B1401">
            <v>3749</v>
          </cell>
          <cell r="C1401" t="str">
            <v>CS1007</v>
          </cell>
          <cell r="D1401" t="str">
            <v>LINEN</v>
          </cell>
          <cell r="E1401" t="str">
            <v xml:space="preserve">- 17x17/52x53 </v>
          </cell>
          <cell r="F1401" t="str">
            <v>L100%</v>
          </cell>
          <cell r="G1401" t="str">
            <v xml:space="preserve">100% LINEN </v>
          </cell>
          <cell r="H1401" t="str">
            <v>53/54</v>
          </cell>
          <cell r="I1401" t="str">
            <v>130-135</v>
          </cell>
          <cell r="J1401">
            <v>3.12</v>
          </cell>
          <cell r="K1401"/>
          <cell r="L1401">
            <v>3.15</v>
          </cell>
          <cell r="M1401"/>
          <cell r="N1401">
            <v>3.18</v>
          </cell>
          <cell r="O1401"/>
          <cell r="P1401"/>
          <cell r="Q1401"/>
          <cell r="R1401">
            <v>3.58</v>
          </cell>
          <cell r="S1401"/>
          <cell r="T1401"/>
          <cell r="U1401"/>
          <cell r="V1401"/>
          <cell r="W1401"/>
          <cell r="X1401" t="str">
            <v>SONG</v>
          </cell>
          <cell r="Y1401"/>
          <cell r="Z1401" t="str">
            <v>SONG ' MAIL 7/11/17</v>
          </cell>
          <cell r="AA1401"/>
          <cell r="AB1401">
            <v>43046</v>
          </cell>
          <cell r="AC1401">
            <v>5456</v>
          </cell>
        </row>
        <row r="1402">
          <cell r="B1402">
            <v>3745</v>
          </cell>
          <cell r="C1402">
            <v>131130</v>
          </cell>
          <cell r="D1402" t="str">
            <v>TENCEL</v>
          </cell>
          <cell r="E1402"/>
          <cell r="F1402" t="str">
            <v>TENCEL/LINE 70/30</v>
          </cell>
          <cell r="G1402" t="str">
            <v>70% TENCEL 30% LINEN</v>
          </cell>
          <cell r="H1402" t="str">
            <v>57/58</v>
          </cell>
          <cell r="I1402" t="str">
            <v>160-170</v>
          </cell>
          <cell r="J1402">
            <v>4.0599999999999996</v>
          </cell>
          <cell r="K1402"/>
          <cell r="L1402">
            <v>4.07</v>
          </cell>
          <cell r="M1402"/>
          <cell r="N1402">
            <v>4.09</v>
          </cell>
          <cell r="O1402"/>
          <cell r="P1402"/>
          <cell r="Q1402"/>
          <cell r="R1402">
            <v>4.29</v>
          </cell>
          <cell r="S1402"/>
          <cell r="T1402"/>
          <cell r="U1402"/>
          <cell r="V1402">
            <v>15</v>
          </cell>
          <cell r="W1402"/>
          <cell r="X1402" t="str">
            <v>HOWARD</v>
          </cell>
          <cell r="Y1402"/>
          <cell r="Z1402" t="str">
            <v>NANCY ' MAIL 7/11/17</v>
          </cell>
          <cell r="AA1402"/>
          <cell r="AB1402">
            <v>43046</v>
          </cell>
          <cell r="AC1402">
            <v>5422</v>
          </cell>
        </row>
        <row r="1403">
          <cell r="B1403">
            <v>3743</v>
          </cell>
          <cell r="C1403" t="str">
            <v>BG3906</v>
          </cell>
          <cell r="D1403" t="str">
            <v>SILKY- SATEEN</v>
          </cell>
          <cell r="E1403"/>
          <cell r="F1403" t="str">
            <v>T100%</v>
          </cell>
          <cell r="G1403" t="str">
            <v>100% POLYESTER</v>
          </cell>
          <cell r="H1403" t="str">
            <v>57/58</v>
          </cell>
          <cell r="I1403">
            <v>91</v>
          </cell>
          <cell r="J1403">
            <v>1.9</v>
          </cell>
          <cell r="K1403">
            <v>2.2000000000000002</v>
          </cell>
          <cell r="L1403">
            <v>1.93</v>
          </cell>
          <cell r="M1403">
            <v>2.25</v>
          </cell>
          <cell r="N1403">
            <v>1.95</v>
          </cell>
          <cell r="O1403">
            <v>2.2999999999999998</v>
          </cell>
          <cell r="P1403"/>
          <cell r="Q1403"/>
          <cell r="R1403">
            <v>2.1</v>
          </cell>
          <cell r="S1403">
            <v>2.6</v>
          </cell>
          <cell r="T1403"/>
          <cell r="U1403"/>
          <cell r="V1403"/>
          <cell r="W1403"/>
          <cell r="X1403" t="str">
            <v>EDWIN</v>
          </cell>
          <cell r="Y1403"/>
          <cell r="Z1403" t="str">
            <v>EDWIN ' MAIL 7/11/17</v>
          </cell>
          <cell r="AA1403"/>
          <cell r="AB1403">
            <v>43046</v>
          </cell>
          <cell r="AC1403">
            <v>5446</v>
          </cell>
        </row>
        <row r="1404">
          <cell r="B1404">
            <v>3742</v>
          </cell>
          <cell r="C1404" t="str">
            <v>656T-11249</v>
          </cell>
          <cell r="D1404" t="str">
            <v>CREPE</v>
          </cell>
          <cell r="E1404"/>
          <cell r="F1404" t="str">
            <v>T100%</v>
          </cell>
          <cell r="G1404" t="str">
            <v>100% POLYESTER</v>
          </cell>
          <cell r="H1404" t="str">
            <v>57/58</v>
          </cell>
          <cell r="I1404">
            <v>120</v>
          </cell>
          <cell r="J1404">
            <v>1.55</v>
          </cell>
          <cell r="K1404">
            <v>1.95</v>
          </cell>
          <cell r="L1404">
            <v>1.55</v>
          </cell>
          <cell r="M1404">
            <v>1.95</v>
          </cell>
          <cell r="N1404">
            <v>1.55</v>
          </cell>
          <cell r="O1404">
            <v>1.95</v>
          </cell>
          <cell r="P1404"/>
          <cell r="Q1404"/>
          <cell r="R1404">
            <v>2.1</v>
          </cell>
          <cell r="S1404">
            <v>3.8</v>
          </cell>
          <cell r="T1404"/>
          <cell r="U1404"/>
          <cell r="V1404">
            <v>15</v>
          </cell>
          <cell r="W1404"/>
          <cell r="X1404" t="str">
            <v>TERRY</v>
          </cell>
          <cell r="Y1404"/>
          <cell r="Z1404" t="str">
            <v>JANICE ' MAIL 7/11/17</v>
          </cell>
          <cell r="AA1404"/>
          <cell r="AB1404">
            <v>43046</v>
          </cell>
          <cell r="AC1404">
            <v>5429</v>
          </cell>
        </row>
        <row r="1405">
          <cell r="B1405">
            <v>3741</v>
          </cell>
          <cell r="C1405" t="str">
            <v>639TS-12794</v>
          </cell>
          <cell r="D1405" t="str">
            <v>DULL SATEEN</v>
          </cell>
          <cell r="E1405"/>
          <cell r="F1405" t="str">
            <v>T100%</v>
          </cell>
          <cell r="G1405" t="str">
            <v>100% POLYESTER</v>
          </cell>
          <cell r="H1405" t="str">
            <v>57/58</v>
          </cell>
          <cell r="I1405">
            <v>155</v>
          </cell>
          <cell r="J1405">
            <v>2.2999999999999998</v>
          </cell>
          <cell r="K1405">
            <v>2.5499999999999998</v>
          </cell>
          <cell r="L1405">
            <v>2.2999999999999998</v>
          </cell>
          <cell r="M1405">
            <v>2.5499999999999998</v>
          </cell>
          <cell r="N1405">
            <v>2.2999999999999998</v>
          </cell>
          <cell r="O1405">
            <v>2.5499999999999998</v>
          </cell>
          <cell r="P1405"/>
          <cell r="Q1405"/>
          <cell r="R1405">
            <v>3.15</v>
          </cell>
          <cell r="S1405">
            <v>4.5999999999999996</v>
          </cell>
          <cell r="T1405"/>
          <cell r="U1405"/>
          <cell r="V1405">
            <v>15</v>
          </cell>
          <cell r="W1405"/>
          <cell r="X1405" t="str">
            <v>TERRY</v>
          </cell>
          <cell r="Y1405"/>
          <cell r="Z1405" t="str">
            <v>JANICE ' MAIL 7/11/17</v>
          </cell>
          <cell r="AA1405"/>
          <cell r="AB1405">
            <v>43046</v>
          </cell>
          <cell r="AC1405">
            <v>5449</v>
          </cell>
        </row>
        <row r="1406">
          <cell r="B1406">
            <v>3740</v>
          </cell>
          <cell r="C1406" t="str">
            <v>764T-12809</v>
          </cell>
          <cell r="D1406" t="str">
            <v>CRINKLE - CHIFFON</v>
          </cell>
          <cell r="E1406"/>
          <cell r="F1406" t="str">
            <v>T100%</v>
          </cell>
          <cell r="G1406" t="str">
            <v>100% POLYESTER</v>
          </cell>
          <cell r="H1406" t="str">
            <v>55/56</v>
          </cell>
          <cell r="I1406">
            <v>125</v>
          </cell>
          <cell r="J1406">
            <v>1.9</v>
          </cell>
          <cell r="K1406">
            <v>2.2999999999999998</v>
          </cell>
          <cell r="L1406">
            <v>1.9</v>
          </cell>
          <cell r="M1406">
            <v>2.2999999999999998</v>
          </cell>
          <cell r="N1406">
            <v>1.9</v>
          </cell>
          <cell r="O1406">
            <v>2.2999999999999998</v>
          </cell>
          <cell r="P1406"/>
          <cell r="Q1406"/>
          <cell r="R1406">
            <v>2.65</v>
          </cell>
          <cell r="S1406">
            <v>4.1500000000000004</v>
          </cell>
          <cell r="T1406"/>
          <cell r="U1406"/>
          <cell r="V1406">
            <v>15</v>
          </cell>
          <cell r="W1406"/>
          <cell r="X1406" t="str">
            <v>TERRY</v>
          </cell>
          <cell r="Y1406"/>
          <cell r="Z1406" t="str">
            <v>JANICE ' MAIL 7/11/17</v>
          </cell>
          <cell r="AA1406"/>
          <cell r="AB1406">
            <v>43046</v>
          </cell>
          <cell r="AC1406">
            <v>5430</v>
          </cell>
        </row>
        <row r="1407">
          <cell r="B1407">
            <v>3739</v>
          </cell>
          <cell r="C1407" t="str">
            <v xml:space="preserve">581T-11942-M </v>
          </cell>
          <cell r="D1407" t="str">
            <v>SILKY WASHED</v>
          </cell>
          <cell r="E1407"/>
          <cell r="F1407" t="str">
            <v>T100%</v>
          </cell>
          <cell r="G1407" t="str">
            <v>100% POLYESTER - WASHED</v>
          </cell>
          <cell r="H1407" t="str">
            <v>142CM
CUTTABLE</v>
          </cell>
          <cell r="I1407">
            <v>90</v>
          </cell>
          <cell r="J1407">
            <v>2.2999999999999998</v>
          </cell>
          <cell r="K1407">
            <v>2.5499999999999998</v>
          </cell>
          <cell r="L1407">
            <v>2.2999999999999998</v>
          </cell>
          <cell r="M1407">
            <v>2.5499999999999998</v>
          </cell>
          <cell r="N1407">
            <v>2.2999999999999998</v>
          </cell>
          <cell r="O1407">
            <v>2.5499999999999998</v>
          </cell>
          <cell r="P1407"/>
          <cell r="Q1407"/>
          <cell r="R1407">
            <v>3.15</v>
          </cell>
          <cell r="S1407">
            <v>4.5999999999999996</v>
          </cell>
          <cell r="T1407"/>
          <cell r="U1407"/>
          <cell r="V1407">
            <v>15</v>
          </cell>
          <cell r="W1407"/>
          <cell r="X1407" t="str">
            <v>TERRY</v>
          </cell>
          <cell r="Y1407"/>
          <cell r="Z1407" t="str">
            <v>JANICE ' MAIL 7/11/17</v>
          </cell>
          <cell r="AA1407"/>
          <cell r="AB1407">
            <v>43046</v>
          </cell>
          <cell r="AC1407">
            <v>5431</v>
          </cell>
        </row>
        <row r="1408">
          <cell r="B1408">
            <v>3738</v>
          </cell>
          <cell r="C1408" t="str">
            <v xml:space="preserve">668T-11725 </v>
          </cell>
          <cell r="D1408" t="str">
            <v>SATEEN</v>
          </cell>
          <cell r="E1408"/>
          <cell r="F1408" t="str">
            <v>T100%</v>
          </cell>
          <cell r="G1408" t="str">
            <v>100% POLYESTER</v>
          </cell>
          <cell r="H1408" t="str">
            <v>57/58</v>
          </cell>
          <cell r="I1408">
            <v>176</v>
          </cell>
          <cell r="J1408">
            <v>2.2999999999999998</v>
          </cell>
          <cell r="K1408">
            <v>2.5499999999999998</v>
          </cell>
          <cell r="L1408">
            <v>2.2999999999999998</v>
          </cell>
          <cell r="M1408">
            <v>2.5499999999999998</v>
          </cell>
          <cell r="N1408">
            <v>2.2999999999999998</v>
          </cell>
          <cell r="O1408">
            <v>2.5499999999999998</v>
          </cell>
          <cell r="P1408"/>
          <cell r="Q1408"/>
          <cell r="R1408">
            <v>3.2</v>
          </cell>
          <cell r="S1408">
            <v>4.5999999999999996</v>
          </cell>
          <cell r="T1408"/>
          <cell r="U1408"/>
          <cell r="V1408">
            <v>15</v>
          </cell>
          <cell r="W1408"/>
          <cell r="X1408" t="str">
            <v>TERRY</v>
          </cell>
          <cell r="Y1408"/>
          <cell r="Z1408" t="str">
            <v>JANICE ' MAIL 7/11/17</v>
          </cell>
          <cell r="AA1408"/>
          <cell r="AB1408">
            <v>43046</v>
          </cell>
          <cell r="AC1408">
            <v>5448</v>
          </cell>
        </row>
        <row r="1409">
          <cell r="B1409">
            <v>3737</v>
          </cell>
          <cell r="C1409" t="str">
            <v>656T-12352</v>
          </cell>
          <cell r="D1409" t="str">
            <v>SATEEN</v>
          </cell>
          <cell r="E1409"/>
          <cell r="F1409" t="str">
            <v>T100%</v>
          </cell>
          <cell r="G1409" t="str">
            <v>100% POLYESTER</v>
          </cell>
          <cell r="H1409" t="str">
            <v>57/58</v>
          </cell>
          <cell r="I1409">
            <v>136</v>
          </cell>
          <cell r="J1409">
            <v>2.15</v>
          </cell>
          <cell r="K1409">
            <v>2.5</v>
          </cell>
          <cell r="L1409">
            <v>2.15</v>
          </cell>
          <cell r="M1409">
            <v>2.5</v>
          </cell>
          <cell r="N1409">
            <v>2.15</v>
          </cell>
          <cell r="O1409">
            <v>2.5</v>
          </cell>
          <cell r="P1409"/>
          <cell r="Q1409"/>
          <cell r="R1409">
            <v>2.95</v>
          </cell>
          <cell r="S1409">
            <v>4.5</v>
          </cell>
          <cell r="T1409"/>
          <cell r="U1409"/>
          <cell r="V1409">
            <v>15</v>
          </cell>
          <cell r="W1409"/>
          <cell r="X1409" t="str">
            <v>TERRY</v>
          </cell>
          <cell r="Y1409"/>
          <cell r="Z1409" t="str">
            <v>JANICE ' MAIL 7/11/17</v>
          </cell>
          <cell r="AA1409"/>
          <cell r="AB1409">
            <v>43046</v>
          </cell>
          <cell r="AC1409">
            <v>5447</v>
          </cell>
        </row>
        <row r="1410">
          <cell r="B1410">
            <v>3736</v>
          </cell>
          <cell r="C1410" t="str">
            <v>639T-11626</v>
          </cell>
          <cell r="D1410" t="str">
            <v>SHINE SATEEN  - HEAVY</v>
          </cell>
          <cell r="E1410"/>
          <cell r="F1410" t="str">
            <v>T100%</v>
          </cell>
          <cell r="G1410" t="str">
            <v>100% POLYESTER</v>
          </cell>
          <cell r="H1410" t="str">
            <v>57/58</v>
          </cell>
          <cell r="I1410">
            <v>198</v>
          </cell>
          <cell r="J1410">
            <v>3.6</v>
          </cell>
          <cell r="K1410">
            <v>3.95</v>
          </cell>
          <cell r="L1410">
            <v>3.6</v>
          </cell>
          <cell r="M1410">
            <v>3.95</v>
          </cell>
          <cell r="N1410">
            <v>3.6</v>
          </cell>
          <cell r="O1410">
            <v>3.95</v>
          </cell>
          <cell r="P1410"/>
          <cell r="Q1410"/>
          <cell r="R1410">
            <v>4.8</v>
          </cell>
          <cell r="S1410">
            <v>6.4</v>
          </cell>
          <cell r="T1410"/>
          <cell r="U1410"/>
          <cell r="V1410">
            <v>15</v>
          </cell>
          <cell r="W1410"/>
          <cell r="X1410" t="str">
            <v>TERRY</v>
          </cell>
          <cell r="Y1410"/>
          <cell r="Z1410" t="str">
            <v>JANICE ' MAIL 7/11/17</v>
          </cell>
          <cell r="AA1410"/>
          <cell r="AB1410">
            <v>43046</v>
          </cell>
          <cell r="AC1410">
            <v>5451</v>
          </cell>
        </row>
        <row r="1411">
          <cell r="B1411">
            <v>3735</v>
          </cell>
          <cell r="C1411" t="str">
            <v>668T-13529</v>
          </cell>
          <cell r="D1411" t="str">
            <v>POLY - PLAIN</v>
          </cell>
          <cell r="E1411"/>
          <cell r="F1411" t="str">
            <v>T100%</v>
          </cell>
          <cell r="G1411" t="str">
            <v>100% POLYESTER</v>
          </cell>
          <cell r="H1411" t="str">
            <v>57/58</v>
          </cell>
          <cell r="I1411">
            <v>120</v>
          </cell>
          <cell r="J1411">
            <v>1.85</v>
          </cell>
          <cell r="K1411">
            <v>2.15</v>
          </cell>
          <cell r="L1411">
            <v>1.85</v>
          </cell>
          <cell r="M1411">
            <v>2.15</v>
          </cell>
          <cell r="N1411">
            <v>1.85</v>
          </cell>
          <cell r="O1411">
            <v>2.15</v>
          </cell>
          <cell r="P1411"/>
          <cell r="Q1411"/>
          <cell r="R1411">
            <v>2.65</v>
          </cell>
          <cell r="S1411">
            <v>3.95</v>
          </cell>
          <cell r="T1411"/>
          <cell r="U1411"/>
          <cell r="V1411">
            <v>15</v>
          </cell>
          <cell r="W1411"/>
          <cell r="X1411" t="str">
            <v>TERRY</v>
          </cell>
          <cell r="Y1411"/>
          <cell r="Z1411" t="str">
            <v>JANICE ' MAIL 7/11/17</v>
          </cell>
          <cell r="AA1411"/>
          <cell r="AB1411">
            <v>43046</v>
          </cell>
          <cell r="AC1411">
            <v>5432</v>
          </cell>
        </row>
        <row r="1412">
          <cell r="B1412">
            <v>3734</v>
          </cell>
          <cell r="C1412" t="str">
            <v>740TS-13406 COL#NUDE</v>
          </cell>
          <cell r="D1412" t="str">
            <v>BUBBLE JACQUARD</v>
          </cell>
          <cell r="E1412"/>
          <cell r="F1412" t="str">
            <v>T/S 96/4</v>
          </cell>
          <cell r="G1412" t="str">
            <v>96% POLY  4% SPANDEX</v>
          </cell>
          <cell r="H1412" t="str">
            <v>57/58</v>
          </cell>
          <cell r="I1412">
            <v>134</v>
          </cell>
          <cell r="J1412">
            <v>3.25</v>
          </cell>
          <cell r="K1412">
            <v>3.45</v>
          </cell>
          <cell r="L1412">
            <v>3.25</v>
          </cell>
          <cell r="M1412">
            <v>3.45</v>
          </cell>
          <cell r="N1412">
            <v>3.25</v>
          </cell>
          <cell r="O1412">
            <v>3.45</v>
          </cell>
          <cell r="P1412"/>
          <cell r="Q1412"/>
          <cell r="R1412"/>
          <cell r="S1412"/>
          <cell r="T1412"/>
          <cell r="U1412"/>
          <cell r="V1412">
            <v>15</v>
          </cell>
          <cell r="W1412"/>
          <cell r="X1412" t="str">
            <v>TERRY</v>
          </cell>
          <cell r="Y1412"/>
          <cell r="Z1412" t="str">
            <v>JANICE ' MAIL 7/11/17</v>
          </cell>
          <cell r="AA1412"/>
          <cell r="AB1412">
            <v>43046</v>
          </cell>
          <cell r="AC1412">
            <v>5433</v>
          </cell>
        </row>
        <row r="1413">
          <cell r="B1413">
            <v>3733</v>
          </cell>
          <cell r="C1413" t="str">
            <v xml:space="preserve">581T-12383 </v>
          </cell>
          <cell r="D1413" t="str">
            <v>CHIFFON</v>
          </cell>
          <cell r="E1413"/>
          <cell r="F1413" t="str">
            <v>T100%</v>
          </cell>
          <cell r="G1413" t="str">
            <v xml:space="preserve">100% POLYESTER </v>
          </cell>
          <cell r="H1413" t="str">
            <v>57/58</v>
          </cell>
          <cell r="I1413">
            <v>70</v>
          </cell>
          <cell r="J1413">
            <v>1.3</v>
          </cell>
          <cell r="K1413">
            <v>1.65</v>
          </cell>
          <cell r="L1413">
            <v>1.3</v>
          </cell>
          <cell r="M1413">
            <v>1.65</v>
          </cell>
          <cell r="N1413">
            <v>1.3</v>
          </cell>
          <cell r="O1413">
            <v>1.65</v>
          </cell>
          <cell r="P1413"/>
          <cell r="Q1413"/>
          <cell r="R1413">
            <v>1.8</v>
          </cell>
          <cell r="S1413">
            <v>3.35</v>
          </cell>
          <cell r="T1413"/>
          <cell r="U1413"/>
          <cell r="V1413">
            <v>15</v>
          </cell>
          <cell r="W1413"/>
          <cell r="X1413" t="str">
            <v>TERRY</v>
          </cell>
          <cell r="Y1413"/>
          <cell r="Z1413" t="str">
            <v>JANICE ' MAIL 7/11/17</v>
          </cell>
          <cell r="AA1413"/>
          <cell r="AB1413">
            <v>43046</v>
          </cell>
          <cell r="AC1413">
            <v>5445</v>
          </cell>
        </row>
        <row r="1414">
          <cell r="B1414">
            <v>3732</v>
          </cell>
          <cell r="C1414" t="str">
            <v xml:space="preserve">581T-11942 </v>
          </cell>
          <cell r="D1414" t="str">
            <v>TREVI DULL SATEEN - LIGHT</v>
          </cell>
          <cell r="E1414"/>
          <cell r="F1414" t="str">
            <v>T100%</v>
          </cell>
          <cell r="G1414" t="str">
            <v>100% POLYESTER</v>
          </cell>
          <cell r="H1414" t="str">
            <v>142CM
CUTTABLE</v>
          </cell>
          <cell r="I1414">
            <v>90</v>
          </cell>
          <cell r="J1414">
            <v>2.2999999999999998</v>
          </cell>
          <cell r="K1414">
            <v>2.5499999999999998</v>
          </cell>
          <cell r="L1414">
            <v>2.2999999999999998</v>
          </cell>
          <cell r="M1414">
            <v>2.5499999999999998</v>
          </cell>
          <cell r="N1414">
            <v>2.2999999999999998</v>
          </cell>
          <cell r="O1414">
            <v>2.5499999999999998</v>
          </cell>
          <cell r="P1414"/>
          <cell r="Q1414"/>
          <cell r="R1414">
            <v>3.15</v>
          </cell>
          <cell r="S1414">
            <v>4.5999999999999996</v>
          </cell>
          <cell r="T1414"/>
          <cell r="U1414"/>
          <cell r="V1414">
            <v>15</v>
          </cell>
          <cell r="W1414"/>
          <cell r="X1414" t="str">
            <v>TERRY</v>
          </cell>
          <cell r="Y1414"/>
          <cell r="Z1414" t="str">
            <v>JANICE ' MAIL 7/11/17</v>
          </cell>
          <cell r="AA1414"/>
          <cell r="AB1414">
            <v>43046</v>
          </cell>
          <cell r="AC1414">
            <v>5450</v>
          </cell>
        </row>
        <row r="1415">
          <cell r="B1415">
            <v>3731</v>
          </cell>
          <cell r="C1415" t="str">
            <v xml:space="preserve">581TS-11643 </v>
          </cell>
          <cell r="D1415" t="str">
            <v>RIO CREPE - HEAVY</v>
          </cell>
          <cell r="E1415"/>
          <cell r="F1415" t="str">
            <v>T/S 95/5</v>
          </cell>
          <cell r="G1415" t="str">
            <v>95% POLYESTER  5% SPANDEX</v>
          </cell>
          <cell r="H1415" t="str">
            <v>57/58</v>
          </cell>
          <cell r="I1415">
            <v>188</v>
          </cell>
          <cell r="J1415">
            <v>2.15</v>
          </cell>
          <cell r="K1415">
            <v>2.5499999999999998</v>
          </cell>
          <cell r="L1415">
            <v>2.15</v>
          </cell>
          <cell r="M1415">
            <v>2.5499999999999998</v>
          </cell>
          <cell r="N1415">
            <v>2.15</v>
          </cell>
          <cell r="O1415">
            <v>2.5499999999999998</v>
          </cell>
          <cell r="P1415"/>
          <cell r="Q1415"/>
          <cell r="R1415">
            <v>2.9</v>
          </cell>
          <cell r="S1415">
            <v>4.7</v>
          </cell>
          <cell r="T1415"/>
          <cell r="U1415"/>
          <cell r="V1415">
            <v>15</v>
          </cell>
          <cell r="W1415"/>
          <cell r="X1415" t="str">
            <v>TERRY</v>
          </cell>
          <cell r="Y1415"/>
          <cell r="Z1415" t="str">
            <v>JANICE ' MAIL 7/11/17</v>
          </cell>
          <cell r="AA1415"/>
          <cell r="AB1415">
            <v>43046</v>
          </cell>
          <cell r="AC1415">
            <v>5434</v>
          </cell>
        </row>
        <row r="1416">
          <cell r="B1416">
            <v>3730</v>
          </cell>
          <cell r="C1416" t="str">
            <v>668T-13401</v>
          </cell>
          <cell r="D1416" t="str">
            <v>POLY - PLAIN</v>
          </cell>
          <cell r="E1416"/>
          <cell r="F1416" t="str">
            <v>T 100%</v>
          </cell>
          <cell r="G1416" t="str">
            <v>100% POLYESTER</v>
          </cell>
          <cell r="H1416" t="str">
            <v>57/58</v>
          </cell>
          <cell r="I1416">
            <v>170</v>
          </cell>
          <cell r="J1416">
            <v>2</v>
          </cell>
          <cell r="K1416">
            <v>2.2999999999999998</v>
          </cell>
          <cell r="L1416">
            <v>2</v>
          </cell>
          <cell r="M1416">
            <v>2.2999999999999998</v>
          </cell>
          <cell r="N1416">
            <v>2</v>
          </cell>
          <cell r="O1416">
            <v>2.2999999999999998</v>
          </cell>
          <cell r="P1416"/>
          <cell r="Q1416"/>
          <cell r="R1416">
            <v>2.75</v>
          </cell>
          <cell r="S1416">
            <v>4.3</v>
          </cell>
          <cell r="T1416"/>
          <cell r="U1416"/>
          <cell r="V1416">
            <v>15</v>
          </cell>
          <cell r="W1416"/>
          <cell r="X1416" t="str">
            <v>TERRY</v>
          </cell>
          <cell r="Y1416"/>
          <cell r="Z1416" t="str">
            <v>JANICE ' MAIL 7/11/17</v>
          </cell>
          <cell r="AA1416"/>
          <cell r="AB1416">
            <v>43046</v>
          </cell>
          <cell r="AC1416">
            <v>5435</v>
          </cell>
        </row>
        <row r="1417">
          <cell r="B1417">
            <v>3729</v>
          </cell>
          <cell r="C1417" t="str">
            <v>LX183-1</v>
          </cell>
          <cell r="D1417"/>
          <cell r="E1417" t="str">
            <v xml:space="preserve">  100+50*100+50  </v>
          </cell>
          <cell r="F1417" t="str">
            <v>T 100%</v>
          </cell>
          <cell r="G1417" t="str">
            <v>100% POLYESTER</v>
          </cell>
          <cell r="H1417" t="str">
            <v>57/58</v>
          </cell>
          <cell r="I1417">
            <v>180</v>
          </cell>
          <cell r="J1417">
            <v>1.85</v>
          </cell>
          <cell r="K1417">
            <v>1.96</v>
          </cell>
          <cell r="L1417">
            <v>1.85</v>
          </cell>
          <cell r="M1417">
            <v>1.98</v>
          </cell>
          <cell r="N1417">
            <v>1.87</v>
          </cell>
          <cell r="O1417">
            <v>2</v>
          </cell>
          <cell r="P1417"/>
          <cell r="Q1417"/>
          <cell r="R1417">
            <v>1.9</v>
          </cell>
          <cell r="S1417">
            <v>2.12</v>
          </cell>
          <cell r="T1417"/>
          <cell r="U1417"/>
          <cell r="V1417">
            <v>15</v>
          </cell>
          <cell r="W1417"/>
          <cell r="X1417" t="str">
            <v>TINA</v>
          </cell>
          <cell r="Y1417"/>
          <cell r="Z1417" t="str">
            <v>TINA' MAIL 7/11/17</v>
          </cell>
          <cell r="AA1417"/>
          <cell r="AB1417">
            <v>43046</v>
          </cell>
          <cell r="AC1417">
            <v>5436</v>
          </cell>
        </row>
        <row r="1418">
          <cell r="B1418">
            <v>3592</v>
          </cell>
          <cell r="C1418" t="str">
            <v>T024</v>
          </cell>
          <cell r="D1418" t="str">
            <v>BUBBLE CRPE</v>
          </cell>
          <cell r="E1418" t="str">
            <v>75D*75D</v>
          </cell>
          <cell r="F1418" t="str">
            <v>T/S 95/5</v>
          </cell>
          <cell r="G1418" t="str">
            <v xml:space="preserve">95% POLYESTER  5% SPAN </v>
          </cell>
          <cell r="H1418" t="str">
            <v>57/58</v>
          </cell>
          <cell r="I1418">
            <v>130</v>
          </cell>
          <cell r="J1418">
            <v>1.27</v>
          </cell>
          <cell r="K1418">
            <v>1.4</v>
          </cell>
          <cell r="L1418">
            <v>1.29</v>
          </cell>
          <cell r="M1418">
            <v>1.48</v>
          </cell>
          <cell r="N1418">
            <v>1.34</v>
          </cell>
          <cell r="O1418">
            <v>1.52</v>
          </cell>
          <cell r="P1418"/>
          <cell r="Q1418"/>
          <cell r="R1418">
            <v>1.42</v>
          </cell>
          <cell r="S1418">
            <v>2.0099999999999998</v>
          </cell>
          <cell r="T1418"/>
          <cell r="U1418"/>
          <cell r="V1418">
            <v>15</v>
          </cell>
          <cell r="W1418"/>
          <cell r="X1418" t="str">
            <v>TERESA</v>
          </cell>
          <cell r="Y1418"/>
          <cell r="Z1418" t="str">
            <v>TERESA ' MAIL 7/11/17</v>
          </cell>
          <cell r="AA1418"/>
          <cell r="AB1418">
            <v>43046</v>
          </cell>
          <cell r="AC1418">
            <v>5437</v>
          </cell>
        </row>
        <row r="1419">
          <cell r="B1419">
            <v>3591</v>
          </cell>
          <cell r="C1419" t="str">
            <v>T169</v>
          </cell>
          <cell r="D1419" t="str">
            <v>TWILL</v>
          </cell>
          <cell r="E1419" t="str">
            <v>100D+20D</v>
          </cell>
          <cell r="F1419" t="str">
            <v>T100%</v>
          </cell>
          <cell r="G1419" t="str">
            <v xml:space="preserve">100% POLYESTER </v>
          </cell>
          <cell r="H1419" t="str">
            <v>57/58</v>
          </cell>
          <cell r="I1419">
            <v>132</v>
          </cell>
          <cell r="J1419">
            <v>1.24</v>
          </cell>
          <cell r="K1419">
            <v>1.41</v>
          </cell>
          <cell r="L1419">
            <v>1.26</v>
          </cell>
          <cell r="M1419">
            <v>1.49</v>
          </cell>
          <cell r="N1419">
            <v>1.31</v>
          </cell>
          <cell r="O1419">
            <v>1.53</v>
          </cell>
          <cell r="P1419"/>
          <cell r="Q1419"/>
          <cell r="R1419">
            <v>1.39</v>
          </cell>
          <cell r="S1419">
            <v>2.02</v>
          </cell>
          <cell r="T1419"/>
          <cell r="U1419"/>
          <cell r="V1419">
            <v>15</v>
          </cell>
          <cell r="W1419"/>
          <cell r="X1419" t="str">
            <v>TERESA</v>
          </cell>
          <cell r="Y1419"/>
          <cell r="Z1419" t="str">
            <v>TERESA ' MAIL 7/11/17</v>
          </cell>
          <cell r="AA1419"/>
          <cell r="AB1419">
            <v>43046</v>
          </cell>
          <cell r="AC1419">
            <v>5438</v>
          </cell>
        </row>
        <row r="1420">
          <cell r="B1420">
            <v>3585</v>
          </cell>
          <cell r="C1420" t="str">
            <v>T066</v>
          </cell>
          <cell r="D1420" t="str">
            <v>SATEEN</v>
          </cell>
          <cell r="E1420" t="str">
            <v>(20D+26D)*(20D+26D)</v>
          </cell>
          <cell r="F1420" t="str">
            <v>T100%</v>
          </cell>
          <cell r="G1420" t="str">
            <v xml:space="preserve">100% POLYESTER </v>
          </cell>
          <cell r="H1420" t="str">
            <v>57/58</v>
          </cell>
          <cell r="I1420">
            <v>105</v>
          </cell>
          <cell r="J1420">
            <v>1.31</v>
          </cell>
          <cell r="K1420">
            <v>1.47</v>
          </cell>
          <cell r="L1420">
            <v>1.33</v>
          </cell>
          <cell r="M1420">
            <v>1.55</v>
          </cell>
          <cell r="N1420">
            <v>1.38</v>
          </cell>
          <cell r="O1420">
            <v>1.59</v>
          </cell>
          <cell r="P1420"/>
          <cell r="Q1420"/>
          <cell r="R1420">
            <v>1.46</v>
          </cell>
          <cell r="S1420">
            <v>2.08</v>
          </cell>
          <cell r="T1420"/>
          <cell r="U1420"/>
          <cell r="V1420">
            <v>15</v>
          </cell>
          <cell r="W1420"/>
          <cell r="X1420" t="str">
            <v>TERESA</v>
          </cell>
          <cell r="Y1420"/>
          <cell r="Z1420" t="str">
            <v>TERESA ' MAIL 7/11/17</v>
          </cell>
          <cell r="AA1420"/>
          <cell r="AB1420">
            <v>43046</v>
          </cell>
          <cell r="AC1420">
            <v>5411</v>
          </cell>
        </row>
        <row r="1421">
          <cell r="B1421">
            <v>3581</v>
          </cell>
          <cell r="C1421" t="str">
            <v>T167</v>
          </cell>
          <cell r="D1421" t="str">
            <v>SATEEN</v>
          </cell>
          <cell r="E1421" t="str">
            <v>50D*75D</v>
          </cell>
          <cell r="F1421" t="str">
            <v>T100%</v>
          </cell>
          <cell r="G1421" t="str">
            <v xml:space="preserve">100% POLYESTER </v>
          </cell>
          <cell r="H1421" t="str">
            <v>57/58</v>
          </cell>
          <cell r="I1421">
            <v>88</v>
          </cell>
          <cell r="J1421">
            <v>1.33</v>
          </cell>
          <cell r="K1421">
            <v>1.48</v>
          </cell>
          <cell r="L1421">
            <v>1.35</v>
          </cell>
          <cell r="M1421">
            <v>1.56</v>
          </cell>
          <cell r="N1421">
            <v>1.4</v>
          </cell>
          <cell r="O1421">
            <v>1.6</v>
          </cell>
          <cell r="P1421"/>
          <cell r="Q1421"/>
          <cell r="R1421">
            <v>1.48</v>
          </cell>
          <cell r="S1421">
            <v>2.09</v>
          </cell>
          <cell r="T1421"/>
          <cell r="U1421"/>
          <cell r="V1421">
            <v>15</v>
          </cell>
          <cell r="W1421"/>
          <cell r="X1421" t="str">
            <v>TERESA</v>
          </cell>
          <cell r="Y1421"/>
          <cell r="Z1421" t="str">
            <v>TERESA ' MAIL 7/11/17</v>
          </cell>
          <cell r="AA1421"/>
          <cell r="AB1421">
            <v>43046</v>
          </cell>
          <cell r="AC1421">
            <v>5412</v>
          </cell>
        </row>
        <row r="1422">
          <cell r="B1422">
            <v>2143</v>
          </cell>
          <cell r="C1422" t="str">
            <v>GL1583</v>
          </cell>
          <cell r="D1422"/>
          <cell r="E1422"/>
          <cell r="F1422" t="str">
            <v>R/S 95/5</v>
          </cell>
          <cell r="G1422" t="str">
            <v>95% RAYON 5% SPAN</v>
          </cell>
          <cell r="H1422" t="str">
            <v>160CM</v>
          </cell>
          <cell r="I1422">
            <v>185</v>
          </cell>
          <cell r="J1422">
            <v>1.58</v>
          </cell>
          <cell r="K1422"/>
          <cell r="L1422">
            <v>1.63</v>
          </cell>
          <cell r="M1422"/>
          <cell r="N1422">
            <v>1.63</v>
          </cell>
          <cell r="O1422"/>
          <cell r="P1422"/>
          <cell r="Q1422"/>
          <cell r="R1422">
            <v>1.68</v>
          </cell>
          <cell r="S1422"/>
          <cell r="T1422"/>
          <cell r="U1422"/>
          <cell r="V1422"/>
          <cell r="W1422"/>
          <cell r="X1422" t="str">
            <v>NICKY</v>
          </cell>
          <cell r="Y1422"/>
          <cell r="Z1422" t="str">
            <v>NICKY ' MAIL 7/11/17</v>
          </cell>
          <cell r="AA1422"/>
          <cell r="AB1422">
            <v>43046</v>
          </cell>
          <cell r="AC1422">
            <v>5423</v>
          </cell>
        </row>
        <row r="1423">
          <cell r="B1423">
            <v>583</v>
          </cell>
          <cell r="C1423" t="str">
            <v>BG2868</v>
          </cell>
          <cell r="D1423"/>
          <cell r="E1423"/>
          <cell r="F1423" t="str">
            <v>R/V 55/45</v>
          </cell>
          <cell r="G1423" t="str">
            <v>55% RAYON 45% POLYESTER</v>
          </cell>
          <cell r="H1423" t="str">
            <v>54/55</v>
          </cell>
          <cell r="I1423">
            <v>80</v>
          </cell>
          <cell r="J1423">
            <v>1.55</v>
          </cell>
          <cell r="K1423">
            <v>1.8</v>
          </cell>
          <cell r="L1423">
            <v>1.58</v>
          </cell>
          <cell r="M1423">
            <v>1.85</v>
          </cell>
          <cell r="N1423">
            <v>1.6</v>
          </cell>
          <cell r="O1423">
            <v>1.9</v>
          </cell>
          <cell r="P1423"/>
          <cell r="Q1423"/>
          <cell r="R1423">
            <v>1.95</v>
          </cell>
          <cell r="S1423">
            <v>2.5</v>
          </cell>
          <cell r="T1423"/>
          <cell r="U1423"/>
          <cell r="V1423">
            <v>15</v>
          </cell>
          <cell r="W1423"/>
          <cell r="X1423" t="str">
            <v>EDWIN</v>
          </cell>
          <cell r="Y1423"/>
          <cell r="Z1423" t="str">
            <v>EDWIN ' MAIL 7/11/17</v>
          </cell>
          <cell r="AA1423"/>
          <cell r="AB1423">
            <v>43046</v>
          </cell>
          <cell r="AC1423">
            <v>5439</v>
          </cell>
        </row>
        <row r="1424">
          <cell r="B1424"/>
          <cell r="C1424" t="str">
            <v>T001-25X</v>
          </cell>
          <cell r="D1424"/>
          <cell r="E1424" t="str">
            <v>75D*75D</v>
          </cell>
          <cell r="F1424" t="str">
            <v>T100%</v>
          </cell>
          <cell r="G1424" t="str">
            <v xml:space="preserve">100% POLYESTER </v>
          </cell>
          <cell r="H1424" t="str">
            <v>57/58</v>
          </cell>
          <cell r="I1424">
            <v>75</v>
          </cell>
          <cell r="J1424">
            <v>1.1299999999999999</v>
          </cell>
          <cell r="K1424">
            <v>1.28</v>
          </cell>
          <cell r="L1424">
            <v>1.1499999999999999</v>
          </cell>
          <cell r="M1424">
            <v>1.36</v>
          </cell>
          <cell r="N1424">
            <v>1.2</v>
          </cell>
          <cell r="O1424">
            <v>1.4</v>
          </cell>
          <cell r="P1424"/>
          <cell r="Q1424"/>
          <cell r="R1424">
            <v>1.28</v>
          </cell>
          <cell r="S1424">
            <v>1.77</v>
          </cell>
          <cell r="T1424"/>
          <cell r="U1424"/>
          <cell r="V1424"/>
          <cell r="W1424"/>
          <cell r="X1424" t="str">
            <v>TERESA</v>
          </cell>
          <cell r="Y1424"/>
          <cell r="Z1424" t="str">
            <v>TERESA ' MAIL 7/11/17</v>
          </cell>
          <cell r="AA1424"/>
          <cell r="AB1424">
            <v>43046</v>
          </cell>
          <cell r="AC1424">
            <v>5443</v>
          </cell>
        </row>
        <row r="1425">
          <cell r="B1425"/>
          <cell r="C1425" t="str">
            <v>T024-5S</v>
          </cell>
          <cell r="D1425"/>
          <cell r="E1425" t="str">
            <v>75D+40D*75D+40D</v>
          </cell>
          <cell r="F1425" t="str">
            <v>T/S 95/5</v>
          </cell>
          <cell r="G1425" t="str">
            <v xml:space="preserve">95% POLYESTER  5% SPAN </v>
          </cell>
          <cell r="H1425" t="str">
            <v>57/58</v>
          </cell>
          <cell r="I1425">
            <v>130</v>
          </cell>
          <cell r="J1425">
            <v>1.27</v>
          </cell>
          <cell r="K1425">
            <v>1.4</v>
          </cell>
          <cell r="L1425">
            <v>1.29</v>
          </cell>
          <cell r="M1425">
            <v>1.48</v>
          </cell>
          <cell r="N1425">
            <v>1.34</v>
          </cell>
          <cell r="O1425">
            <v>1.52</v>
          </cell>
          <cell r="P1425"/>
          <cell r="Q1425"/>
          <cell r="R1425">
            <v>1.42</v>
          </cell>
          <cell r="S1425">
            <v>2.0099999999999998</v>
          </cell>
          <cell r="T1425"/>
          <cell r="U1425"/>
          <cell r="V1425">
            <v>15</v>
          </cell>
          <cell r="W1425"/>
          <cell r="X1425" t="str">
            <v>TERESA</v>
          </cell>
          <cell r="Y1425"/>
          <cell r="Z1425" t="str">
            <v>TERESA ' MAIL 7/11/17</v>
          </cell>
          <cell r="AA1425"/>
          <cell r="AB1425">
            <v>43046</v>
          </cell>
          <cell r="AC1425">
            <v>5444</v>
          </cell>
        </row>
        <row r="1426">
          <cell r="B1426"/>
          <cell r="C1426" t="str">
            <v>T004-2</v>
          </cell>
          <cell r="D1426"/>
          <cell r="E1426" t="str">
            <v>75D*75D</v>
          </cell>
          <cell r="F1426" t="str">
            <v>T100%</v>
          </cell>
          <cell r="G1426" t="str">
            <v xml:space="preserve">100% POLYESTER </v>
          </cell>
          <cell r="H1426" t="str">
            <v>57/58</v>
          </cell>
          <cell r="I1426">
            <v>116</v>
          </cell>
          <cell r="J1426">
            <v>1.21</v>
          </cell>
          <cell r="K1426">
            <v>1.41</v>
          </cell>
          <cell r="L1426">
            <v>1.44</v>
          </cell>
          <cell r="M1426">
            <v>1.23</v>
          </cell>
          <cell r="N1426">
            <v>1.44</v>
          </cell>
          <cell r="O1426">
            <v>1.51</v>
          </cell>
          <cell r="P1426"/>
          <cell r="Q1426"/>
          <cell r="R1426">
            <v>1.56</v>
          </cell>
          <cell r="S1426">
            <v>1.43</v>
          </cell>
          <cell r="T1426">
            <v>1.85</v>
          </cell>
          <cell r="U1426">
            <v>2.08</v>
          </cell>
          <cell r="V1426"/>
          <cell r="W1426"/>
          <cell r="X1426" t="str">
            <v>TERESA</v>
          </cell>
          <cell r="Y1426"/>
          <cell r="Z1426" t="str">
            <v>TERESA ' MAIL 7/11/17</v>
          </cell>
          <cell r="AA1426"/>
          <cell r="AB1426">
            <v>43046</v>
          </cell>
          <cell r="AC1426">
            <v>5441</v>
          </cell>
        </row>
        <row r="1427">
          <cell r="B1427"/>
          <cell r="C1427" t="str">
            <v>T004-22S</v>
          </cell>
          <cell r="D1427"/>
          <cell r="E1427" t="str">
            <v>75D*75D</v>
          </cell>
          <cell r="F1427" t="str">
            <v>T100%</v>
          </cell>
          <cell r="G1427" t="str">
            <v xml:space="preserve">100% POLYESTER </v>
          </cell>
          <cell r="H1427" t="str">
            <v>57/58</v>
          </cell>
          <cell r="I1427">
            <v>120</v>
          </cell>
          <cell r="J1427">
            <v>1.23</v>
          </cell>
          <cell r="K1427">
            <v>1.43</v>
          </cell>
          <cell r="L1427">
            <v>1.46</v>
          </cell>
          <cell r="M1427">
            <v>1.25</v>
          </cell>
          <cell r="N1427">
            <v>1.46</v>
          </cell>
          <cell r="O1427">
            <v>1.53</v>
          </cell>
          <cell r="P1427"/>
          <cell r="Q1427"/>
          <cell r="R1427">
            <v>1.58</v>
          </cell>
          <cell r="S1427">
            <v>1.45</v>
          </cell>
          <cell r="T1427">
            <v>1.85</v>
          </cell>
          <cell r="U1427">
            <v>2.08</v>
          </cell>
          <cell r="V1427"/>
          <cell r="W1427"/>
          <cell r="X1427" t="str">
            <v>TERESA</v>
          </cell>
          <cell r="Y1427"/>
          <cell r="Z1427" t="str">
            <v>TERESA ' MAIL 7/11/17</v>
          </cell>
          <cell r="AA1427"/>
          <cell r="AB1427">
            <v>43046</v>
          </cell>
          <cell r="AC1427">
            <v>5442</v>
          </cell>
        </row>
        <row r="1428">
          <cell r="B1428"/>
          <cell r="C1428" t="str">
            <v>T256</v>
          </cell>
          <cell r="D1428"/>
          <cell r="E1428" t="str">
            <v>50+50*150D</v>
          </cell>
          <cell r="F1428" t="str">
            <v>T100%</v>
          </cell>
          <cell r="G1428" t="str">
            <v xml:space="preserve">100% POLYESTER </v>
          </cell>
          <cell r="H1428" t="str">
            <v>57/58</v>
          </cell>
          <cell r="I1428">
            <v>137</v>
          </cell>
          <cell r="J1428">
            <v>1.29</v>
          </cell>
          <cell r="K1428">
            <v>1.52</v>
          </cell>
          <cell r="L1428">
            <v>1.31</v>
          </cell>
          <cell r="M1428">
            <v>1.6</v>
          </cell>
          <cell r="N1428">
            <v>1.36</v>
          </cell>
          <cell r="O1428">
            <v>1.64</v>
          </cell>
          <cell r="P1428"/>
          <cell r="Q1428"/>
          <cell r="R1428">
            <v>1.45</v>
          </cell>
          <cell r="S1428">
            <v>2.13</v>
          </cell>
          <cell r="T1428"/>
          <cell r="U1428"/>
          <cell r="V1428"/>
          <cell r="W1428"/>
          <cell r="X1428" t="str">
            <v>TERESA</v>
          </cell>
          <cell r="Y1428"/>
          <cell r="Z1428" t="str">
            <v>TERESA ' MAIL 7/11/17</v>
          </cell>
          <cell r="AA1428"/>
          <cell r="AB1428">
            <v>43046</v>
          </cell>
          <cell r="AC1428">
            <v>5440</v>
          </cell>
        </row>
        <row r="1429">
          <cell r="B1429">
            <v>3727</v>
          </cell>
          <cell r="C1429" t="str">
            <v>HLP17172</v>
          </cell>
          <cell r="D1429" t="str">
            <v xml:space="preserve">LIGHT SATEEN </v>
          </cell>
          <cell r="E1429"/>
          <cell r="F1429" t="str">
            <v>T 100%</v>
          </cell>
          <cell r="G1429" t="str">
            <v>100% POLYESTER</v>
          </cell>
          <cell r="H1429" t="str">
            <v>57/58</v>
          </cell>
          <cell r="I1429">
            <v>94</v>
          </cell>
          <cell r="J1429">
            <v>2.1081081081081079</v>
          </cell>
          <cell r="K1429">
            <v>2.1481081081081079</v>
          </cell>
          <cell r="L1429">
            <v>2.1581081081081077</v>
          </cell>
          <cell r="M1429">
            <v>2.1981081081081077</v>
          </cell>
          <cell r="N1429">
            <v>2.2581081081081078</v>
          </cell>
          <cell r="O1429">
            <v>2.2981081081081078</v>
          </cell>
          <cell r="P1429"/>
          <cell r="Q1429"/>
          <cell r="R1429">
            <v>2.458108108108108</v>
          </cell>
          <cell r="S1429">
            <v>2.498108108108108</v>
          </cell>
          <cell r="T1429"/>
          <cell r="U1429"/>
          <cell r="V1429">
            <v>15</v>
          </cell>
          <cell r="W1429"/>
          <cell r="X1429" t="str">
            <v>CANDY</v>
          </cell>
          <cell r="Y1429"/>
          <cell r="Z1429" t="str">
            <v>CANDY'MAIL 6/11/17</v>
          </cell>
          <cell r="AA1429"/>
          <cell r="AB1429">
            <v>43045</v>
          </cell>
          <cell r="AC1429">
            <v>5461</v>
          </cell>
        </row>
        <row r="1430">
          <cell r="B1430">
            <v>3341</v>
          </cell>
          <cell r="C1430" t="str">
            <v>OLP-1761506JLH</v>
          </cell>
          <cell r="D1430"/>
          <cell r="E1430" t="str">
            <v xml:space="preserve"> 40x40 / 88x68</v>
          </cell>
          <cell r="F1430" t="str">
            <v>C 100%</v>
          </cell>
          <cell r="G1430" t="str">
            <v>100% COTTON</v>
          </cell>
          <cell r="H1430" t="str">
            <v>57/58</v>
          </cell>
          <cell r="I1430">
            <v>92</v>
          </cell>
          <cell r="J1430">
            <v>1.65</v>
          </cell>
          <cell r="K1430"/>
          <cell r="L1430">
            <v>1.7</v>
          </cell>
          <cell r="M1430"/>
          <cell r="N1430">
            <v>1.8</v>
          </cell>
          <cell r="O1430"/>
          <cell r="P1430"/>
          <cell r="Q1430"/>
          <cell r="R1430">
            <v>1.95</v>
          </cell>
          <cell r="S1430"/>
          <cell r="T1430"/>
          <cell r="U1430"/>
          <cell r="V1430"/>
          <cell r="W1430"/>
          <cell r="X1430" t="str">
            <v>OWEN</v>
          </cell>
          <cell r="Y1430"/>
          <cell r="Z1430" t="str">
            <v>SANDY ' MAIL 6/11/17</v>
          </cell>
          <cell r="AA1430"/>
          <cell r="AB1430">
            <v>43045</v>
          </cell>
          <cell r="AC1430">
            <v>5459</v>
          </cell>
        </row>
        <row r="1431">
          <cell r="B1431">
            <v>3340</v>
          </cell>
          <cell r="C1431" t="str">
            <v>OLP-1761505JLH</v>
          </cell>
          <cell r="D1431"/>
          <cell r="E1431" t="str">
            <v>40x40 / 70x67</v>
          </cell>
          <cell r="F1431" t="str">
            <v>C 100%</v>
          </cell>
          <cell r="G1431" t="str">
            <v xml:space="preserve">100% COTTON </v>
          </cell>
          <cell r="H1431" t="str">
            <v>57/58</v>
          </cell>
          <cell r="I1431">
            <v>81</v>
          </cell>
          <cell r="J1431">
            <v>1.5</v>
          </cell>
          <cell r="K1431"/>
          <cell r="L1431">
            <v>1.57</v>
          </cell>
          <cell r="M1431"/>
          <cell r="N1431">
            <v>1.68</v>
          </cell>
          <cell r="O1431"/>
          <cell r="P1431"/>
          <cell r="Q1431"/>
          <cell r="R1431">
            <v>1.83</v>
          </cell>
          <cell r="S1431"/>
          <cell r="T1431"/>
          <cell r="U1431"/>
          <cell r="V1431"/>
          <cell r="W1431"/>
          <cell r="X1431" t="str">
            <v>OWEN</v>
          </cell>
          <cell r="Y1431"/>
          <cell r="Z1431" t="str">
            <v>SANDY ' MAIL 6/11/17</v>
          </cell>
          <cell r="AA1431"/>
          <cell r="AB1431">
            <v>43045</v>
          </cell>
          <cell r="AC1431">
            <v>5458</v>
          </cell>
        </row>
        <row r="1432">
          <cell r="B1432">
            <v>3180</v>
          </cell>
          <cell r="C1432" t="str">
            <v>OLP-1733109RBE</v>
          </cell>
          <cell r="D1432" t="str">
            <v>HEAVY POLY CREPE</v>
          </cell>
          <cell r="E1432"/>
          <cell r="F1432" t="str">
            <v>T100%</v>
          </cell>
          <cell r="G1432" t="str">
            <v>100% POLYESTER</v>
          </cell>
          <cell r="H1432" t="str">
            <v>57/58</v>
          </cell>
          <cell r="I1432">
            <v>240</v>
          </cell>
          <cell r="J1432">
            <v>2.15</v>
          </cell>
          <cell r="K1432">
            <v>2.4500000000000002</v>
          </cell>
          <cell r="L1432">
            <v>2.23</v>
          </cell>
          <cell r="M1432">
            <v>2.6</v>
          </cell>
          <cell r="N1432">
            <v>2.38</v>
          </cell>
          <cell r="O1432">
            <v>2.8</v>
          </cell>
          <cell r="P1432"/>
          <cell r="Q1432"/>
          <cell r="R1432"/>
          <cell r="S1432"/>
          <cell r="T1432"/>
          <cell r="U1432"/>
          <cell r="V1432"/>
          <cell r="W1432"/>
          <cell r="X1432" t="str">
            <v>OWEN</v>
          </cell>
          <cell r="Y1432"/>
          <cell r="Z1432" t="str">
            <v>SANDY ' MAIL 6/11/17</v>
          </cell>
          <cell r="AA1432"/>
          <cell r="AB1432">
            <v>43045</v>
          </cell>
          <cell r="AC1432">
            <v>5460</v>
          </cell>
        </row>
        <row r="1433">
          <cell r="B1433">
            <v>4062</v>
          </cell>
          <cell r="C1433" t="str">
            <v>T081-1S</v>
          </cell>
          <cell r="D1433" t="str">
            <v>CHIFFON WITH LUREX STRIPE</v>
          </cell>
          <cell r="E1433" t="str">
            <v xml:space="preserve"> 75Dx75D</v>
          </cell>
          <cell r="F1433" t="str">
            <v>T100%</v>
          </cell>
          <cell r="G1433" t="str">
            <v>100% POLYESTER</v>
          </cell>
          <cell r="H1433" t="str">
            <v>57/58</v>
          </cell>
          <cell r="I1433">
            <v>62</v>
          </cell>
          <cell r="J1433">
            <v>1.55</v>
          </cell>
          <cell r="K1433">
            <v>1.73</v>
          </cell>
          <cell r="L1433">
            <v>1.57</v>
          </cell>
          <cell r="M1433">
            <v>1.81</v>
          </cell>
          <cell r="N1433">
            <v>1.62</v>
          </cell>
          <cell r="O1433">
            <v>1.85</v>
          </cell>
          <cell r="P1433"/>
          <cell r="Q1433"/>
          <cell r="R1433">
            <v>1.7</v>
          </cell>
          <cell r="S1433">
            <v>2.34</v>
          </cell>
          <cell r="T1433"/>
          <cell r="U1433"/>
          <cell r="V1433" t="str">
            <v>NO</v>
          </cell>
          <cell r="W1433"/>
          <cell r="X1433" t="str">
            <v>TERESA</v>
          </cell>
          <cell r="Y1433"/>
          <cell r="Z1433" t="str">
            <v>TERESA ' MAIL 3/11/17</v>
          </cell>
          <cell r="AA1433"/>
          <cell r="AB1433">
            <v>43042</v>
          </cell>
          <cell r="AC1433">
            <v>5483</v>
          </cell>
        </row>
        <row r="1434">
          <cell r="B1434">
            <v>4061</v>
          </cell>
          <cell r="C1434" t="str">
            <v>T121-1S</v>
          </cell>
          <cell r="D1434" t="str">
            <v>CRINKLE CHIFFON WITH JAC</v>
          </cell>
          <cell r="E1434" t="str">
            <v>68Dx75D</v>
          </cell>
          <cell r="F1434" t="str">
            <v>T100%</v>
          </cell>
          <cell r="G1434" t="str">
            <v>100% POLYESTER</v>
          </cell>
          <cell r="H1434" t="str">
            <v>57/58</v>
          </cell>
          <cell r="I1434">
            <v>87</v>
          </cell>
          <cell r="J1434">
            <v>1.71</v>
          </cell>
          <cell r="K1434">
            <v>1.87</v>
          </cell>
          <cell r="L1434">
            <v>1.73</v>
          </cell>
          <cell r="M1434">
            <v>1.95</v>
          </cell>
          <cell r="N1434">
            <v>1.78</v>
          </cell>
          <cell r="O1434">
            <v>1.99</v>
          </cell>
          <cell r="P1434"/>
          <cell r="Q1434"/>
          <cell r="R1434">
            <v>1.86</v>
          </cell>
          <cell r="S1434">
            <v>2.48</v>
          </cell>
          <cell r="T1434"/>
          <cell r="U1434"/>
          <cell r="V1434" t="str">
            <v>NO</v>
          </cell>
          <cell r="W1434"/>
          <cell r="X1434" t="str">
            <v>TERESA</v>
          </cell>
          <cell r="Y1434"/>
          <cell r="Z1434" t="str">
            <v>TERESA ' MAIL 3/11/17</v>
          </cell>
          <cell r="AA1434"/>
          <cell r="AB1434">
            <v>43042</v>
          </cell>
          <cell r="AC1434">
            <v>5484</v>
          </cell>
        </row>
        <row r="1435">
          <cell r="B1435">
            <v>4060</v>
          </cell>
          <cell r="C1435" t="str">
            <v>9774-2S</v>
          </cell>
          <cell r="D1435" t="str">
            <v>VISCOSE</v>
          </cell>
          <cell r="E1435" t="str">
            <v>100Dx30S</v>
          </cell>
          <cell r="F1435" t="str">
            <v>V/R 53/47</v>
          </cell>
          <cell r="G1435" t="str">
            <v>53% VISCOSE 47% RAYON</v>
          </cell>
          <cell r="H1435" t="str">
            <v>53/54</v>
          </cell>
          <cell r="I1435">
            <v>125</v>
          </cell>
          <cell r="J1435">
            <v>2.6</v>
          </cell>
          <cell r="K1435">
            <v>2.74</v>
          </cell>
          <cell r="L1435">
            <v>2.62</v>
          </cell>
          <cell r="M1435">
            <v>2.82</v>
          </cell>
          <cell r="N1435">
            <v>2.67</v>
          </cell>
          <cell r="O1435">
            <v>2.86</v>
          </cell>
          <cell r="P1435"/>
          <cell r="Q1435"/>
          <cell r="R1435">
            <v>2.75</v>
          </cell>
          <cell r="S1435">
            <v>3.24</v>
          </cell>
          <cell r="T1435"/>
          <cell r="U1435"/>
          <cell r="V1435" t="str">
            <v>NO</v>
          </cell>
          <cell r="W1435"/>
          <cell r="X1435" t="str">
            <v>TERESA</v>
          </cell>
          <cell r="Y1435"/>
          <cell r="Z1435" t="str">
            <v>TERESA ' MAIL 3/11/17</v>
          </cell>
          <cell r="AA1435"/>
          <cell r="AB1435">
            <v>43042</v>
          </cell>
          <cell r="AC1435">
            <v>5485</v>
          </cell>
        </row>
        <row r="1436">
          <cell r="B1436">
            <v>4058</v>
          </cell>
          <cell r="C1436" t="str">
            <v>T225-1S</v>
          </cell>
          <cell r="D1436" t="str">
            <v>JACQUARD CHIFFON</v>
          </cell>
          <cell r="E1436" t="str">
            <v xml:space="preserve"> 20D+26Dx30S</v>
          </cell>
          <cell r="F1436" t="str">
            <v>T100%</v>
          </cell>
          <cell r="G1436" t="str">
            <v>100% POLYESTER</v>
          </cell>
          <cell r="H1436" t="str">
            <v>57/58</v>
          </cell>
          <cell r="I1436">
            <v>58</v>
          </cell>
          <cell r="J1436">
            <v>1.45</v>
          </cell>
          <cell r="K1436">
            <v>1.6</v>
          </cell>
          <cell r="L1436">
            <v>1.47</v>
          </cell>
          <cell r="M1436">
            <v>1.68</v>
          </cell>
          <cell r="N1436">
            <v>1.52</v>
          </cell>
          <cell r="O1436">
            <v>1.72</v>
          </cell>
          <cell r="P1436"/>
          <cell r="Q1436"/>
          <cell r="R1436">
            <v>1.6</v>
          </cell>
          <cell r="S1436">
            <v>2.21</v>
          </cell>
          <cell r="T1436"/>
          <cell r="U1436"/>
          <cell r="V1436" t="str">
            <v>NO</v>
          </cell>
          <cell r="W1436"/>
          <cell r="X1436" t="str">
            <v>TERESA</v>
          </cell>
          <cell r="Y1436"/>
          <cell r="Z1436" t="str">
            <v>TERESA ' MAIL 3/11/17</v>
          </cell>
          <cell r="AA1436"/>
          <cell r="AB1436">
            <v>43042</v>
          </cell>
          <cell r="AC1436">
            <v>5486</v>
          </cell>
        </row>
        <row r="1437">
          <cell r="B1437">
            <v>4057</v>
          </cell>
          <cell r="C1437" t="str">
            <v>T223-1S</v>
          </cell>
          <cell r="D1437" t="str">
            <v>CHIFFON WITH LUEX</v>
          </cell>
          <cell r="E1437" t="str">
            <v>75Dx75D</v>
          </cell>
          <cell r="F1437" t="str">
            <v>T100%</v>
          </cell>
          <cell r="G1437" t="str">
            <v>100% POLYESTER</v>
          </cell>
          <cell r="H1437" t="str">
            <v>57/58</v>
          </cell>
          <cell r="I1437">
            <v>83</v>
          </cell>
          <cell r="J1437">
            <v>1.46</v>
          </cell>
          <cell r="K1437">
            <v>1.61</v>
          </cell>
          <cell r="L1437">
            <v>1.48</v>
          </cell>
          <cell r="M1437">
            <v>1.69</v>
          </cell>
          <cell r="N1437">
            <v>1.53</v>
          </cell>
          <cell r="O1437">
            <v>1.73</v>
          </cell>
          <cell r="P1437"/>
          <cell r="Q1437"/>
          <cell r="R1437">
            <v>1.61</v>
          </cell>
          <cell r="S1437">
            <v>2.2200000000000002</v>
          </cell>
          <cell r="T1437"/>
          <cell r="U1437"/>
          <cell r="V1437" t="str">
            <v>NO</v>
          </cell>
          <cell r="W1437"/>
          <cell r="X1437" t="str">
            <v>TERESA</v>
          </cell>
          <cell r="Y1437"/>
          <cell r="Z1437" t="str">
            <v>TERESA ' MAIL 3/11/17</v>
          </cell>
          <cell r="AA1437"/>
          <cell r="AB1437">
            <v>43042</v>
          </cell>
          <cell r="AC1437">
            <v>5487</v>
          </cell>
        </row>
        <row r="1438">
          <cell r="B1438">
            <v>4056</v>
          </cell>
          <cell r="C1438" t="str">
            <v>T170-1S</v>
          </cell>
          <cell r="D1438" t="str">
            <v>CHIFFON</v>
          </cell>
          <cell r="E1438" t="str">
            <v>20D+26Dx20D+26D</v>
          </cell>
          <cell r="F1438" t="str">
            <v>T100%</v>
          </cell>
          <cell r="G1438" t="str">
            <v>100% POLYESTER</v>
          </cell>
          <cell r="H1438" t="str">
            <v>57/58</v>
          </cell>
          <cell r="I1438">
            <v>75</v>
          </cell>
          <cell r="J1438">
            <v>1.1599999999999999</v>
          </cell>
          <cell r="K1438">
            <v>1.31</v>
          </cell>
          <cell r="L1438">
            <v>1.18</v>
          </cell>
          <cell r="M1438">
            <v>1.39</v>
          </cell>
          <cell r="N1438">
            <v>1.23</v>
          </cell>
          <cell r="O1438">
            <v>1.43</v>
          </cell>
          <cell r="P1438"/>
          <cell r="Q1438"/>
          <cell r="R1438">
            <v>1.31</v>
          </cell>
          <cell r="S1438">
            <v>1.8</v>
          </cell>
          <cell r="T1438"/>
          <cell r="U1438"/>
          <cell r="V1438" t="str">
            <v>NO</v>
          </cell>
          <cell r="W1438"/>
          <cell r="X1438" t="str">
            <v>TERESA</v>
          </cell>
          <cell r="Y1438"/>
          <cell r="Z1438" t="str">
            <v>TERESA ' MAIL 3/11/17</v>
          </cell>
          <cell r="AA1438"/>
          <cell r="AB1438">
            <v>43042</v>
          </cell>
          <cell r="AC1438">
            <v>5466</v>
          </cell>
        </row>
        <row r="1439">
          <cell r="B1439">
            <v>4055</v>
          </cell>
          <cell r="C1439" t="str">
            <v>A-015-1S</v>
          </cell>
          <cell r="D1439" t="str">
            <v>STRETCH COTTON</v>
          </cell>
          <cell r="E1439"/>
          <cell r="F1439" t="str">
            <v>C/S 97/3</v>
          </cell>
          <cell r="G1439" t="str">
            <v>97% COTTON  3%SPANDEX</v>
          </cell>
          <cell r="H1439" t="str">
            <v>57/58</v>
          </cell>
          <cell r="I1439">
            <v>189</v>
          </cell>
          <cell r="J1439">
            <v>2.09</v>
          </cell>
          <cell r="K1439">
            <v>2.29</v>
          </cell>
          <cell r="L1439">
            <v>2.11</v>
          </cell>
          <cell r="M1439">
            <v>2.37</v>
          </cell>
          <cell r="N1439">
            <v>2.16</v>
          </cell>
          <cell r="O1439">
            <v>2.41</v>
          </cell>
          <cell r="P1439"/>
          <cell r="Q1439"/>
          <cell r="R1439">
            <v>2.2400000000000002</v>
          </cell>
          <cell r="S1439">
            <v>2.9</v>
          </cell>
          <cell r="T1439"/>
          <cell r="U1439"/>
          <cell r="V1439" t="str">
            <v>YES</v>
          </cell>
          <cell r="W1439"/>
          <cell r="X1439" t="str">
            <v>TERESA</v>
          </cell>
          <cell r="Y1439"/>
          <cell r="Z1439" t="str">
            <v>TERESA ' MAIL 3/11/17</v>
          </cell>
          <cell r="AA1439"/>
          <cell r="AB1439">
            <v>43042</v>
          </cell>
          <cell r="AC1439">
            <v>5488</v>
          </cell>
        </row>
        <row r="1440">
          <cell r="B1440">
            <v>4054</v>
          </cell>
          <cell r="C1440" t="str">
            <v>T207-2X</v>
          </cell>
          <cell r="D1440" t="str">
            <v>CDC</v>
          </cell>
          <cell r="E1440" t="str">
            <v xml:space="preserve"> 75D*75D</v>
          </cell>
          <cell r="F1440" t="str">
            <v>T100%</v>
          </cell>
          <cell r="G1440" t="str">
            <v>100%POLYESTER</v>
          </cell>
          <cell r="H1440" t="str">
            <v>57/58</v>
          </cell>
          <cell r="I1440">
            <v>77</v>
          </cell>
          <cell r="J1440">
            <v>1.05</v>
          </cell>
          <cell r="K1440">
            <v>1.26</v>
          </cell>
          <cell r="L1440">
            <v>1.07</v>
          </cell>
          <cell r="M1440">
            <v>1.34</v>
          </cell>
          <cell r="N1440">
            <v>1.1200000000000001</v>
          </cell>
          <cell r="O1440">
            <v>1.38</v>
          </cell>
          <cell r="P1440"/>
          <cell r="Q1440"/>
          <cell r="R1440">
            <v>1.2</v>
          </cell>
          <cell r="S1440">
            <v>1.87</v>
          </cell>
          <cell r="T1440"/>
          <cell r="U1440"/>
          <cell r="V1440" t="str">
            <v>YES</v>
          </cell>
          <cell r="W1440"/>
          <cell r="X1440" t="str">
            <v>TERESA</v>
          </cell>
          <cell r="Y1440"/>
          <cell r="Z1440" t="str">
            <v>TERESA ' MAIL 3/11/17</v>
          </cell>
          <cell r="AA1440"/>
          <cell r="AB1440">
            <v>43042</v>
          </cell>
          <cell r="AC1440">
            <v>5502</v>
          </cell>
        </row>
        <row r="1441">
          <cell r="B1441">
            <v>4053</v>
          </cell>
          <cell r="C1441" t="str">
            <v>T224-1S</v>
          </cell>
          <cell r="D1441" t="str">
            <v>CHIFFON</v>
          </cell>
          <cell r="E1441" t="str">
            <v>75Dx75D</v>
          </cell>
          <cell r="F1441" t="str">
            <v>T100%</v>
          </cell>
          <cell r="G1441" t="str">
            <v>100% POLYESTER</v>
          </cell>
          <cell r="H1441" t="str">
            <v>57/58</v>
          </cell>
          <cell r="I1441">
            <v>47</v>
          </cell>
          <cell r="J1441">
            <v>1.32</v>
          </cell>
          <cell r="K1441">
            <v>1.46</v>
          </cell>
          <cell r="L1441">
            <v>1.34</v>
          </cell>
          <cell r="M1441">
            <v>1.54</v>
          </cell>
          <cell r="N1441">
            <v>1.39</v>
          </cell>
          <cell r="O1441">
            <v>1.58</v>
          </cell>
          <cell r="P1441"/>
          <cell r="Q1441"/>
          <cell r="R1441">
            <v>1.47</v>
          </cell>
          <cell r="S1441">
            <v>2.0699999999999998</v>
          </cell>
          <cell r="T1441"/>
          <cell r="U1441"/>
          <cell r="V1441" t="str">
            <v>NO</v>
          </cell>
          <cell r="W1441"/>
          <cell r="X1441" t="str">
            <v>TERESA</v>
          </cell>
          <cell r="Y1441"/>
          <cell r="Z1441" t="str">
            <v>TERESA ' MAIL 3/11/17</v>
          </cell>
          <cell r="AA1441"/>
          <cell r="AB1441">
            <v>43042</v>
          </cell>
          <cell r="AC1441">
            <v>5501</v>
          </cell>
        </row>
        <row r="1442">
          <cell r="B1442">
            <v>4052</v>
          </cell>
          <cell r="C1442" t="str">
            <v>9736-1S</v>
          </cell>
          <cell r="D1442"/>
          <cell r="E1442" t="str">
            <v xml:space="preserve"> 68Dx32S</v>
          </cell>
          <cell r="F1442" t="str">
            <v>T/R</v>
          </cell>
          <cell r="G1442" t="str">
            <v>POLYESTER / RAYON</v>
          </cell>
          <cell r="H1442" t="str">
            <v>56/57</v>
          </cell>
          <cell r="I1442">
            <v>70</v>
          </cell>
          <cell r="J1442">
            <v>1.03</v>
          </cell>
          <cell r="K1442">
            <v>1.1599999999999999</v>
          </cell>
          <cell r="L1442">
            <v>1.05</v>
          </cell>
          <cell r="M1442">
            <v>1.24</v>
          </cell>
          <cell r="N1442">
            <v>1.1000000000000001</v>
          </cell>
          <cell r="O1442">
            <v>1.27</v>
          </cell>
          <cell r="P1442"/>
          <cell r="Q1442"/>
          <cell r="R1442">
            <v>1.18</v>
          </cell>
          <cell r="S1442">
            <v>1.76</v>
          </cell>
          <cell r="T1442"/>
          <cell r="U1442"/>
          <cell r="V1442" t="str">
            <v>YES</v>
          </cell>
          <cell r="W1442"/>
          <cell r="X1442" t="str">
            <v>TERESA</v>
          </cell>
          <cell r="Y1442"/>
          <cell r="Z1442" t="str">
            <v>TERESA ' MAIL 3/11/17</v>
          </cell>
          <cell r="AA1442"/>
          <cell r="AB1442">
            <v>43042</v>
          </cell>
          <cell r="AC1442">
            <v>5489</v>
          </cell>
        </row>
        <row r="1443">
          <cell r="B1443">
            <v>4041</v>
          </cell>
          <cell r="C1443" t="str">
            <v>SH1723</v>
          </cell>
          <cell r="D1443"/>
          <cell r="E1443"/>
          <cell r="F1443" t="str">
            <v xml:space="preserve"> </v>
          </cell>
          <cell r="G1443" t="str">
            <v>65%POLYESTER 35%COTTON</v>
          </cell>
          <cell r="H1443" t="str">
            <v>57/58</v>
          </cell>
          <cell r="I1443">
            <v>120</v>
          </cell>
          <cell r="J1443">
            <v>1.35</v>
          </cell>
          <cell r="K1443">
            <v>1.55</v>
          </cell>
          <cell r="L1443">
            <v>1.35</v>
          </cell>
          <cell r="M1443">
            <v>1.55</v>
          </cell>
          <cell r="N1443">
            <v>1.45</v>
          </cell>
          <cell r="O1443">
            <v>1.7</v>
          </cell>
          <cell r="P1443"/>
          <cell r="Q1443"/>
          <cell r="R1443">
            <v>1.55</v>
          </cell>
          <cell r="S1443">
            <v>1.9</v>
          </cell>
          <cell r="T1443"/>
          <cell r="U1443"/>
          <cell r="V1443"/>
          <cell r="W1443"/>
          <cell r="X1443" t="str">
            <v>PANI</v>
          </cell>
          <cell r="Y1443"/>
          <cell r="Z1443" t="str">
            <v>AMY ' MAIL 3/11/17</v>
          </cell>
          <cell r="AA1443"/>
          <cell r="AB1443">
            <v>43042</v>
          </cell>
          <cell r="AC1443">
            <v>5462</v>
          </cell>
        </row>
        <row r="1444">
          <cell r="B1444">
            <v>4040</v>
          </cell>
          <cell r="C1444" t="str">
            <v>SH1724</v>
          </cell>
          <cell r="D1444"/>
          <cell r="E1444"/>
          <cell r="F1444" t="str">
            <v>T/C 65/35</v>
          </cell>
          <cell r="G1444" t="str">
            <v>65%POLYESTER 35%COTTON</v>
          </cell>
          <cell r="H1444" t="str">
            <v>57/58</v>
          </cell>
          <cell r="I1444">
            <v>100</v>
          </cell>
          <cell r="J1444">
            <v>1.45</v>
          </cell>
          <cell r="K1444">
            <v>1.65</v>
          </cell>
          <cell r="L1444">
            <v>1.45</v>
          </cell>
          <cell r="M1444">
            <v>1.65</v>
          </cell>
          <cell r="N1444">
            <v>1.55</v>
          </cell>
          <cell r="O1444">
            <v>1.8</v>
          </cell>
          <cell r="P1444"/>
          <cell r="Q1444"/>
          <cell r="R1444">
            <v>1.65</v>
          </cell>
          <cell r="S1444">
            <v>2</v>
          </cell>
          <cell r="T1444"/>
          <cell r="U1444"/>
          <cell r="V1444"/>
          <cell r="W1444"/>
          <cell r="X1444" t="str">
            <v>PANI</v>
          </cell>
          <cell r="Y1444"/>
          <cell r="Z1444" t="str">
            <v>AMY ' MAIL 3/11/17</v>
          </cell>
          <cell r="AA1444"/>
          <cell r="AB1444">
            <v>43042</v>
          </cell>
          <cell r="AC1444">
            <v>5463</v>
          </cell>
        </row>
        <row r="1445">
          <cell r="B1445">
            <v>4039</v>
          </cell>
          <cell r="C1445" t="str">
            <v>KPK-22221</v>
          </cell>
          <cell r="D1445"/>
          <cell r="E1445"/>
          <cell r="F1445" t="str">
            <v>T/R/S 60/36/4</v>
          </cell>
          <cell r="G1445" t="str">
            <v>60%POLYESTER 36%RAYON 4%SPANDEX</v>
          </cell>
          <cell r="H1445" t="str">
            <v>152CM</v>
          </cell>
          <cell r="I1445">
            <v>290</v>
          </cell>
          <cell r="J1445"/>
          <cell r="K1445">
            <v>2.6</v>
          </cell>
          <cell r="L1445"/>
          <cell r="M1445">
            <v>2.6</v>
          </cell>
          <cell r="N1445"/>
          <cell r="O1445">
            <v>2.7</v>
          </cell>
          <cell r="P1445"/>
          <cell r="Q1445"/>
          <cell r="R1445"/>
          <cell r="S1445">
            <v>2.8</v>
          </cell>
          <cell r="T1445"/>
          <cell r="U1445"/>
          <cell r="V1445"/>
          <cell r="W1445"/>
          <cell r="X1445" t="str">
            <v>PANI</v>
          </cell>
          <cell r="Y1445"/>
          <cell r="Z1445" t="str">
            <v>AMY ' MAIL 3/11/17</v>
          </cell>
          <cell r="AA1445"/>
          <cell r="AB1445">
            <v>43042</v>
          </cell>
          <cell r="AC1445">
            <v>5503</v>
          </cell>
        </row>
        <row r="1446">
          <cell r="B1446">
            <v>4038</v>
          </cell>
          <cell r="C1446" t="str">
            <v>KPK-22220</v>
          </cell>
          <cell r="D1446"/>
          <cell r="E1446"/>
          <cell r="F1446" t="str">
            <v>T/R/S 60/36/4</v>
          </cell>
          <cell r="G1446" t="str">
            <v>60%POLYESTER 36%RAYON 4%SPANDEX</v>
          </cell>
          <cell r="H1446" t="str">
            <v>152CM</v>
          </cell>
          <cell r="I1446">
            <v>285</v>
          </cell>
          <cell r="J1446"/>
          <cell r="K1446">
            <v>2.6</v>
          </cell>
          <cell r="L1446"/>
          <cell r="M1446">
            <v>2.6</v>
          </cell>
          <cell r="N1446"/>
          <cell r="O1446">
            <v>2.7</v>
          </cell>
          <cell r="P1446"/>
          <cell r="Q1446"/>
          <cell r="R1446"/>
          <cell r="S1446">
            <v>2.8</v>
          </cell>
          <cell r="T1446"/>
          <cell r="U1446"/>
          <cell r="V1446"/>
          <cell r="W1446"/>
          <cell r="X1446" t="str">
            <v>PANI</v>
          </cell>
          <cell r="Y1446"/>
          <cell r="Z1446" t="str">
            <v>AMY ' MAIL 3/11/17</v>
          </cell>
          <cell r="AA1446"/>
          <cell r="AB1446">
            <v>43042</v>
          </cell>
          <cell r="AC1446">
            <v>5504</v>
          </cell>
        </row>
        <row r="1447">
          <cell r="B1447">
            <v>4017</v>
          </cell>
          <cell r="C1447" t="str">
            <v>GL1231</v>
          </cell>
          <cell r="D1447" t="str">
            <v xml:space="preserve">JERSEY </v>
          </cell>
          <cell r="E1447"/>
          <cell r="F1447" t="str">
            <v>r/s 95/5</v>
          </cell>
          <cell r="G1447" t="str">
            <v>95% RAYON 5% SPANDEX</v>
          </cell>
          <cell r="H1447" t="str">
            <v>160CM</v>
          </cell>
          <cell r="I1447">
            <v>200</v>
          </cell>
          <cell r="J1447"/>
          <cell r="K1447">
            <v>2.37</v>
          </cell>
          <cell r="L1447"/>
          <cell r="M1447">
            <v>2.42</v>
          </cell>
          <cell r="N1447"/>
          <cell r="O1447">
            <v>2.42</v>
          </cell>
          <cell r="P1447"/>
          <cell r="Q1447"/>
          <cell r="R1447"/>
          <cell r="S1447">
            <v>2.4700000000000002</v>
          </cell>
          <cell r="T1447"/>
          <cell r="U1447"/>
          <cell r="V1447"/>
          <cell r="W1447"/>
          <cell r="X1447" t="str">
            <v>NICKY</v>
          </cell>
          <cell r="Y1447"/>
          <cell r="Z1447" t="str">
            <v>NICKY ' MAIL 3/11/17</v>
          </cell>
          <cell r="AA1447"/>
          <cell r="AB1447">
            <v>43042</v>
          </cell>
          <cell r="AC1447">
            <v>5490</v>
          </cell>
        </row>
        <row r="1448">
          <cell r="B1448">
            <v>4016</v>
          </cell>
          <cell r="C1448" t="str">
            <v>GL1145</v>
          </cell>
          <cell r="D1448" t="str">
            <v>PONTE</v>
          </cell>
          <cell r="E1448"/>
          <cell r="F1448" t="str">
            <v>T/S 95/5</v>
          </cell>
          <cell r="G1448" t="str">
            <v>95% POLY  5% SPANDEX</v>
          </cell>
          <cell r="H1448" t="str">
            <v>150/155CM</v>
          </cell>
          <cell r="I1448">
            <v>270</v>
          </cell>
          <cell r="J1448">
            <v>1.71</v>
          </cell>
          <cell r="K1448"/>
          <cell r="L1448">
            <v>1.76</v>
          </cell>
          <cell r="M1448"/>
          <cell r="N1448">
            <v>1.76</v>
          </cell>
          <cell r="O1448"/>
          <cell r="P1448"/>
          <cell r="Q1448"/>
          <cell r="R1448">
            <v>1.81</v>
          </cell>
          <cell r="S1448"/>
          <cell r="T1448"/>
          <cell r="U1448"/>
          <cell r="V1448"/>
          <cell r="W1448"/>
          <cell r="X1448" t="str">
            <v>NICKY</v>
          </cell>
          <cell r="Y1448"/>
          <cell r="Z1448" t="str">
            <v>NICKY ' MAIL 3/11/17</v>
          </cell>
          <cell r="AA1448"/>
          <cell r="AB1448">
            <v>43042</v>
          </cell>
          <cell r="AC1448">
            <v>5467</v>
          </cell>
        </row>
        <row r="1449">
          <cell r="B1449">
            <v>4015</v>
          </cell>
          <cell r="C1449" t="str">
            <v>GL1217</v>
          </cell>
          <cell r="D1449" t="str">
            <v>PONTE</v>
          </cell>
          <cell r="E1449"/>
          <cell r="F1449" t="str">
            <v>C/N/S 66/29/5</v>
          </cell>
          <cell r="G1449" t="str">
            <v>66% COTTON 29% NYLON  5% SPAN</v>
          </cell>
          <cell r="H1449" t="str">
            <v>59/61</v>
          </cell>
          <cell r="I1449">
            <v>260</v>
          </cell>
          <cell r="J1449">
            <v>2.78</v>
          </cell>
          <cell r="K1449"/>
          <cell r="L1449">
            <v>2.83</v>
          </cell>
          <cell r="M1449"/>
          <cell r="N1449">
            <v>2.83</v>
          </cell>
          <cell r="O1449"/>
          <cell r="P1449"/>
          <cell r="Q1449"/>
          <cell r="R1449">
            <v>2.88</v>
          </cell>
          <cell r="S1449"/>
          <cell r="T1449"/>
          <cell r="U1449"/>
          <cell r="V1449"/>
          <cell r="W1449"/>
          <cell r="X1449" t="str">
            <v>NICKY</v>
          </cell>
          <cell r="Y1449"/>
          <cell r="Z1449" t="str">
            <v>NICKY ' MAIL 3/11/17</v>
          </cell>
          <cell r="AA1449"/>
          <cell r="AB1449">
            <v>43042</v>
          </cell>
          <cell r="AC1449">
            <v>5468</v>
          </cell>
        </row>
        <row r="1450">
          <cell r="B1450">
            <v>4014</v>
          </cell>
          <cell r="C1450" t="str">
            <v>GL1220</v>
          </cell>
          <cell r="D1450" t="str">
            <v>JACQUARD PONTE</v>
          </cell>
          <cell r="E1450"/>
          <cell r="F1450" t="str">
            <v>T/S 95/5</v>
          </cell>
          <cell r="G1450" t="str">
            <v>95% POLY  5% SPAN</v>
          </cell>
          <cell r="H1450" t="str">
            <v>145/147CM</v>
          </cell>
          <cell r="I1450">
            <v>270</v>
          </cell>
          <cell r="J1450">
            <v>1.63</v>
          </cell>
          <cell r="K1450"/>
          <cell r="L1450">
            <v>1.68</v>
          </cell>
          <cell r="M1450"/>
          <cell r="N1450">
            <v>1.68</v>
          </cell>
          <cell r="O1450"/>
          <cell r="P1450"/>
          <cell r="Q1450"/>
          <cell r="R1450">
            <v>1.73</v>
          </cell>
          <cell r="S1450"/>
          <cell r="T1450"/>
          <cell r="U1450"/>
          <cell r="V1450"/>
          <cell r="W1450"/>
          <cell r="X1450" t="str">
            <v>NICKY</v>
          </cell>
          <cell r="Y1450"/>
          <cell r="Z1450" t="str">
            <v>NICKY ' MAIL 3/11/17</v>
          </cell>
          <cell r="AA1450"/>
          <cell r="AB1450">
            <v>43042</v>
          </cell>
          <cell r="AC1450">
            <v>5469</v>
          </cell>
        </row>
        <row r="1451">
          <cell r="B1451">
            <v>4013</v>
          </cell>
          <cell r="C1451" t="str">
            <v xml:space="preserve">GL1132 </v>
          </cell>
          <cell r="D1451" t="str">
            <v>Y/D STRIPE PONTE</v>
          </cell>
          <cell r="E1451"/>
          <cell r="F1451" t="str">
            <v>R/N/S 68/27/5</v>
          </cell>
          <cell r="G1451" t="str">
            <v>68% RAYON  27% NYLON  5% SPAN</v>
          </cell>
          <cell r="H1451" t="str">
            <v>160/165CM</v>
          </cell>
          <cell r="I1451">
            <v>320</v>
          </cell>
          <cell r="J1451">
            <v>3.39</v>
          </cell>
          <cell r="K1451"/>
          <cell r="L1451">
            <v>3.44</v>
          </cell>
          <cell r="M1451"/>
          <cell r="N1451">
            <v>3.44</v>
          </cell>
          <cell r="O1451"/>
          <cell r="P1451"/>
          <cell r="Q1451"/>
          <cell r="R1451">
            <v>3.49</v>
          </cell>
          <cell r="S1451"/>
          <cell r="T1451"/>
          <cell r="U1451"/>
          <cell r="V1451"/>
          <cell r="W1451"/>
          <cell r="X1451" t="str">
            <v>NICKY</v>
          </cell>
          <cell r="Y1451"/>
          <cell r="Z1451" t="str">
            <v>NICKY ' MAIL 3/11/17</v>
          </cell>
          <cell r="AA1451"/>
          <cell r="AB1451">
            <v>43042</v>
          </cell>
          <cell r="AC1451">
            <v>5470</v>
          </cell>
        </row>
        <row r="1452">
          <cell r="B1452">
            <v>4012</v>
          </cell>
          <cell r="C1452" t="str">
            <v>GL1515#1</v>
          </cell>
          <cell r="D1452" t="str">
            <v>Y/D STRIPE JERSEY</v>
          </cell>
          <cell r="E1452"/>
          <cell r="F1452" t="str">
            <v>C/T/S 77/18/5</v>
          </cell>
          <cell r="G1452" t="str">
            <v>77% COTTON  18% POLY 5% SPANDEX</v>
          </cell>
          <cell r="H1452" t="str">
            <v>180CM</v>
          </cell>
          <cell r="I1452">
            <v>190</v>
          </cell>
          <cell r="J1452">
            <v>2.4900000000000002</v>
          </cell>
          <cell r="K1452"/>
          <cell r="L1452">
            <v>2.54</v>
          </cell>
          <cell r="M1452"/>
          <cell r="N1452">
            <v>2.54</v>
          </cell>
          <cell r="O1452"/>
          <cell r="P1452"/>
          <cell r="Q1452"/>
          <cell r="R1452">
            <v>2.59</v>
          </cell>
          <cell r="S1452"/>
          <cell r="T1452"/>
          <cell r="U1452"/>
          <cell r="V1452"/>
          <cell r="W1452"/>
          <cell r="X1452" t="str">
            <v>NICKY</v>
          </cell>
          <cell r="Y1452"/>
          <cell r="Z1452" t="str">
            <v>NICKY ' MAIL 3/11/17</v>
          </cell>
          <cell r="AA1452"/>
          <cell r="AB1452">
            <v>43042</v>
          </cell>
          <cell r="AC1452">
            <v>5471</v>
          </cell>
        </row>
        <row r="1453">
          <cell r="B1453">
            <v>4011</v>
          </cell>
          <cell r="C1453" t="str">
            <v>GL-1226</v>
          </cell>
          <cell r="D1453" t="str">
            <v>Y/D STRIPE JERSEY</v>
          </cell>
          <cell r="E1453"/>
          <cell r="F1453" t="str">
            <v>C/S95/5</v>
          </cell>
          <cell r="G1453" t="str">
            <v>95% COTTON  5% SPANDEX</v>
          </cell>
          <cell r="H1453" t="str">
            <v>170CM</v>
          </cell>
          <cell r="I1453">
            <v>200</v>
          </cell>
          <cell r="J1453">
            <v>2.27</v>
          </cell>
          <cell r="K1453"/>
          <cell r="L1453">
            <v>2.3199999999999998</v>
          </cell>
          <cell r="M1453"/>
          <cell r="N1453">
            <v>2.3199999999999998</v>
          </cell>
          <cell r="O1453"/>
          <cell r="P1453"/>
          <cell r="Q1453"/>
          <cell r="R1453">
            <v>2.37</v>
          </cell>
          <cell r="S1453"/>
          <cell r="T1453"/>
          <cell r="U1453"/>
          <cell r="V1453"/>
          <cell r="W1453"/>
          <cell r="X1453" t="str">
            <v>NICKY</v>
          </cell>
          <cell r="Y1453"/>
          <cell r="Z1453" t="str">
            <v>NICKY ' MAIL 3/11/17</v>
          </cell>
          <cell r="AA1453"/>
          <cell r="AB1453">
            <v>43042</v>
          </cell>
          <cell r="AC1453">
            <v>5505</v>
          </cell>
        </row>
        <row r="1454">
          <cell r="B1454">
            <v>4010</v>
          </cell>
          <cell r="C1454" t="str">
            <v>GL1228</v>
          </cell>
          <cell r="D1454" t="str">
            <v>JERSEY</v>
          </cell>
          <cell r="E1454"/>
          <cell r="F1454" t="str">
            <v>R100%</v>
          </cell>
          <cell r="G1454" t="str">
            <v>100% RAYON</v>
          </cell>
          <cell r="H1454" t="str">
            <v>155CM</v>
          </cell>
          <cell r="I1454">
            <v>140</v>
          </cell>
          <cell r="J1454"/>
          <cell r="K1454">
            <v>1.47</v>
          </cell>
          <cell r="L1454"/>
          <cell r="M1454">
            <v>1.52</v>
          </cell>
          <cell r="N1454"/>
          <cell r="O1454">
            <v>1.52</v>
          </cell>
          <cell r="P1454"/>
          <cell r="Q1454"/>
          <cell r="R1454"/>
          <cell r="S1454">
            <v>1.57</v>
          </cell>
          <cell r="T1454"/>
          <cell r="U1454"/>
          <cell r="V1454"/>
          <cell r="W1454"/>
          <cell r="X1454" t="str">
            <v>NICKY</v>
          </cell>
          <cell r="Y1454"/>
          <cell r="Z1454" t="str">
            <v>NICKY ' MAIL 3/11/17</v>
          </cell>
          <cell r="AA1454"/>
          <cell r="AB1454">
            <v>43042</v>
          </cell>
          <cell r="AC1454">
            <v>5491</v>
          </cell>
        </row>
        <row r="1455">
          <cell r="B1455">
            <v>4009</v>
          </cell>
          <cell r="C1455" t="str">
            <v>GL1230</v>
          </cell>
          <cell r="D1455" t="str">
            <v>JERSEY</v>
          </cell>
          <cell r="E1455"/>
          <cell r="F1455" t="str">
            <v>T/S 93/7</v>
          </cell>
          <cell r="G1455" t="str">
            <v>93% POLY  7% SPANDEX</v>
          </cell>
          <cell r="H1455" t="str">
            <v>160CM</v>
          </cell>
          <cell r="I1455">
            <v>220</v>
          </cell>
          <cell r="J1455">
            <v>1.45</v>
          </cell>
          <cell r="K1455"/>
          <cell r="L1455">
            <v>1.5</v>
          </cell>
          <cell r="M1455"/>
          <cell r="N1455">
            <v>1.5</v>
          </cell>
          <cell r="O1455"/>
          <cell r="P1455"/>
          <cell r="Q1455"/>
          <cell r="R1455">
            <v>1.55</v>
          </cell>
          <cell r="S1455"/>
          <cell r="T1455"/>
          <cell r="U1455"/>
          <cell r="V1455"/>
          <cell r="W1455"/>
          <cell r="X1455" t="str">
            <v>NICKY</v>
          </cell>
          <cell r="Y1455"/>
          <cell r="Z1455" t="str">
            <v>NICKY ' MAIL 3/11/17</v>
          </cell>
          <cell r="AA1455"/>
          <cell r="AB1455">
            <v>43042</v>
          </cell>
          <cell r="AC1455">
            <v>5472</v>
          </cell>
        </row>
        <row r="1456">
          <cell r="B1456">
            <v>4008</v>
          </cell>
          <cell r="C1456" t="str">
            <v>GL1232</v>
          </cell>
          <cell r="D1456" t="str">
            <v xml:space="preserve">JERSEY </v>
          </cell>
          <cell r="E1456"/>
          <cell r="F1456" t="str">
            <v>R/S 97/3</v>
          </cell>
          <cell r="G1456" t="str">
            <v>97% RAYON  3% SPANDEX</v>
          </cell>
          <cell r="H1456" t="str">
            <v>155CM</v>
          </cell>
          <cell r="I1456">
            <v>155</v>
          </cell>
          <cell r="J1456"/>
          <cell r="K1456">
            <v>1.85</v>
          </cell>
          <cell r="L1456"/>
          <cell r="M1456">
            <v>1.9</v>
          </cell>
          <cell r="N1456"/>
          <cell r="O1456">
            <v>1.9</v>
          </cell>
          <cell r="P1456"/>
          <cell r="Q1456"/>
          <cell r="R1456"/>
          <cell r="S1456">
            <v>1.95</v>
          </cell>
          <cell r="T1456"/>
          <cell r="U1456"/>
          <cell r="V1456"/>
          <cell r="W1456"/>
          <cell r="X1456" t="str">
            <v>NICKY</v>
          </cell>
          <cell r="Y1456"/>
          <cell r="Z1456" t="str">
            <v>NICKY ' MAIL 3/11/17</v>
          </cell>
          <cell r="AA1456"/>
          <cell r="AB1456">
            <v>43042</v>
          </cell>
          <cell r="AC1456">
            <v>5492</v>
          </cell>
        </row>
        <row r="1457">
          <cell r="B1457">
            <v>4007</v>
          </cell>
          <cell r="C1457" t="str">
            <v>GL1216</v>
          </cell>
          <cell r="D1457" t="str">
            <v>PONTE</v>
          </cell>
          <cell r="E1457"/>
          <cell r="F1457" t="str">
            <v>R/N/S 68/27/5</v>
          </cell>
          <cell r="G1457" t="str">
            <v>68% RAYON  27% NYLON  5% SPANDEX</v>
          </cell>
          <cell r="H1457" t="str">
            <v>67/68</v>
          </cell>
          <cell r="I1457">
            <v>260</v>
          </cell>
          <cell r="J1457">
            <v>2.84</v>
          </cell>
          <cell r="K1457"/>
          <cell r="L1457">
            <v>2.89</v>
          </cell>
          <cell r="M1457"/>
          <cell r="N1457">
            <v>2.89</v>
          </cell>
          <cell r="O1457"/>
          <cell r="P1457"/>
          <cell r="Q1457"/>
          <cell r="R1457">
            <v>2.94</v>
          </cell>
          <cell r="S1457"/>
          <cell r="T1457"/>
          <cell r="U1457"/>
          <cell r="V1457"/>
          <cell r="W1457"/>
          <cell r="X1457" t="str">
            <v>NICKY</v>
          </cell>
          <cell r="Y1457"/>
          <cell r="Z1457" t="str">
            <v>NICKY ' MAIL 3/11/17</v>
          </cell>
          <cell r="AA1457"/>
          <cell r="AB1457">
            <v>43042</v>
          </cell>
          <cell r="AC1457">
            <v>5473</v>
          </cell>
        </row>
        <row r="1458">
          <cell r="B1458">
            <v>4006</v>
          </cell>
          <cell r="C1458" t="str">
            <v>GL1135</v>
          </cell>
          <cell r="D1458" t="str">
            <v>PONTE</v>
          </cell>
          <cell r="E1458"/>
          <cell r="F1458" t="str">
            <v>R/T/S 85/13/2</v>
          </cell>
          <cell r="G1458" t="str">
            <v>85% RAYON  13% POLYESTER  2% SPANDEX</v>
          </cell>
          <cell r="H1458" t="str">
            <v>173/175CM</v>
          </cell>
          <cell r="I1458">
            <v>280</v>
          </cell>
          <cell r="J1458">
            <v>2.64</v>
          </cell>
          <cell r="K1458"/>
          <cell r="L1458">
            <v>2.69</v>
          </cell>
          <cell r="M1458"/>
          <cell r="N1458">
            <v>2.69</v>
          </cell>
          <cell r="O1458"/>
          <cell r="P1458"/>
          <cell r="Q1458"/>
          <cell r="R1458">
            <v>2.74</v>
          </cell>
          <cell r="S1458"/>
          <cell r="T1458"/>
          <cell r="U1458"/>
          <cell r="V1458"/>
          <cell r="W1458"/>
          <cell r="X1458" t="str">
            <v>NICKY</v>
          </cell>
          <cell r="Y1458"/>
          <cell r="Z1458" t="str">
            <v>NICKY ' MAIL 3/11/17</v>
          </cell>
          <cell r="AA1458"/>
          <cell r="AB1458">
            <v>43042</v>
          </cell>
          <cell r="AC1458">
            <v>5474</v>
          </cell>
        </row>
        <row r="1459">
          <cell r="B1459">
            <v>4005</v>
          </cell>
          <cell r="C1459" t="str">
            <v>GL1219</v>
          </cell>
          <cell r="D1459" t="str">
            <v>PONTE</v>
          </cell>
          <cell r="E1459"/>
          <cell r="F1459" t="str">
            <v>R/T/S 85/13/2</v>
          </cell>
          <cell r="G1459" t="str">
            <v>85% RAYON  13% POLY  2% SPANDEX</v>
          </cell>
          <cell r="H1459" t="str">
            <v>68/70</v>
          </cell>
          <cell r="I1459">
            <v>280</v>
          </cell>
          <cell r="J1459">
            <v>3.34</v>
          </cell>
          <cell r="K1459"/>
          <cell r="L1459">
            <v>3.39</v>
          </cell>
          <cell r="M1459"/>
          <cell r="N1459">
            <v>3.39</v>
          </cell>
          <cell r="O1459"/>
          <cell r="P1459"/>
          <cell r="Q1459"/>
          <cell r="R1459">
            <v>3.44</v>
          </cell>
          <cell r="S1459"/>
          <cell r="T1459"/>
          <cell r="U1459"/>
          <cell r="V1459"/>
          <cell r="W1459"/>
          <cell r="X1459" t="str">
            <v>NICKY</v>
          </cell>
          <cell r="Y1459"/>
          <cell r="Z1459" t="str">
            <v>NICKY ' MAIL 3/11/17</v>
          </cell>
          <cell r="AA1459"/>
          <cell r="AB1459">
            <v>43042</v>
          </cell>
          <cell r="AC1459">
            <v>5475</v>
          </cell>
        </row>
        <row r="1460">
          <cell r="B1460">
            <v>4004</v>
          </cell>
          <cell r="C1460" t="str">
            <v xml:space="preserve">GL1133 </v>
          </cell>
          <cell r="D1460" t="str">
            <v>PONTE</v>
          </cell>
          <cell r="E1460"/>
          <cell r="F1460" t="str">
            <v>T/R/S 75/20/5</v>
          </cell>
          <cell r="G1460" t="str">
            <v>75% POLY  20% RAYON  5% SPANDEX</v>
          </cell>
          <cell r="H1460" t="str">
            <v>59/61</v>
          </cell>
          <cell r="I1460">
            <v>350</v>
          </cell>
          <cell r="J1460">
            <v>2.6</v>
          </cell>
          <cell r="K1460"/>
          <cell r="L1460">
            <v>2.65</v>
          </cell>
          <cell r="M1460"/>
          <cell r="N1460">
            <v>2.65</v>
          </cell>
          <cell r="O1460"/>
          <cell r="P1460"/>
          <cell r="Q1460"/>
          <cell r="R1460">
            <v>2.7</v>
          </cell>
          <cell r="S1460"/>
          <cell r="T1460"/>
          <cell r="U1460"/>
          <cell r="V1460"/>
          <cell r="W1460"/>
          <cell r="X1460" t="str">
            <v>NICKY</v>
          </cell>
          <cell r="Y1460"/>
          <cell r="Z1460" t="str">
            <v>NICKY ' MAIL 3/11/17</v>
          </cell>
          <cell r="AA1460"/>
          <cell r="AB1460">
            <v>43042</v>
          </cell>
          <cell r="AC1460">
            <v>5464</v>
          </cell>
        </row>
        <row r="1461">
          <cell r="B1461">
            <v>4003</v>
          </cell>
          <cell r="C1461" t="str">
            <v>GL1134</v>
          </cell>
          <cell r="D1461" t="str">
            <v>PONTE</v>
          </cell>
          <cell r="E1461"/>
          <cell r="F1461" t="str">
            <v>R/T/S 55/40/5</v>
          </cell>
          <cell r="G1461" t="str">
            <v>55% RAYON  40% POLY  5% SPANDEX</v>
          </cell>
          <cell r="H1461" t="str">
            <v>59/61</v>
          </cell>
          <cell r="I1461">
            <v>300</v>
          </cell>
          <cell r="J1461">
            <v>2.2799999999999998</v>
          </cell>
          <cell r="K1461"/>
          <cell r="L1461">
            <v>2.33</v>
          </cell>
          <cell r="M1461"/>
          <cell r="N1461">
            <v>2.33</v>
          </cell>
          <cell r="O1461"/>
          <cell r="P1461"/>
          <cell r="Q1461"/>
          <cell r="R1461">
            <v>2.38</v>
          </cell>
          <cell r="S1461"/>
          <cell r="T1461"/>
          <cell r="U1461"/>
          <cell r="V1461"/>
          <cell r="W1461"/>
          <cell r="X1461" t="str">
            <v>NICKY</v>
          </cell>
          <cell r="Y1461"/>
          <cell r="Z1461" t="str">
            <v>NICKY ' MAIL 3/11/17</v>
          </cell>
          <cell r="AA1461"/>
          <cell r="AB1461">
            <v>43042</v>
          </cell>
          <cell r="AC1461">
            <v>5476</v>
          </cell>
        </row>
        <row r="1462">
          <cell r="B1462">
            <v>4002</v>
          </cell>
          <cell r="C1462" t="str">
            <v>GL1137</v>
          </cell>
          <cell r="D1462" t="str">
            <v>PONTE</v>
          </cell>
          <cell r="E1462"/>
          <cell r="F1462" t="str">
            <v>R/N/S 82/13/5</v>
          </cell>
          <cell r="G1462" t="str">
            <v>82% RAYON  13% NYLON  5% SPANDEX</v>
          </cell>
          <cell r="H1462" t="str">
            <v>160/165CM</v>
          </cell>
          <cell r="I1462">
            <v>300</v>
          </cell>
          <cell r="J1462">
            <v>4.18</v>
          </cell>
          <cell r="K1462"/>
          <cell r="L1462">
            <v>4.2300000000000004</v>
          </cell>
          <cell r="M1462"/>
          <cell r="N1462">
            <v>4.2300000000000004</v>
          </cell>
          <cell r="O1462"/>
          <cell r="P1462"/>
          <cell r="Q1462"/>
          <cell r="R1462">
            <v>4.28</v>
          </cell>
          <cell r="S1462"/>
          <cell r="T1462"/>
          <cell r="U1462"/>
          <cell r="V1462"/>
          <cell r="W1462"/>
          <cell r="X1462" t="str">
            <v>NICKY</v>
          </cell>
          <cell r="Y1462"/>
          <cell r="Z1462" t="str">
            <v>NICKY ' MAIL 3/11/17</v>
          </cell>
          <cell r="AA1462"/>
          <cell r="AB1462">
            <v>43042</v>
          </cell>
          <cell r="AC1462">
            <v>5477</v>
          </cell>
        </row>
        <row r="1463">
          <cell r="B1463">
            <v>4001</v>
          </cell>
          <cell r="C1463" t="str">
            <v>GL1138</v>
          </cell>
          <cell r="D1463" t="str">
            <v>PONTE</v>
          </cell>
          <cell r="E1463"/>
          <cell r="F1463" t="str">
            <v>R/N/S 60/35/5</v>
          </cell>
          <cell r="G1463" t="str">
            <v>60% RAYON  35% NYLON  5% SPANDEX</v>
          </cell>
          <cell r="H1463" t="str">
            <v>147/152CM</v>
          </cell>
          <cell r="I1463">
            <v>290</v>
          </cell>
          <cell r="J1463">
            <v>2.68</v>
          </cell>
          <cell r="K1463"/>
          <cell r="L1463">
            <v>2.72</v>
          </cell>
          <cell r="M1463"/>
          <cell r="N1463">
            <v>2.72</v>
          </cell>
          <cell r="O1463"/>
          <cell r="P1463"/>
          <cell r="Q1463"/>
          <cell r="R1463">
            <v>2.77</v>
          </cell>
          <cell r="S1463"/>
          <cell r="T1463"/>
          <cell r="U1463"/>
          <cell r="V1463"/>
          <cell r="W1463"/>
          <cell r="X1463" t="str">
            <v>NICKY</v>
          </cell>
          <cell r="Y1463"/>
          <cell r="Z1463" t="str">
            <v>NICKY ' MAIL 3/11/17</v>
          </cell>
          <cell r="AA1463"/>
          <cell r="AB1463">
            <v>43042</v>
          </cell>
          <cell r="AC1463">
            <v>5478</v>
          </cell>
        </row>
        <row r="1464">
          <cell r="B1464">
            <v>4000</v>
          </cell>
          <cell r="C1464" t="str">
            <v>GL1139</v>
          </cell>
          <cell r="D1464" t="str">
            <v>PONTE</v>
          </cell>
          <cell r="E1464"/>
          <cell r="F1464" t="str">
            <v>T/S 95/5</v>
          </cell>
          <cell r="G1464" t="str">
            <v>95% POLYESTER  5%SPANDEX</v>
          </cell>
          <cell r="H1464" t="str">
            <v>155/160CM</v>
          </cell>
          <cell r="I1464">
            <v>280</v>
          </cell>
          <cell r="J1464">
            <v>2.04</v>
          </cell>
          <cell r="K1464"/>
          <cell r="L1464">
            <v>2.09</v>
          </cell>
          <cell r="M1464"/>
          <cell r="N1464">
            <v>2.09</v>
          </cell>
          <cell r="O1464"/>
          <cell r="P1464"/>
          <cell r="Q1464"/>
          <cell r="R1464">
            <v>2.14</v>
          </cell>
          <cell r="S1464"/>
          <cell r="T1464"/>
          <cell r="U1464"/>
          <cell r="V1464"/>
          <cell r="W1464"/>
          <cell r="X1464" t="str">
            <v>NICKY</v>
          </cell>
          <cell r="Y1464"/>
          <cell r="Z1464" t="str">
            <v>NICKY ' MAIL 3/11/17</v>
          </cell>
          <cell r="AA1464"/>
          <cell r="AB1464">
            <v>43042</v>
          </cell>
          <cell r="AC1464">
            <v>5479</v>
          </cell>
        </row>
        <row r="1465">
          <cell r="B1465">
            <v>3999</v>
          </cell>
          <cell r="C1465" t="str">
            <v>GL1140</v>
          </cell>
          <cell r="D1465" t="str">
            <v>KNIT</v>
          </cell>
          <cell r="E1465"/>
          <cell r="F1465" t="str">
            <v>M/T 61/39</v>
          </cell>
          <cell r="G1465" t="str">
            <v>61%MODEL  39%POLYESTER</v>
          </cell>
          <cell r="H1465" t="str">
            <v>152/157CM</v>
          </cell>
          <cell r="I1465">
            <v>200</v>
          </cell>
          <cell r="J1465">
            <v>3.11</v>
          </cell>
          <cell r="K1465"/>
          <cell r="L1465">
            <v>3.16</v>
          </cell>
          <cell r="M1465"/>
          <cell r="N1465">
            <v>3.16</v>
          </cell>
          <cell r="O1465"/>
          <cell r="P1465"/>
          <cell r="Q1465"/>
          <cell r="R1465">
            <v>3.21</v>
          </cell>
          <cell r="S1465"/>
          <cell r="T1465"/>
          <cell r="U1465"/>
          <cell r="V1465"/>
          <cell r="W1465"/>
          <cell r="X1465" t="str">
            <v>NICKY</v>
          </cell>
          <cell r="Y1465"/>
          <cell r="Z1465" t="str">
            <v>NICKY ' MAIL 3/11/17</v>
          </cell>
          <cell r="AA1465"/>
          <cell r="AB1465">
            <v>43042</v>
          </cell>
          <cell r="AC1465">
            <v>5480</v>
          </cell>
        </row>
        <row r="1466">
          <cell r="B1466">
            <v>3998</v>
          </cell>
          <cell r="C1466" t="str">
            <v>GL1147</v>
          </cell>
          <cell r="D1466" t="str">
            <v>PONTE</v>
          </cell>
          <cell r="E1466"/>
          <cell r="F1466" t="str">
            <v>R/N/S 68/27/5</v>
          </cell>
          <cell r="G1466" t="str">
            <v>68% RAYON  27%NYLON  5% SPANDEX</v>
          </cell>
          <cell r="H1466" t="str">
            <v>150/152CM</v>
          </cell>
          <cell r="I1466">
            <v>320</v>
          </cell>
          <cell r="J1466">
            <v>3.13</v>
          </cell>
          <cell r="K1466"/>
          <cell r="L1466">
            <v>3.18</v>
          </cell>
          <cell r="M1466"/>
          <cell r="N1466">
            <v>3.18</v>
          </cell>
          <cell r="O1466"/>
          <cell r="P1466"/>
          <cell r="Q1466"/>
          <cell r="R1466">
            <v>3.23</v>
          </cell>
          <cell r="S1466"/>
          <cell r="T1466"/>
          <cell r="U1466"/>
          <cell r="V1466"/>
          <cell r="W1466"/>
          <cell r="X1466" t="str">
            <v>NICKY</v>
          </cell>
          <cell r="Y1466"/>
          <cell r="Z1466" t="str">
            <v>NICKY ' MAIL 3/11/17</v>
          </cell>
          <cell r="AA1466"/>
          <cell r="AB1466">
            <v>43042</v>
          </cell>
          <cell r="AC1466">
            <v>5481</v>
          </cell>
        </row>
        <row r="1467">
          <cell r="B1467">
            <v>3726</v>
          </cell>
          <cell r="C1467" t="str">
            <v>BG3839</v>
          </cell>
          <cell r="D1467" t="str">
            <v>RAYON BLEND</v>
          </cell>
          <cell r="E1467"/>
          <cell r="F1467" t="str">
            <v>R/T 80/20</v>
          </cell>
          <cell r="G1467" t="str">
            <v>80% RAYON 20% POLYESTER</v>
          </cell>
          <cell r="H1467" t="str">
            <v>57/58</v>
          </cell>
          <cell r="I1467">
            <v>90</v>
          </cell>
          <cell r="J1467">
            <v>1.4</v>
          </cell>
          <cell r="K1467"/>
          <cell r="L1467">
            <v>1.43</v>
          </cell>
          <cell r="M1467"/>
          <cell r="N1467">
            <v>1.45</v>
          </cell>
          <cell r="O1467"/>
          <cell r="P1467"/>
          <cell r="Q1467"/>
          <cell r="R1467">
            <v>1.8</v>
          </cell>
          <cell r="S1467"/>
          <cell r="T1467"/>
          <cell r="U1467"/>
          <cell r="V1467">
            <v>15</v>
          </cell>
          <cell r="W1467"/>
          <cell r="X1467" t="str">
            <v>EDWIN</v>
          </cell>
          <cell r="Y1467"/>
          <cell r="Z1467" t="str">
            <v>GRACE' MAIL 3/11/17</v>
          </cell>
          <cell r="AA1467"/>
          <cell r="AB1467">
            <v>43042</v>
          </cell>
          <cell r="AC1467">
            <v>5482</v>
          </cell>
        </row>
        <row r="1468">
          <cell r="B1468">
            <v>3588</v>
          </cell>
          <cell r="C1468" t="str">
            <v>T028-1S</v>
          </cell>
          <cell r="D1468"/>
          <cell r="E1468" t="str">
            <v>50D+50Dx50D+50D</v>
          </cell>
          <cell r="F1468" t="str">
            <v>T100%</v>
          </cell>
          <cell r="G1468" t="str">
            <v xml:space="preserve">100% POLY MUDDLE </v>
          </cell>
          <cell r="H1468" t="str">
            <v>57/58</v>
          </cell>
          <cell r="I1468">
            <v>125</v>
          </cell>
          <cell r="J1468">
            <v>1.19</v>
          </cell>
          <cell r="K1468">
            <v>1.31</v>
          </cell>
          <cell r="L1468">
            <v>1.21</v>
          </cell>
          <cell r="M1468">
            <v>1.39</v>
          </cell>
          <cell r="N1468">
            <v>1.26</v>
          </cell>
          <cell r="O1468">
            <v>1.43</v>
          </cell>
          <cell r="P1468"/>
          <cell r="Q1468"/>
          <cell r="R1468">
            <v>1.34</v>
          </cell>
          <cell r="S1468">
            <v>1.92</v>
          </cell>
          <cell r="T1468"/>
          <cell r="U1468"/>
          <cell r="V1468" t="str">
            <v>YES</v>
          </cell>
          <cell r="W1468"/>
          <cell r="X1468" t="str">
            <v>TERESA</v>
          </cell>
          <cell r="Y1468"/>
          <cell r="Z1468" t="str">
            <v>TERESA ' MAIL 3/11/17</v>
          </cell>
          <cell r="AA1468"/>
          <cell r="AB1468">
            <v>43042</v>
          </cell>
          <cell r="AC1468">
            <v>5493</v>
          </cell>
        </row>
        <row r="1469">
          <cell r="B1469">
            <v>3587</v>
          </cell>
          <cell r="C1469" t="str">
            <v>T031</v>
          </cell>
          <cell r="D1469"/>
          <cell r="E1469" t="str">
            <v>75Dx75D</v>
          </cell>
          <cell r="F1469" t="str">
            <v>T100%</v>
          </cell>
          <cell r="G1469" t="str">
            <v xml:space="preserve">100% POLYESTER JAC </v>
          </cell>
          <cell r="H1469" t="str">
            <v>57/58</v>
          </cell>
          <cell r="I1469">
            <v>75</v>
          </cell>
          <cell r="J1469">
            <v>1.68</v>
          </cell>
          <cell r="K1469">
            <v>1.84</v>
          </cell>
          <cell r="L1469">
            <v>1.7</v>
          </cell>
          <cell r="M1469">
            <v>1.92</v>
          </cell>
          <cell r="N1469">
            <v>1.75</v>
          </cell>
          <cell r="O1469">
            <v>1.96</v>
          </cell>
          <cell r="P1469"/>
          <cell r="Q1469"/>
          <cell r="R1469">
            <v>1.83</v>
          </cell>
          <cell r="S1469">
            <v>2.4500000000000002</v>
          </cell>
          <cell r="T1469"/>
          <cell r="U1469"/>
          <cell r="V1469" t="str">
            <v>YES</v>
          </cell>
          <cell r="W1469"/>
          <cell r="X1469" t="str">
            <v>TERESA</v>
          </cell>
          <cell r="Y1469"/>
          <cell r="Z1469" t="str">
            <v>TERESA ' MAIL 3/11/17</v>
          </cell>
          <cell r="AA1469"/>
          <cell r="AB1469">
            <v>43042</v>
          </cell>
          <cell r="AC1469">
            <v>5494</v>
          </cell>
        </row>
        <row r="1470">
          <cell r="B1470">
            <v>3586</v>
          </cell>
          <cell r="C1470" t="str">
            <v>T131</v>
          </cell>
          <cell r="D1470"/>
          <cell r="E1470" t="str">
            <v>50Dx75D</v>
          </cell>
          <cell r="F1470" t="str">
            <v>T100%</v>
          </cell>
          <cell r="G1470" t="str">
            <v>100% POLYESTER</v>
          </cell>
          <cell r="H1470" t="str">
            <v>57/58</v>
          </cell>
          <cell r="I1470">
            <v>67</v>
          </cell>
          <cell r="J1470">
            <v>1.31</v>
          </cell>
          <cell r="K1470">
            <v>1.47</v>
          </cell>
          <cell r="L1470">
            <v>1.33</v>
          </cell>
          <cell r="M1470">
            <v>1.55</v>
          </cell>
          <cell r="N1470">
            <v>1.38</v>
          </cell>
          <cell r="O1470">
            <v>1.59</v>
          </cell>
          <cell r="P1470"/>
          <cell r="Q1470"/>
          <cell r="R1470">
            <v>1.46</v>
          </cell>
          <cell r="S1470">
            <v>2.08</v>
          </cell>
          <cell r="T1470"/>
          <cell r="U1470"/>
          <cell r="V1470" t="str">
            <v>YES</v>
          </cell>
          <cell r="W1470"/>
          <cell r="X1470" t="str">
            <v>TERESA</v>
          </cell>
          <cell r="Y1470"/>
          <cell r="Z1470" t="str">
            <v>TERESA ' MAIL 3/11/17</v>
          </cell>
          <cell r="AA1470"/>
          <cell r="AB1470">
            <v>43042</v>
          </cell>
          <cell r="AC1470">
            <v>5495</v>
          </cell>
        </row>
        <row r="1471">
          <cell r="B1471">
            <v>3584</v>
          </cell>
          <cell r="C1471" t="str">
            <v>R053-1</v>
          </cell>
          <cell r="D1471"/>
          <cell r="E1471" t="str">
            <v>30Sx30S</v>
          </cell>
          <cell r="F1471" t="str">
            <v>R100%</v>
          </cell>
          <cell r="G1471" t="str">
            <v xml:space="preserve">100% RAYON JAC </v>
          </cell>
          <cell r="H1471" t="str">
            <v>53/54</v>
          </cell>
          <cell r="I1471">
            <v>123</v>
          </cell>
          <cell r="J1471">
            <v>1.65</v>
          </cell>
          <cell r="K1471">
            <v>1.8</v>
          </cell>
          <cell r="L1471">
            <v>1.67</v>
          </cell>
          <cell r="M1471">
            <v>1.88</v>
          </cell>
          <cell r="N1471">
            <v>1.72</v>
          </cell>
          <cell r="O1471">
            <v>1.92</v>
          </cell>
          <cell r="P1471"/>
          <cell r="Q1471"/>
          <cell r="R1471">
            <v>1.8</v>
          </cell>
          <cell r="S1471">
            <v>2.29</v>
          </cell>
          <cell r="T1471"/>
          <cell r="U1471"/>
          <cell r="V1471" t="str">
            <v>YES</v>
          </cell>
          <cell r="W1471"/>
          <cell r="X1471" t="str">
            <v>TERESA</v>
          </cell>
          <cell r="Y1471"/>
          <cell r="Z1471" t="str">
            <v>TERESA ' MAIL 3/11/17</v>
          </cell>
          <cell r="AA1471"/>
          <cell r="AB1471">
            <v>43042</v>
          </cell>
          <cell r="AC1471">
            <v>5496</v>
          </cell>
        </row>
        <row r="1472">
          <cell r="B1472">
            <v>3583</v>
          </cell>
          <cell r="C1472" t="str">
            <v>T179-1S</v>
          </cell>
          <cell r="D1472"/>
          <cell r="E1472" t="str">
            <v xml:space="preserve"> 75Dx100D+40D</v>
          </cell>
          <cell r="F1472" t="str">
            <v>T/S 95/5</v>
          </cell>
          <cell r="G1472" t="str">
            <v xml:space="preserve">95% POLYESTER 5% SPANDEX </v>
          </cell>
          <cell r="H1472" t="str">
            <v>57/58</v>
          </cell>
          <cell r="I1472">
            <v>98</v>
          </cell>
          <cell r="J1472">
            <v>1.24</v>
          </cell>
          <cell r="K1472">
            <v>1.41</v>
          </cell>
          <cell r="L1472">
            <v>1.26</v>
          </cell>
          <cell r="M1472">
            <v>1.49</v>
          </cell>
          <cell r="N1472">
            <v>1.31</v>
          </cell>
          <cell r="O1472">
            <v>1.53</v>
          </cell>
          <cell r="P1472"/>
          <cell r="Q1472"/>
          <cell r="R1472">
            <v>1.39</v>
          </cell>
          <cell r="S1472">
            <v>2.02</v>
          </cell>
          <cell r="T1472"/>
          <cell r="U1472"/>
          <cell r="V1472" t="str">
            <v>YES</v>
          </cell>
          <cell r="W1472"/>
          <cell r="X1472" t="str">
            <v>TERESA</v>
          </cell>
          <cell r="Y1472"/>
          <cell r="Z1472" t="str">
            <v>TERESA ' MAIL 3/11/17</v>
          </cell>
          <cell r="AA1472"/>
          <cell r="AB1472">
            <v>43042</v>
          </cell>
          <cell r="AC1472">
            <v>5497</v>
          </cell>
        </row>
        <row r="1473">
          <cell r="B1473"/>
          <cell r="C1473">
            <v>9729</v>
          </cell>
          <cell r="D1473"/>
          <cell r="E1473" t="str">
            <v>21Sx32S+20D</v>
          </cell>
          <cell r="F1473" t="str">
            <v>R/N 93/7</v>
          </cell>
          <cell r="G1473" t="str">
            <v>93% RAYON 7% NYLON</v>
          </cell>
          <cell r="H1473" t="str">
            <v>56/57</v>
          </cell>
          <cell r="I1473">
            <v>130</v>
          </cell>
          <cell r="J1473">
            <v>1.71</v>
          </cell>
          <cell r="K1473">
            <v>1.86</v>
          </cell>
          <cell r="L1473">
            <v>1.73</v>
          </cell>
          <cell r="M1473">
            <v>1.94</v>
          </cell>
          <cell r="N1473">
            <v>1.78</v>
          </cell>
          <cell r="O1473">
            <v>1.98</v>
          </cell>
          <cell r="P1473"/>
          <cell r="Q1473"/>
          <cell r="R1473">
            <v>1.86</v>
          </cell>
          <cell r="S1473">
            <v>2.4700000000000002</v>
          </cell>
          <cell r="T1473"/>
          <cell r="U1473"/>
          <cell r="V1473" t="str">
            <v>YES</v>
          </cell>
          <cell r="W1473"/>
          <cell r="X1473" t="str">
            <v>TERESA</v>
          </cell>
          <cell r="Y1473"/>
          <cell r="Z1473" t="str">
            <v>TERESA ' MAIL 3/11/17</v>
          </cell>
          <cell r="AA1473"/>
          <cell r="AB1473">
            <v>43042</v>
          </cell>
          <cell r="AC1473">
            <v>5500</v>
          </cell>
        </row>
        <row r="1474">
          <cell r="B1474"/>
          <cell r="C1474">
            <v>9767</v>
          </cell>
          <cell r="D1474"/>
          <cell r="E1474" t="str">
            <v xml:space="preserve"> 70D+40Dx10S</v>
          </cell>
          <cell r="F1474" t="str">
            <v>R/N/S 72/24/4</v>
          </cell>
          <cell r="G1474" t="str">
            <v xml:space="preserve">72%RAYON 24%NYLON  4% SPANDEX </v>
          </cell>
          <cell r="H1474" t="str">
            <v>57/58</v>
          </cell>
          <cell r="I1474">
            <v>240</v>
          </cell>
          <cell r="J1474">
            <v>1.95</v>
          </cell>
          <cell r="K1474">
            <v>2.11</v>
          </cell>
          <cell r="L1474">
            <v>1.97</v>
          </cell>
          <cell r="M1474">
            <v>2.19</v>
          </cell>
          <cell r="N1474">
            <v>2.02</v>
          </cell>
          <cell r="O1474">
            <v>2.23</v>
          </cell>
          <cell r="P1474"/>
          <cell r="Q1474"/>
          <cell r="R1474">
            <v>2.1</v>
          </cell>
          <cell r="S1474">
            <v>2.72</v>
          </cell>
          <cell r="T1474"/>
          <cell r="U1474"/>
          <cell r="V1474" t="str">
            <v>YES</v>
          </cell>
          <cell r="W1474"/>
          <cell r="X1474" t="str">
            <v>TERESA</v>
          </cell>
          <cell r="Y1474"/>
          <cell r="Z1474" t="str">
            <v>TERESA ' MAIL 3/11/17</v>
          </cell>
          <cell r="AA1474"/>
          <cell r="AB1474">
            <v>43042</v>
          </cell>
          <cell r="AC1474">
            <v>5498</v>
          </cell>
        </row>
        <row r="1475">
          <cell r="B1475"/>
          <cell r="C1475">
            <v>9659</v>
          </cell>
          <cell r="D1475"/>
          <cell r="E1475" t="str">
            <v>120Dx30S 155x76</v>
          </cell>
          <cell r="F1475" t="str">
            <v>V/R 55/45</v>
          </cell>
          <cell r="G1475" t="str">
            <v>55% VICOSE 45% RAYON</v>
          </cell>
          <cell r="H1475" t="str">
            <v>53/54</v>
          </cell>
          <cell r="I1475">
            <v>169</v>
          </cell>
          <cell r="J1475">
            <v>3</v>
          </cell>
          <cell r="K1475">
            <v>3.46</v>
          </cell>
          <cell r="L1475">
            <v>3.02</v>
          </cell>
          <cell r="M1475">
            <v>3.54</v>
          </cell>
          <cell r="N1475">
            <v>3.07</v>
          </cell>
          <cell r="O1475">
            <v>3.59</v>
          </cell>
          <cell r="P1475"/>
          <cell r="Q1475"/>
          <cell r="R1475">
            <v>3.15</v>
          </cell>
          <cell r="S1475">
            <v>4.08</v>
          </cell>
          <cell r="T1475"/>
          <cell r="U1475"/>
          <cell r="V1475" t="str">
            <v>YES</v>
          </cell>
          <cell r="W1475"/>
          <cell r="X1475" t="str">
            <v>TERESA</v>
          </cell>
          <cell r="Y1475"/>
          <cell r="Z1475" t="str">
            <v>TERESA ' MAIL 3/11/17</v>
          </cell>
          <cell r="AA1475"/>
          <cell r="AB1475">
            <v>43042</v>
          </cell>
          <cell r="AC1475">
            <v>5499</v>
          </cell>
        </row>
        <row r="1476">
          <cell r="B1476">
            <v>4029</v>
          </cell>
          <cell r="C1476" t="str">
            <v>LC-3130</v>
          </cell>
          <cell r="D1476" t="str">
            <v>LACE</v>
          </cell>
          <cell r="E1476"/>
          <cell r="F1476" t="str">
            <v>N/R 50/50</v>
          </cell>
          <cell r="G1476" t="str">
            <v>50%NYLON 50%RAYON</v>
          </cell>
          <cell r="H1476" t="str">
            <v>57/58</v>
          </cell>
          <cell r="I1476">
            <v>220</v>
          </cell>
          <cell r="J1476">
            <v>2.85</v>
          </cell>
          <cell r="K1476"/>
          <cell r="L1476">
            <v>2.85</v>
          </cell>
          <cell r="M1476"/>
          <cell r="N1476">
            <v>3.1350000000000002</v>
          </cell>
          <cell r="O1476"/>
          <cell r="P1476"/>
          <cell r="Q1476"/>
          <cell r="R1476">
            <v>3.4485000000000006</v>
          </cell>
          <cell r="S1476"/>
          <cell r="T1476"/>
          <cell r="U1476"/>
          <cell r="V1476"/>
          <cell r="W1476"/>
          <cell r="X1476" t="str">
            <v>PANI</v>
          </cell>
          <cell r="Y1476"/>
          <cell r="Z1476" t="str">
            <v>AMY ' MAIL 2/11/17</v>
          </cell>
          <cell r="AA1476"/>
          <cell r="AB1476">
            <v>43041</v>
          </cell>
          <cell r="AC1476">
            <v>5513</v>
          </cell>
        </row>
        <row r="1477">
          <cell r="B1477">
            <v>4028</v>
          </cell>
          <cell r="C1477" t="str">
            <v>LC-3021</v>
          </cell>
          <cell r="D1477" t="str">
            <v>LACE</v>
          </cell>
          <cell r="E1477"/>
          <cell r="F1477" t="str">
            <v>N/S 90/10</v>
          </cell>
          <cell r="G1477" t="str">
            <v>90%NYLON 10%SPANDEX</v>
          </cell>
          <cell r="H1477" t="str">
            <v>57/58</v>
          </cell>
          <cell r="I1477">
            <v>140</v>
          </cell>
          <cell r="J1477">
            <v>1.65</v>
          </cell>
          <cell r="K1477"/>
          <cell r="L1477">
            <v>1.65</v>
          </cell>
          <cell r="M1477"/>
          <cell r="N1477">
            <v>1.8149999999999999</v>
          </cell>
          <cell r="O1477"/>
          <cell r="P1477"/>
          <cell r="Q1477"/>
          <cell r="R1477">
            <v>1.9965000000000002</v>
          </cell>
          <cell r="S1477"/>
          <cell r="T1477"/>
          <cell r="U1477"/>
          <cell r="V1477"/>
          <cell r="W1477"/>
          <cell r="X1477" t="str">
            <v>PANI</v>
          </cell>
          <cell r="Y1477"/>
          <cell r="Z1477" t="str">
            <v>AMY ' MAIL 2/11/17</v>
          </cell>
          <cell r="AA1477"/>
          <cell r="AB1477">
            <v>43041</v>
          </cell>
          <cell r="AC1477">
            <v>5514</v>
          </cell>
        </row>
        <row r="1478">
          <cell r="B1478">
            <v>4027</v>
          </cell>
          <cell r="C1478" t="str">
            <v>LC-3103</v>
          </cell>
          <cell r="D1478" t="str">
            <v>LACE</v>
          </cell>
          <cell r="E1478"/>
          <cell r="F1478" t="str">
            <v>N/R/C 38/32/30</v>
          </cell>
          <cell r="G1478" t="str">
            <v>38%NYLON 32%RAYON 30%COTTON</v>
          </cell>
          <cell r="H1478" t="str">
            <v>57/58</v>
          </cell>
          <cell r="I1478">
            <v>190</v>
          </cell>
          <cell r="J1478">
            <v>3.35</v>
          </cell>
          <cell r="K1478"/>
          <cell r="L1478">
            <v>3.35</v>
          </cell>
          <cell r="M1478"/>
          <cell r="N1478">
            <v>3.6850000000000005</v>
          </cell>
          <cell r="O1478"/>
          <cell r="P1478"/>
          <cell r="Q1478"/>
          <cell r="R1478">
            <v>4.0535000000000005</v>
          </cell>
          <cell r="S1478"/>
          <cell r="T1478"/>
          <cell r="U1478"/>
          <cell r="V1478"/>
          <cell r="W1478"/>
          <cell r="X1478" t="str">
            <v>PANI</v>
          </cell>
          <cell r="Y1478"/>
          <cell r="Z1478" t="str">
            <v>AMY ' MAIL 2/11/17</v>
          </cell>
          <cell r="AA1478"/>
          <cell r="AB1478">
            <v>43041</v>
          </cell>
          <cell r="AC1478">
            <v>5515</v>
          </cell>
        </row>
        <row r="1479">
          <cell r="B1479">
            <v>4026</v>
          </cell>
          <cell r="C1479" t="str">
            <v>LC-2885</v>
          </cell>
          <cell r="D1479" t="str">
            <v>LACE</v>
          </cell>
          <cell r="E1479"/>
          <cell r="F1479" t="str">
            <v>N/R 80/20</v>
          </cell>
          <cell r="G1479" t="str">
            <v>80%NYLON 20%RAYON</v>
          </cell>
          <cell r="H1479" t="str">
            <v>57/58</v>
          </cell>
          <cell r="I1479">
            <v>280</v>
          </cell>
          <cell r="J1479">
            <v>5</v>
          </cell>
          <cell r="K1479"/>
          <cell r="L1479">
            <v>5</v>
          </cell>
          <cell r="M1479"/>
          <cell r="N1479">
            <v>5.5</v>
          </cell>
          <cell r="O1479"/>
          <cell r="P1479"/>
          <cell r="Q1479"/>
          <cell r="R1479">
            <v>6.0500000000000007</v>
          </cell>
          <cell r="S1479"/>
          <cell r="T1479"/>
          <cell r="U1479"/>
          <cell r="V1479"/>
          <cell r="W1479"/>
          <cell r="X1479" t="str">
            <v>PANI</v>
          </cell>
          <cell r="Y1479"/>
          <cell r="Z1479" t="str">
            <v>AMY ' MAIL 2/11/17</v>
          </cell>
          <cell r="AA1479"/>
          <cell r="AB1479">
            <v>43041</v>
          </cell>
          <cell r="AC1479">
            <v>5516</v>
          </cell>
        </row>
        <row r="1480">
          <cell r="B1480">
            <v>4025</v>
          </cell>
          <cell r="C1480" t="str">
            <v>LC-2833-1</v>
          </cell>
          <cell r="D1480" t="str">
            <v>LACE</v>
          </cell>
          <cell r="E1480"/>
          <cell r="F1480" t="str">
            <v>R/N/C 34.7/34/31.3</v>
          </cell>
          <cell r="G1480" t="str">
            <v>34.7%RAYON 34%NYLON 31.3%COTTON</v>
          </cell>
          <cell r="H1480" t="str">
            <v>57/58</v>
          </cell>
          <cell r="I1480">
            <v>260</v>
          </cell>
          <cell r="J1480">
            <v>4.2</v>
          </cell>
          <cell r="K1480"/>
          <cell r="L1480">
            <v>4.2</v>
          </cell>
          <cell r="M1480"/>
          <cell r="N1480">
            <v>4.620000000000001</v>
          </cell>
          <cell r="O1480"/>
          <cell r="P1480"/>
          <cell r="Q1480"/>
          <cell r="R1480">
            <v>5.0820000000000016</v>
          </cell>
          <cell r="S1480"/>
          <cell r="T1480"/>
          <cell r="U1480"/>
          <cell r="V1480"/>
          <cell r="W1480"/>
          <cell r="X1480" t="str">
            <v>PANI</v>
          </cell>
          <cell r="Y1480"/>
          <cell r="Z1480" t="str">
            <v>AMY ' MAIL 2/11/17</v>
          </cell>
          <cell r="AA1480"/>
          <cell r="AB1480">
            <v>43041</v>
          </cell>
          <cell r="AC1480">
            <v>5517</v>
          </cell>
        </row>
        <row r="1481">
          <cell r="B1481">
            <v>4024</v>
          </cell>
          <cell r="C1481" t="str">
            <v>LC-2713</v>
          </cell>
          <cell r="D1481" t="str">
            <v>LACE</v>
          </cell>
          <cell r="E1481"/>
          <cell r="F1481" t="str">
            <v>C/N 70/30</v>
          </cell>
          <cell r="G1481" t="str">
            <v>70%COTTON 30%NYLON</v>
          </cell>
          <cell r="H1481" t="str">
            <v>57/58</v>
          </cell>
          <cell r="I1481">
            <v>225</v>
          </cell>
          <cell r="J1481">
            <v>3.2</v>
          </cell>
          <cell r="K1481"/>
          <cell r="L1481">
            <v>3.2</v>
          </cell>
          <cell r="M1481"/>
          <cell r="N1481">
            <v>3.5200000000000005</v>
          </cell>
          <cell r="O1481"/>
          <cell r="P1481"/>
          <cell r="Q1481"/>
          <cell r="R1481">
            <v>3.8720000000000008</v>
          </cell>
          <cell r="S1481"/>
          <cell r="T1481"/>
          <cell r="U1481"/>
          <cell r="V1481"/>
          <cell r="W1481"/>
          <cell r="X1481" t="str">
            <v>PANI</v>
          </cell>
          <cell r="Y1481"/>
          <cell r="Z1481" t="str">
            <v>AMY ' MAIL 2/11/17</v>
          </cell>
          <cell r="AA1481"/>
          <cell r="AB1481">
            <v>43041</v>
          </cell>
          <cell r="AC1481">
            <v>5555</v>
          </cell>
        </row>
        <row r="1482">
          <cell r="B1482">
            <v>4023</v>
          </cell>
          <cell r="C1482" t="str">
            <v>LC-2025</v>
          </cell>
          <cell r="D1482" t="str">
            <v>LACE</v>
          </cell>
          <cell r="E1482"/>
          <cell r="F1482" t="str">
            <v>N100%</v>
          </cell>
          <cell r="G1482" t="str">
            <v>100%NYLON</v>
          </cell>
          <cell r="H1482" t="str">
            <v>140CM</v>
          </cell>
          <cell r="I1482">
            <v>130</v>
          </cell>
          <cell r="J1482">
            <v>1.9</v>
          </cell>
          <cell r="K1482"/>
          <cell r="L1482">
            <v>1.9</v>
          </cell>
          <cell r="M1482"/>
          <cell r="N1482">
            <v>2.09</v>
          </cell>
          <cell r="O1482"/>
          <cell r="P1482"/>
          <cell r="Q1482"/>
          <cell r="R1482">
            <v>2.2989999999999999</v>
          </cell>
          <cell r="S1482"/>
          <cell r="T1482"/>
          <cell r="U1482"/>
          <cell r="V1482"/>
          <cell r="W1482"/>
          <cell r="X1482" t="str">
            <v>PANI</v>
          </cell>
          <cell r="Y1482"/>
          <cell r="Z1482" t="str">
            <v>AMY ' MAIL 2/11/17</v>
          </cell>
          <cell r="AA1482"/>
          <cell r="AB1482">
            <v>43041</v>
          </cell>
          <cell r="AC1482">
            <v>5518</v>
          </cell>
        </row>
        <row r="1483">
          <cell r="B1483">
            <v>4022</v>
          </cell>
          <cell r="C1483" t="str">
            <v>LC-2032</v>
          </cell>
          <cell r="D1483" t="str">
            <v>LACE</v>
          </cell>
          <cell r="E1483"/>
          <cell r="F1483" t="str">
            <v>C/N 85/15</v>
          </cell>
          <cell r="G1483" t="str">
            <v>85%COTTON 15%NYLON</v>
          </cell>
          <cell r="H1483" t="str">
            <v>57/58</v>
          </cell>
          <cell r="I1483">
            <v>200</v>
          </cell>
          <cell r="J1483">
            <v>3.5</v>
          </cell>
          <cell r="K1483"/>
          <cell r="L1483">
            <v>3.5</v>
          </cell>
          <cell r="M1483"/>
          <cell r="N1483">
            <v>3.8500000000000005</v>
          </cell>
          <cell r="O1483"/>
          <cell r="P1483"/>
          <cell r="Q1483"/>
          <cell r="R1483">
            <v>4.2350000000000012</v>
          </cell>
          <cell r="S1483"/>
          <cell r="T1483"/>
          <cell r="U1483"/>
          <cell r="V1483"/>
          <cell r="W1483"/>
          <cell r="X1483" t="str">
            <v>PANI</v>
          </cell>
          <cell r="Y1483"/>
          <cell r="Z1483" t="str">
            <v>AMY ' MAIL 2/11/17</v>
          </cell>
          <cell r="AA1483"/>
          <cell r="AB1483">
            <v>43041</v>
          </cell>
          <cell r="AC1483">
            <v>5519</v>
          </cell>
        </row>
        <row r="1484">
          <cell r="B1484">
            <v>4021</v>
          </cell>
          <cell r="C1484" t="str">
            <v>LC-1960</v>
          </cell>
          <cell r="D1484" t="str">
            <v>LACE</v>
          </cell>
          <cell r="E1484"/>
          <cell r="F1484" t="str">
            <v>N/S 90/10</v>
          </cell>
          <cell r="G1484" t="str">
            <v>90%NYLON 10%SPANDEX</v>
          </cell>
          <cell r="H1484" t="str">
            <v>150CM</v>
          </cell>
          <cell r="I1484">
            <v>170</v>
          </cell>
          <cell r="J1484">
            <v>2.4</v>
          </cell>
          <cell r="K1484"/>
          <cell r="L1484">
            <v>2.4</v>
          </cell>
          <cell r="M1484"/>
          <cell r="N1484">
            <v>2.64</v>
          </cell>
          <cell r="O1484"/>
          <cell r="P1484"/>
          <cell r="Q1484"/>
          <cell r="R1484">
            <v>2.9040000000000004</v>
          </cell>
          <cell r="S1484"/>
          <cell r="T1484"/>
          <cell r="U1484"/>
          <cell r="V1484"/>
          <cell r="W1484"/>
          <cell r="X1484" t="str">
            <v>PANI</v>
          </cell>
          <cell r="Y1484"/>
          <cell r="Z1484" t="str">
            <v>AMY ' MAIL 2/11/17</v>
          </cell>
          <cell r="AA1484"/>
          <cell r="AB1484">
            <v>43041</v>
          </cell>
          <cell r="AC1484">
            <v>5520</v>
          </cell>
        </row>
        <row r="1485">
          <cell r="B1485">
            <v>4020</v>
          </cell>
          <cell r="C1485" t="str">
            <v>LC-1360-2</v>
          </cell>
          <cell r="D1485" t="str">
            <v>LACE</v>
          </cell>
          <cell r="E1485"/>
          <cell r="F1485" t="str">
            <v>T100% - BASE / N/R/M 65/20/15</v>
          </cell>
          <cell r="G1485" t="str">
            <v>100%POLY(BASE)/ 65%NYLON 20%RAYON 15%METALIC(FACE)</v>
          </cell>
          <cell r="H1485" t="str">
            <v>140CM</v>
          </cell>
          <cell r="I1485">
            <v>305</v>
          </cell>
          <cell r="J1485">
            <v>5.8</v>
          </cell>
          <cell r="K1485"/>
          <cell r="L1485">
            <v>5.8</v>
          </cell>
          <cell r="M1485"/>
          <cell r="N1485">
            <v>6.38</v>
          </cell>
          <cell r="O1485"/>
          <cell r="P1485"/>
          <cell r="Q1485"/>
          <cell r="R1485">
            <v>7.0180000000000007</v>
          </cell>
          <cell r="S1485"/>
          <cell r="T1485"/>
          <cell r="U1485"/>
          <cell r="V1485"/>
          <cell r="W1485"/>
          <cell r="X1485" t="str">
            <v>PANI</v>
          </cell>
          <cell r="Y1485"/>
          <cell r="Z1485" t="str">
            <v>AMY ' MAIL 2/11/17</v>
          </cell>
          <cell r="AA1485"/>
          <cell r="AB1485">
            <v>43041</v>
          </cell>
          <cell r="AC1485">
            <v>5521</v>
          </cell>
        </row>
        <row r="1486">
          <cell r="B1486">
            <v>4019</v>
          </cell>
          <cell r="C1486" t="str">
            <v>LC-1197</v>
          </cell>
          <cell r="D1486" t="str">
            <v>LACE</v>
          </cell>
          <cell r="E1486"/>
          <cell r="F1486" t="str">
            <v>R/N 70/30</v>
          </cell>
          <cell r="G1486" t="str">
            <v>70%RAYON 30%NYLON</v>
          </cell>
          <cell r="H1486" t="str">
            <v>57/58</v>
          </cell>
          <cell r="I1486"/>
          <cell r="J1486">
            <v>2.2000000000000002</v>
          </cell>
          <cell r="K1486"/>
          <cell r="L1486">
            <v>2.2000000000000002</v>
          </cell>
          <cell r="M1486"/>
          <cell r="N1486">
            <v>2.4200000000000004</v>
          </cell>
          <cell r="O1486"/>
          <cell r="P1486"/>
          <cell r="Q1486"/>
          <cell r="R1486">
            <v>2.6620000000000008</v>
          </cell>
          <cell r="S1486"/>
          <cell r="T1486"/>
          <cell r="U1486"/>
          <cell r="V1486"/>
          <cell r="W1486"/>
          <cell r="X1486" t="str">
            <v>PANI</v>
          </cell>
          <cell r="Y1486"/>
          <cell r="Z1486" t="str">
            <v>AMY ' MAIL 2/11/17</v>
          </cell>
          <cell r="AA1486"/>
          <cell r="AB1486">
            <v>43041</v>
          </cell>
          <cell r="AC1486">
            <v>5522</v>
          </cell>
        </row>
        <row r="1487">
          <cell r="B1487">
            <v>4018</v>
          </cell>
          <cell r="C1487" t="str">
            <v>LC-976</v>
          </cell>
          <cell r="D1487" t="str">
            <v>LACE</v>
          </cell>
          <cell r="E1487"/>
          <cell r="F1487" t="str">
            <v>N/S 80/20</v>
          </cell>
          <cell r="G1487" t="str">
            <v>80%NYLON 20%RAYON</v>
          </cell>
          <cell r="H1487" t="str">
            <v>57/58</v>
          </cell>
          <cell r="I1487"/>
          <cell r="J1487">
            <v>4.0999999999999996</v>
          </cell>
          <cell r="K1487"/>
          <cell r="L1487">
            <v>4.0999999999999996</v>
          </cell>
          <cell r="M1487"/>
          <cell r="N1487">
            <v>4.51</v>
          </cell>
          <cell r="O1487"/>
          <cell r="P1487"/>
          <cell r="Q1487"/>
          <cell r="R1487">
            <v>4.9610000000000003</v>
          </cell>
          <cell r="S1487"/>
          <cell r="T1487"/>
          <cell r="U1487"/>
          <cell r="V1487"/>
          <cell r="W1487"/>
          <cell r="X1487" t="str">
            <v>PANI</v>
          </cell>
          <cell r="Y1487"/>
          <cell r="Z1487" t="str">
            <v>AMY ' MAIL 2/11/17</v>
          </cell>
          <cell r="AA1487"/>
          <cell r="AB1487">
            <v>43041</v>
          </cell>
          <cell r="AC1487">
            <v>5523</v>
          </cell>
        </row>
        <row r="1488">
          <cell r="B1488">
            <v>3821</v>
          </cell>
          <cell r="C1488" t="str">
            <v>TS-408</v>
          </cell>
          <cell r="D1488" t="str">
            <v>VISCOSE</v>
          </cell>
          <cell r="E1488"/>
          <cell r="F1488" t="str">
            <v>R100%</v>
          </cell>
          <cell r="G1488" t="str">
            <v xml:space="preserve">100% RAYON </v>
          </cell>
          <cell r="H1488" t="str">
            <v>140CM</v>
          </cell>
          <cell r="I1488">
            <v>120</v>
          </cell>
          <cell r="J1488">
            <v>1.36</v>
          </cell>
          <cell r="K1488">
            <v>1.46</v>
          </cell>
          <cell r="L1488">
            <v>1.38</v>
          </cell>
          <cell r="M1488">
            <v>1.49</v>
          </cell>
          <cell r="N1488">
            <v>1.4</v>
          </cell>
          <cell r="O1488">
            <v>1.52</v>
          </cell>
          <cell r="P1488"/>
          <cell r="Q1488"/>
          <cell r="R1488">
            <v>1.55</v>
          </cell>
          <cell r="S1488">
            <v>1.77</v>
          </cell>
          <cell r="T1488"/>
          <cell r="U1488"/>
          <cell r="V1488">
            <v>15</v>
          </cell>
          <cell r="W1488"/>
          <cell r="X1488" t="str">
            <v>GAVIN</v>
          </cell>
          <cell r="Y1488"/>
          <cell r="Z1488" t="str">
            <v>GAVIN ' MAIL 2/11/17</v>
          </cell>
          <cell r="AA1488"/>
          <cell r="AB1488">
            <v>43041</v>
          </cell>
          <cell r="AC1488">
            <v>5535</v>
          </cell>
        </row>
        <row r="1489">
          <cell r="B1489">
            <v>3820</v>
          </cell>
          <cell r="C1489" t="str">
            <v>TS-428</v>
          </cell>
          <cell r="D1489" t="str">
            <v>WOOL</v>
          </cell>
          <cell r="E1489"/>
          <cell r="F1489" t="str">
            <v>W/T 50/50</v>
          </cell>
          <cell r="G1489" t="str">
            <v>50% WOOL 50% POLYESTER</v>
          </cell>
          <cell r="H1489" t="str">
            <v>150CM</v>
          </cell>
          <cell r="I1489">
            <v>380</v>
          </cell>
          <cell r="J1489">
            <v>5.81</v>
          </cell>
          <cell r="K1489"/>
          <cell r="L1489">
            <v>5.83</v>
          </cell>
          <cell r="M1489"/>
          <cell r="N1489">
            <v>5.85</v>
          </cell>
          <cell r="O1489"/>
          <cell r="P1489"/>
          <cell r="Q1489"/>
          <cell r="R1489">
            <v>6</v>
          </cell>
          <cell r="S1489"/>
          <cell r="T1489"/>
          <cell r="U1489"/>
          <cell r="V1489">
            <v>15</v>
          </cell>
          <cell r="W1489"/>
          <cell r="X1489" t="str">
            <v>GAVIN</v>
          </cell>
          <cell r="Y1489"/>
          <cell r="Z1489" t="str">
            <v>GAVIN ' MAIL 2/11/17</v>
          </cell>
          <cell r="AA1489"/>
          <cell r="AB1489">
            <v>43041</v>
          </cell>
          <cell r="AC1489">
            <v>5524</v>
          </cell>
        </row>
        <row r="1490">
          <cell r="B1490">
            <v>3819</v>
          </cell>
          <cell r="C1490" t="str">
            <v>TS-415</v>
          </cell>
          <cell r="D1490" t="str">
            <v xml:space="preserve"> STRETCH POPLIN COTTON</v>
          </cell>
          <cell r="E1490"/>
          <cell r="F1490" t="str">
            <v>C/S</v>
          </cell>
          <cell r="G1490" t="str">
            <v xml:space="preserve">COTTON/SPANDEX POPLIN </v>
          </cell>
          <cell r="H1490" t="str">
            <v>144CM</v>
          </cell>
          <cell r="I1490">
            <v>112</v>
          </cell>
          <cell r="J1490">
            <v>1.56</v>
          </cell>
          <cell r="K1490">
            <v>1.69</v>
          </cell>
          <cell r="L1490">
            <v>1.58</v>
          </cell>
          <cell r="M1490">
            <v>1.72</v>
          </cell>
          <cell r="N1490">
            <v>1.6</v>
          </cell>
          <cell r="O1490">
            <v>1.75</v>
          </cell>
          <cell r="P1490"/>
          <cell r="Q1490"/>
          <cell r="R1490">
            <v>1.75</v>
          </cell>
          <cell r="S1490">
            <v>1.9</v>
          </cell>
          <cell r="T1490"/>
          <cell r="U1490"/>
          <cell r="V1490">
            <v>15</v>
          </cell>
          <cell r="W1490"/>
          <cell r="X1490" t="str">
            <v>GAVIN</v>
          </cell>
          <cell r="Y1490"/>
          <cell r="Z1490" t="str">
            <v>GAVIN ' MAIL 2/11/17</v>
          </cell>
          <cell r="AA1490"/>
          <cell r="AB1490">
            <v>43041</v>
          </cell>
          <cell r="AC1490">
            <v>5536</v>
          </cell>
        </row>
        <row r="1491">
          <cell r="B1491">
            <v>3818</v>
          </cell>
          <cell r="C1491" t="str">
            <v>TS-399</v>
          </cell>
          <cell r="D1491" t="str">
            <v>LINEN</v>
          </cell>
          <cell r="E1491"/>
          <cell r="F1491" t="str">
            <v>V/LINEN</v>
          </cell>
          <cell r="G1491" t="str">
            <v>VISCOSE/LINEN</v>
          </cell>
          <cell r="H1491" t="str">
            <v>138CM</v>
          </cell>
          <cell r="I1491">
            <v>181</v>
          </cell>
          <cell r="J1491">
            <v>2.81</v>
          </cell>
          <cell r="K1491">
            <v>2.92</v>
          </cell>
          <cell r="L1491">
            <v>2.83</v>
          </cell>
          <cell r="M1491">
            <v>2.95</v>
          </cell>
          <cell r="N1491">
            <v>2.85</v>
          </cell>
          <cell r="O1491">
            <v>2.98</v>
          </cell>
          <cell r="P1491"/>
          <cell r="Q1491"/>
          <cell r="R1491">
            <v>3</v>
          </cell>
          <cell r="S1491">
            <v>3.23</v>
          </cell>
          <cell r="T1491"/>
          <cell r="U1491"/>
          <cell r="V1491">
            <v>15</v>
          </cell>
          <cell r="W1491"/>
          <cell r="X1491" t="str">
            <v>GAVIN</v>
          </cell>
          <cell r="Y1491"/>
          <cell r="Z1491" t="str">
            <v>GAVIN ' MAIL 2/11/17</v>
          </cell>
          <cell r="AA1491"/>
          <cell r="AB1491">
            <v>43041</v>
          </cell>
          <cell r="AC1491">
            <v>5537</v>
          </cell>
        </row>
        <row r="1492">
          <cell r="B1492">
            <v>3817</v>
          </cell>
          <cell r="C1492" t="str">
            <v>TS-401</v>
          </cell>
          <cell r="D1492" t="str">
            <v>SLUB LINEN</v>
          </cell>
          <cell r="E1492"/>
          <cell r="F1492" t="str">
            <v>LINEN/V</v>
          </cell>
          <cell r="G1492" t="str">
            <v xml:space="preserve">LINEN / VISCOSE </v>
          </cell>
          <cell r="H1492" t="str">
            <v>139CM</v>
          </cell>
          <cell r="I1492">
            <v>178</v>
          </cell>
          <cell r="J1492">
            <v>1.86</v>
          </cell>
          <cell r="K1492">
            <v>1.99</v>
          </cell>
          <cell r="L1492">
            <v>1.88</v>
          </cell>
          <cell r="M1492">
            <v>2.02</v>
          </cell>
          <cell r="N1492">
            <v>1.9</v>
          </cell>
          <cell r="O1492">
            <v>2.0499999999999998</v>
          </cell>
          <cell r="P1492"/>
          <cell r="Q1492"/>
          <cell r="R1492">
            <v>2.0499999999999998</v>
          </cell>
          <cell r="S1492">
            <v>2.2999999999999998</v>
          </cell>
          <cell r="T1492"/>
          <cell r="U1492"/>
          <cell r="V1492">
            <v>15</v>
          </cell>
          <cell r="W1492"/>
          <cell r="X1492" t="str">
            <v>GAVIN</v>
          </cell>
          <cell r="Y1492"/>
          <cell r="Z1492" t="str">
            <v>GAVIN ' MAIL 2/11/17</v>
          </cell>
          <cell r="AA1492"/>
          <cell r="AB1492">
            <v>43041</v>
          </cell>
          <cell r="AC1492">
            <v>5538</v>
          </cell>
        </row>
        <row r="1493">
          <cell r="B1493">
            <v>3816</v>
          </cell>
          <cell r="C1493" t="str">
            <v>TS-403</v>
          </cell>
          <cell r="D1493" t="str">
            <v>JACQUARD COTTON</v>
          </cell>
          <cell r="E1493"/>
          <cell r="F1493" t="str">
            <v>C100%</v>
          </cell>
          <cell r="G1493" t="str">
            <v>100% COTTON JACQUARD</v>
          </cell>
          <cell r="H1493" t="str">
            <v>146CM</v>
          </cell>
          <cell r="I1493">
            <v>195</v>
          </cell>
          <cell r="J1493">
            <v>2.11</v>
          </cell>
          <cell r="K1493">
            <v>2.29</v>
          </cell>
          <cell r="L1493">
            <v>2.13</v>
          </cell>
          <cell r="M1493">
            <v>2.3199999999999998</v>
          </cell>
          <cell r="N1493">
            <v>2.15</v>
          </cell>
          <cell r="O1493">
            <v>2.35</v>
          </cell>
          <cell r="P1493"/>
          <cell r="Q1493"/>
          <cell r="R1493"/>
          <cell r="S1493"/>
          <cell r="T1493"/>
          <cell r="U1493"/>
          <cell r="V1493">
            <v>15</v>
          </cell>
          <cell r="W1493"/>
          <cell r="X1493" t="str">
            <v>GAVIN</v>
          </cell>
          <cell r="Y1493"/>
          <cell r="Z1493" t="str">
            <v>GAVIN ' MAIL 2/11/17</v>
          </cell>
          <cell r="AA1493"/>
          <cell r="AB1493">
            <v>43041</v>
          </cell>
          <cell r="AC1493">
            <v>5509</v>
          </cell>
        </row>
        <row r="1494">
          <cell r="B1494">
            <v>3815</v>
          </cell>
          <cell r="C1494" t="str">
            <v>TS-404</v>
          </cell>
          <cell r="D1494" t="str">
            <v>STRETCH COTTON - BIRD'S EYE</v>
          </cell>
          <cell r="E1494"/>
          <cell r="F1494" t="str">
            <v>C/S</v>
          </cell>
          <cell r="G1494" t="str">
            <v xml:space="preserve">COTTON / SPANDEX </v>
          </cell>
          <cell r="H1494" t="str">
            <v>145CM</v>
          </cell>
          <cell r="I1494">
            <v>226</v>
          </cell>
          <cell r="J1494">
            <v>2.46</v>
          </cell>
          <cell r="K1494">
            <v>2.59</v>
          </cell>
          <cell r="L1494">
            <v>2.48</v>
          </cell>
          <cell r="M1494">
            <v>2.62</v>
          </cell>
          <cell r="N1494">
            <v>2.5</v>
          </cell>
          <cell r="O1494">
            <v>2.65</v>
          </cell>
          <cell r="P1494"/>
          <cell r="Q1494"/>
          <cell r="R1494">
            <v>2.65</v>
          </cell>
          <cell r="S1494">
            <v>2.9</v>
          </cell>
          <cell r="T1494"/>
          <cell r="U1494"/>
          <cell r="V1494">
            <v>15</v>
          </cell>
          <cell r="W1494"/>
          <cell r="X1494" t="str">
            <v>GAVIN</v>
          </cell>
          <cell r="Y1494"/>
          <cell r="Z1494" t="str">
            <v>GAVIN ' MAIL 2/11/17</v>
          </cell>
          <cell r="AA1494"/>
          <cell r="AB1494">
            <v>43041</v>
          </cell>
          <cell r="AC1494">
            <v>5554</v>
          </cell>
        </row>
        <row r="1495">
          <cell r="B1495">
            <v>3814</v>
          </cell>
          <cell r="C1495" t="str">
            <v>TS-418</v>
          </cell>
          <cell r="D1495" t="str">
            <v>WOOL</v>
          </cell>
          <cell r="E1495"/>
          <cell r="F1495" t="str">
            <v>T100%</v>
          </cell>
          <cell r="G1495" t="str">
            <v>100% POLYESTER</v>
          </cell>
          <cell r="H1495">
            <v>148</v>
          </cell>
          <cell r="I1495"/>
          <cell r="J1495">
            <v>5.0599999999999996</v>
          </cell>
          <cell r="K1495"/>
          <cell r="L1495">
            <v>5.08</v>
          </cell>
          <cell r="M1495"/>
          <cell r="N1495">
            <v>5.0999999999999996</v>
          </cell>
          <cell r="O1495"/>
          <cell r="P1495"/>
          <cell r="Q1495"/>
          <cell r="R1495">
            <v>5.15</v>
          </cell>
          <cell r="S1495"/>
          <cell r="T1495"/>
          <cell r="U1495"/>
          <cell r="V1495">
            <v>15</v>
          </cell>
          <cell r="W1495"/>
          <cell r="X1495" t="str">
            <v>GAVIN</v>
          </cell>
          <cell r="Y1495"/>
          <cell r="Z1495" t="str">
            <v>GAVIN ' MAIL 2/11/17</v>
          </cell>
          <cell r="AA1495"/>
          <cell r="AB1495">
            <v>43041</v>
          </cell>
          <cell r="AC1495">
            <v>5525</v>
          </cell>
        </row>
        <row r="1496">
          <cell r="B1496">
            <v>3813</v>
          </cell>
          <cell r="C1496" t="str">
            <v>TS-419</v>
          </cell>
          <cell r="D1496" t="str">
            <v>WOOL</v>
          </cell>
          <cell r="E1496"/>
          <cell r="F1496" t="str">
            <v>T/A 80/20</v>
          </cell>
          <cell r="G1496" t="str">
            <v>80% POLYESTER 20% ACRYLIC</v>
          </cell>
          <cell r="H1496" t="str">
            <v>148CM</v>
          </cell>
          <cell r="I1496"/>
          <cell r="J1496">
            <v>4.91</v>
          </cell>
          <cell r="K1496"/>
          <cell r="L1496">
            <v>4.93</v>
          </cell>
          <cell r="M1496"/>
          <cell r="N1496">
            <v>4.95</v>
          </cell>
          <cell r="O1496"/>
          <cell r="P1496"/>
          <cell r="Q1496"/>
          <cell r="R1496">
            <v>5</v>
          </cell>
          <cell r="S1496"/>
          <cell r="T1496"/>
          <cell r="U1496"/>
          <cell r="V1496">
            <v>15</v>
          </cell>
          <cell r="W1496"/>
          <cell r="X1496" t="str">
            <v>GAVIN</v>
          </cell>
          <cell r="Y1496"/>
          <cell r="Z1496" t="str">
            <v>GAVIN ' MAIL 2/11/17</v>
          </cell>
          <cell r="AA1496"/>
          <cell r="AB1496">
            <v>43041</v>
          </cell>
          <cell r="AC1496">
            <v>5526</v>
          </cell>
        </row>
        <row r="1497">
          <cell r="B1497">
            <v>3812</v>
          </cell>
          <cell r="C1497" t="str">
            <v>TS-422</v>
          </cell>
          <cell r="D1497" t="str">
            <v>WOOL</v>
          </cell>
          <cell r="E1497"/>
          <cell r="F1497" t="str">
            <v>T/W70/30</v>
          </cell>
          <cell r="G1497" t="str">
            <v>70% POLYESTER 30% WOOL</v>
          </cell>
          <cell r="H1497" t="str">
            <v>148CM</v>
          </cell>
          <cell r="I1497"/>
          <cell r="J1497">
            <v>4.16</v>
          </cell>
          <cell r="K1497"/>
          <cell r="L1497">
            <v>4.18</v>
          </cell>
          <cell r="M1497"/>
          <cell r="N1497">
            <v>4.2</v>
          </cell>
          <cell r="O1497"/>
          <cell r="P1497"/>
          <cell r="Q1497"/>
          <cell r="R1497">
            <v>4.25</v>
          </cell>
          <cell r="S1497"/>
          <cell r="T1497"/>
          <cell r="U1497"/>
          <cell r="V1497">
            <v>15</v>
          </cell>
          <cell r="W1497"/>
          <cell r="X1497" t="str">
            <v>GAVIN</v>
          </cell>
          <cell r="Y1497"/>
          <cell r="Z1497" t="str">
            <v>GAVIN ' MAIL 2/11/17</v>
          </cell>
          <cell r="AA1497"/>
          <cell r="AB1497">
            <v>43041</v>
          </cell>
          <cell r="AC1497">
            <v>5527</v>
          </cell>
        </row>
        <row r="1498">
          <cell r="B1498">
            <v>3811</v>
          </cell>
          <cell r="C1498" t="str">
            <v>TS-421</v>
          </cell>
          <cell r="D1498" t="str">
            <v>WOOL</v>
          </cell>
          <cell r="E1498"/>
          <cell r="F1498" t="str">
            <v>T/W70/30</v>
          </cell>
          <cell r="G1498" t="str">
            <v>70% POLYESTER 30% WOOL</v>
          </cell>
          <cell r="H1498" t="str">
            <v>148CM</v>
          </cell>
          <cell r="I1498"/>
          <cell r="J1498">
            <v>4.91</v>
          </cell>
          <cell r="K1498"/>
          <cell r="L1498">
            <v>4.93</v>
          </cell>
          <cell r="M1498"/>
          <cell r="N1498">
            <v>4.95</v>
          </cell>
          <cell r="O1498"/>
          <cell r="P1498"/>
          <cell r="Q1498"/>
          <cell r="R1498">
            <v>5</v>
          </cell>
          <cell r="S1498"/>
          <cell r="T1498"/>
          <cell r="U1498"/>
          <cell r="V1498">
            <v>15</v>
          </cell>
          <cell r="W1498"/>
          <cell r="X1498" t="str">
            <v>GAVIN</v>
          </cell>
          <cell r="Y1498"/>
          <cell r="Z1498" t="str">
            <v>GAVIN ' MAIL 2/11/17</v>
          </cell>
          <cell r="AA1498"/>
          <cell r="AB1498">
            <v>43041</v>
          </cell>
          <cell r="AC1498">
            <v>5528</v>
          </cell>
        </row>
        <row r="1499">
          <cell r="B1499">
            <v>3810</v>
          </cell>
          <cell r="C1499" t="str">
            <v>TS-420</v>
          </cell>
          <cell r="D1499" t="str">
            <v>WOOL</v>
          </cell>
          <cell r="E1499"/>
          <cell r="F1499" t="str">
            <v>T/A 70/30</v>
          </cell>
          <cell r="G1499" t="str">
            <v>70% POLYESTER  30% ACRYLIC</v>
          </cell>
          <cell r="H1499">
            <v>148</v>
          </cell>
          <cell r="I1499"/>
          <cell r="J1499">
            <v>5.46</v>
          </cell>
          <cell r="K1499"/>
          <cell r="L1499">
            <v>5.48</v>
          </cell>
          <cell r="M1499"/>
          <cell r="N1499">
            <v>5.5</v>
          </cell>
          <cell r="O1499"/>
          <cell r="P1499"/>
          <cell r="Q1499"/>
          <cell r="R1499">
            <v>5.55</v>
          </cell>
          <cell r="S1499"/>
          <cell r="T1499"/>
          <cell r="U1499"/>
          <cell r="V1499">
            <v>15</v>
          </cell>
          <cell r="W1499"/>
          <cell r="X1499" t="str">
            <v>GAVIN</v>
          </cell>
          <cell r="Y1499"/>
          <cell r="Z1499" t="str">
            <v>GAVIN ' MAIL 2/11/17</v>
          </cell>
          <cell r="AA1499"/>
          <cell r="AB1499">
            <v>43041</v>
          </cell>
          <cell r="AC1499">
            <v>5529</v>
          </cell>
        </row>
        <row r="1500">
          <cell r="B1500">
            <v>3809</v>
          </cell>
          <cell r="C1500" t="str">
            <v>TS-412</v>
          </cell>
          <cell r="D1500" t="str">
            <v xml:space="preserve">STRETCH TWILL COTTON </v>
          </cell>
          <cell r="E1500"/>
          <cell r="F1500" t="str">
            <v>C/S</v>
          </cell>
          <cell r="G1500" t="str">
            <v xml:space="preserve">COTTON/SPANDEX TWILL </v>
          </cell>
          <cell r="H1500" t="str">
            <v>143CM</v>
          </cell>
          <cell r="I1500">
            <v>146</v>
          </cell>
          <cell r="J1500">
            <v>1.74</v>
          </cell>
          <cell r="K1500">
            <v>1.87</v>
          </cell>
          <cell r="L1500">
            <v>1.76</v>
          </cell>
          <cell r="M1500">
            <v>1.9</v>
          </cell>
          <cell r="N1500">
            <v>1.78</v>
          </cell>
          <cell r="O1500">
            <v>1.93</v>
          </cell>
          <cell r="P1500"/>
          <cell r="Q1500"/>
          <cell r="R1500">
            <v>1.93</v>
          </cell>
          <cell r="S1500">
            <v>2.1800000000000002</v>
          </cell>
          <cell r="T1500"/>
          <cell r="U1500"/>
          <cell r="V1500">
            <v>15</v>
          </cell>
          <cell r="W1500"/>
          <cell r="X1500" t="str">
            <v>GAVIN</v>
          </cell>
          <cell r="Y1500"/>
          <cell r="Z1500" t="str">
            <v>GAVIN ' MAIL 2/11/17</v>
          </cell>
          <cell r="AA1500"/>
          <cell r="AB1500">
            <v>43041</v>
          </cell>
          <cell r="AC1500">
            <v>5540</v>
          </cell>
        </row>
        <row r="1501">
          <cell r="B1501">
            <v>3808</v>
          </cell>
          <cell r="C1501" t="str">
            <v>TS-410</v>
          </cell>
          <cell r="D1501" t="str">
            <v>COTTON CANVAS</v>
          </cell>
          <cell r="E1501"/>
          <cell r="F1501" t="str">
            <v>C100%</v>
          </cell>
          <cell r="G1501" t="str">
            <v xml:space="preserve">COTTON CANVAS </v>
          </cell>
          <cell r="H1501" t="str">
            <v>146CM</v>
          </cell>
          <cell r="I1501">
            <v>200</v>
          </cell>
          <cell r="J1501">
            <v>2.0099999999999998</v>
          </cell>
          <cell r="K1501">
            <v>2.14</v>
          </cell>
          <cell r="L1501">
            <v>2.0299999999999998</v>
          </cell>
          <cell r="M1501">
            <v>2.17</v>
          </cell>
          <cell r="N1501">
            <v>2.0499999999999998</v>
          </cell>
          <cell r="O1501">
            <v>2.2000000000000002</v>
          </cell>
          <cell r="P1501"/>
          <cell r="Q1501"/>
          <cell r="R1501">
            <v>2.2000000000000002</v>
          </cell>
          <cell r="S1501">
            <v>2.4500000000000002</v>
          </cell>
          <cell r="T1501"/>
          <cell r="U1501"/>
          <cell r="V1501">
            <v>15</v>
          </cell>
          <cell r="W1501"/>
          <cell r="X1501" t="str">
            <v>GAVIN</v>
          </cell>
          <cell r="Y1501"/>
          <cell r="Z1501" t="str">
            <v>GAVIN ' MAIL 2/11/17</v>
          </cell>
          <cell r="AA1501"/>
          <cell r="AB1501">
            <v>43041</v>
          </cell>
          <cell r="AC1501">
            <v>5508</v>
          </cell>
        </row>
        <row r="1502">
          <cell r="B1502">
            <v>3807</v>
          </cell>
          <cell r="C1502" t="str">
            <v>TS-413</v>
          </cell>
          <cell r="D1502" t="str">
            <v>STRETCH SATEEN COTTON</v>
          </cell>
          <cell r="E1502"/>
          <cell r="F1502" t="str">
            <v>C/S</v>
          </cell>
          <cell r="G1502" t="str">
            <v>COTTON/SPANDEX</v>
          </cell>
          <cell r="H1502" t="str">
            <v>147CM</v>
          </cell>
          <cell r="I1502">
            <v>193</v>
          </cell>
          <cell r="J1502">
            <v>2.21</v>
          </cell>
          <cell r="K1502">
            <v>2.35</v>
          </cell>
          <cell r="L1502">
            <v>2.23</v>
          </cell>
          <cell r="M1502">
            <v>2.38</v>
          </cell>
          <cell r="N1502">
            <v>2.25</v>
          </cell>
          <cell r="O1502">
            <v>2.4</v>
          </cell>
          <cell r="P1502"/>
          <cell r="Q1502"/>
          <cell r="R1502">
            <v>2.4</v>
          </cell>
          <cell r="S1502">
            <v>2.65</v>
          </cell>
          <cell r="T1502"/>
          <cell r="U1502"/>
          <cell r="V1502">
            <v>15</v>
          </cell>
          <cell r="W1502"/>
          <cell r="X1502" t="str">
            <v>GAVIN</v>
          </cell>
          <cell r="Y1502"/>
          <cell r="Z1502" t="str">
            <v>GAVIN ' MAIL 2/11/17</v>
          </cell>
          <cell r="AA1502"/>
          <cell r="AB1502">
            <v>43041</v>
          </cell>
          <cell r="AC1502">
            <v>5539</v>
          </cell>
        </row>
        <row r="1503">
          <cell r="B1503">
            <v>3806</v>
          </cell>
          <cell r="C1503" t="str">
            <v>TS-407</v>
          </cell>
          <cell r="D1503" t="str">
            <v>RAYON TWILL</v>
          </cell>
          <cell r="E1503"/>
          <cell r="F1503" t="str">
            <v>R100%</v>
          </cell>
          <cell r="G1503" t="str">
            <v xml:space="preserve">100% RAYON </v>
          </cell>
          <cell r="H1503" t="str">
            <v>140CM</v>
          </cell>
          <cell r="I1503">
            <v>140</v>
          </cell>
          <cell r="J1503">
            <v>1.56</v>
          </cell>
          <cell r="K1503">
            <v>1.66</v>
          </cell>
          <cell r="L1503">
            <v>1.58</v>
          </cell>
          <cell r="M1503">
            <v>1.69</v>
          </cell>
          <cell r="N1503">
            <v>1.6</v>
          </cell>
          <cell r="O1503">
            <v>1.72</v>
          </cell>
          <cell r="P1503"/>
          <cell r="Q1503"/>
          <cell r="R1503">
            <v>1.85</v>
          </cell>
          <cell r="S1503">
            <v>1.97</v>
          </cell>
          <cell r="T1503"/>
          <cell r="U1503"/>
          <cell r="V1503">
            <v>15</v>
          </cell>
          <cell r="W1503"/>
          <cell r="X1503" t="str">
            <v>GAVIN</v>
          </cell>
          <cell r="Y1503"/>
          <cell r="Z1503" t="str">
            <v>GAVIN ' MAIL 2/11/17</v>
          </cell>
          <cell r="AA1503"/>
          <cell r="AB1503">
            <v>43041</v>
          </cell>
          <cell r="AC1503">
            <v>5541</v>
          </cell>
        </row>
        <row r="1504">
          <cell r="B1504">
            <v>3805</v>
          </cell>
          <cell r="C1504" t="str">
            <v>TS-416</v>
          </cell>
          <cell r="D1504" t="str">
            <v xml:space="preserve">COTTON POPLIN </v>
          </cell>
          <cell r="E1504"/>
          <cell r="F1504" t="str">
            <v>C100%</v>
          </cell>
          <cell r="G1504" t="str">
            <v xml:space="preserve">COTTON POPLIN </v>
          </cell>
          <cell r="H1504" t="str">
            <v>145CM</v>
          </cell>
          <cell r="I1504">
            <v>95</v>
          </cell>
          <cell r="J1504">
            <v>1.41</v>
          </cell>
          <cell r="K1504">
            <v>1.54</v>
          </cell>
          <cell r="L1504">
            <v>1.43</v>
          </cell>
          <cell r="M1504">
            <v>1.57</v>
          </cell>
          <cell r="N1504">
            <v>1.45</v>
          </cell>
          <cell r="O1504">
            <v>1.6</v>
          </cell>
          <cell r="P1504"/>
          <cell r="Q1504"/>
          <cell r="R1504">
            <v>1.6</v>
          </cell>
          <cell r="S1504">
            <v>1.85</v>
          </cell>
          <cell r="T1504"/>
          <cell r="U1504"/>
          <cell r="V1504">
            <v>15</v>
          </cell>
          <cell r="W1504"/>
          <cell r="X1504" t="str">
            <v>GAVIN</v>
          </cell>
          <cell r="Y1504"/>
          <cell r="Z1504" t="str">
            <v>GAVIN ' MAIL 2/11/17</v>
          </cell>
          <cell r="AA1504"/>
          <cell r="AB1504">
            <v>43041</v>
          </cell>
          <cell r="AC1504">
            <v>5506</v>
          </cell>
        </row>
        <row r="1505">
          <cell r="B1505">
            <v>3804</v>
          </cell>
          <cell r="C1505" t="str">
            <v>TS-402</v>
          </cell>
          <cell r="D1505" t="str">
            <v>LINEN</v>
          </cell>
          <cell r="E1505"/>
          <cell r="F1505" t="str">
            <v>LINEN/V</v>
          </cell>
          <cell r="G1505" t="str">
            <v>LINEN/VISCOSE</v>
          </cell>
          <cell r="H1505" t="str">
            <v>147CM</v>
          </cell>
          <cell r="I1505">
            <v>127</v>
          </cell>
          <cell r="J1505">
            <v>3.61</v>
          </cell>
          <cell r="K1505">
            <v>3.79</v>
          </cell>
          <cell r="L1505">
            <v>3.63</v>
          </cell>
          <cell r="M1505">
            <v>3.82</v>
          </cell>
          <cell r="N1505">
            <v>3.65</v>
          </cell>
          <cell r="O1505">
            <v>3.85</v>
          </cell>
          <cell r="P1505"/>
          <cell r="Q1505"/>
          <cell r="R1505"/>
          <cell r="S1505"/>
          <cell r="T1505"/>
          <cell r="U1505"/>
          <cell r="V1505">
            <v>15</v>
          </cell>
          <cell r="W1505"/>
          <cell r="X1505" t="str">
            <v>GAVIN</v>
          </cell>
          <cell r="Y1505"/>
          <cell r="Z1505" t="str">
            <v>GAVIN ' MAIL 2/11/17</v>
          </cell>
          <cell r="AA1505"/>
          <cell r="AB1505">
            <v>43041</v>
          </cell>
          <cell r="AC1505">
            <v>5542</v>
          </cell>
        </row>
        <row r="1506">
          <cell r="B1506">
            <v>3803</v>
          </cell>
          <cell r="C1506" t="str">
            <v>TS-398</v>
          </cell>
          <cell r="D1506" t="str">
            <v>LINEN</v>
          </cell>
          <cell r="E1506"/>
          <cell r="F1506" t="str">
            <v>V/LINEN</v>
          </cell>
          <cell r="G1506" t="str">
            <v>VISCOSE/LINEN</v>
          </cell>
          <cell r="H1506" t="str">
            <v>124CM</v>
          </cell>
          <cell r="I1506">
            <v>146</v>
          </cell>
          <cell r="J1506">
            <v>2.19</v>
          </cell>
          <cell r="K1506">
            <v>2.3199999999999998</v>
          </cell>
          <cell r="L1506">
            <v>2.21</v>
          </cell>
          <cell r="M1506">
            <v>2.35</v>
          </cell>
          <cell r="N1506">
            <v>2.23</v>
          </cell>
          <cell r="O1506">
            <v>2.38</v>
          </cell>
          <cell r="P1506"/>
          <cell r="Q1506"/>
          <cell r="R1506">
            <v>2.38</v>
          </cell>
          <cell r="S1506">
            <v>2.63</v>
          </cell>
          <cell r="T1506"/>
          <cell r="U1506"/>
          <cell r="V1506">
            <v>15</v>
          </cell>
          <cell r="W1506"/>
          <cell r="X1506" t="str">
            <v>GAVIN</v>
          </cell>
          <cell r="Y1506"/>
          <cell r="Z1506" t="str">
            <v>GAVIN ' MAIL 2/11/17</v>
          </cell>
          <cell r="AA1506"/>
          <cell r="AB1506">
            <v>43041</v>
          </cell>
          <cell r="AC1506">
            <v>5543</v>
          </cell>
        </row>
        <row r="1507">
          <cell r="B1507">
            <v>3802</v>
          </cell>
          <cell r="C1507" t="str">
            <v>TS-400</v>
          </cell>
          <cell r="D1507" t="str">
            <v>LINEN</v>
          </cell>
          <cell r="E1507"/>
          <cell r="F1507" t="str">
            <v>LINEN/C</v>
          </cell>
          <cell r="G1507" t="str">
            <v>LINEN/COTTON</v>
          </cell>
          <cell r="H1507" t="str">
            <v>136CM</v>
          </cell>
          <cell r="I1507">
            <v>132</v>
          </cell>
          <cell r="J1507">
            <v>2.34</v>
          </cell>
          <cell r="K1507">
            <v>2.52</v>
          </cell>
          <cell r="L1507">
            <v>2.36</v>
          </cell>
          <cell r="M1507">
            <v>2.52</v>
          </cell>
          <cell r="N1507">
            <v>2.38</v>
          </cell>
          <cell r="O1507">
            <v>2.5499999999999998</v>
          </cell>
          <cell r="P1507"/>
          <cell r="Q1507"/>
          <cell r="R1507">
            <v>2.5299999999999998</v>
          </cell>
          <cell r="S1507">
            <v>2.8</v>
          </cell>
          <cell r="T1507"/>
          <cell r="U1507"/>
          <cell r="V1507">
            <v>15</v>
          </cell>
          <cell r="W1507"/>
          <cell r="X1507" t="str">
            <v>GAVIN</v>
          </cell>
          <cell r="Y1507"/>
          <cell r="Z1507" t="str">
            <v>GAVIN ' MAIL 2/11/17</v>
          </cell>
          <cell r="AA1507"/>
          <cell r="AB1507">
            <v>43041</v>
          </cell>
          <cell r="AC1507">
            <v>5544</v>
          </cell>
        </row>
        <row r="1508">
          <cell r="B1508">
            <v>3801</v>
          </cell>
          <cell r="C1508" t="str">
            <v>TS-417</v>
          </cell>
          <cell r="D1508" t="str">
            <v>WOOL</v>
          </cell>
          <cell r="E1508"/>
          <cell r="F1508" t="str">
            <v>T/W 90/10</v>
          </cell>
          <cell r="G1508" t="str">
            <v>90% POLYESTER 10% WOOL</v>
          </cell>
          <cell r="H1508" t="str">
            <v>148CM</v>
          </cell>
          <cell r="I1508"/>
          <cell r="J1508">
            <v>4.21</v>
          </cell>
          <cell r="K1508"/>
          <cell r="L1508">
            <v>4.2300000000000004</v>
          </cell>
          <cell r="M1508"/>
          <cell r="N1508">
            <v>4.25</v>
          </cell>
          <cell r="O1508"/>
          <cell r="P1508"/>
          <cell r="Q1508"/>
          <cell r="R1508">
            <v>4.3</v>
          </cell>
          <cell r="S1508"/>
          <cell r="T1508"/>
          <cell r="U1508"/>
          <cell r="V1508">
            <v>15</v>
          </cell>
          <cell r="W1508"/>
          <cell r="X1508" t="str">
            <v>GAVIN</v>
          </cell>
          <cell r="Y1508"/>
          <cell r="Z1508" t="str">
            <v>GAVIN ' MAIL 2/11/17</v>
          </cell>
          <cell r="AA1508"/>
          <cell r="AB1508">
            <v>43041</v>
          </cell>
          <cell r="AC1508">
            <v>5530</v>
          </cell>
        </row>
        <row r="1509">
          <cell r="B1509">
            <v>3800</v>
          </cell>
          <cell r="C1509" t="str">
            <v>TS-411</v>
          </cell>
          <cell r="D1509" t="str">
            <v>STRETCH POPLIN COTTON</v>
          </cell>
          <cell r="E1509"/>
          <cell r="F1509" t="str">
            <v>C/S</v>
          </cell>
          <cell r="G1509" t="str">
            <v xml:space="preserve">COTTON / SAPNDEX POPLIN </v>
          </cell>
          <cell r="H1509" t="str">
            <v>123CM</v>
          </cell>
          <cell r="I1509">
            <v>121</v>
          </cell>
          <cell r="J1509">
            <v>1.6</v>
          </cell>
          <cell r="K1509">
            <v>1.74</v>
          </cell>
          <cell r="L1509">
            <v>1.62</v>
          </cell>
          <cell r="M1509">
            <v>1.77</v>
          </cell>
          <cell r="N1509">
            <v>1.64</v>
          </cell>
          <cell r="O1509">
            <v>1.8</v>
          </cell>
          <cell r="P1509"/>
          <cell r="Q1509"/>
          <cell r="R1509">
            <v>1.79</v>
          </cell>
          <cell r="S1509">
            <v>2.0499999999999998</v>
          </cell>
          <cell r="T1509"/>
          <cell r="U1509"/>
          <cell r="V1509">
            <v>15</v>
          </cell>
          <cell r="W1509"/>
          <cell r="X1509" t="str">
            <v>GAVIN</v>
          </cell>
          <cell r="Y1509"/>
          <cell r="Z1509" t="str">
            <v>GAVIN ' MAIL 2/11/17</v>
          </cell>
          <cell r="AA1509"/>
          <cell r="AB1509">
            <v>43041</v>
          </cell>
          <cell r="AC1509">
            <v>5545</v>
          </cell>
        </row>
        <row r="1510">
          <cell r="B1510">
            <v>3799</v>
          </cell>
          <cell r="C1510" t="str">
            <v>TS-414</v>
          </cell>
          <cell r="D1510" t="str">
            <v>STRETCH COTTON</v>
          </cell>
          <cell r="E1510"/>
          <cell r="F1510" t="str">
            <v>C/S</v>
          </cell>
          <cell r="G1510" t="str">
            <v xml:space="preserve">COTTON/SPANDEX </v>
          </cell>
          <cell r="H1510" t="str">
            <v>134CM</v>
          </cell>
          <cell r="I1510">
            <v>218</v>
          </cell>
          <cell r="J1510">
            <v>2.11</v>
          </cell>
          <cell r="K1510">
            <v>2.2400000000000002</v>
          </cell>
          <cell r="L1510">
            <v>2.13</v>
          </cell>
          <cell r="M1510">
            <v>2.27</v>
          </cell>
          <cell r="N1510">
            <v>2.15</v>
          </cell>
          <cell r="O1510">
            <v>2.2999999999999998</v>
          </cell>
          <cell r="P1510"/>
          <cell r="Q1510"/>
          <cell r="R1510">
            <v>2.2999999999999998</v>
          </cell>
          <cell r="S1510">
            <v>2.5499999999999998</v>
          </cell>
          <cell r="T1510"/>
          <cell r="U1510"/>
          <cell r="V1510">
            <v>15</v>
          </cell>
          <cell r="W1510"/>
          <cell r="X1510" t="str">
            <v>GAVIN</v>
          </cell>
          <cell r="Y1510"/>
          <cell r="Z1510" t="str">
            <v>GAVIN ' MAIL 2/11/17</v>
          </cell>
          <cell r="AA1510"/>
          <cell r="AB1510">
            <v>43041</v>
          </cell>
          <cell r="AC1510">
            <v>5510</v>
          </cell>
        </row>
        <row r="1511">
          <cell r="B1511">
            <v>3798</v>
          </cell>
          <cell r="C1511" t="str">
            <v>TS-427</v>
          </cell>
          <cell r="D1511" t="str">
            <v>WOOL</v>
          </cell>
          <cell r="E1511"/>
          <cell r="F1511" t="str">
            <v>W/T</v>
          </cell>
          <cell r="G1511" t="str">
            <v>WOOL /  POLYESTER</v>
          </cell>
          <cell r="H1511" t="str">
            <v>150CM</v>
          </cell>
          <cell r="I1511"/>
          <cell r="J1511">
            <v>5.41</v>
          </cell>
          <cell r="K1511"/>
          <cell r="L1511">
            <v>5.43</v>
          </cell>
          <cell r="M1511"/>
          <cell r="N1511">
            <v>5.45</v>
          </cell>
          <cell r="O1511"/>
          <cell r="P1511"/>
          <cell r="Q1511"/>
          <cell r="R1511">
            <v>5.5</v>
          </cell>
          <cell r="S1511"/>
          <cell r="T1511"/>
          <cell r="U1511"/>
          <cell r="V1511">
            <v>15</v>
          </cell>
          <cell r="W1511"/>
          <cell r="X1511" t="str">
            <v>GAVIN</v>
          </cell>
          <cell r="Y1511"/>
          <cell r="Z1511" t="str">
            <v>GAVIN ' MAIL 2/11/17</v>
          </cell>
          <cell r="AA1511"/>
          <cell r="AB1511">
            <v>43041</v>
          </cell>
          <cell r="AC1511">
            <v>5531</v>
          </cell>
        </row>
        <row r="1512">
          <cell r="B1512">
            <v>3797</v>
          </cell>
          <cell r="C1512" t="str">
            <v>TS-423</v>
          </cell>
          <cell r="D1512" t="str">
            <v>WOOL</v>
          </cell>
          <cell r="E1512"/>
          <cell r="F1512" t="str">
            <v>W/T/METAL 50/45/5</v>
          </cell>
          <cell r="G1512" t="str">
            <v>50% WOOL 45% POLYESTER 5% METAL YARN</v>
          </cell>
          <cell r="H1512" t="str">
            <v>150CM</v>
          </cell>
          <cell r="I1512"/>
          <cell r="J1512">
            <v>6.11</v>
          </cell>
          <cell r="K1512"/>
          <cell r="L1512">
            <v>6.13</v>
          </cell>
          <cell r="M1512"/>
          <cell r="N1512">
            <v>6.15</v>
          </cell>
          <cell r="O1512"/>
          <cell r="P1512"/>
          <cell r="Q1512"/>
          <cell r="R1512">
            <v>6.2</v>
          </cell>
          <cell r="S1512"/>
          <cell r="T1512"/>
          <cell r="U1512"/>
          <cell r="V1512">
            <v>15</v>
          </cell>
          <cell r="W1512"/>
          <cell r="X1512" t="str">
            <v>GAVIN</v>
          </cell>
          <cell r="Y1512"/>
          <cell r="Z1512" t="str">
            <v>GAVIN ' MAIL 2/11/17</v>
          </cell>
          <cell r="AA1512"/>
          <cell r="AB1512">
            <v>43041</v>
          </cell>
          <cell r="AC1512">
            <v>5532</v>
          </cell>
        </row>
        <row r="1513">
          <cell r="B1513">
            <v>3796</v>
          </cell>
          <cell r="C1513" t="str">
            <v>TS-425</v>
          </cell>
          <cell r="D1513" t="str">
            <v>WOOL</v>
          </cell>
          <cell r="E1513"/>
          <cell r="F1513" t="str">
            <v>W/T 50/50</v>
          </cell>
          <cell r="G1513" t="str">
            <v>50% WOOL 50% POLYESTER</v>
          </cell>
          <cell r="H1513" t="str">
            <v>150CM</v>
          </cell>
          <cell r="I1513"/>
          <cell r="J1513">
            <v>5.36</v>
          </cell>
          <cell r="K1513"/>
          <cell r="L1513">
            <v>5.38</v>
          </cell>
          <cell r="M1513"/>
          <cell r="N1513">
            <v>5.4</v>
          </cell>
          <cell r="O1513"/>
          <cell r="P1513"/>
          <cell r="Q1513"/>
          <cell r="R1513">
            <v>5.45</v>
          </cell>
          <cell r="S1513"/>
          <cell r="T1513"/>
          <cell r="U1513"/>
          <cell r="V1513">
            <v>15</v>
          </cell>
          <cell r="W1513"/>
          <cell r="X1513" t="str">
            <v>GAVIN</v>
          </cell>
          <cell r="Y1513"/>
          <cell r="Z1513" t="str">
            <v>GAVIN ' MAIL 2/11/17</v>
          </cell>
          <cell r="AA1513"/>
          <cell r="AB1513">
            <v>43041</v>
          </cell>
          <cell r="AC1513">
            <v>5533</v>
          </cell>
        </row>
        <row r="1514">
          <cell r="B1514">
            <v>3795</v>
          </cell>
          <cell r="C1514" t="str">
            <v>TS-406</v>
          </cell>
          <cell r="D1514" t="str">
            <v>TENCEL TWILL</v>
          </cell>
          <cell r="E1514"/>
          <cell r="F1514" t="str">
            <v>TENCEL100%</v>
          </cell>
          <cell r="G1514" t="str">
            <v xml:space="preserve">100% TENCEL </v>
          </cell>
          <cell r="H1514" t="str">
            <v>140CM</v>
          </cell>
          <cell r="I1514">
            <v>190</v>
          </cell>
          <cell r="J1514">
            <v>1.94</v>
          </cell>
          <cell r="K1514">
            <v>2.11</v>
          </cell>
          <cell r="L1514">
            <v>1.96</v>
          </cell>
          <cell r="M1514">
            <v>2.14</v>
          </cell>
          <cell r="N1514">
            <v>1.98</v>
          </cell>
          <cell r="O1514">
            <v>2.17</v>
          </cell>
          <cell r="P1514"/>
          <cell r="Q1514"/>
          <cell r="R1514">
            <v>2.13</v>
          </cell>
          <cell r="S1514">
            <v>2.42</v>
          </cell>
          <cell r="T1514"/>
          <cell r="U1514"/>
          <cell r="V1514">
            <v>15</v>
          </cell>
          <cell r="W1514"/>
          <cell r="X1514" t="str">
            <v>GAVIN</v>
          </cell>
          <cell r="Y1514"/>
          <cell r="Z1514" t="str">
            <v>GAVIN ' MAIL 2/11/17</v>
          </cell>
          <cell r="AA1514"/>
          <cell r="AB1514">
            <v>43041</v>
          </cell>
          <cell r="AC1514">
            <v>5507</v>
          </cell>
        </row>
        <row r="1515">
          <cell r="B1515">
            <v>3794</v>
          </cell>
          <cell r="C1515" t="str">
            <v>TS-405</v>
          </cell>
          <cell r="D1515"/>
          <cell r="E1515"/>
          <cell r="F1515" t="str">
            <v>R100%</v>
          </cell>
          <cell r="G1515" t="str">
            <v xml:space="preserve">100% RAYON </v>
          </cell>
          <cell r="H1515" t="str">
            <v>140CM</v>
          </cell>
          <cell r="I1515">
            <v>200</v>
          </cell>
          <cell r="J1515">
            <v>1.91</v>
          </cell>
          <cell r="K1515">
            <v>2.04</v>
          </cell>
          <cell r="L1515">
            <v>1.93</v>
          </cell>
          <cell r="M1515">
            <v>2.0699999999999998</v>
          </cell>
          <cell r="N1515">
            <v>1.95</v>
          </cell>
          <cell r="O1515">
            <v>2.1</v>
          </cell>
          <cell r="P1515"/>
          <cell r="Q1515"/>
          <cell r="R1515">
            <v>2.1</v>
          </cell>
          <cell r="S1515">
            <v>2.35</v>
          </cell>
          <cell r="T1515"/>
          <cell r="U1515"/>
          <cell r="V1515">
            <v>15</v>
          </cell>
          <cell r="W1515"/>
          <cell r="X1515" t="str">
            <v>GAVIN</v>
          </cell>
          <cell r="Y1515"/>
          <cell r="Z1515" t="str">
            <v>GAVIN ' MAIL 2/11/17</v>
          </cell>
          <cell r="AA1515"/>
          <cell r="AB1515">
            <v>43041</v>
          </cell>
          <cell r="AC1515">
            <v>5546</v>
          </cell>
        </row>
        <row r="1516">
          <cell r="B1516">
            <v>3748</v>
          </cell>
          <cell r="C1516" t="str">
            <v>HLT3991</v>
          </cell>
          <cell r="D1516" t="str">
            <v>LINEN</v>
          </cell>
          <cell r="E1516"/>
          <cell r="F1516" t="str">
            <v>L/C 51/49</v>
          </cell>
          <cell r="G1516" t="str">
            <v>51% LINEN 49%COTTON</v>
          </cell>
          <cell r="H1516" t="str">
            <v>53/54</v>
          </cell>
          <cell r="I1516">
            <v>140</v>
          </cell>
          <cell r="J1516">
            <v>2.8</v>
          </cell>
          <cell r="K1516">
            <v>3.08</v>
          </cell>
          <cell r="L1516">
            <v>2.9</v>
          </cell>
          <cell r="M1516">
            <v>3.18</v>
          </cell>
          <cell r="N1516">
            <v>3</v>
          </cell>
          <cell r="O1516">
            <v>3.2800000000000002</v>
          </cell>
          <cell r="P1516"/>
          <cell r="Q1516"/>
          <cell r="R1516">
            <v>3.2</v>
          </cell>
          <cell r="S1516">
            <v>3.4800000000000004</v>
          </cell>
          <cell r="T1516"/>
          <cell r="U1516"/>
          <cell r="V1516">
            <v>15</v>
          </cell>
          <cell r="W1516"/>
          <cell r="X1516" t="str">
            <v>CANDY</v>
          </cell>
          <cell r="Y1516"/>
          <cell r="Z1516" t="str">
            <v>CANDY ' MAIL 2/11/17</v>
          </cell>
          <cell r="AA1516"/>
          <cell r="AB1516">
            <v>43041</v>
          </cell>
          <cell r="AC1516">
            <v>5547</v>
          </cell>
        </row>
        <row r="1517">
          <cell r="B1517">
            <v>3747</v>
          </cell>
          <cell r="C1517" t="str">
            <v>HLT3988</v>
          </cell>
          <cell r="D1517" t="str">
            <v>LINEN</v>
          </cell>
          <cell r="E1517"/>
          <cell r="F1517" t="str">
            <v>L/C 51/49</v>
          </cell>
          <cell r="G1517" t="str">
            <v>51% LINEN 49%COTTON</v>
          </cell>
          <cell r="H1517" t="str">
            <v>53/54</v>
          </cell>
          <cell r="I1517">
            <v>160</v>
          </cell>
          <cell r="J1517">
            <v>3.25</v>
          </cell>
          <cell r="K1517">
            <v>3.5</v>
          </cell>
          <cell r="L1517">
            <v>3.35</v>
          </cell>
          <cell r="M1517">
            <v>3.6</v>
          </cell>
          <cell r="N1517">
            <v>3.45</v>
          </cell>
          <cell r="O1517">
            <v>3.7</v>
          </cell>
          <cell r="P1517"/>
          <cell r="Q1517"/>
          <cell r="R1517">
            <v>3.6500000000000004</v>
          </cell>
          <cell r="S1517">
            <v>3.9000000000000004</v>
          </cell>
          <cell r="T1517"/>
          <cell r="U1517"/>
          <cell r="V1517">
            <v>15</v>
          </cell>
          <cell r="W1517"/>
          <cell r="X1517" t="str">
            <v>CANDY</v>
          </cell>
          <cell r="Y1517"/>
          <cell r="Z1517" t="str">
            <v>CANDY ' MAIL 2/11/17</v>
          </cell>
          <cell r="AA1517"/>
          <cell r="AB1517">
            <v>43041</v>
          </cell>
          <cell r="AC1517">
            <v>5548</v>
          </cell>
        </row>
        <row r="1518">
          <cell r="B1518">
            <v>3725</v>
          </cell>
          <cell r="C1518" t="str">
            <v>T257</v>
          </cell>
          <cell r="D1518"/>
          <cell r="E1518"/>
          <cell r="F1518" t="str">
            <v>T100%</v>
          </cell>
          <cell r="G1518" t="str">
            <v>100% POLYESTER</v>
          </cell>
          <cell r="H1518" t="str">
            <v>57/58</v>
          </cell>
          <cell r="I1518">
            <v>65</v>
          </cell>
          <cell r="J1518">
            <v>1.35</v>
          </cell>
          <cell r="K1518">
            <v>1.52</v>
          </cell>
          <cell r="L1518">
            <v>1.37</v>
          </cell>
          <cell r="M1518">
            <v>1.6</v>
          </cell>
          <cell r="N1518">
            <v>1.42</v>
          </cell>
          <cell r="O1518">
            <v>1.64</v>
          </cell>
          <cell r="P1518"/>
          <cell r="Q1518"/>
          <cell r="R1518">
            <v>1.52</v>
          </cell>
          <cell r="S1518">
            <v>2.13</v>
          </cell>
          <cell r="T1518"/>
          <cell r="U1518"/>
          <cell r="V1518">
            <v>15</v>
          </cell>
          <cell r="W1518"/>
          <cell r="X1518" t="str">
            <v>TERESA</v>
          </cell>
          <cell r="Y1518"/>
          <cell r="Z1518" t="str">
            <v>TERESA' MAIL 2/11/17</v>
          </cell>
          <cell r="AA1518"/>
          <cell r="AB1518">
            <v>43041</v>
          </cell>
          <cell r="AC1518">
            <v>5549</v>
          </cell>
        </row>
        <row r="1519">
          <cell r="B1519">
            <v>3724</v>
          </cell>
          <cell r="C1519" t="str">
            <v>ST-W7119</v>
          </cell>
          <cell r="D1519" t="str">
            <v>SATEEN CRINKLE</v>
          </cell>
          <cell r="E1519" t="str">
            <v>75Dx(150D+30D+40D) 1100Tx600T</v>
          </cell>
          <cell r="F1519" t="str">
            <v>T/S 97/3</v>
          </cell>
          <cell r="G1519" t="str">
            <v>97% POLYESTER 3% SPANDEX</v>
          </cell>
          <cell r="H1519" t="str">
            <v>57/58</v>
          </cell>
          <cell r="I1519">
            <v>150</v>
          </cell>
          <cell r="J1519">
            <v>1.59</v>
          </cell>
          <cell r="K1519">
            <v>1.8</v>
          </cell>
          <cell r="L1519">
            <v>1.61</v>
          </cell>
          <cell r="M1519">
            <v>1.85</v>
          </cell>
          <cell r="N1519">
            <v>1.63</v>
          </cell>
          <cell r="O1519">
            <v>1.86</v>
          </cell>
          <cell r="P1519"/>
          <cell r="Q1519"/>
          <cell r="R1519">
            <v>1.73</v>
          </cell>
          <cell r="S1519">
            <v>1.95</v>
          </cell>
          <cell r="T1519"/>
          <cell r="U1519"/>
          <cell r="V1519">
            <v>15</v>
          </cell>
          <cell r="W1519"/>
          <cell r="X1519" t="str">
            <v>SIGER</v>
          </cell>
          <cell r="Y1519"/>
          <cell r="Z1519" t="str">
            <v>CARA' MAIL 2/11/17</v>
          </cell>
          <cell r="AA1519"/>
          <cell r="AB1519">
            <v>43041</v>
          </cell>
          <cell r="AC1519">
            <v>5550</v>
          </cell>
        </row>
        <row r="1520">
          <cell r="B1520">
            <v>3723</v>
          </cell>
          <cell r="C1520" t="str">
            <v>ST-79431</v>
          </cell>
          <cell r="D1520" t="str">
            <v>PUBBLE CREPE</v>
          </cell>
          <cell r="E1520" t="str">
            <v xml:space="preserve"> -(75D+75D+40D)x(75D+75D+40D)</v>
          </cell>
          <cell r="F1520" t="str">
            <v>T/S 97/3</v>
          </cell>
          <cell r="G1520" t="str">
            <v>97% POLYESTER 3% SPANDEX</v>
          </cell>
          <cell r="H1520" t="str">
            <v>57/58</v>
          </cell>
          <cell r="I1520">
            <v>115</v>
          </cell>
          <cell r="J1520">
            <v>1.1000000000000001</v>
          </cell>
          <cell r="K1520">
            <v>1.32</v>
          </cell>
          <cell r="L1520">
            <v>1.1200000000000001</v>
          </cell>
          <cell r="M1520">
            <v>1.35</v>
          </cell>
          <cell r="N1520">
            <v>1.1499999999999999</v>
          </cell>
          <cell r="O1520">
            <v>1.36</v>
          </cell>
          <cell r="P1520"/>
          <cell r="Q1520"/>
          <cell r="R1520">
            <v>1.21</v>
          </cell>
          <cell r="S1520">
            <v>1.46</v>
          </cell>
          <cell r="T1520"/>
          <cell r="U1520"/>
          <cell r="V1520">
            <v>15</v>
          </cell>
          <cell r="W1520"/>
          <cell r="X1520" t="str">
            <v>SIGER</v>
          </cell>
          <cell r="Y1520"/>
          <cell r="Z1520" t="str">
            <v>CARA' MAIL 2/11/17</v>
          </cell>
          <cell r="AA1520"/>
          <cell r="AB1520">
            <v>43041</v>
          </cell>
          <cell r="AC1520">
            <v>5551</v>
          </cell>
        </row>
        <row r="1521">
          <cell r="B1521">
            <v>3722</v>
          </cell>
          <cell r="C1521" t="str">
            <v>ST-610351</v>
          </cell>
          <cell r="D1521" t="str">
            <v>CREPE - LIGHT</v>
          </cell>
          <cell r="E1521" t="str">
            <v>- 50Dx50D</v>
          </cell>
          <cell r="F1521" t="str">
            <v>T100%</v>
          </cell>
          <cell r="G1521" t="str">
            <v xml:space="preserve">100% POLYESTER </v>
          </cell>
          <cell r="H1521" t="str">
            <v>142CM</v>
          </cell>
          <cell r="I1521">
            <v>100</v>
          </cell>
          <cell r="J1521">
            <v>1.5</v>
          </cell>
          <cell r="K1521">
            <v>1.71</v>
          </cell>
          <cell r="L1521">
            <v>1.52</v>
          </cell>
          <cell r="M1521">
            <v>1.73</v>
          </cell>
          <cell r="N1521">
            <v>1.57</v>
          </cell>
          <cell r="O1521">
            <v>1.76</v>
          </cell>
          <cell r="P1521"/>
          <cell r="Q1521"/>
          <cell r="R1521">
            <v>1.65</v>
          </cell>
          <cell r="S1521">
            <v>1.85</v>
          </cell>
          <cell r="T1521"/>
          <cell r="U1521"/>
          <cell r="V1521">
            <v>15</v>
          </cell>
          <cell r="W1521"/>
          <cell r="X1521" t="str">
            <v>SIGER</v>
          </cell>
          <cell r="Y1521"/>
          <cell r="Z1521" t="str">
            <v>CARA' MAIL 2/11/17</v>
          </cell>
          <cell r="AA1521"/>
          <cell r="AB1521">
            <v>43041</v>
          </cell>
          <cell r="AC1521">
            <v>5552</v>
          </cell>
        </row>
        <row r="1522">
          <cell r="B1522">
            <v>3721</v>
          </cell>
          <cell r="C1522" t="str">
            <v>ST-64130</v>
          </cell>
          <cell r="D1522" t="str">
            <v>RAYON - LIGHT</v>
          </cell>
          <cell r="E1522" t="str">
            <v>60X60/90X88</v>
          </cell>
          <cell r="F1522" t="str">
            <v>R100%</v>
          </cell>
          <cell r="G1522" t="str">
            <v xml:space="preserve">100% RAYON </v>
          </cell>
          <cell r="H1522" t="str">
            <v>55/56</v>
          </cell>
          <cell r="I1522">
            <v>80</v>
          </cell>
          <cell r="J1522">
            <v>1.38</v>
          </cell>
          <cell r="K1522">
            <v>1.52</v>
          </cell>
          <cell r="L1522">
            <v>1.4</v>
          </cell>
          <cell r="M1522">
            <v>1.53</v>
          </cell>
          <cell r="N1522">
            <v>1.43</v>
          </cell>
          <cell r="O1522">
            <v>1.55</v>
          </cell>
          <cell r="P1522"/>
          <cell r="Q1522"/>
          <cell r="R1522">
            <v>1.52</v>
          </cell>
          <cell r="S1522">
            <v>1.65</v>
          </cell>
          <cell r="T1522"/>
          <cell r="U1522"/>
          <cell r="V1522">
            <v>15</v>
          </cell>
          <cell r="W1522"/>
          <cell r="X1522" t="str">
            <v>SIGER</v>
          </cell>
          <cell r="Y1522"/>
          <cell r="Z1522" t="str">
            <v>CARA' MAIL 2/11/17</v>
          </cell>
          <cell r="AA1522"/>
          <cell r="AB1522">
            <v>43041</v>
          </cell>
          <cell r="AC1522">
            <v>5553</v>
          </cell>
        </row>
        <row r="1523">
          <cell r="B1523">
            <v>3720</v>
          </cell>
          <cell r="C1523" t="str">
            <v>T172</v>
          </cell>
          <cell r="D1523" t="str">
            <v>POLY CRINKLE</v>
          </cell>
          <cell r="E1523" t="str">
            <v>100D*100D</v>
          </cell>
          <cell r="F1523" t="str">
            <v>T100%</v>
          </cell>
          <cell r="G1523" t="str">
            <v>100% POLYESTER</v>
          </cell>
          <cell r="H1523" t="str">
            <v>57/58</v>
          </cell>
          <cell r="I1523">
            <v>110</v>
          </cell>
          <cell r="J1523">
            <v>1.38</v>
          </cell>
          <cell r="K1523">
            <v>1.55</v>
          </cell>
          <cell r="L1523">
            <v>1.4</v>
          </cell>
          <cell r="M1523">
            <v>1.63</v>
          </cell>
          <cell r="N1523">
            <v>1.45</v>
          </cell>
          <cell r="O1523">
            <v>1.67</v>
          </cell>
          <cell r="P1523"/>
          <cell r="Q1523"/>
          <cell r="R1523">
            <v>1.55</v>
          </cell>
          <cell r="S1523">
            <v>2.16</v>
          </cell>
          <cell r="T1523"/>
          <cell r="U1523"/>
          <cell r="V1523">
            <v>15</v>
          </cell>
          <cell r="W1523"/>
          <cell r="X1523" t="str">
            <v>TERESA</v>
          </cell>
          <cell r="Y1523"/>
          <cell r="Z1523" t="str">
            <v>TERESA' MAIL 2/11/17</v>
          </cell>
          <cell r="AA1523"/>
          <cell r="AB1523">
            <v>43041</v>
          </cell>
          <cell r="AC1523">
            <v>5511</v>
          </cell>
        </row>
        <row r="1524">
          <cell r="B1524">
            <v>793</v>
          </cell>
          <cell r="C1524" t="str">
            <v>TS-147</v>
          </cell>
          <cell r="D1524" t="str">
            <v>POLY SATEEN</v>
          </cell>
          <cell r="E1524"/>
          <cell r="F1524" t="str">
            <v>T100%</v>
          </cell>
          <cell r="G1524" t="str">
            <v>100% POLYESTER</v>
          </cell>
          <cell r="H1524" t="str">
            <v>57/58</v>
          </cell>
          <cell r="I1524">
            <v>135</v>
          </cell>
          <cell r="J1524">
            <v>1.08</v>
          </cell>
          <cell r="K1524">
            <v>1.26</v>
          </cell>
          <cell r="L1524">
            <v>1.1000000000000001</v>
          </cell>
          <cell r="M1524">
            <v>1.29</v>
          </cell>
          <cell r="N1524">
            <v>1.1200000000000001</v>
          </cell>
          <cell r="O1524">
            <v>1.32</v>
          </cell>
          <cell r="P1524"/>
          <cell r="Q1524"/>
          <cell r="R1524">
            <v>1.27</v>
          </cell>
          <cell r="S1524">
            <v>1.57</v>
          </cell>
          <cell r="T1524"/>
          <cell r="U1524"/>
          <cell r="V1524">
            <v>15</v>
          </cell>
          <cell r="W1524"/>
          <cell r="X1524" t="str">
            <v>GAVIN</v>
          </cell>
          <cell r="Y1524"/>
          <cell r="Z1524" t="str">
            <v>GAVIN ' MAIL 2/11/17</v>
          </cell>
          <cell r="AA1524"/>
          <cell r="AB1524">
            <v>43041</v>
          </cell>
          <cell r="AC1524">
            <v>5512</v>
          </cell>
        </row>
        <row r="1525">
          <cell r="B1525"/>
          <cell r="C1525" t="str">
            <v>TS-426</v>
          </cell>
          <cell r="D1525"/>
          <cell r="E1525"/>
          <cell r="F1525" t="str">
            <v>W/T 50/50</v>
          </cell>
          <cell r="G1525" t="str">
            <v>50% WOOL 50% POLYESTER</v>
          </cell>
          <cell r="H1525" t="str">
            <v>150CM</v>
          </cell>
          <cell r="I1525"/>
          <cell r="J1525">
            <v>5.41</v>
          </cell>
          <cell r="K1525"/>
          <cell r="L1525">
            <v>5.43</v>
          </cell>
          <cell r="M1525"/>
          <cell r="N1525">
            <v>5.45</v>
          </cell>
          <cell r="O1525"/>
          <cell r="P1525"/>
          <cell r="Q1525"/>
          <cell r="R1525">
            <v>5.5</v>
          </cell>
          <cell r="S1525"/>
          <cell r="T1525"/>
          <cell r="U1525"/>
          <cell r="V1525">
            <v>15</v>
          </cell>
          <cell r="W1525"/>
          <cell r="X1525" t="str">
            <v>GAVIN</v>
          </cell>
          <cell r="Y1525"/>
          <cell r="Z1525" t="str">
            <v>GAVIN ' MAIL 2/11/17</v>
          </cell>
          <cell r="AA1525"/>
          <cell r="AB1525">
            <v>43041</v>
          </cell>
          <cell r="AC1525">
            <v>5534</v>
          </cell>
        </row>
        <row r="1526">
          <cell r="B1526">
            <v>3535</v>
          </cell>
          <cell r="C1526" t="str">
            <v>LX045</v>
          </cell>
          <cell r="D1526" t="str">
            <v>RAYON</v>
          </cell>
          <cell r="E1526" t="str">
            <v>30x30 / 68x68</v>
          </cell>
          <cell r="F1526" t="str">
            <v>R100%</v>
          </cell>
          <cell r="G1526" t="str">
            <v>100% RAYON - 30x30/68x68</v>
          </cell>
          <cell r="H1526" t="str">
            <v>55/56</v>
          </cell>
          <cell r="I1526">
            <v>120</v>
          </cell>
          <cell r="J1526">
            <v>1.25</v>
          </cell>
          <cell r="K1526"/>
          <cell r="L1526">
            <v>1.3</v>
          </cell>
          <cell r="M1526"/>
          <cell r="N1526">
            <v>1.35</v>
          </cell>
          <cell r="O1526"/>
          <cell r="P1526"/>
          <cell r="Q1526"/>
          <cell r="R1526">
            <v>1.42</v>
          </cell>
          <cell r="S1526"/>
          <cell r="T1526"/>
          <cell r="U1526"/>
          <cell r="V1526">
            <v>15</v>
          </cell>
          <cell r="W1526"/>
          <cell r="X1526" t="str">
            <v>TINA</v>
          </cell>
          <cell r="Y1526"/>
          <cell r="Z1526" t="str">
            <v>TINA ' MAI 31/10/17</v>
          </cell>
          <cell r="AA1526"/>
          <cell r="AB1526">
            <v>43039</v>
          </cell>
          <cell r="AC1526">
            <v>5556</v>
          </cell>
        </row>
        <row r="1527">
          <cell r="B1527">
            <v>3220</v>
          </cell>
          <cell r="C1527" t="str">
            <v>LX17-515-4</v>
          </cell>
          <cell r="D1527" t="str">
            <v>LACE</v>
          </cell>
          <cell r="E1527"/>
          <cell r="F1527" t="str">
            <v>T/S 92/8</v>
          </cell>
          <cell r="G1527" t="str">
            <v>92%POLY  8%SPANDEX</v>
          </cell>
          <cell r="H1527" t="str">
            <v xml:space="preserve">150CM </v>
          </cell>
          <cell r="I1527">
            <v>108</v>
          </cell>
          <cell r="J1527">
            <v>1.87</v>
          </cell>
          <cell r="K1527"/>
          <cell r="L1527">
            <v>1.92</v>
          </cell>
          <cell r="M1527"/>
          <cell r="N1527">
            <v>1.98</v>
          </cell>
          <cell r="O1527"/>
          <cell r="P1527"/>
          <cell r="Q1527"/>
          <cell r="R1527">
            <v>2.04</v>
          </cell>
          <cell r="S1527"/>
          <cell r="T1527"/>
          <cell r="U1527"/>
          <cell r="V1527">
            <v>15</v>
          </cell>
          <cell r="W1527"/>
          <cell r="X1527" t="str">
            <v>TINA</v>
          </cell>
          <cell r="Y1527"/>
          <cell r="Z1527" t="str">
            <v>TINA ' MAI 31/10/17</v>
          </cell>
          <cell r="AA1527"/>
          <cell r="AB1527">
            <v>43039</v>
          </cell>
          <cell r="AC1527">
            <v>5557</v>
          </cell>
        </row>
        <row r="1528">
          <cell r="B1528">
            <v>3131</v>
          </cell>
          <cell r="C1528" t="str">
            <v>UD-JCE-251383</v>
          </cell>
          <cell r="D1528" t="str">
            <v>COTTON SPANDEX SATEEN</v>
          </cell>
          <cell r="E1528"/>
          <cell r="F1528" t="str">
            <v>C/S 97/3</v>
          </cell>
          <cell r="G1528" t="str">
            <v>97% COTTON 3% SPANDEX</v>
          </cell>
          <cell r="H1528" t="str">
            <v>57/58</v>
          </cell>
          <cell r="I1528">
            <v>170</v>
          </cell>
          <cell r="J1528">
            <v>2.25</v>
          </cell>
          <cell r="K1528">
            <v>2.4300000000000002</v>
          </cell>
          <cell r="L1528">
            <v>2.2799999999999998</v>
          </cell>
          <cell r="M1528">
            <v>2.48</v>
          </cell>
          <cell r="N1528">
            <v>2.35</v>
          </cell>
          <cell r="O1528">
            <v>2.6</v>
          </cell>
          <cell r="P1528"/>
          <cell r="Q1528"/>
          <cell r="R1528">
            <v>2.65</v>
          </cell>
          <cell r="S1528">
            <v>3</v>
          </cell>
          <cell r="T1528"/>
          <cell r="U1528"/>
          <cell r="V1528">
            <v>15</v>
          </cell>
          <cell r="W1528" t="str">
            <v>AMW2120 instead</v>
          </cell>
          <cell r="X1528" t="str">
            <v>WANG HUA</v>
          </cell>
          <cell r="Y1528"/>
          <cell r="Z1528" t="str">
            <v>WANG HUA 'MAIL 31/10/17</v>
          </cell>
          <cell r="AA1528"/>
          <cell r="AB1528">
            <v>43039</v>
          </cell>
          <cell r="AC1528">
            <v>5560</v>
          </cell>
        </row>
        <row r="1529">
          <cell r="B1529">
            <v>2504</v>
          </cell>
          <cell r="C1529">
            <v>16102505</v>
          </cell>
          <cell r="D1529" t="str">
            <v>CHAMBRAY</v>
          </cell>
          <cell r="E1529"/>
          <cell r="F1529" t="str">
            <v>C 100%</v>
          </cell>
          <cell r="G1529" t="str">
            <v xml:space="preserve">100% COTTON </v>
          </cell>
          <cell r="H1529" t="str">
            <v>56/57</v>
          </cell>
          <cell r="I1529">
            <v>140</v>
          </cell>
          <cell r="J1529">
            <v>2.1</v>
          </cell>
          <cell r="K1529"/>
          <cell r="L1529">
            <v>2.1800000000000002</v>
          </cell>
          <cell r="M1529"/>
          <cell r="N1529">
            <v>2.2999999999999998</v>
          </cell>
          <cell r="O1529"/>
          <cell r="P1529"/>
          <cell r="Q1529"/>
          <cell r="R1529">
            <v>2.4500000000000002</v>
          </cell>
          <cell r="S1529"/>
          <cell r="T1529"/>
          <cell r="U1529"/>
          <cell r="V1529"/>
          <cell r="W1529"/>
          <cell r="X1529" t="str">
            <v>OWEN</v>
          </cell>
          <cell r="Y1529"/>
          <cell r="Z1529" t="str">
            <v>SANDY ' MAIL 31/10/17</v>
          </cell>
          <cell r="AA1529"/>
          <cell r="AB1529">
            <v>43039</v>
          </cell>
          <cell r="AC1529">
            <v>5562</v>
          </cell>
        </row>
        <row r="1530">
          <cell r="B1530">
            <v>2503</v>
          </cell>
          <cell r="C1530" t="str">
            <v>16102502JLH</v>
          </cell>
          <cell r="D1530" t="str">
            <v>CHAMBRAY</v>
          </cell>
          <cell r="E1530"/>
          <cell r="F1530" t="str">
            <v>C 100%</v>
          </cell>
          <cell r="G1530" t="str">
            <v xml:space="preserve">100% COTTON </v>
          </cell>
          <cell r="H1530" t="str">
            <v>57/58</v>
          </cell>
          <cell r="I1530">
            <v>112</v>
          </cell>
          <cell r="J1530">
            <v>2.2200000000000002</v>
          </cell>
          <cell r="K1530"/>
          <cell r="L1530">
            <v>2.2999999999999998</v>
          </cell>
          <cell r="M1530"/>
          <cell r="N1530">
            <v>2.4</v>
          </cell>
          <cell r="O1530"/>
          <cell r="P1530"/>
          <cell r="Q1530"/>
          <cell r="R1530">
            <v>2.5499999999999998</v>
          </cell>
          <cell r="S1530"/>
          <cell r="T1530"/>
          <cell r="U1530"/>
          <cell r="V1530"/>
          <cell r="W1530"/>
          <cell r="X1530" t="str">
            <v>OWEN</v>
          </cell>
          <cell r="Y1530"/>
          <cell r="Z1530" t="str">
            <v>SANDY ' MAIL 31/10/17</v>
          </cell>
          <cell r="AA1530"/>
          <cell r="AB1530">
            <v>43039</v>
          </cell>
          <cell r="AC1530">
            <v>5563</v>
          </cell>
        </row>
        <row r="1531">
          <cell r="B1531">
            <v>2500</v>
          </cell>
          <cell r="C1531" t="str">
            <v>16102507JLH</v>
          </cell>
          <cell r="D1531" t="str">
            <v>CHAMBRAY</v>
          </cell>
          <cell r="E1531"/>
          <cell r="F1531" t="str">
            <v>C 100%</v>
          </cell>
          <cell r="G1531" t="str">
            <v xml:space="preserve">100% COTTON </v>
          </cell>
          <cell r="H1531" t="str">
            <v>57/58</v>
          </cell>
          <cell r="I1531">
            <v>105</v>
          </cell>
          <cell r="J1531">
            <v>2.02</v>
          </cell>
          <cell r="K1531"/>
          <cell r="L1531">
            <v>2.11</v>
          </cell>
          <cell r="M1531"/>
          <cell r="N1531">
            <v>2.25</v>
          </cell>
          <cell r="O1531"/>
          <cell r="P1531"/>
          <cell r="Q1531"/>
          <cell r="R1531">
            <v>2.4</v>
          </cell>
          <cell r="S1531"/>
          <cell r="T1531"/>
          <cell r="U1531"/>
          <cell r="V1531"/>
          <cell r="W1531"/>
          <cell r="X1531" t="str">
            <v>OWEN</v>
          </cell>
          <cell r="Y1531"/>
          <cell r="Z1531" t="str">
            <v>SANDY ' MAIL 31/10/17</v>
          </cell>
          <cell r="AA1531"/>
          <cell r="AB1531">
            <v>43039</v>
          </cell>
          <cell r="AC1531">
            <v>5558</v>
          </cell>
        </row>
        <row r="1532">
          <cell r="B1532">
            <v>2499</v>
          </cell>
          <cell r="C1532" t="str">
            <v>16102504JLH</v>
          </cell>
          <cell r="D1532" t="str">
            <v>CHAMBRAY</v>
          </cell>
          <cell r="E1532"/>
          <cell r="F1532" t="str">
            <v>C 100%</v>
          </cell>
          <cell r="G1532" t="str">
            <v xml:space="preserve">100% COTTON </v>
          </cell>
          <cell r="H1532" t="str">
            <v>57/58</v>
          </cell>
          <cell r="I1532">
            <v>130</v>
          </cell>
          <cell r="J1532">
            <v>2.25</v>
          </cell>
          <cell r="K1532"/>
          <cell r="L1532">
            <v>2.33</v>
          </cell>
          <cell r="M1532"/>
          <cell r="N1532">
            <v>2.4500000000000002</v>
          </cell>
          <cell r="O1532"/>
          <cell r="P1532"/>
          <cell r="Q1532"/>
          <cell r="R1532">
            <v>2.6</v>
          </cell>
          <cell r="S1532"/>
          <cell r="T1532"/>
          <cell r="U1532"/>
          <cell r="V1532"/>
          <cell r="W1532"/>
          <cell r="X1532" t="str">
            <v>OWEN</v>
          </cell>
          <cell r="Y1532"/>
          <cell r="Z1532" t="str">
            <v>SANDY ' MAIL 31/10/17</v>
          </cell>
          <cell r="AA1532"/>
          <cell r="AB1532">
            <v>43039</v>
          </cell>
          <cell r="AC1532">
            <v>5564</v>
          </cell>
        </row>
        <row r="1533">
          <cell r="B1533">
            <v>2352</v>
          </cell>
          <cell r="C1533" t="str">
            <v>OLP-CFTS291DY</v>
          </cell>
          <cell r="D1533" t="str">
            <v>RAYON TWILL</v>
          </cell>
          <cell r="E1533"/>
          <cell r="F1533" t="str">
            <v>V100% TWILL</v>
          </cell>
          <cell r="G1533" t="str">
            <v>100% VISCOSE TWILL</v>
          </cell>
          <cell r="H1533" t="str">
            <v>53/54</v>
          </cell>
          <cell r="I1533">
            <v>195</v>
          </cell>
          <cell r="J1533">
            <v>2.4500000000000002</v>
          </cell>
          <cell r="K1533">
            <v>2.85</v>
          </cell>
          <cell r="L1533">
            <v>2.52</v>
          </cell>
          <cell r="M1533">
            <v>2.92</v>
          </cell>
          <cell r="N1533">
            <v>2.65</v>
          </cell>
          <cell r="O1533">
            <v>3.08</v>
          </cell>
          <cell r="P1533"/>
          <cell r="Q1533"/>
          <cell r="R1533">
            <v>2.8</v>
          </cell>
          <cell r="S1533">
            <v>3.78</v>
          </cell>
          <cell r="T1533"/>
          <cell r="U1533"/>
          <cell r="V1533">
            <v>15</v>
          </cell>
          <cell r="W1533"/>
          <cell r="X1533" t="str">
            <v>OWEN</v>
          </cell>
          <cell r="Y1533"/>
          <cell r="Z1533" t="str">
            <v>SANDY ' MAIL 31/10/17</v>
          </cell>
          <cell r="AA1533"/>
          <cell r="AB1533">
            <v>43039</v>
          </cell>
          <cell r="AC1533">
            <v>5559</v>
          </cell>
        </row>
        <row r="1534">
          <cell r="B1534">
            <v>2120</v>
          </cell>
          <cell r="C1534" t="str">
            <v>UD-JCE-151106</v>
          </cell>
          <cell r="D1534" t="str">
            <v>COTTON SATEEN SPANDEX</v>
          </cell>
          <cell r="E1534"/>
          <cell r="F1534" t="str">
            <v>C/S 97/3</v>
          </cell>
          <cell r="G1534" t="str">
            <v>97% COTTON 3% SPANDEX</v>
          </cell>
          <cell r="H1534" t="str">
            <v>57/58</v>
          </cell>
          <cell r="I1534">
            <v>200</v>
          </cell>
          <cell r="J1534">
            <v>2.35</v>
          </cell>
          <cell r="K1534">
            <v>2.5299999999999998</v>
          </cell>
          <cell r="L1534">
            <v>2.38</v>
          </cell>
          <cell r="M1534">
            <v>2.58</v>
          </cell>
          <cell r="N1534">
            <v>2.4500000000000002</v>
          </cell>
          <cell r="O1534">
            <v>2.7</v>
          </cell>
          <cell r="P1534"/>
          <cell r="Q1534"/>
          <cell r="R1534">
            <v>2.75</v>
          </cell>
          <cell r="S1534">
            <v>3.1</v>
          </cell>
          <cell r="T1534"/>
          <cell r="U1534"/>
          <cell r="V1534">
            <v>15</v>
          </cell>
          <cell r="W1534" t="str">
            <v>this one will be instead of AMW3131</v>
          </cell>
          <cell r="X1534" t="str">
            <v>WANG HUA</v>
          </cell>
          <cell r="Y1534"/>
          <cell r="Z1534" t="str">
            <v>WANG HUA 'MAIL 31/10/17</v>
          </cell>
          <cell r="AA1534"/>
          <cell r="AB1534">
            <v>43039</v>
          </cell>
          <cell r="AC1534">
            <v>5561</v>
          </cell>
        </row>
        <row r="1535">
          <cell r="B1535">
            <v>2101</v>
          </cell>
          <cell r="C1535" t="str">
            <v>16803TZ</v>
          </cell>
          <cell r="D1535" t="str">
            <v>CHAMBRAY</v>
          </cell>
          <cell r="E1535"/>
          <cell r="F1535" t="str">
            <v>C 100%</v>
          </cell>
          <cell r="G1535" t="str">
            <v xml:space="preserve">100% COTTON </v>
          </cell>
          <cell r="H1535" t="str">
            <v>57/58</v>
          </cell>
          <cell r="I1535">
            <v>148</v>
          </cell>
          <cell r="J1535">
            <v>2.4500000000000002</v>
          </cell>
          <cell r="K1535">
            <v>2.8</v>
          </cell>
          <cell r="L1535">
            <v>2.52</v>
          </cell>
          <cell r="M1535">
            <v>2.88</v>
          </cell>
          <cell r="N1535">
            <v>2.62</v>
          </cell>
          <cell r="O1535">
            <v>3.02</v>
          </cell>
          <cell r="P1535"/>
          <cell r="Q1535"/>
          <cell r="R1535">
            <v>2.77</v>
          </cell>
          <cell r="S1535">
            <v>3.72</v>
          </cell>
          <cell r="T1535"/>
          <cell r="U1535"/>
          <cell r="V1535"/>
          <cell r="W1535"/>
          <cell r="X1535" t="str">
            <v>OWEN</v>
          </cell>
          <cell r="Y1535"/>
          <cell r="Z1535" t="str">
            <v>SANDY ' MAIL 31/10/17</v>
          </cell>
          <cell r="AA1535"/>
          <cell r="AB1535">
            <v>43039</v>
          </cell>
          <cell r="AC1535">
            <v>5565</v>
          </cell>
        </row>
        <row r="1536">
          <cell r="B1536">
            <v>3824</v>
          </cell>
          <cell r="C1536" t="str">
            <v xml:space="preserve">M-KJ001 </v>
          </cell>
          <cell r="D1536" t="str">
            <v xml:space="preserve">JERSEY </v>
          </cell>
          <cell r="E1536" t="str">
            <v>30S T + 30D SP</v>
          </cell>
          <cell r="F1536" t="str">
            <v>T/S</v>
          </cell>
          <cell r="G1536" t="str">
            <v>POLYESTER / SPANDEX Without Brushed</v>
          </cell>
          <cell r="H1536" t="str">
            <v>58/60</v>
          </cell>
          <cell r="I1536">
            <v>200</v>
          </cell>
          <cell r="J1536">
            <v>1.2</v>
          </cell>
          <cell r="K1536">
            <v>1.28</v>
          </cell>
          <cell r="L1536">
            <v>1.22</v>
          </cell>
          <cell r="M1536">
            <v>1.3</v>
          </cell>
          <cell r="N1536">
            <v>1.22</v>
          </cell>
          <cell r="O1536">
            <v>1.3</v>
          </cell>
          <cell r="P1536"/>
          <cell r="Q1536"/>
          <cell r="R1536">
            <v>1.3</v>
          </cell>
          <cell r="S1536">
            <v>1.38</v>
          </cell>
          <cell r="T1536"/>
          <cell r="U1536"/>
          <cell r="V1536">
            <v>15</v>
          </cell>
          <cell r="W1536"/>
          <cell r="X1536" t="str">
            <v>M-TEX</v>
          </cell>
          <cell r="Y1536"/>
          <cell r="Z1536" t="str">
            <v>LINDA'MAIL 30/10/17</v>
          </cell>
          <cell r="AA1536"/>
          <cell r="AB1536">
            <v>43038</v>
          </cell>
          <cell r="AC1536">
            <v>5568</v>
          </cell>
        </row>
        <row r="1537">
          <cell r="B1537">
            <v>3719</v>
          </cell>
          <cell r="C1537" t="str">
            <v>GL0086</v>
          </cell>
          <cell r="D1537" t="str">
            <v>TAILORING</v>
          </cell>
          <cell r="E1537"/>
          <cell r="F1537" t="str">
            <v>T/R 80/20</v>
          </cell>
          <cell r="G1537" t="str">
            <v>80% POLYESTER 20% RAYON</v>
          </cell>
          <cell r="H1537" t="str">
            <v>57/58</v>
          </cell>
          <cell r="I1537">
            <v>360</v>
          </cell>
          <cell r="J1537">
            <v>2.2999999999999998</v>
          </cell>
          <cell r="K1537"/>
          <cell r="L1537">
            <v>2.3199999999999998</v>
          </cell>
          <cell r="M1537"/>
          <cell r="N1537">
            <v>2.35</v>
          </cell>
          <cell r="O1537"/>
          <cell r="P1537"/>
          <cell r="Q1537"/>
          <cell r="R1537"/>
          <cell r="S1537"/>
          <cell r="T1537"/>
          <cell r="U1537"/>
          <cell r="V1537">
            <v>15</v>
          </cell>
          <cell r="W1537"/>
          <cell r="X1537" t="str">
            <v>NICKY</v>
          </cell>
          <cell r="Y1537"/>
          <cell r="Z1537" t="str">
            <v>NICKY  ' MAIL 30/10/17</v>
          </cell>
          <cell r="AA1537"/>
          <cell r="AB1537">
            <v>43038</v>
          </cell>
          <cell r="AC1537">
            <v>5566</v>
          </cell>
        </row>
        <row r="1538">
          <cell r="B1538">
            <v>3718</v>
          </cell>
          <cell r="C1538" t="str">
            <v>GL0094</v>
          </cell>
          <cell r="D1538" t="str">
            <v>TAILORING</v>
          </cell>
          <cell r="E1538"/>
          <cell r="F1538" t="str">
            <v>T/R 65/35</v>
          </cell>
          <cell r="G1538" t="str">
            <v>65% POLYESTER 35% RAYON</v>
          </cell>
          <cell r="H1538">
            <v>59</v>
          </cell>
          <cell r="I1538">
            <v>362</v>
          </cell>
          <cell r="J1538">
            <v>2.6</v>
          </cell>
          <cell r="K1538"/>
          <cell r="L1538">
            <v>2.65</v>
          </cell>
          <cell r="M1538"/>
          <cell r="N1538">
            <v>2.7</v>
          </cell>
          <cell r="O1538"/>
          <cell r="P1538"/>
          <cell r="Q1538"/>
          <cell r="R1538"/>
          <cell r="S1538"/>
          <cell r="T1538"/>
          <cell r="U1538"/>
          <cell r="V1538">
            <v>15</v>
          </cell>
          <cell r="W1538"/>
          <cell r="X1538" t="str">
            <v>NICKY</v>
          </cell>
          <cell r="Y1538"/>
          <cell r="Z1538" t="str">
            <v>NICKY  ' MAIL 30/10/17</v>
          </cell>
          <cell r="AA1538"/>
          <cell r="AB1538">
            <v>43038</v>
          </cell>
          <cell r="AC1538">
            <v>5567</v>
          </cell>
        </row>
        <row r="1539">
          <cell r="B1539">
            <v>2931</v>
          </cell>
          <cell r="C1539" t="str">
            <v>TS-334</v>
          </cell>
          <cell r="D1539" t="str">
            <v>CREPE ONE FACE</v>
          </cell>
          <cell r="E1539"/>
          <cell r="F1539" t="str">
            <v>T100%</v>
          </cell>
          <cell r="G1539" t="str">
            <v>100% POLYESTER</v>
          </cell>
          <cell r="H1539" t="str">
            <v>57/58</v>
          </cell>
          <cell r="I1539">
            <v>250</v>
          </cell>
          <cell r="J1539">
            <v>2.56</v>
          </cell>
          <cell r="K1539">
            <v>2.69</v>
          </cell>
          <cell r="L1539">
            <v>2.58</v>
          </cell>
          <cell r="M1539">
            <v>2.72</v>
          </cell>
          <cell r="N1539">
            <v>2.6</v>
          </cell>
          <cell r="O1539">
            <v>2.75</v>
          </cell>
          <cell r="P1539"/>
          <cell r="Q1539"/>
          <cell r="R1539">
            <v>2.75</v>
          </cell>
          <cell r="S1539">
            <v>3</v>
          </cell>
          <cell r="T1539"/>
          <cell r="U1539"/>
          <cell r="V1539">
            <v>15</v>
          </cell>
          <cell r="W1539"/>
          <cell r="X1539" t="str">
            <v>GAVIN</v>
          </cell>
          <cell r="Y1539"/>
          <cell r="Z1539" t="str">
            <v>GAVIN ' MAIL 30/10/17</v>
          </cell>
          <cell r="AA1539"/>
          <cell r="AB1539">
            <v>43038</v>
          </cell>
          <cell r="AC1539">
            <v>5569</v>
          </cell>
        </row>
        <row r="1540">
          <cell r="B1540">
            <v>2786</v>
          </cell>
          <cell r="C1540" t="str">
            <v>TS-332</v>
          </cell>
          <cell r="D1540" t="str">
            <v>RAYON TWILL</v>
          </cell>
          <cell r="E1540"/>
          <cell r="F1540" t="str">
            <v>R 100%</v>
          </cell>
          <cell r="G1540" t="str">
            <v>100% RAYON TWILL</v>
          </cell>
          <cell r="H1540" t="str">
            <v>55/56</v>
          </cell>
          <cell r="I1540">
            <v>145</v>
          </cell>
          <cell r="J1540">
            <v>1.38</v>
          </cell>
          <cell r="K1540">
            <v>1.51</v>
          </cell>
          <cell r="L1540">
            <v>1.4</v>
          </cell>
          <cell r="M1540">
            <v>1.54</v>
          </cell>
          <cell r="N1540">
            <v>1.42</v>
          </cell>
          <cell r="O1540">
            <v>1.57</v>
          </cell>
          <cell r="P1540"/>
          <cell r="Q1540"/>
          <cell r="R1540">
            <v>1.57</v>
          </cell>
          <cell r="S1540">
            <v>1.82</v>
          </cell>
          <cell r="T1540"/>
          <cell r="U1540"/>
          <cell r="V1540">
            <v>15</v>
          </cell>
          <cell r="W1540"/>
          <cell r="X1540" t="str">
            <v>GAVIN</v>
          </cell>
          <cell r="Y1540"/>
          <cell r="Z1540" t="str">
            <v>GAVIN ' MAIL 30/10/17</v>
          </cell>
          <cell r="AA1540"/>
          <cell r="AB1540">
            <v>43038</v>
          </cell>
          <cell r="AC1540">
            <v>5570</v>
          </cell>
        </row>
        <row r="1541">
          <cell r="B1541">
            <v>2519</v>
          </cell>
          <cell r="C1541" t="str">
            <v>102536FS</v>
          </cell>
          <cell r="D1541"/>
          <cell r="E1541"/>
          <cell r="F1541" t="str">
            <v>T100%</v>
          </cell>
          <cell r="G1541" t="str">
            <v>100% POLYESTER</v>
          </cell>
          <cell r="H1541" t="str">
            <v>57/58</v>
          </cell>
          <cell r="I1541">
            <v>83</v>
          </cell>
          <cell r="J1541">
            <v>1.42</v>
          </cell>
          <cell r="K1541">
            <v>1.65</v>
          </cell>
          <cell r="L1541">
            <v>1.52</v>
          </cell>
          <cell r="M1541">
            <v>1.8</v>
          </cell>
          <cell r="N1541">
            <v>1.63</v>
          </cell>
          <cell r="O1541">
            <v>2.0499999999999998</v>
          </cell>
          <cell r="P1541"/>
          <cell r="Q1541"/>
          <cell r="R1541">
            <v>1.78</v>
          </cell>
          <cell r="S1541">
            <v>2.8</v>
          </cell>
          <cell r="T1541"/>
          <cell r="U1541"/>
          <cell r="V1541">
            <v>15</v>
          </cell>
          <cell r="W1541"/>
          <cell r="X1541" t="str">
            <v>OWEN</v>
          </cell>
          <cell r="Y1541"/>
          <cell r="Z1541" t="str">
            <v>SANDY ' MAIL 30/10/17</v>
          </cell>
          <cell r="AA1541"/>
          <cell r="AB1541">
            <v>43038</v>
          </cell>
          <cell r="AC1541">
            <v>5571</v>
          </cell>
        </row>
        <row r="1542">
          <cell r="B1542">
            <v>1580</v>
          </cell>
          <cell r="C1542" t="str">
            <v>TS-190</v>
          </cell>
          <cell r="D1542"/>
          <cell r="E1542"/>
          <cell r="F1542" t="str">
            <v>R100%</v>
          </cell>
          <cell r="G1542" t="str">
            <v>100% RAYON</v>
          </cell>
          <cell r="H1542" t="str">
            <v>54/55</v>
          </cell>
          <cell r="I1542">
            <v>135</v>
          </cell>
          <cell r="J1542">
            <v>1.31</v>
          </cell>
          <cell r="K1542">
            <v>1.39</v>
          </cell>
          <cell r="L1542">
            <v>1.33</v>
          </cell>
          <cell r="M1542">
            <v>1.42</v>
          </cell>
          <cell r="N1542">
            <v>1.35</v>
          </cell>
          <cell r="O1542">
            <v>1.45</v>
          </cell>
          <cell r="P1542"/>
          <cell r="Q1542"/>
          <cell r="R1542">
            <v>1.5</v>
          </cell>
          <cell r="S1542">
            <v>1.7</v>
          </cell>
          <cell r="T1542"/>
          <cell r="U1542"/>
          <cell r="V1542">
            <v>15</v>
          </cell>
          <cell r="W1542"/>
          <cell r="X1542" t="str">
            <v>GAVIN</v>
          </cell>
          <cell r="Y1542"/>
          <cell r="Z1542" t="str">
            <v>GAVIN ' MAIL 30/10/17</v>
          </cell>
          <cell r="AA1542"/>
          <cell r="AB1542">
            <v>43038</v>
          </cell>
          <cell r="AC1542">
            <v>5572</v>
          </cell>
        </row>
        <row r="1543">
          <cell r="B1543">
            <v>1070</v>
          </cell>
          <cell r="C1543" t="str">
            <v>BG2433</v>
          </cell>
          <cell r="D1543" t="str">
            <v>RAYON CRINKLE</v>
          </cell>
          <cell r="E1543"/>
          <cell r="F1543" t="str">
            <v>R100%</v>
          </cell>
          <cell r="G1543" t="str">
            <v>100% RAYON</v>
          </cell>
          <cell r="H1543" t="str">
            <v>54/55</v>
          </cell>
          <cell r="I1543">
            <v>145</v>
          </cell>
          <cell r="J1543">
            <v>1.65</v>
          </cell>
          <cell r="K1543">
            <v>1.8</v>
          </cell>
          <cell r="L1543">
            <v>1.68</v>
          </cell>
          <cell r="M1543">
            <v>1.85</v>
          </cell>
          <cell r="N1543">
            <v>1.7</v>
          </cell>
          <cell r="O1543">
            <v>1.9</v>
          </cell>
          <cell r="P1543"/>
          <cell r="Q1543"/>
          <cell r="R1543">
            <v>1.8</v>
          </cell>
          <cell r="S1543">
            <v>2.1</v>
          </cell>
          <cell r="T1543"/>
          <cell r="U1543"/>
          <cell r="V1543">
            <v>15</v>
          </cell>
          <cell r="W1543"/>
          <cell r="X1543" t="str">
            <v>EDWIN</v>
          </cell>
          <cell r="Y1543"/>
          <cell r="Z1543" t="str">
            <v>GRACE ' MAIL 30/10/17</v>
          </cell>
          <cell r="AA1543"/>
          <cell r="AB1543">
            <v>43038</v>
          </cell>
          <cell r="AC1543">
            <v>5573</v>
          </cell>
        </row>
        <row r="1544">
          <cell r="B1544">
            <v>3951</v>
          </cell>
          <cell r="C1544" t="str">
            <v>P5502</v>
          </cell>
          <cell r="D1544"/>
          <cell r="E1544"/>
          <cell r="F1544"/>
          <cell r="G1544" t="str">
            <v>100% POLYESTER - 50Dx80D/221x95</v>
          </cell>
          <cell r="H1544">
            <v>59</v>
          </cell>
          <cell r="I1544">
            <v>87</v>
          </cell>
          <cell r="J1544"/>
          <cell r="K1544"/>
          <cell r="L1544">
            <v>0.92</v>
          </cell>
          <cell r="M1544"/>
          <cell r="N1544"/>
          <cell r="O1544"/>
          <cell r="P1544"/>
          <cell r="Q1544"/>
          <cell r="R1544"/>
          <cell r="S1544"/>
          <cell r="T1544"/>
          <cell r="U1544"/>
          <cell r="V1544">
            <v>15</v>
          </cell>
          <cell r="W1544"/>
          <cell r="X1544" t="str">
            <v>T.H.THÀNH</v>
          </cell>
          <cell r="Y1544"/>
          <cell r="Z1544" t="str">
            <v>HOA' MAIL 29/10/17</v>
          </cell>
          <cell r="AA1544"/>
          <cell r="AB1544">
            <v>43037</v>
          </cell>
          <cell r="AC1544">
            <v>5574</v>
          </cell>
        </row>
        <row r="1545">
          <cell r="B1545">
            <v>3950</v>
          </cell>
          <cell r="C1545" t="str">
            <v>P89701</v>
          </cell>
          <cell r="D1545" t="str">
            <v>KNIT</v>
          </cell>
          <cell r="E1545"/>
          <cell r="F1545"/>
          <cell r="G1545" t="str">
            <v>100% POLYESTER - 75D/72F</v>
          </cell>
          <cell r="H1545" t="str">
            <v>171CM</v>
          </cell>
          <cell r="I1545">
            <v>107</v>
          </cell>
          <cell r="J1545"/>
          <cell r="K1545"/>
          <cell r="L1545">
            <v>0.92</v>
          </cell>
          <cell r="M1545"/>
          <cell r="N1545"/>
          <cell r="O1545"/>
          <cell r="P1545"/>
          <cell r="Q1545"/>
          <cell r="R1545"/>
          <cell r="S1545"/>
          <cell r="T1545"/>
          <cell r="U1545"/>
          <cell r="V1545">
            <v>15</v>
          </cell>
          <cell r="W1545"/>
          <cell r="X1545" t="str">
            <v>T.H.THÀNH</v>
          </cell>
          <cell r="Y1545"/>
          <cell r="Z1545" t="str">
            <v>HOA' MAIL 29/10/17</v>
          </cell>
          <cell r="AA1545"/>
          <cell r="AB1545">
            <v>43037</v>
          </cell>
          <cell r="AC1545">
            <v>5575</v>
          </cell>
        </row>
        <row r="1546">
          <cell r="B1546">
            <v>3949</v>
          </cell>
          <cell r="C1546" t="str">
            <v>E15302</v>
          </cell>
          <cell r="D1546" t="str">
            <v>INTERLOCK - LINING</v>
          </cell>
          <cell r="E1546"/>
          <cell r="F1546"/>
          <cell r="G1546" t="str">
            <v>100% POLYESTER - 75D/72F</v>
          </cell>
          <cell r="H1546" t="str">
            <v>165CM</v>
          </cell>
          <cell r="I1546">
            <v>138</v>
          </cell>
          <cell r="J1546"/>
          <cell r="K1546"/>
          <cell r="L1546">
            <v>1.2</v>
          </cell>
          <cell r="M1546"/>
          <cell r="N1546"/>
          <cell r="O1546"/>
          <cell r="P1546"/>
          <cell r="Q1546"/>
          <cell r="R1546"/>
          <cell r="S1546"/>
          <cell r="T1546"/>
          <cell r="U1546"/>
          <cell r="V1546">
            <v>15</v>
          </cell>
          <cell r="W1546"/>
          <cell r="X1546" t="str">
            <v>T.H.THÀNH</v>
          </cell>
          <cell r="Y1546"/>
          <cell r="Z1546" t="str">
            <v>HOA' MAIL 29/10/17</v>
          </cell>
          <cell r="AA1546"/>
          <cell r="AB1546">
            <v>43037</v>
          </cell>
          <cell r="AC1546">
            <v>5576</v>
          </cell>
        </row>
        <row r="1547">
          <cell r="B1547">
            <v>3948</v>
          </cell>
          <cell r="C1547" t="str">
            <v>E12304</v>
          </cell>
          <cell r="D1547" t="str">
            <v>KNIT</v>
          </cell>
          <cell r="E1547"/>
          <cell r="F1547"/>
          <cell r="G1547" t="str">
            <v>90% POLYESTER + 10% SPANDEX - Dty75D/72F</v>
          </cell>
          <cell r="H1547" t="str">
            <v>172+2CM</v>
          </cell>
          <cell r="I1547">
            <v>130</v>
          </cell>
          <cell r="J1547"/>
          <cell r="K1547"/>
          <cell r="L1547">
            <v>1.4</v>
          </cell>
          <cell r="M1547"/>
          <cell r="N1547"/>
          <cell r="O1547"/>
          <cell r="P1547"/>
          <cell r="Q1547"/>
          <cell r="R1547"/>
          <cell r="S1547"/>
          <cell r="T1547"/>
          <cell r="U1547"/>
          <cell r="V1547">
            <v>15</v>
          </cell>
          <cell r="W1547"/>
          <cell r="X1547" t="str">
            <v>T.H.THÀNH</v>
          </cell>
          <cell r="Y1547"/>
          <cell r="Z1547" t="str">
            <v>HOA' MAIL 29/10/17</v>
          </cell>
          <cell r="AA1547"/>
          <cell r="AB1547">
            <v>43037</v>
          </cell>
          <cell r="AC1547">
            <v>5577</v>
          </cell>
        </row>
        <row r="1548">
          <cell r="B1548">
            <v>3947</v>
          </cell>
          <cell r="C1548" t="str">
            <v>P101602</v>
          </cell>
          <cell r="D1548" t="str">
            <v>KNIT</v>
          </cell>
          <cell r="E1548"/>
          <cell r="F1548"/>
          <cell r="G1548" t="str">
            <v>86% POLYESTER 14% SPANDEX - 150D/144F/1+70D</v>
          </cell>
          <cell r="H1548" t="str">
            <v>67/69</v>
          </cell>
          <cell r="I1548" t="str">
            <v>280 +/- 5%</v>
          </cell>
          <cell r="J1548"/>
          <cell r="K1548"/>
          <cell r="L1548">
            <v>3.15</v>
          </cell>
          <cell r="M1548"/>
          <cell r="N1548"/>
          <cell r="O1548"/>
          <cell r="P1548"/>
          <cell r="Q1548"/>
          <cell r="R1548"/>
          <cell r="S1548"/>
          <cell r="T1548"/>
          <cell r="U1548"/>
          <cell r="V1548">
            <v>15</v>
          </cell>
          <cell r="W1548"/>
          <cell r="X1548" t="str">
            <v>T.H.THÀNH</v>
          </cell>
          <cell r="Y1548"/>
          <cell r="Z1548" t="str">
            <v>HOA' MAIL 29/10/17</v>
          </cell>
          <cell r="AA1548"/>
          <cell r="AB1548">
            <v>43037</v>
          </cell>
          <cell r="AC1548">
            <v>5578</v>
          </cell>
        </row>
        <row r="1549">
          <cell r="B1549">
            <v>3946</v>
          </cell>
          <cell r="C1549" t="str">
            <v>P101605</v>
          </cell>
          <cell r="D1549" t="str">
            <v>KNIT</v>
          </cell>
          <cell r="E1549"/>
          <cell r="F1549"/>
          <cell r="G1549" t="str">
            <v>84% POLYESTER 16% SPANDEX - 150D/144F/1+70D-SS4001</v>
          </cell>
          <cell r="H1549" t="str">
            <v>58/60</v>
          </cell>
          <cell r="I1549" t="str">
            <v>260 +/- 5%</v>
          </cell>
          <cell r="J1549"/>
          <cell r="K1549"/>
          <cell r="L1549">
            <v>2.7</v>
          </cell>
          <cell r="M1549"/>
          <cell r="N1549"/>
          <cell r="O1549"/>
          <cell r="P1549"/>
          <cell r="Q1549"/>
          <cell r="R1549"/>
          <cell r="S1549"/>
          <cell r="T1549"/>
          <cell r="U1549"/>
          <cell r="V1549">
            <v>15</v>
          </cell>
          <cell r="W1549"/>
          <cell r="X1549" t="str">
            <v>T.H.THÀNH</v>
          </cell>
          <cell r="Y1549"/>
          <cell r="Z1549" t="str">
            <v>HOA' MAIL 29/10/17</v>
          </cell>
          <cell r="AA1549"/>
          <cell r="AB1549">
            <v>43037</v>
          </cell>
          <cell r="AC1549">
            <v>5579</v>
          </cell>
        </row>
        <row r="1550">
          <cell r="B1550">
            <v>3945</v>
          </cell>
          <cell r="C1550" t="str">
            <v>P103701</v>
          </cell>
          <cell r="D1550" t="str">
            <v>KNIT</v>
          </cell>
          <cell r="E1550"/>
          <cell r="F1550"/>
          <cell r="G1550" t="str">
            <v>100% POLYESTER - 100D/144F/1 DTY SD</v>
          </cell>
          <cell r="H1550" t="str">
            <v>68/69</v>
          </cell>
          <cell r="I1550" t="str">
            <v>145 +/- 5%</v>
          </cell>
          <cell r="J1550"/>
          <cell r="K1550"/>
          <cell r="L1550">
            <v>1.3</v>
          </cell>
          <cell r="M1550"/>
          <cell r="N1550"/>
          <cell r="O1550"/>
          <cell r="P1550"/>
          <cell r="Q1550"/>
          <cell r="R1550"/>
          <cell r="S1550"/>
          <cell r="T1550"/>
          <cell r="U1550"/>
          <cell r="V1550">
            <v>15</v>
          </cell>
          <cell r="W1550"/>
          <cell r="X1550" t="str">
            <v>T.H.THÀNH</v>
          </cell>
          <cell r="Y1550"/>
          <cell r="Z1550" t="str">
            <v>HOA' MAIL 29/10/17</v>
          </cell>
          <cell r="AA1550"/>
          <cell r="AB1550">
            <v>43037</v>
          </cell>
          <cell r="AC1550">
            <v>5580</v>
          </cell>
        </row>
        <row r="1551">
          <cell r="B1551">
            <v>3944</v>
          </cell>
          <cell r="C1551" t="str">
            <v>P88801</v>
          </cell>
          <cell r="D1551" t="str">
            <v>TAILORING</v>
          </cell>
          <cell r="E1551"/>
          <cell r="F1551"/>
          <cell r="G1551" t="str">
            <v>100% POLYESTER - P150/48/2xP150/48/2/80x66</v>
          </cell>
          <cell r="H1551">
            <v>59</v>
          </cell>
          <cell r="I1551">
            <v>230</v>
          </cell>
          <cell r="J1551"/>
          <cell r="K1551"/>
          <cell r="L1551">
            <v>1.42</v>
          </cell>
          <cell r="M1551"/>
          <cell r="N1551"/>
          <cell r="O1551"/>
          <cell r="P1551"/>
          <cell r="Q1551"/>
          <cell r="R1551"/>
          <cell r="S1551"/>
          <cell r="T1551"/>
          <cell r="U1551"/>
          <cell r="V1551">
            <v>15</v>
          </cell>
          <cell r="W1551"/>
          <cell r="X1551" t="str">
            <v>T.H.THÀNH</v>
          </cell>
          <cell r="Y1551"/>
          <cell r="Z1551" t="str">
            <v>HOA' MAIL 29/10/17</v>
          </cell>
          <cell r="AA1551"/>
          <cell r="AB1551">
            <v>43037</v>
          </cell>
          <cell r="AC1551">
            <v>5581</v>
          </cell>
        </row>
        <row r="1552">
          <cell r="B1552">
            <v>3943</v>
          </cell>
          <cell r="C1552" t="str">
            <v>P102102</v>
          </cell>
          <cell r="D1552" t="str">
            <v>KNIT</v>
          </cell>
          <cell r="E1552"/>
          <cell r="F1552"/>
          <cell r="G1552" t="str">
            <v>100% POLYESTER - 150D/96Fx75D/36F (Mesh Face)</v>
          </cell>
          <cell r="H1552" t="str">
            <v>63/65</v>
          </cell>
          <cell r="I1552" t="str">
            <v>220 +/- 5%</v>
          </cell>
          <cell r="J1552"/>
          <cell r="K1552"/>
          <cell r="L1552">
            <v>1.7</v>
          </cell>
          <cell r="M1552"/>
          <cell r="N1552"/>
          <cell r="O1552"/>
          <cell r="P1552"/>
          <cell r="Q1552"/>
          <cell r="R1552"/>
          <cell r="S1552"/>
          <cell r="T1552"/>
          <cell r="U1552"/>
          <cell r="V1552">
            <v>15</v>
          </cell>
          <cell r="W1552"/>
          <cell r="X1552" t="str">
            <v>T.H.THÀNH</v>
          </cell>
          <cell r="Y1552"/>
          <cell r="Z1552" t="str">
            <v>HOA' MAIL 29/10/17</v>
          </cell>
          <cell r="AA1552"/>
          <cell r="AB1552">
            <v>43037</v>
          </cell>
          <cell r="AC1552">
            <v>5582</v>
          </cell>
        </row>
        <row r="1553">
          <cell r="B1553">
            <v>3942</v>
          </cell>
          <cell r="C1553" t="str">
            <v>P102201</v>
          </cell>
          <cell r="D1553" t="str">
            <v>KNIT</v>
          </cell>
          <cell r="E1553"/>
          <cell r="F1553"/>
          <cell r="G1553" t="str">
            <v>100% POLYESTER - 75D/72Fx300D/96F (Backsisde)</v>
          </cell>
          <cell r="H1553" t="str">
            <v>56/57</v>
          </cell>
          <cell r="I1553" t="str">
            <v>195 +/- 5%</v>
          </cell>
          <cell r="J1553"/>
          <cell r="K1553"/>
          <cell r="L1553">
            <v>1.5</v>
          </cell>
          <cell r="M1553"/>
          <cell r="N1553"/>
          <cell r="O1553"/>
          <cell r="P1553"/>
          <cell r="Q1553"/>
          <cell r="R1553"/>
          <cell r="S1553"/>
          <cell r="T1553"/>
          <cell r="U1553"/>
          <cell r="V1553">
            <v>15</v>
          </cell>
          <cell r="W1553"/>
          <cell r="X1553" t="str">
            <v>T.H.THÀNH</v>
          </cell>
          <cell r="Y1553"/>
          <cell r="Z1553" t="str">
            <v>HOA' MAIL 29/10/17</v>
          </cell>
          <cell r="AA1553"/>
          <cell r="AB1553">
            <v>43037</v>
          </cell>
          <cell r="AC1553">
            <v>5583</v>
          </cell>
        </row>
        <row r="1554">
          <cell r="B1554">
            <v>3941</v>
          </cell>
          <cell r="C1554" t="str">
            <v>E15802</v>
          </cell>
          <cell r="D1554" t="str">
            <v>INTERLOCK - LINING</v>
          </cell>
          <cell r="E1554"/>
          <cell r="F1554"/>
          <cell r="G1554" t="str">
            <v>100% POLYESTER - 100D/96F</v>
          </cell>
          <cell r="H1554" t="str">
            <v>65/67</v>
          </cell>
          <cell r="I1554" t="str">
            <v>180 +/- 5%</v>
          </cell>
          <cell r="J1554"/>
          <cell r="K1554"/>
          <cell r="L1554">
            <v>1.46</v>
          </cell>
          <cell r="M1554"/>
          <cell r="N1554"/>
          <cell r="O1554"/>
          <cell r="P1554"/>
          <cell r="Q1554"/>
          <cell r="R1554"/>
          <cell r="S1554"/>
          <cell r="T1554"/>
          <cell r="U1554"/>
          <cell r="V1554">
            <v>15</v>
          </cell>
          <cell r="W1554"/>
          <cell r="X1554" t="str">
            <v>T.H.THÀNH</v>
          </cell>
          <cell r="Y1554"/>
          <cell r="Z1554" t="str">
            <v>HOA' MAIL 29/10/17</v>
          </cell>
          <cell r="AA1554"/>
          <cell r="AB1554">
            <v>43037</v>
          </cell>
          <cell r="AC1554">
            <v>5584</v>
          </cell>
        </row>
        <row r="1555">
          <cell r="B1555">
            <v>3940</v>
          </cell>
          <cell r="C1555" t="str">
            <v>E10102</v>
          </cell>
          <cell r="D1555" t="str">
            <v>SILKY INTERLOCK - LINING</v>
          </cell>
          <cell r="E1555"/>
          <cell r="F1555"/>
          <cell r="G1555" t="str">
            <v>100% POLYESTER - 50D/36F</v>
          </cell>
          <cell r="H1555" t="str">
            <v>64-65</v>
          </cell>
          <cell r="I1555">
            <v>78</v>
          </cell>
          <cell r="J1555"/>
          <cell r="K1555"/>
          <cell r="L1555">
            <v>0.7</v>
          </cell>
          <cell r="M1555"/>
          <cell r="N1555"/>
          <cell r="O1555"/>
          <cell r="P1555"/>
          <cell r="Q1555"/>
          <cell r="R1555"/>
          <cell r="S1555"/>
          <cell r="T1555"/>
          <cell r="U1555"/>
          <cell r="V1555">
            <v>15</v>
          </cell>
          <cell r="W1555"/>
          <cell r="X1555" t="str">
            <v>T.H.THÀNH</v>
          </cell>
          <cell r="Y1555"/>
          <cell r="Z1555" t="str">
            <v>HOA' MAIL 29/10/17</v>
          </cell>
          <cell r="AA1555"/>
          <cell r="AB1555">
            <v>43037</v>
          </cell>
          <cell r="AC1555">
            <v>5585</v>
          </cell>
        </row>
        <row r="1556">
          <cell r="B1556">
            <v>2537</v>
          </cell>
          <cell r="C1556" t="str">
            <v>XQ162</v>
          </cell>
          <cell r="D1556" t="str">
            <v>POLY DOT</v>
          </cell>
          <cell r="E1556"/>
          <cell r="F1556" t="str">
            <v>T100%</v>
          </cell>
          <cell r="G1556" t="str">
            <v>100% POLYESTER</v>
          </cell>
          <cell r="H1556" t="str">
            <v>57/58</v>
          </cell>
          <cell r="I1556">
            <v>80</v>
          </cell>
          <cell r="J1556">
            <v>1.34</v>
          </cell>
          <cell r="K1556">
            <v>1.52</v>
          </cell>
          <cell r="L1556">
            <v>1.36</v>
          </cell>
          <cell r="M1556">
            <v>1.55</v>
          </cell>
          <cell r="N1556">
            <v>1.38</v>
          </cell>
          <cell r="O1556">
            <v>1.58</v>
          </cell>
          <cell r="P1556"/>
          <cell r="Q1556"/>
          <cell r="R1556">
            <v>1.53</v>
          </cell>
          <cell r="S1556">
            <v>1.83</v>
          </cell>
          <cell r="T1556"/>
          <cell r="U1556"/>
          <cell r="V1556">
            <v>15</v>
          </cell>
          <cell r="W1556"/>
          <cell r="X1556" t="str">
            <v>GAVIN</v>
          </cell>
          <cell r="Y1556"/>
          <cell r="Z1556" t="str">
            <v>GAVIN' MAIL 28/10/17</v>
          </cell>
          <cell r="AA1556"/>
          <cell r="AB1556">
            <v>43036</v>
          </cell>
          <cell r="AC1556">
            <v>5586</v>
          </cell>
        </row>
        <row r="1557">
          <cell r="B1557">
            <v>3953</v>
          </cell>
          <cell r="C1557" t="str">
            <v>UD-JC-351329</v>
          </cell>
          <cell r="D1557" t="str">
            <v>Y/D COTTON</v>
          </cell>
          <cell r="E1557" t="str">
            <v>-32x32 106x86</v>
          </cell>
          <cell r="F1557" t="str">
            <v>C100%</v>
          </cell>
          <cell r="G1557" t="str">
            <v xml:space="preserve">100% COTTON </v>
          </cell>
          <cell r="H1557" t="str">
            <v>57/58</v>
          </cell>
          <cell r="I1557">
            <v>140</v>
          </cell>
          <cell r="J1557">
            <v>2.06</v>
          </cell>
          <cell r="K1557"/>
          <cell r="L1557">
            <v>2.09</v>
          </cell>
          <cell r="M1557"/>
          <cell r="N1557">
            <v>2.12</v>
          </cell>
          <cell r="O1557"/>
          <cell r="P1557"/>
          <cell r="Q1557"/>
          <cell r="R1557">
            <v>2.36</v>
          </cell>
          <cell r="S1557"/>
          <cell r="T1557"/>
          <cell r="U1557"/>
          <cell r="V1557">
            <v>15</v>
          </cell>
          <cell r="W1557"/>
          <cell r="X1557" t="str">
            <v>WANG HUA</v>
          </cell>
          <cell r="Y1557"/>
          <cell r="Z1557" t="str">
            <v>WANG HUA 27/10/17</v>
          </cell>
          <cell r="AA1557"/>
          <cell r="AB1557">
            <v>43035</v>
          </cell>
          <cell r="AC1557">
            <v>5587</v>
          </cell>
        </row>
        <row r="1558">
          <cell r="B1558">
            <v>3716</v>
          </cell>
          <cell r="C1558" t="str">
            <v>ET1019</v>
          </cell>
          <cell r="D1558" t="str">
            <v>KNIT - ITY</v>
          </cell>
          <cell r="E1558"/>
          <cell r="F1558" t="str">
            <v>T/S 93/7</v>
          </cell>
          <cell r="G1558" t="str">
            <v>93% POLYESTER 7% SPANDEX</v>
          </cell>
          <cell r="H1558">
            <v>60</v>
          </cell>
          <cell r="I1558">
            <v>210</v>
          </cell>
          <cell r="J1558">
            <v>2.02</v>
          </cell>
          <cell r="K1558">
            <v>2.33</v>
          </cell>
          <cell r="L1558">
            <v>2.2200000000000002</v>
          </cell>
          <cell r="M1558">
            <v>2.5299999999999998</v>
          </cell>
          <cell r="N1558">
            <v>2.2200000000000002</v>
          </cell>
          <cell r="O1558">
            <v>2.5299999999999998</v>
          </cell>
          <cell r="P1558"/>
          <cell r="Q1558"/>
          <cell r="R1558">
            <v>3.04</v>
          </cell>
          <cell r="S1558">
            <v>3.33</v>
          </cell>
          <cell r="T1558"/>
          <cell r="U1558"/>
          <cell r="V1558">
            <v>15</v>
          </cell>
          <cell r="W1558"/>
          <cell r="X1558" t="str">
            <v>PANI</v>
          </cell>
          <cell r="Y1558"/>
          <cell r="Z1558" t="str">
            <v>ROSE ' MAIL 26/10/17</v>
          </cell>
          <cell r="AA1558"/>
          <cell r="AB1558">
            <v>43034</v>
          </cell>
          <cell r="AC1558">
            <v>5588</v>
          </cell>
        </row>
        <row r="1559">
          <cell r="B1559">
            <v>3405</v>
          </cell>
          <cell r="C1559" t="str">
            <v>M-2015028A</v>
          </cell>
          <cell r="D1559"/>
          <cell r="E1559" t="str">
            <v>103x82 - (75/72 + 40D)x2</v>
          </cell>
          <cell r="F1559" t="str">
            <v>T 100%</v>
          </cell>
          <cell r="G1559" t="str">
            <v>86% POLY 14% SPANDEX</v>
          </cell>
          <cell r="H1559" t="str">
            <v>148CM</v>
          </cell>
          <cell r="I1559">
            <v>220</v>
          </cell>
          <cell r="J1559">
            <v>2</v>
          </cell>
          <cell r="K1559">
            <v>2.25</v>
          </cell>
          <cell r="L1559">
            <v>2.02</v>
          </cell>
          <cell r="M1559">
            <v>2.27</v>
          </cell>
          <cell r="N1559">
            <v>2.0499999999999998</v>
          </cell>
          <cell r="O1559">
            <v>2.4</v>
          </cell>
          <cell r="P1559"/>
          <cell r="Q1559"/>
          <cell r="R1559">
            <v>2.1</v>
          </cell>
          <cell r="S1559">
            <v>2.5</v>
          </cell>
          <cell r="T1559"/>
          <cell r="U1559"/>
          <cell r="V1559">
            <v>15</v>
          </cell>
          <cell r="W1559"/>
          <cell r="X1559" t="str">
            <v>M-TEX</v>
          </cell>
          <cell r="Y1559"/>
          <cell r="Z1559" t="str">
            <v>LINDA' MAIL 26/10/17</v>
          </cell>
          <cell r="AA1559"/>
          <cell r="AB1559">
            <v>43034</v>
          </cell>
          <cell r="AC1559">
            <v>5589</v>
          </cell>
        </row>
        <row r="1560">
          <cell r="B1560">
            <v>3728</v>
          </cell>
          <cell r="C1560" t="str">
            <v xml:space="preserve">K-3018 </v>
          </cell>
          <cell r="D1560" t="str">
            <v xml:space="preserve">KNIT WITH FOIL </v>
          </cell>
          <cell r="E1560"/>
          <cell r="F1560" t="str">
            <v>T100%</v>
          </cell>
          <cell r="G1560" t="str">
            <v xml:space="preserve">100%POLYESTER -  KNIT WITH FOIL </v>
          </cell>
          <cell r="H1560" t="str">
            <v>56/57</v>
          </cell>
          <cell r="I1560">
            <v>160</v>
          </cell>
          <cell r="J1560"/>
          <cell r="K1560">
            <v>3.04</v>
          </cell>
          <cell r="L1560"/>
          <cell r="M1560">
            <v>3.07</v>
          </cell>
          <cell r="N1560"/>
          <cell r="O1560">
            <v>3.07</v>
          </cell>
          <cell r="P1560"/>
          <cell r="Q1560"/>
          <cell r="R1560"/>
          <cell r="S1560">
            <v>3.42</v>
          </cell>
          <cell r="T1560"/>
          <cell r="U1560"/>
          <cell r="V1560">
            <v>15</v>
          </cell>
          <cell r="W1560"/>
          <cell r="X1560" t="str">
            <v>LIVALTEX</v>
          </cell>
          <cell r="Y1560"/>
          <cell r="Z1560" t="str">
            <v>ROSE ' MAIL 25/10/17</v>
          </cell>
          <cell r="AA1560"/>
          <cell r="AB1560">
            <v>43033</v>
          </cell>
          <cell r="AC1560">
            <v>5591</v>
          </cell>
        </row>
        <row r="1561">
          <cell r="B1561">
            <v>3531</v>
          </cell>
          <cell r="C1561" t="str">
            <v>SP - 678</v>
          </cell>
          <cell r="D1561" t="str">
            <v>TWILL</v>
          </cell>
          <cell r="E1561" t="str">
            <v>30Dx10S</v>
          </cell>
          <cell r="F1561" t="str">
            <v>T/R 10/90</v>
          </cell>
          <cell r="G1561" t="str">
            <v>90% RAYON 10% POLYESTER</v>
          </cell>
          <cell r="H1561" t="str">
            <v>57/58</v>
          </cell>
          <cell r="I1561">
            <v>190</v>
          </cell>
          <cell r="J1561">
            <v>2.5299999999999998</v>
          </cell>
          <cell r="K1561"/>
          <cell r="L1561">
            <v>2.58</v>
          </cell>
          <cell r="M1561"/>
          <cell r="N1561">
            <v>2.58</v>
          </cell>
          <cell r="O1561"/>
          <cell r="P1561"/>
          <cell r="Q1561"/>
          <cell r="R1561">
            <v>3.13</v>
          </cell>
          <cell r="S1561"/>
          <cell r="T1561"/>
          <cell r="U1561"/>
          <cell r="V1561">
            <v>15</v>
          </cell>
          <cell r="W1561"/>
          <cell r="X1561" t="str">
            <v>LIVALTEX</v>
          </cell>
          <cell r="Y1561"/>
          <cell r="Z1561" t="str">
            <v>ROSE ' MAIL 25/10/17</v>
          </cell>
          <cell r="AA1561"/>
          <cell r="AB1561">
            <v>43033</v>
          </cell>
          <cell r="AC1561">
            <v>5590</v>
          </cell>
        </row>
        <row r="1562">
          <cell r="B1562">
            <v>1797</v>
          </cell>
          <cell r="C1562" t="str">
            <v>LX183</v>
          </cell>
          <cell r="D1562"/>
          <cell r="E1562"/>
          <cell r="F1562" t="str">
            <v>T100%</v>
          </cell>
          <cell r="G1562" t="str">
            <v xml:space="preserve">100% POLYESTER  </v>
          </cell>
          <cell r="H1562" t="str">
            <v>57/58</v>
          </cell>
          <cell r="I1562">
            <v>198</v>
          </cell>
          <cell r="J1562">
            <v>1.88</v>
          </cell>
          <cell r="K1562">
            <v>1.98</v>
          </cell>
          <cell r="L1562">
            <v>1.88</v>
          </cell>
          <cell r="M1562">
            <v>2</v>
          </cell>
          <cell r="N1562">
            <v>1.9</v>
          </cell>
          <cell r="O1562">
            <v>2.02</v>
          </cell>
          <cell r="P1562"/>
          <cell r="Q1562"/>
          <cell r="R1562">
            <v>2</v>
          </cell>
          <cell r="S1562">
            <v>2.15</v>
          </cell>
          <cell r="T1562"/>
          <cell r="U1562"/>
          <cell r="V1562">
            <v>15</v>
          </cell>
          <cell r="W1562"/>
          <cell r="X1562" t="str">
            <v>TINA</v>
          </cell>
          <cell r="Y1562"/>
          <cell r="Z1562" t="str">
            <v>TINA ' MAIL 25/10/17</v>
          </cell>
          <cell r="AA1562"/>
          <cell r="AB1562">
            <v>43033</v>
          </cell>
          <cell r="AC1562">
            <v>5592</v>
          </cell>
        </row>
        <row r="1563">
          <cell r="B1563">
            <v>3717</v>
          </cell>
          <cell r="C1563" t="str">
            <v xml:space="preserve">XH-9036-21 </v>
          </cell>
          <cell r="D1563" t="str">
            <v xml:space="preserve">PONTE </v>
          </cell>
          <cell r="E1563"/>
          <cell r="F1563" t="str">
            <v>T/R/S 75/21/4</v>
          </cell>
          <cell r="G1563" t="str">
            <v>75% POLYESTER 21% RAYON 4% SPANDEX</v>
          </cell>
          <cell r="H1563">
            <v>150</v>
          </cell>
          <cell r="I1563">
            <v>320</v>
          </cell>
          <cell r="J1563">
            <v>2.2000000000000002</v>
          </cell>
          <cell r="K1563"/>
          <cell r="L1563">
            <v>2.2000000000000002</v>
          </cell>
          <cell r="M1563"/>
          <cell r="N1563">
            <v>2.2999999999999998</v>
          </cell>
          <cell r="O1563"/>
          <cell r="P1563"/>
          <cell r="Q1563"/>
          <cell r="R1563">
            <v>2.4</v>
          </cell>
          <cell r="S1563"/>
          <cell r="T1563"/>
          <cell r="U1563"/>
          <cell r="V1563">
            <v>15</v>
          </cell>
          <cell r="W1563" t="str">
            <v xml:space="preserve">MVS QUALITY </v>
          </cell>
          <cell r="X1563" t="str">
            <v>PANI</v>
          </cell>
          <cell r="Y1563"/>
          <cell r="Z1563" t="str">
            <v>AMY ' MAIL 24/10/17</v>
          </cell>
          <cell r="AA1563"/>
          <cell r="AB1563">
            <v>43032</v>
          </cell>
          <cell r="AC1563">
            <v>5593</v>
          </cell>
        </row>
        <row r="1564">
          <cell r="B1564">
            <v>3715</v>
          </cell>
          <cell r="C1564" t="str">
            <v>T-1815 R</v>
          </cell>
          <cell r="D1564"/>
          <cell r="E1564"/>
          <cell r="F1564" t="str">
            <v>T100%</v>
          </cell>
          <cell r="G1564" t="str">
            <v>100% POLYESTER</v>
          </cell>
          <cell r="H1564" t="str">
            <v>57/58</v>
          </cell>
          <cell r="I1564"/>
          <cell r="J1564">
            <v>2.09</v>
          </cell>
          <cell r="K1564"/>
          <cell r="L1564">
            <v>2.14</v>
          </cell>
          <cell r="M1564"/>
          <cell r="N1564">
            <v>2.14</v>
          </cell>
          <cell r="O1564"/>
          <cell r="P1564"/>
          <cell r="Q1564"/>
          <cell r="R1564">
            <v>2.4900000000000002</v>
          </cell>
          <cell r="S1564"/>
          <cell r="T1564"/>
          <cell r="U1564"/>
          <cell r="V1564">
            <v>15</v>
          </cell>
          <cell r="W1564"/>
          <cell r="X1564" t="str">
            <v>LIVALTEX</v>
          </cell>
          <cell r="Y1564"/>
          <cell r="Z1564" t="str">
            <v>ROSE' MAIL 24/10/17</v>
          </cell>
          <cell r="AA1564"/>
          <cell r="AB1564">
            <v>43032</v>
          </cell>
          <cell r="AC1564">
            <v>5594</v>
          </cell>
        </row>
        <row r="1565">
          <cell r="B1565">
            <v>2713</v>
          </cell>
          <cell r="C1565" t="str">
            <v>HLT3769</v>
          </cell>
          <cell r="D1565"/>
          <cell r="E1565"/>
          <cell r="F1565" t="str">
            <v>C100%</v>
          </cell>
          <cell r="G1565" t="str">
            <v>100%COTTON</v>
          </cell>
          <cell r="H1565" t="str">
            <v>146CM</v>
          </cell>
          <cell r="I1565">
            <v>84</v>
          </cell>
          <cell r="J1565">
            <v>2.38</v>
          </cell>
          <cell r="K1565"/>
          <cell r="L1565">
            <v>2.38</v>
          </cell>
          <cell r="M1565"/>
          <cell r="N1565">
            <v>2.38</v>
          </cell>
          <cell r="O1565"/>
          <cell r="P1565"/>
          <cell r="Q1565"/>
          <cell r="R1565">
            <v>2.5099999999999998</v>
          </cell>
          <cell r="S1565"/>
          <cell r="T1565"/>
          <cell r="U1565"/>
          <cell r="V1565">
            <v>15</v>
          </cell>
          <cell r="W1565"/>
          <cell r="X1565" t="str">
            <v>CANDY</v>
          </cell>
          <cell r="Y1565"/>
          <cell r="Z1565" t="str">
            <v>LEI WANG' MAIIL 23/10/17</v>
          </cell>
          <cell r="AA1565"/>
          <cell r="AB1565">
            <v>43031</v>
          </cell>
          <cell r="AC1565">
            <v>5595</v>
          </cell>
        </row>
        <row r="1566">
          <cell r="B1566">
            <v>3714</v>
          </cell>
          <cell r="C1566" t="str">
            <v>TS-396</v>
          </cell>
          <cell r="D1566" t="str">
            <v>KNIT</v>
          </cell>
          <cell r="E1566"/>
          <cell r="F1566" t="str">
            <v>T 100%</v>
          </cell>
          <cell r="G1566" t="str">
            <v xml:space="preserve">100% POLYESTER </v>
          </cell>
          <cell r="H1566" t="str">
            <v>155-160CM</v>
          </cell>
          <cell r="I1566">
            <v>135</v>
          </cell>
          <cell r="J1566">
            <v>0.86</v>
          </cell>
          <cell r="K1566">
            <v>0.94</v>
          </cell>
          <cell r="L1566">
            <v>0.88</v>
          </cell>
          <cell r="M1566">
            <v>0.97</v>
          </cell>
          <cell r="N1566">
            <v>0.9</v>
          </cell>
          <cell r="O1566">
            <v>1</v>
          </cell>
          <cell r="P1566"/>
          <cell r="Q1566"/>
          <cell r="R1566">
            <v>1.05</v>
          </cell>
          <cell r="S1566">
            <v>1.25</v>
          </cell>
          <cell r="T1566"/>
          <cell r="U1566"/>
          <cell r="V1566">
            <v>15</v>
          </cell>
          <cell r="W1566"/>
          <cell r="X1566" t="str">
            <v>GAVIN</v>
          </cell>
          <cell r="Y1566"/>
          <cell r="Z1566" t="str">
            <v>GAVIN ' MAIL 20/10/17</v>
          </cell>
          <cell r="AA1566"/>
          <cell r="AB1566">
            <v>43028</v>
          </cell>
          <cell r="AC1566">
            <v>5614</v>
          </cell>
        </row>
        <row r="1567">
          <cell r="B1567">
            <v>3501</v>
          </cell>
          <cell r="C1567" t="str">
            <v>HLTR17112</v>
          </cell>
          <cell r="D1567"/>
          <cell r="E1567" t="str">
            <v>50S/2 TR x 50S/2 TR+ 40D</v>
          </cell>
          <cell r="F1567" t="str">
            <v>T/R/S 64/34/2</v>
          </cell>
          <cell r="G1567" t="str">
            <v xml:space="preserve">64% POLYESTER 34% RAYON 2% SPANDEX </v>
          </cell>
          <cell r="H1567" t="str">
            <v>57/58</v>
          </cell>
          <cell r="I1567">
            <v>210</v>
          </cell>
          <cell r="J1567">
            <v>2.8498498498498495</v>
          </cell>
          <cell r="K1567"/>
          <cell r="L1567">
            <v>2.8998498498498493</v>
          </cell>
          <cell r="M1567"/>
          <cell r="N1567">
            <v>2.9998498498498494</v>
          </cell>
          <cell r="O1567"/>
          <cell r="P1567"/>
          <cell r="Q1567"/>
          <cell r="R1567">
            <v>3.1998498498498495</v>
          </cell>
          <cell r="S1567"/>
          <cell r="T1567"/>
          <cell r="U1567"/>
          <cell r="V1567">
            <v>15</v>
          </cell>
          <cell r="W1567"/>
          <cell r="X1567" t="str">
            <v>CANDY</v>
          </cell>
          <cell r="Y1567"/>
          <cell r="Z1567" t="str">
            <v>CANDY ' MAIL 20/10/17</v>
          </cell>
          <cell r="AA1567"/>
          <cell r="AB1567">
            <v>43028</v>
          </cell>
          <cell r="AC1567">
            <v>5615</v>
          </cell>
        </row>
        <row r="1568">
          <cell r="B1568">
            <v>2655</v>
          </cell>
          <cell r="C1568" t="str">
            <v>OLP-1612313TB</v>
          </cell>
          <cell r="D1568"/>
          <cell r="E1568"/>
          <cell r="F1568" t="str">
            <v>C/T/S 79/18/3</v>
          </cell>
          <cell r="G1568" t="str">
            <v>79% COTTON 18% POLYESTER 3% SPAN</v>
          </cell>
          <cell r="H1568" t="str">
            <v>57/58</v>
          </cell>
          <cell r="I1568">
            <v>400</v>
          </cell>
          <cell r="J1568">
            <v>4.28</v>
          </cell>
          <cell r="K1568"/>
          <cell r="L1568">
            <v>4.3499999999999996</v>
          </cell>
          <cell r="M1568"/>
          <cell r="N1568">
            <v>4.43</v>
          </cell>
          <cell r="O1568"/>
          <cell r="P1568"/>
          <cell r="Q1568"/>
          <cell r="R1568">
            <v>4.58</v>
          </cell>
          <cell r="S1568"/>
          <cell r="T1568"/>
          <cell r="U1568"/>
          <cell r="V1568">
            <v>15</v>
          </cell>
          <cell r="W1568"/>
          <cell r="X1568" t="str">
            <v>OWEN</v>
          </cell>
          <cell r="Y1568"/>
          <cell r="Z1568" t="str">
            <v>SANDY ' MAIL 20/10/17</v>
          </cell>
          <cell r="AA1568"/>
          <cell r="AB1568">
            <v>43028</v>
          </cell>
          <cell r="AC1568">
            <v>5596</v>
          </cell>
        </row>
        <row r="1569">
          <cell r="B1569">
            <v>2651</v>
          </cell>
          <cell r="C1569" t="str">
            <v>OLP-16123035GC</v>
          </cell>
          <cell r="D1569" t="str">
            <v>WOOL</v>
          </cell>
          <cell r="E1569"/>
          <cell r="F1569" t="str">
            <v>T/W 80/20</v>
          </cell>
          <cell r="G1569" t="str">
            <v xml:space="preserve"> 80%POLYESTER 20%WOOL</v>
          </cell>
          <cell r="H1569" t="str">
            <v>57/58</v>
          </cell>
          <cell r="I1569">
            <v>560</v>
          </cell>
          <cell r="J1569">
            <v>6.25</v>
          </cell>
          <cell r="K1569"/>
          <cell r="L1569">
            <v>6.32</v>
          </cell>
          <cell r="M1569"/>
          <cell r="N1569">
            <v>6.4</v>
          </cell>
          <cell r="O1569"/>
          <cell r="P1569"/>
          <cell r="Q1569"/>
          <cell r="R1569">
            <v>6.65</v>
          </cell>
          <cell r="S1569"/>
          <cell r="T1569"/>
          <cell r="U1569"/>
          <cell r="V1569"/>
          <cell r="W1569"/>
          <cell r="X1569" t="str">
            <v>OWEN</v>
          </cell>
          <cell r="Y1569"/>
          <cell r="Z1569" t="str">
            <v>SANDY ' MAIL 20/10/17</v>
          </cell>
          <cell r="AA1569"/>
          <cell r="AB1569">
            <v>43028</v>
          </cell>
          <cell r="AC1569">
            <v>5597</v>
          </cell>
        </row>
        <row r="1570">
          <cell r="B1570">
            <v>2649</v>
          </cell>
          <cell r="C1570" t="str">
            <v>OLP-16123033GC</v>
          </cell>
          <cell r="D1570" t="str">
            <v>WOOL</v>
          </cell>
          <cell r="E1570"/>
          <cell r="F1570" t="str">
            <v>T/W 70/30</v>
          </cell>
          <cell r="G1570" t="str">
            <v xml:space="preserve">70% POLYESTER 30%WOOL </v>
          </cell>
          <cell r="H1570" t="str">
            <v>57/58</v>
          </cell>
          <cell r="I1570">
            <v>365</v>
          </cell>
          <cell r="J1570">
            <v>5.4</v>
          </cell>
          <cell r="K1570"/>
          <cell r="L1570">
            <v>5.48</v>
          </cell>
          <cell r="M1570"/>
          <cell r="N1570">
            <v>5.54</v>
          </cell>
          <cell r="O1570"/>
          <cell r="P1570"/>
          <cell r="Q1570"/>
          <cell r="R1570">
            <v>5.69</v>
          </cell>
          <cell r="S1570"/>
          <cell r="T1570"/>
          <cell r="U1570"/>
          <cell r="V1570">
            <v>15</v>
          </cell>
          <cell r="W1570"/>
          <cell r="X1570" t="str">
            <v>OWEN</v>
          </cell>
          <cell r="Y1570"/>
          <cell r="Z1570" t="str">
            <v>SANDY ' MAIL 20/10/17</v>
          </cell>
          <cell r="AA1570"/>
          <cell r="AB1570">
            <v>43028</v>
          </cell>
          <cell r="AC1570">
            <v>5598</v>
          </cell>
        </row>
        <row r="1571">
          <cell r="B1571">
            <v>2648</v>
          </cell>
          <cell r="C1571" t="str">
            <v>OLP-16123032GC</v>
          </cell>
          <cell r="D1571" t="str">
            <v>WOOL</v>
          </cell>
          <cell r="E1571"/>
          <cell r="F1571" t="str">
            <v>C/W/T 50/36/14</v>
          </cell>
          <cell r="G1571" t="str">
            <v>50%COTTON 36%WOOL 14%POLYESTER</v>
          </cell>
          <cell r="H1571" t="str">
            <v>57/58</v>
          </cell>
          <cell r="I1571">
            <v>420</v>
          </cell>
          <cell r="J1571">
            <v>6.6</v>
          </cell>
          <cell r="K1571"/>
          <cell r="L1571">
            <v>6.68</v>
          </cell>
          <cell r="M1571"/>
          <cell r="N1571">
            <v>6.8</v>
          </cell>
          <cell r="O1571"/>
          <cell r="P1571"/>
          <cell r="Q1571"/>
          <cell r="R1571">
            <v>6.95</v>
          </cell>
          <cell r="S1571"/>
          <cell r="T1571"/>
          <cell r="U1571"/>
          <cell r="V1571">
            <v>15</v>
          </cell>
          <cell r="W1571"/>
          <cell r="X1571" t="str">
            <v>OWEN</v>
          </cell>
          <cell r="Y1571"/>
          <cell r="Z1571" t="str">
            <v>SANDY ' MAIL 20/10/17</v>
          </cell>
          <cell r="AA1571"/>
          <cell r="AB1571">
            <v>43028</v>
          </cell>
          <cell r="AC1571">
            <v>5599</v>
          </cell>
        </row>
        <row r="1572">
          <cell r="B1572">
            <v>2640</v>
          </cell>
          <cell r="C1572" t="str">
            <v>OLP-16123025GC</v>
          </cell>
          <cell r="D1572" t="str">
            <v>WOOL</v>
          </cell>
          <cell r="E1572"/>
          <cell r="F1572" t="str">
            <v>T/W/R 40/40/20</v>
          </cell>
          <cell r="G1572" t="str">
            <v>40% POLYESTER 40% WOOL 20% RAYON</v>
          </cell>
          <cell r="H1572" t="str">
            <v>57/58</v>
          </cell>
          <cell r="I1572">
            <v>500</v>
          </cell>
          <cell r="J1572">
            <v>5.85</v>
          </cell>
          <cell r="K1572"/>
          <cell r="L1572">
            <v>5.93</v>
          </cell>
          <cell r="M1572"/>
          <cell r="N1572">
            <v>6.12</v>
          </cell>
          <cell r="O1572"/>
          <cell r="P1572"/>
          <cell r="Q1572"/>
          <cell r="R1572">
            <v>6.27</v>
          </cell>
          <cell r="S1572"/>
          <cell r="T1572"/>
          <cell r="U1572"/>
          <cell r="V1572"/>
          <cell r="W1572"/>
          <cell r="X1572" t="str">
            <v>OWEN</v>
          </cell>
          <cell r="Y1572"/>
          <cell r="Z1572" t="str">
            <v>SANDY ' MAIL 20/10/17</v>
          </cell>
          <cell r="AA1572"/>
          <cell r="AB1572">
            <v>43028</v>
          </cell>
          <cell r="AC1572">
            <v>5600</v>
          </cell>
        </row>
        <row r="1573">
          <cell r="B1573">
            <v>2631</v>
          </cell>
          <cell r="C1573" t="str">
            <v>OLP-16123002BX</v>
          </cell>
          <cell r="D1573"/>
          <cell r="E1573"/>
          <cell r="F1573" t="str">
            <v>T/C 54/46</v>
          </cell>
          <cell r="G1573" t="str">
            <v>54%POLYESTER46%cotton</v>
          </cell>
          <cell r="H1573" t="str">
            <v>57/58</v>
          </cell>
          <cell r="I1573">
            <v>316</v>
          </cell>
          <cell r="J1573">
            <v>2.67</v>
          </cell>
          <cell r="K1573"/>
          <cell r="L1573">
            <v>2.75</v>
          </cell>
          <cell r="M1573"/>
          <cell r="N1573">
            <v>2.85</v>
          </cell>
          <cell r="O1573"/>
          <cell r="P1573"/>
          <cell r="Q1573"/>
          <cell r="R1573">
            <v>3</v>
          </cell>
          <cell r="S1573"/>
          <cell r="T1573"/>
          <cell r="U1573"/>
          <cell r="V1573">
            <v>15</v>
          </cell>
          <cell r="W1573"/>
          <cell r="X1573" t="str">
            <v>OWEN</v>
          </cell>
          <cell r="Y1573"/>
          <cell r="Z1573" t="str">
            <v>SANDY ' MAIL 20/10/17</v>
          </cell>
          <cell r="AA1573"/>
          <cell r="AB1573">
            <v>43028</v>
          </cell>
          <cell r="AC1573">
            <v>5601</v>
          </cell>
        </row>
        <row r="1574">
          <cell r="B1574">
            <v>2622</v>
          </cell>
          <cell r="C1574" t="str">
            <v>TS-322</v>
          </cell>
          <cell r="D1574" t="str">
            <v>WOOL</v>
          </cell>
          <cell r="E1574"/>
          <cell r="F1574" t="str">
            <v>ACRYLIC/WOOL 90/10</v>
          </cell>
          <cell r="G1574" t="str">
            <v xml:space="preserve">90% ACRYLIC 10% WOOL </v>
          </cell>
          <cell r="H1574" t="str">
            <v>57/58</v>
          </cell>
          <cell r="I1574">
            <v>455</v>
          </cell>
          <cell r="J1574">
            <v>3.66</v>
          </cell>
          <cell r="K1574"/>
          <cell r="L1574">
            <v>3.68</v>
          </cell>
          <cell r="M1574"/>
          <cell r="N1574">
            <v>3.7</v>
          </cell>
          <cell r="O1574"/>
          <cell r="P1574"/>
          <cell r="Q1574"/>
          <cell r="R1574">
            <v>3.85</v>
          </cell>
          <cell r="S1574"/>
          <cell r="T1574"/>
          <cell r="U1574"/>
          <cell r="V1574">
            <v>15</v>
          </cell>
          <cell r="W1574"/>
          <cell r="X1574" t="str">
            <v>GAVIN</v>
          </cell>
          <cell r="Y1574"/>
          <cell r="Z1574" t="str">
            <v>GAVIN ' MAIL 20/10/17</v>
          </cell>
          <cell r="AA1574"/>
          <cell r="AB1574">
            <v>43028</v>
          </cell>
          <cell r="AC1574">
            <v>5602</v>
          </cell>
        </row>
        <row r="1575">
          <cell r="B1575">
            <v>2618</v>
          </cell>
          <cell r="C1575" t="str">
            <v>OLP-1612314TB</v>
          </cell>
          <cell r="D1575"/>
          <cell r="E1575"/>
          <cell r="F1575" t="str">
            <v>C/T/S 76/21/3</v>
          </cell>
          <cell r="G1575" t="str">
            <v>76% COTTON 21% POLYESTER 3% SPAN</v>
          </cell>
          <cell r="H1575" t="str">
            <v>48/50</v>
          </cell>
          <cell r="I1575">
            <v>265</v>
          </cell>
          <cell r="J1575">
            <v>2.85</v>
          </cell>
          <cell r="K1575"/>
          <cell r="L1575">
            <v>2.93</v>
          </cell>
          <cell r="M1575"/>
          <cell r="N1575">
            <v>3.05</v>
          </cell>
          <cell r="O1575"/>
          <cell r="P1575"/>
          <cell r="Q1575"/>
          <cell r="R1575">
            <v>3.2</v>
          </cell>
          <cell r="S1575"/>
          <cell r="T1575"/>
          <cell r="U1575"/>
          <cell r="V1575">
            <v>15</v>
          </cell>
          <cell r="W1575"/>
          <cell r="X1575" t="str">
            <v>OWEN</v>
          </cell>
          <cell r="Y1575"/>
          <cell r="Z1575" t="str">
            <v>SANDY ' MAIL 20/10/17</v>
          </cell>
          <cell r="AA1575"/>
          <cell r="AB1575">
            <v>43028</v>
          </cell>
          <cell r="AC1575">
            <v>5603</v>
          </cell>
        </row>
        <row r="1576">
          <cell r="B1576">
            <v>2608</v>
          </cell>
          <cell r="C1576" t="str">
            <v>W1599</v>
          </cell>
          <cell r="D1576" t="str">
            <v>WOOL</v>
          </cell>
          <cell r="E1576"/>
          <cell r="F1576" t="str">
            <v>T/W 90/10</v>
          </cell>
          <cell r="G1576" t="str">
            <v>90% POLYESTER 10% WOOL</v>
          </cell>
          <cell r="H1576" t="str">
            <v>57/58</v>
          </cell>
          <cell r="I1576">
            <v>445</v>
          </cell>
          <cell r="J1576">
            <v>3.6900000000000004</v>
          </cell>
          <cell r="K1576"/>
          <cell r="L1576">
            <v>3.74</v>
          </cell>
          <cell r="M1576"/>
          <cell r="N1576">
            <v>3.74</v>
          </cell>
          <cell r="O1576"/>
          <cell r="P1576"/>
          <cell r="Q1576"/>
          <cell r="R1576">
            <v>4.1400000000000006</v>
          </cell>
          <cell r="S1576"/>
          <cell r="T1576"/>
          <cell r="U1576"/>
          <cell r="V1576">
            <v>15</v>
          </cell>
          <cell r="W1576"/>
          <cell r="X1576" t="str">
            <v>LIVALTEX</v>
          </cell>
          <cell r="Y1576"/>
          <cell r="Z1576" t="str">
            <v>ROSE ' MAIL 20/10/17</v>
          </cell>
          <cell r="AA1576"/>
          <cell r="AB1576">
            <v>43028</v>
          </cell>
          <cell r="AC1576">
            <v>5604</v>
          </cell>
        </row>
        <row r="1577">
          <cell r="B1577">
            <v>2607</v>
          </cell>
          <cell r="C1577" t="str">
            <v>W1598</v>
          </cell>
          <cell r="D1577" t="str">
            <v>WOOL</v>
          </cell>
          <cell r="E1577"/>
          <cell r="F1577" t="str">
            <v>T/W 90/10</v>
          </cell>
          <cell r="G1577" t="str">
            <v>90% POLYESTER 10% WOOL</v>
          </cell>
          <cell r="H1577" t="str">
            <v>57/58</v>
          </cell>
          <cell r="I1577">
            <v>450</v>
          </cell>
          <cell r="J1577">
            <v>3.6900000000000004</v>
          </cell>
          <cell r="K1577"/>
          <cell r="L1577">
            <v>3.74</v>
          </cell>
          <cell r="M1577"/>
          <cell r="N1577">
            <v>3.74</v>
          </cell>
          <cell r="O1577"/>
          <cell r="P1577"/>
          <cell r="Q1577"/>
          <cell r="R1577">
            <v>4.1400000000000006</v>
          </cell>
          <cell r="S1577"/>
          <cell r="T1577"/>
          <cell r="U1577"/>
          <cell r="V1577">
            <v>15</v>
          </cell>
          <cell r="W1577"/>
          <cell r="X1577" t="str">
            <v>LIVALTEX</v>
          </cell>
          <cell r="Y1577"/>
          <cell r="Z1577" t="str">
            <v>ROSE ' MAIL 20/10/17</v>
          </cell>
          <cell r="AA1577"/>
          <cell r="AB1577">
            <v>43028</v>
          </cell>
          <cell r="AC1577">
            <v>5605</v>
          </cell>
        </row>
        <row r="1578">
          <cell r="B1578">
            <v>2606</v>
          </cell>
          <cell r="C1578" t="str">
            <v>HLT-3583</v>
          </cell>
          <cell r="D1578"/>
          <cell r="E1578"/>
          <cell r="F1578" t="str">
            <v>T/V/S 63/33/4</v>
          </cell>
          <cell r="G1578" t="str">
            <v>63% POLYESTER 33% VISCOSE 4% SPANDEX</v>
          </cell>
          <cell r="H1578" t="str">
            <v>57/58</v>
          </cell>
          <cell r="I1578">
            <v>235</v>
          </cell>
          <cell r="J1578">
            <v>2.3768768768768767</v>
          </cell>
          <cell r="K1578"/>
          <cell r="L1578">
            <v>2.4268768768768765</v>
          </cell>
          <cell r="M1578"/>
          <cell r="N1578">
            <v>2.5268768768768766</v>
          </cell>
          <cell r="O1578"/>
          <cell r="P1578"/>
          <cell r="Q1578"/>
          <cell r="R1578">
            <v>2.7268768768768767</v>
          </cell>
          <cell r="S1578"/>
          <cell r="T1578"/>
          <cell r="U1578"/>
          <cell r="V1578">
            <v>15</v>
          </cell>
          <cell r="W1578"/>
          <cell r="X1578" t="str">
            <v>CANDY</v>
          </cell>
          <cell r="Y1578"/>
          <cell r="Z1578" t="str">
            <v>CANDY ' MAIL 20/10/17</v>
          </cell>
          <cell r="AA1578"/>
          <cell r="AB1578">
            <v>43028</v>
          </cell>
          <cell r="AC1578">
            <v>5606</v>
          </cell>
        </row>
        <row r="1579">
          <cell r="B1579">
            <v>2602</v>
          </cell>
          <cell r="C1579" t="str">
            <v>4149XS</v>
          </cell>
          <cell r="D1579"/>
          <cell r="E1579"/>
          <cell r="F1579" t="str">
            <v>T/V/S 64/34/2</v>
          </cell>
          <cell r="G1579" t="str">
            <v>64% POLYESTER 34% VISCOSE 2% SPANDEX</v>
          </cell>
          <cell r="H1579" t="str">
            <v>57/58</v>
          </cell>
          <cell r="I1579">
            <v>285</v>
          </cell>
          <cell r="J1579">
            <v>3.88</v>
          </cell>
          <cell r="K1579"/>
          <cell r="L1579">
            <v>3.95</v>
          </cell>
          <cell r="M1579"/>
          <cell r="N1579">
            <v>4.04</v>
          </cell>
          <cell r="O1579"/>
          <cell r="P1579"/>
          <cell r="Q1579"/>
          <cell r="R1579">
            <v>4.1900000000000004</v>
          </cell>
          <cell r="S1579"/>
          <cell r="T1579"/>
          <cell r="U1579"/>
          <cell r="V1579">
            <v>15</v>
          </cell>
          <cell r="W1579"/>
          <cell r="X1579" t="str">
            <v>OWEN</v>
          </cell>
          <cell r="Y1579"/>
          <cell r="Z1579" t="str">
            <v>SANDY ' MAIL 20/10/17</v>
          </cell>
          <cell r="AA1579"/>
          <cell r="AB1579">
            <v>43028</v>
          </cell>
          <cell r="AC1579">
            <v>5607</v>
          </cell>
        </row>
        <row r="1580">
          <cell r="B1580">
            <v>2600</v>
          </cell>
          <cell r="C1580" t="str">
            <v>TR05040XS</v>
          </cell>
          <cell r="D1580"/>
          <cell r="E1580"/>
          <cell r="F1580" t="str">
            <v>T/V/S 64/34/2</v>
          </cell>
          <cell r="G1580" t="str">
            <v>64% POLY 34% VISCOSE 2% SPANDEX</v>
          </cell>
          <cell r="H1580" t="str">
            <v>53/54</v>
          </cell>
          <cell r="I1580">
            <v>225</v>
          </cell>
          <cell r="J1580">
            <v>3.02</v>
          </cell>
          <cell r="K1580"/>
          <cell r="L1580">
            <v>3.1</v>
          </cell>
          <cell r="M1580"/>
          <cell r="N1580">
            <v>3.25</v>
          </cell>
          <cell r="O1580"/>
          <cell r="P1580"/>
          <cell r="Q1580"/>
          <cell r="R1580">
            <v>3.4</v>
          </cell>
          <cell r="S1580"/>
          <cell r="T1580"/>
          <cell r="U1580"/>
          <cell r="V1580">
            <v>15</v>
          </cell>
          <cell r="W1580"/>
          <cell r="X1580" t="str">
            <v>OWEN</v>
          </cell>
          <cell r="Y1580"/>
          <cell r="Z1580" t="str">
            <v>SANDY ' MAIL 20/10/17</v>
          </cell>
          <cell r="AA1580"/>
          <cell r="AB1580">
            <v>43028</v>
          </cell>
          <cell r="AC1580">
            <v>5608</v>
          </cell>
        </row>
        <row r="1581">
          <cell r="B1581">
            <v>2598</v>
          </cell>
          <cell r="C1581" t="str">
            <v>4992XS</v>
          </cell>
          <cell r="D1581"/>
          <cell r="E1581"/>
          <cell r="F1581" t="str">
            <v>T/V/S 64/32/4</v>
          </cell>
          <cell r="G1581" t="str">
            <v>64% POLYESTER 32% VISCOSE 4% SPANDEX</v>
          </cell>
          <cell r="H1581" t="str">
            <v>57/58</v>
          </cell>
          <cell r="I1581">
            <v>240</v>
          </cell>
          <cell r="J1581">
            <v>3.15</v>
          </cell>
          <cell r="K1581"/>
          <cell r="L1581">
            <v>3.21</v>
          </cell>
          <cell r="M1581"/>
          <cell r="N1581">
            <v>3.3</v>
          </cell>
          <cell r="O1581"/>
          <cell r="P1581"/>
          <cell r="Q1581"/>
          <cell r="R1581">
            <v>3.45</v>
          </cell>
          <cell r="S1581"/>
          <cell r="T1581"/>
          <cell r="U1581"/>
          <cell r="V1581">
            <v>15</v>
          </cell>
          <cell r="W1581"/>
          <cell r="X1581" t="str">
            <v>OWEN</v>
          </cell>
          <cell r="Y1581"/>
          <cell r="Z1581" t="str">
            <v>SANDY ' MAIL 20/10/17</v>
          </cell>
          <cell r="AA1581"/>
          <cell r="AB1581">
            <v>43028</v>
          </cell>
          <cell r="AC1581">
            <v>5609</v>
          </cell>
        </row>
        <row r="1582">
          <cell r="B1582">
            <v>2597</v>
          </cell>
          <cell r="C1582" t="str">
            <v>4417XS</v>
          </cell>
          <cell r="D1582"/>
          <cell r="E1582"/>
          <cell r="F1582" t="str">
            <v>T/V/S 63/33/4</v>
          </cell>
          <cell r="G1582" t="str">
            <v>63% POLYESTER 33% VISCOSE 4% SPANDEX</v>
          </cell>
          <cell r="H1582" t="str">
            <v>57/58</v>
          </cell>
          <cell r="I1582">
            <v>300</v>
          </cell>
          <cell r="J1582">
            <v>3.9</v>
          </cell>
          <cell r="K1582"/>
          <cell r="L1582">
            <v>3.98</v>
          </cell>
          <cell r="M1582"/>
          <cell r="N1582">
            <v>4.05</v>
          </cell>
          <cell r="O1582"/>
          <cell r="P1582"/>
          <cell r="Q1582"/>
          <cell r="R1582">
            <v>4.2</v>
          </cell>
          <cell r="S1582"/>
          <cell r="T1582"/>
          <cell r="U1582"/>
          <cell r="V1582">
            <v>15</v>
          </cell>
          <cell r="W1582"/>
          <cell r="X1582" t="str">
            <v>OWEN</v>
          </cell>
          <cell r="Y1582"/>
          <cell r="Z1582" t="str">
            <v>SANDY ' MAIL 20/10/17</v>
          </cell>
          <cell r="AA1582"/>
          <cell r="AB1582">
            <v>43028</v>
          </cell>
          <cell r="AC1582">
            <v>5610</v>
          </cell>
        </row>
        <row r="1583">
          <cell r="B1583">
            <v>2596</v>
          </cell>
          <cell r="C1583" t="str">
            <v>3848XS</v>
          </cell>
          <cell r="D1583"/>
          <cell r="E1583"/>
          <cell r="F1583" t="str">
            <v>T/V/S 65/33/2</v>
          </cell>
          <cell r="G1583" t="str">
            <v>65% POLYESTER 33% VISCOSE 2% SPANDEX</v>
          </cell>
          <cell r="H1583" t="str">
            <v>57/58</v>
          </cell>
          <cell r="I1583">
            <v>260</v>
          </cell>
          <cell r="J1583">
            <v>3.9</v>
          </cell>
          <cell r="K1583"/>
          <cell r="L1583">
            <v>3.98</v>
          </cell>
          <cell r="M1583"/>
          <cell r="N1583">
            <v>4.05</v>
          </cell>
          <cell r="O1583"/>
          <cell r="P1583"/>
          <cell r="Q1583"/>
          <cell r="R1583">
            <v>4.2</v>
          </cell>
          <cell r="S1583"/>
          <cell r="T1583"/>
          <cell r="U1583"/>
          <cell r="V1583">
            <v>15</v>
          </cell>
          <cell r="W1583"/>
          <cell r="X1583" t="str">
            <v>OWEN</v>
          </cell>
          <cell r="Y1583"/>
          <cell r="Z1583" t="str">
            <v>SANDY ' MAIL 20/10/17</v>
          </cell>
          <cell r="AA1583"/>
          <cell r="AB1583">
            <v>43028</v>
          </cell>
          <cell r="AC1583">
            <v>5611</v>
          </cell>
        </row>
        <row r="1584">
          <cell r="B1584">
            <v>2580</v>
          </cell>
          <cell r="C1584" t="str">
            <v>W1576</v>
          </cell>
          <cell r="D1584" t="str">
            <v>WOOL</v>
          </cell>
          <cell r="E1584"/>
          <cell r="F1584" t="str">
            <v>T/W 90/10</v>
          </cell>
          <cell r="G1584" t="str">
            <v>90% POLYESTER 10% WOOL</v>
          </cell>
          <cell r="H1584" t="str">
            <v>54/55</v>
          </cell>
          <cell r="I1584">
            <v>520</v>
          </cell>
          <cell r="J1584">
            <v>3.83</v>
          </cell>
          <cell r="K1584"/>
          <cell r="L1584">
            <v>3.88</v>
          </cell>
          <cell r="M1584"/>
          <cell r="N1584">
            <v>3.88</v>
          </cell>
          <cell r="O1584"/>
          <cell r="P1584"/>
          <cell r="Q1584"/>
          <cell r="R1584">
            <v>4.28</v>
          </cell>
          <cell r="S1584"/>
          <cell r="T1584"/>
          <cell r="U1584"/>
          <cell r="V1584">
            <v>15</v>
          </cell>
          <cell r="W1584"/>
          <cell r="X1584" t="str">
            <v>LIVALTEX</v>
          </cell>
          <cell r="Y1584"/>
          <cell r="Z1584" t="str">
            <v>ROSE ' MAIL 20/10/17</v>
          </cell>
          <cell r="AA1584"/>
          <cell r="AB1584">
            <v>43028</v>
          </cell>
          <cell r="AC1584">
            <v>5612</v>
          </cell>
        </row>
        <row r="1585">
          <cell r="B1585">
            <v>2579</v>
          </cell>
          <cell r="C1585" t="str">
            <v>W1579</v>
          </cell>
          <cell r="D1585" t="str">
            <v>WOOL</v>
          </cell>
          <cell r="E1585"/>
          <cell r="F1585" t="str">
            <v>T/W 50/50</v>
          </cell>
          <cell r="G1585" t="str">
            <v>50% POLYESTER 50% WOOL</v>
          </cell>
          <cell r="H1585" t="str">
            <v>57/58</v>
          </cell>
          <cell r="I1585">
            <v>430</v>
          </cell>
          <cell r="J1585">
            <v>6.25</v>
          </cell>
          <cell r="K1585"/>
          <cell r="L1585">
            <v>6.3</v>
          </cell>
          <cell r="M1585"/>
          <cell r="N1585">
            <v>6.3</v>
          </cell>
          <cell r="O1585"/>
          <cell r="P1585"/>
          <cell r="Q1585"/>
          <cell r="R1585">
            <v>6.7</v>
          </cell>
          <cell r="S1585"/>
          <cell r="T1585"/>
          <cell r="U1585"/>
          <cell r="V1585">
            <v>15</v>
          </cell>
          <cell r="W1585"/>
          <cell r="X1585" t="str">
            <v>LIVALTEX</v>
          </cell>
          <cell r="Y1585"/>
          <cell r="Z1585" t="str">
            <v>ROSE ' MAIL 20/10/17</v>
          </cell>
          <cell r="AA1585"/>
          <cell r="AB1585">
            <v>43028</v>
          </cell>
          <cell r="AC1585">
            <v>5613</v>
          </cell>
        </row>
        <row r="1586">
          <cell r="B1586">
            <v>3713</v>
          </cell>
          <cell r="C1586" t="str">
            <v>M-516</v>
          </cell>
          <cell r="D1586" t="str">
            <v>TRICOLOR LACE</v>
          </cell>
          <cell r="E1586"/>
          <cell r="F1586" t="str">
            <v>N/R/T 40/30/30</v>
          </cell>
          <cell r="G1586" t="str">
            <v>40% NYLON 30% RAYON 30% POLYESTER</v>
          </cell>
          <cell r="H1586" t="str">
            <v>55/56</v>
          </cell>
          <cell r="I1586"/>
          <cell r="J1586">
            <v>3.58</v>
          </cell>
          <cell r="K1586"/>
          <cell r="L1586">
            <v>3.63</v>
          </cell>
          <cell r="M1586"/>
          <cell r="N1586">
            <v>3.63</v>
          </cell>
          <cell r="O1586"/>
          <cell r="P1586"/>
          <cell r="Q1586"/>
          <cell r="R1586">
            <v>4.08</v>
          </cell>
          <cell r="S1586"/>
          <cell r="T1586"/>
          <cell r="U1586"/>
          <cell r="V1586">
            <v>15</v>
          </cell>
          <cell r="W1586"/>
          <cell r="X1586" t="str">
            <v>LIVALTEX</v>
          </cell>
          <cell r="Y1586" t="str">
            <v>Copy of Q3 APIP TRICOLOR LACE (3)</v>
          </cell>
          <cell r="Z1586" t="str">
            <v>ROSE' MAIL 19/10/17</v>
          </cell>
          <cell r="AA1586"/>
          <cell r="AB1586">
            <v>43027</v>
          </cell>
          <cell r="AC1586">
            <v>5616</v>
          </cell>
        </row>
        <row r="1587">
          <cell r="B1587">
            <v>3712</v>
          </cell>
          <cell r="C1587" t="str">
            <v>M-503</v>
          </cell>
          <cell r="D1587" t="str">
            <v>TRICOLOR LACE</v>
          </cell>
          <cell r="E1587"/>
          <cell r="F1587" t="str">
            <v>N/T 70/30</v>
          </cell>
          <cell r="G1587" t="str">
            <v>70% NYLON 30% POLYESTER</v>
          </cell>
          <cell r="H1587" t="str">
            <v>57/58</v>
          </cell>
          <cell r="I1587"/>
          <cell r="J1587">
            <v>2.98</v>
          </cell>
          <cell r="K1587"/>
          <cell r="L1587">
            <v>3.03</v>
          </cell>
          <cell r="M1587"/>
          <cell r="N1587">
            <v>3.03</v>
          </cell>
          <cell r="O1587"/>
          <cell r="P1587"/>
          <cell r="Q1587"/>
          <cell r="R1587">
            <v>3.48</v>
          </cell>
          <cell r="S1587"/>
          <cell r="T1587"/>
          <cell r="U1587"/>
          <cell r="V1587">
            <v>15</v>
          </cell>
          <cell r="W1587"/>
          <cell r="X1587" t="str">
            <v>LIVALTEX</v>
          </cell>
          <cell r="Y1587" t="str">
            <v>Copy of Q3 APIP TRICOLOR LACE (3)</v>
          </cell>
          <cell r="Z1587" t="str">
            <v>ROSE' MAIL 19/10/17</v>
          </cell>
          <cell r="AA1587"/>
          <cell r="AB1587">
            <v>43027</v>
          </cell>
          <cell r="AC1587">
            <v>5617</v>
          </cell>
        </row>
        <row r="1588">
          <cell r="B1588">
            <v>3711</v>
          </cell>
          <cell r="C1588" t="str">
            <v>M-451</v>
          </cell>
          <cell r="D1588" t="str">
            <v>TRICOLOR LACE</v>
          </cell>
          <cell r="E1588"/>
          <cell r="F1588" t="str">
            <v>N/C/S 65/32/3</v>
          </cell>
          <cell r="G1588" t="str">
            <v>65% NYLON 32% COTTON 3% SPANDEX</v>
          </cell>
          <cell r="H1588" t="str">
            <v>57/58</v>
          </cell>
          <cell r="I1588"/>
          <cell r="J1588">
            <v>3.41</v>
          </cell>
          <cell r="K1588"/>
          <cell r="L1588">
            <v>3.46</v>
          </cell>
          <cell r="M1588"/>
          <cell r="N1588">
            <v>3.46</v>
          </cell>
          <cell r="O1588"/>
          <cell r="P1588"/>
          <cell r="Q1588"/>
          <cell r="R1588">
            <v>3.91</v>
          </cell>
          <cell r="S1588"/>
          <cell r="T1588"/>
          <cell r="U1588"/>
          <cell r="V1588">
            <v>15</v>
          </cell>
          <cell r="W1588"/>
          <cell r="X1588" t="str">
            <v>LIVALTEX</v>
          </cell>
          <cell r="Y1588" t="str">
            <v>Copy of Q3 APIP TRICOLOR LACE (3)</v>
          </cell>
          <cell r="Z1588" t="str">
            <v>ROSE' MAIL 19/10/17</v>
          </cell>
          <cell r="AA1588"/>
          <cell r="AB1588">
            <v>43027</v>
          </cell>
          <cell r="AC1588">
            <v>5618</v>
          </cell>
        </row>
        <row r="1589">
          <cell r="B1589">
            <v>3710</v>
          </cell>
          <cell r="C1589" t="str">
            <v>M-482</v>
          </cell>
          <cell r="D1589" t="str">
            <v xml:space="preserve"> LACE</v>
          </cell>
          <cell r="E1589"/>
          <cell r="F1589" t="str">
            <v>N/V 70/30</v>
          </cell>
          <cell r="G1589" t="str">
            <v>70% NYLON 30% VISCOSE</v>
          </cell>
          <cell r="H1589" t="str">
            <v>56/57</v>
          </cell>
          <cell r="I1589">
            <v>82</v>
          </cell>
          <cell r="J1589">
            <v>2.2000000000000002</v>
          </cell>
          <cell r="K1589"/>
          <cell r="L1589">
            <v>2.25</v>
          </cell>
          <cell r="M1589"/>
          <cell r="N1589">
            <v>2.25</v>
          </cell>
          <cell r="O1589"/>
          <cell r="P1589"/>
          <cell r="Q1589"/>
          <cell r="R1589">
            <v>2.7</v>
          </cell>
          <cell r="S1589"/>
          <cell r="T1589"/>
          <cell r="U1589"/>
          <cell r="V1589">
            <v>15</v>
          </cell>
          <cell r="W1589"/>
          <cell r="X1589" t="str">
            <v>LIVALTEX</v>
          </cell>
          <cell r="Y1589" t="str">
            <v>Copy of Q3 APIP TRICOLOR LACE (3)</v>
          </cell>
          <cell r="Z1589" t="str">
            <v>ROSE' MAIL 19/10/17</v>
          </cell>
          <cell r="AA1589"/>
          <cell r="AB1589">
            <v>43027</v>
          </cell>
          <cell r="AC1589">
            <v>5619</v>
          </cell>
        </row>
        <row r="1590">
          <cell r="B1590">
            <v>3709</v>
          </cell>
          <cell r="C1590" t="str">
            <v>M-520</v>
          </cell>
          <cell r="D1590" t="str">
            <v xml:space="preserve"> LACE</v>
          </cell>
          <cell r="E1590"/>
          <cell r="F1590" t="str">
            <v>T/S 92/8</v>
          </cell>
          <cell r="G1590" t="str">
            <v>92% POLYESTER 8% SPANDEX</v>
          </cell>
          <cell r="H1590" t="str">
            <v>65/66</v>
          </cell>
          <cell r="I1590"/>
          <cell r="J1590">
            <v>2.58</v>
          </cell>
          <cell r="K1590"/>
          <cell r="L1590">
            <v>2.63</v>
          </cell>
          <cell r="M1590"/>
          <cell r="N1590">
            <v>2.63</v>
          </cell>
          <cell r="O1590"/>
          <cell r="P1590"/>
          <cell r="Q1590"/>
          <cell r="R1590">
            <v>3.08</v>
          </cell>
          <cell r="S1590"/>
          <cell r="T1590"/>
          <cell r="U1590"/>
          <cell r="V1590">
            <v>15</v>
          </cell>
          <cell r="W1590"/>
          <cell r="X1590" t="str">
            <v>LIVALTEX</v>
          </cell>
          <cell r="Y1590" t="str">
            <v>Copy of Q3 APIP TRICOLOR LACE (3)</v>
          </cell>
          <cell r="Z1590" t="str">
            <v>ROSE' MAIL 19/10/17</v>
          </cell>
          <cell r="AA1590"/>
          <cell r="AB1590">
            <v>43027</v>
          </cell>
          <cell r="AC1590">
            <v>5620</v>
          </cell>
        </row>
        <row r="1591">
          <cell r="B1591">
            <v>3708</v>
          </cell>
          <cell r="C1591" t="str">
            <v>M-500</v>
          </cell>
          <cell r="D1591" t="str">
            <v xml:space="preserve"> LACE</v>
          </cell>
          <cell r="E1591"/>
          <cell r="F1591" t="str">
            <v>C/R/N 45/35/20</v>
          </cell>
          <cell r="G1591" t="str">
            <v>45% COTTON 35% RAYON 20% NYLON</v>
          </cell>
          <cell r="H1591" t="str">
            <v>57/58</v>
          </cell>
          <cell r="I1591"/>
          <cell r="J1591">
            <v>3.0500000000000003</v>
          </cell>
          <cell r="K1591"/>
          <cell r="L1591">
            <v>3.1</v>
          </cell>
          <cell r="M1591"/>
          <cell r="N1591">
            <v>3.1</v>
          </cell>
          <cell r="O1591"/>
          <cell r="P1591"/>
          <cell r="Q1591"/>
          <cell r="R1591">
            <v>3.5500000000000003</v>
          </cell>
          <cell r="S1591"/>
          <cell r="T1591"/>
          <cell r="U1591"/>
          <cell r="V1591">
            <v>15</v>
          </cell>
          <cell r="W1591"/>
          <cell r="X1591" t="str">
            <v>LIVALTEX</v>
          </cell>
          <cell r="Y1591" t="str">
            <v>Copy of Q3 APIP TRICOLOR LACE (3)</v>
          </cell>
          <cell r="Z1591" t="str">
            <v>ROSE' MAIL 19/10/17</v>
          </cell>
          <cell r="AA1591"/>
          <cell r="AB1591">
            <v>43027</v>
          </cell>
          <cell r="AC1591">
            <v>5621</v>
          </cell>
        </row>
        <row r="1592">
          <cell r="B1592">
            <v>3707</v>
          </cell>
          <cell r="C1592" t="str">
            <v>M-508</v>
          </cell>
          <cell r="D1592" t="str">
            <v xml:space="preserve"> LACE</v>
          </cell>
          <cell r="E1592"/>
          <cell r="F1592" t="str">
            <v>N/C 65/35</v>
          </cell>
          <cell r="G1592" t="str">
            <v>65% NYLON 35% COTTON</v>
          </cell>
          <cell r="H1592" t="str">
            <v>57/58</v>
          </cell>
          <cell r="I1592"/>
          <cell r="J1592">
            <v>3.2800000000000002</v>
          </cell>
          <cell r="K1592"/>
          <cell r="L1592">
            <v>3.33</v>
          </cell>
          <cell r="M1592"/>
          <cell r="N1592">
            <v>3.33</v>
          </cell>
          <cell r="O1592"/>
          <cell r="P1592"/>
          <cell r="Q1592"/>
          <cell r="R1592">
            <v>3.7800000000000002</v>
          </cell>
          <cell r="S1592"/>
          <cell r="T1592"/>
          <cell r="U1592"/>
          <cell r="V1592">
            <v>15</v>
          </cell>
          <cell r="W1592"/>
          <cell r="X1592" t="str">
            <v>LIVALTEX</v>
          </cell>
          <cell r="Y1592" t="str">
            <v>Copy of Q3 APIP TRICOLOR LACE (3)</v>
          </cell>
          <cell r="Z1592" t="str">
            <v>ROSE' MAIL 19/10/17</v>
          </cell>
          <cell r="AA1592"/>
          <cell r="AB1592">
            <v>43027</v>
          </cell>
          <cell r="AC1592">
            <v>5622</v>
          </cell>
        </row>
        <row r="1593">
          <cell r="B1593">
            <v>3706</v>
          </cell>
          <cell r="C1593" t="str">
            <v>M-438</v>
          </cell>
          <cell r="D1593" t="str">
            <v>TRICOLOR LACE</v>
          </cell>
          <cell r="E1593"/>
          <cell r="F1593" t="str">
            <v>N/C/T 40/30/30</v>
          </cell>
          <cell r="G1593" t="str">
            <v>40% NYLON 30% COTTON 30% POLYESTER</v>
          </cell>
          <cell r="H1593" t="str">
            <v>55/56</v>
          </cell>
          <cell r="I1593">
            <v>170</v>
          </cell>
          <cell r="J1593">
            <v>3.6300000000000003</v>
          </cell>
          <cell r="K1593"/>
          <cell r="L1593">
            <v>3.68</v>
          </cell>
          <cell r="M1593"/>
          <cell r="N1593">
            <v>3.68</v>
          </cell>
          <cell r="O1593"/>
          <cell r="P1593"/>
          <cell r="Q1593"/>
          <cell r="R1593">
            <v>4.13</v>
          </cell>
          <cell r="S1593"/>
          <cell r="T1593"/>
          <cell r="U1593"/>
          <cell r="V1593">
            <v>15</v>
          </cell>
          <cell r="W1593"/>
          <cell r="X1593" t="str">
            <v>LIVALTEX</v>
          </cell>
          <cell r="Y1593" t="str">
            <v>Copy of Q3 APIP TRICOLOR LACE (3)</v>
          </cell>
          <cell r="Z1593" t="str">
            <v>ROSE' MAIL 19/10/17</v>
          </cell>
          <cell r="AA1593"/>
          <cell r="AB1593">
            <v>43027</v>
          </cell>
          <cell r="AC1593">
            <v>5623</v>
          </cell>
        </row>
        <row r="1594">
          <cell r="B1594">
            <v>3705</v>
          </cell>
          <cell r="C1594" t="str">
            <v>M-512</v>
          </cell>
          <cell r="D1594" t="str">
            <v>TRICOLOR LACE</v>
          </cell>
          <cell r="E1594"/>
          <cell r="F1594" t="str">
            <v>N/C 55/45</v>
          </cell>
          <cell r="G1594" t="str">
            <v>55% NYLON 45% COTTON</v>
          </cell>
          <cell r="H1594" t="str">
            <v>57/58</v>
          </cell>
          <cell r="I1594"/>
          <cell r="J1594">
            <v>2.4000000000000004</v>
          </cell>
          <cell r="K1594"/>
          <cell r="L1594">
            <v>2.4500000000000002</v>
          </cell>
          <cell r="M1594"/>
          <cell r="N1594">
            <v>2.4500000000000002</v>
          </cell>
          <cell r="O1594"/>
          <cell r="P1594"/>
          <cell r="Q1594"/>
          <cell r="R1594">
            <v>2.9000000000000004</v>
          </cell>
          <cell r="S1594"/>
          <cell r="T1594"/>
          <cell r="U1594"/>
          <cell r="V1594">
            <v>15</v>
          </cell>
          <cell r="W1594"/>
          <cell r="X1594" t="str">
            <v>LIVALTEX</v>
          </cell>
          <cell r="Y1594" t="str">
            <v>Copy of Q3 APIP TRICOLOR LACE (3)</v>
          </cell>
          <cell r="Z1594" t="str">
            <v>ROSE' MAIL 19/10/17</v>
          </cell>
          <cell r="AA1594"/>
          <cell r="AB1594">
            <v>43027</v>
          </cell>
          <cell r="AC1594">
            <v>5624</v>
          </cell>
        </row>
        <row r="1595">
          <cell r="B1595">
            <v>3704</v>
          </cell>
          <cell r="C1595" t="str">
            <v>M-499</v>
          </cell>
          <cell r="D1595" t="str">
            <v>TRICOLOR LACE</v>
          </cell>
          <cell r="E1595"/>
          <cell r="F1595" t="str">
            <v>N/P 50/50</v>
          </cell>
          <cell r="G1595" t="str">
            <v>50% NYLON 50% POLYESTER</v>
          </cell>
          <cell r="H1595" t="str">
            <v>57/58</v>
          </cell>
          <cell r="I1595"/>
          <cell r="J1595">
            <v>2.8800000000000003</v>
          </cell>
          <cell r="K1595"/>
          <cell r="L1595">
            <v>2.93</v>
          </cell>
          <cell r="M1595"/>
          <cell r="N1595">
            <v>2.93</v>
          </cell>
          <cell r="O1595"/>
          <cell r="P1595"/>
          <cell r="Q1595"/>
          <cell r="R1595">
            <v>3.3800000000000003</v>
          </cell>
          <cell r="S1595"/>
          <cell r="T1595"/>
          <cell r="U1595"/>
          <cell r="V1595">
            <v>15</v>
          </cell>
          <cell r="W1595"/>
          <cell r="X1595" t="str">
            <v>LIVALTEX</v>
          </cell>
          <cell r="Y1595" t="str">
            <v>Copy of Q3 APIP TRICOLOR LACE (3)</v>
          </cell>
          <cell r="Z1595" t="str">
            <v>ROSE' MAIL 19/10/17</v>
          </cell>
          <cell r="AA1595"/>
          <cell r="AB1595">
            <v>43027</v>
          </cell>
          <cell r="AC1595">
            <v>5625</v>
          </cell>
        </row>
        <row r="1596">
          <cell r="B1596">
            <v>3703</v>
          </cell>
          <cell r="C1596" t="str">
            <v>K1710131</v>
          </cell>
          <cell r="D1596" t="str">
            <v>TRICOLOR LACE</v>
          </cell>
          <cell r="E1596"/>
          <cell r="F1596" t="str">
            <v>N/P/C</v>
          </cell>
          <cell r="G1596" t="str">
            <v>NYLON /POLYESTER/COTTON</v>
          </cell>
          <cell r="H1596" t="str">
            <v>150CM</v>
          </cell>
          <cell r="I1596">
            <v>121</v>
          </cell>
          <cell r="J1596">
            <v>3.98</v>
          </cell>
          <cell r="K1596"/>
          <cell r="L1596">
            <v>4.04</v>
          </cell>
          <cell r="M1596"/>
          <cell r="N1596">
            <v>4.1399999999999997</v>
          </cell>
          <cell r="O1596"/>
          <cell r="P1596"/>
          <cell r="Q1596"/>
          <cell r="R1596">
            <v>4.38</v>
          </cell>
          <cell r="S1596"/>
          <cell r="T1596"/>
          <cell r="U1596"/>
          <cell r="V1596">
            <v>15</v>
          </cell>
          <cell r="W1596"/>
          <cell r="X1596" t="str">
            <v>YURI</v>
          </cell>
          <cell r="Y1596" t="str">
            <v>YURI-TRCOLOR LACE</v>
          </cell>
          <cell r="Z1596" t="str">
            <v>YURI ' MAIL 19/10/17</v>
          </cell>
          <cell r="AA1596"/>
          <cell r="AB1596">
            <v>43027</v>
          </cell>
          <cell r="AC1596">
            <v>5626</v>
          </cell>
        </row>
        <row r="1597">
          <cell r="B1597">
            <v>3702</v>
          </cell>
          <cell r="C1597" t="str">
            <v>K1710133</v>
          </cell>
          <cell r="D1597" t="str">
            <v>TRICOLOR LACE</v>
          </cell>
          <cell r="E1597"/>
          <cell r="F1597" t="str">
            <v>N/P/C</v>
          </cell>
          <cell r="G1597" t="str">
            <v>NYLON /POLYESTER/COTTON</v>
          </cell>
          <cell r="H1597" t="str">
            <v>150CM</v>
          </cell>
          <cell r="I1597">
            <v>145</v>
          </cell>
          <cell r="J1597">
            <v>3.69</v>
          </cell>
          <cell r="K1597"/>
          <cell r="L1597">
            <v>3.74</v>
          </cell>
          <cell r="M1597"/>
          <cell r="N1597">
            <v>3.84</v>
          </cell>
          <cell r="O1597"/>
          <cell r="P1597"/>
          <cell r="Q1597"/>
          <cell r="R1597">
            <v>4.04</v>
          </cell>
          <cell r="S1597"/>
          <cell r="T1597"/>
          <cell r="U1597"/>
          <cell r="V1597">
            <v>15</v>
          </cell>
          <cell r="W1597"/>
          <cell r="X1597" t="str">
            <v>YURI</v>
          </cell>
          <cell r="Y1597" t="str">
            <v>YURI-TRCOLOR LACE</v>
          </cell>
          <cell r="Z1597" t="str">
            <v>YURI ' MAIL 19/10/17</v>
          </cell>
          <cell r="AA1597"/>
          <cell r="AB1597">
            <v>43027</v>
          </cell>
          <cell r="AC1597">
            <v>5627</v>
          </cell>
        </row>
        <row r="1598">
          <cell r="B1598">
            <v>3701</v>
          </cell>
          <cell r="C1598" t="str">
            <v>K1710134</v>
          </cell>
          <cell r="D1598" t="str">
            <v>TRICOLOR LACE</v>
          </cell>
          <cell r="E1598"/>
          <cell r="F1598" t="str">
            <v>N/P/C</v>
          </cell>
          <cell r="G1598" t="str">
            <v>NYLON /POLYESTER/COTTON</v>
          </cell>
          <cell r="H1598" t="str">
            <v>150CM</v>
          </cell>
          <cell r="I1598">
            <v>159</v>
          </cell>
          <cell r="J1598">
            <v>3.88</v>
          </cell>
          <cell r="K1598"/>
          <cell r="L1598">
            <v>3.93</v>
          </cell>
          <cell r="M1598"/>
          <cell r="N1598">
            <v>4.03</v>
          </cell>
          <cell r="O1598"/>
          <cell r="P1598"/>
          <cell r="Q1598"/>
          <cell r="R1598">
            <v>4.2300000000000004</v>
          </cell>
          <cell r="S1598"/>
          <cell r="T1598"/>
          <cell r="U1598"/>
          <cell r="V1598">
            <v>15</v>
          </cell>
          <cell r="W1598"/>
          <cell r="X1598" t="str">
            <v>YURI</v>
          </cell>
          <cell r="Y1598" t="str">
            <v>YURI-TRCOLOR LACE</v>
          </cell>
          <cell r="Z1598" t="str">
            <v>YURI ' MAIL 19/10/17</v>
          </cell>
          <cell r="AA1598"/>
          <cell r="AB1598">
            <v>43027</v>
          </cell>
          <cell r="AC1598">
            <v>5628</v>
          </cell>
        </row>
        <row r="1599">
          <cell r="B1599">
            <v>3700</v>
          </cell>
          <cell r="C1599" t="str">
            <v>K1710132</v>
          </cell>
          <cell r="D1599" t="str">
            <v>TRICOLOR LACE</v>
          </cell>
          <cell r="E1599"/>
          <cell r="F1599" t="str">
            <v>N/P/C</v>
          </cell>
          <cell r="G1599" t="str">
            <v>NYLON /POLYESTER/COTTON</v>
          </cell>
          <cell r="H1599" t="str">
            <v>150CM</v>
          </cell>
          <cell r="I1599">
            <v>135</v>
          </cell>
          <cell r="J1599">
            <v>4.07</v>
          </cell>
          <cell r="K1599"/>
          <cell r="L1599">
            <v>4.13</v>
          </cell>
          <cell r="M1599"/>
          <cell r="N1599">
            <v>4.2300000000000004</v>
          </cell>
          <cell r="O1599"/>
          <cell r="P1599"/>
          <cell r="Q1599"/>
          <cell r="R1599">
            <v>4.43</v>
          </cell>
          <cell r="S1599"/>
          <cell r="T1599"/>
          <cell r="U1599"/>
          <cell r="V1599">
            <v>15</v>
          </cell>
          <cell r="W1599"/>
          <cell r="X1599" t="str">
            <v>YURI</v>
          </cell>
          <cell r="Y1599" t="str">
            <v>YURI-TRCOLOR LACE</v>
          </cell>
          <cell r="Z1599" t="str">
            <v>YURI ' MAIL 19/10/17</v>
          </cell>
          <cell r="AA1599"/>
          <cell r="AB1599">
            <v>43027</v>
          </cell>
          <cell r="AC1599">
            <v>5629</v>
          </cell>
        </row>
        <row r="1600">
          <cell r="B1600">
            <v>957</v>
          </cell>
          <cell r="C1600" t="str">
            <v>GL14133</v>
          </cell>
          <cell r="D1600" t="str">
            <v>PONTE ROMA</v>
          </cell>
          <cell r="E1600"/>
          <cell r="F1600" t="str">
            <v>R/N/S 67/28/5</v>
          </cell>
          <cell r="G1600" t="str">
            <v>67% RAYON 28% NYLON 5% SPANDEX</v>
          </cell>
          <cell r="H1600" t="str">
            <v>59/61</v>
          </cell>
          <cell r="I1600" t="str">
            <v>330-340</v>
          </cell>
          <cell r="J1600">
            <v>2.93</v>
          </cell>
          <cell r="K1600"/>
          <cell r="L1600">
            <v>2.96</v>
          </cell>
          <cell r="M1600"/>
          <cell r="N1600">
            <v>3</v>
          </cell>
          <cell r="O1600"/>
          <cell r="P1600"/>
          <cell r="Q1600"/>
          <cell r="R1600">
            <v>3.22</v>
          </cell>
          <cell r="S1600"/>
          <cell r="T1600"/>
          <cell r="U1600"/>
          <cell r="V1600">
            <v>15</v>
          </cell>
          <cell r="W1600"/>
          <cell r="X1600" t="str">
            <v>NICKY</v>
          </cell>
          <cell r="Y1600"/>
          <cell r="Z1600" t="str">
            <v>NICKY ' MAIL 19/10/17</v>
          </cell>
          <cell r="AA1600"/>
          <cell r="AB1600">
            <v>43027</v>
          </cell>
          <cell r="AC1600">
            <v>5630</v>
          </cell>
        </row>
        <row r="1601">
          <cell r="B1601">
            <v>3699</v>
          </cell>
          <cell r="C1601">
            <v>9790</v>
          </cell>
          <cell r="D1601"/>
          <cell r="E1601" t="str">
            <v>70D+40D*10S  </v>
          </cell>
          <cell r="F1601" t="str">
            <v>N/R/SP 19/78/3</v>
          </cell>
          <cell r="G1601" t="str">
            <v>78% RAYON 19% NYLON 3% SPANDEX</v>
          </cell>
          <cell r="H1601" t="str">
            <v>57/58</v>
          </cell>
          <cell r="I1601">
            <v>247</v>
          </cell>
          <cell r="J1601">
            <v>2.02</v>
          </cell>
          <cell r="K1601">
            <v>2.29</v>
          </cell>
          <cell r="L1601">
            <v>2.04</v>
          </cell>
          <cell r="M1601">
            <v>2.33</v>
          </cell>
          <cell r="N1601">
            <v>2.09</v>
          </cell>
          <cell r="O1601">
            <v>2.37</v>
          </cell>
          <cell r="P1601"/>
          <cell r="Q1601"/>
          <cell r="R1601">
            <v>2.17</v>
          </cell>
          <cell r="S1601">
            <v>2.86</v>
          </cell>
          <cell r="T1601"/>
          <cell r="U1601"/>
          <cell r="V1601">
            <v>15</v>
          </cell>
          <cell r="W1601"/>
          <cell r="X1601" t="str">
            <v>TERESA</v>
          </cell>
          <cell r="Y1601"/>
          <cell r="Z1601" t="str">
            <v>TERESA ' MAIL 18/10/17</v>
          </cell>
          <cell r="AA1601"/>
          <cell r="AB1601">
            <v>43026</v>
          </cell>
          <cell r="AC1601">
            <v>5632</v>
          </cell>
        </row>
        <row r="1602">
          <cell r="B1602">
            <v>3689</v>
          </cell>
          <cell r="C1602" t="str">
            <v>CS2004</v>
          </cell>
          <cell r="D1602"/>
          <cell r="E1602" t="str">
            <v>32x32+40D/180x76</v>
          </cell>
          <cell r="F1602" t="str">
            <v>C/S 97/3</v>
          </cell>
          <cell r="G1602" t="str">
            <v xml:space="preserve">97% COTTON 3% SPANDEX </v>
          </cell>
          <cell r="H1602" t="str">
            <v>57/58</v>
          </cell>
          <cell r="I1602">
            <v>185</v>
          </cell>
          <cell r="J1602">
            <v>2.31</v>
          </cell>
          <cell r="K1602">
            <v>2.48</v>
          </cell>
          <cell r="L1602">
            <v>2.35</v>
          </cell>
          <cell r="M1602">
            <v>2.62</v>
          </cell>
          <cell r="N1602">
            <v>2.37</v>
          </cell>
          <cell r="O1602">
            <v>2.75</v>
          </cell>
          <cell r="P1602"/>
          <cell r="Q1602"/>
          <cell r="R1602">
            <v>2.52</v>
          </cell>
          <cell r="S1602">
            <v>3.54</v>
          </cell>
          <cell r="T1602"/>
          <cell r="U1602"/>
          <cell r="V1602">
            <v>15</v>
          </cell>
          <cell r="W1602"/>
          <cell r="X1602" t="str">
            <v>SONG</v>
          </cell>
          <cell r="Y1602" t="str">
            <v>SONG LI 28-SEP</v>
          </cell>
          <cell r="Z1602" t="str">
            <v>SONG ' MAIL 18/10/17</v>
          </cell>
          <cell r="AA1602"/>
          <cell r="AB1602">
            <v>43026</v>
          </cell>
          <cell r="AC1602">
            <v>5633</v>
          </cell>
        </row>
        <row r="1603">
          <cell r="B1603">
            <v>3688</v>
          </cell>
          <cell r="C1603" t="str">
            <v>CS2003</v>
          </cell>
          <cell r="D1603"/>
          <cell r="E1603" t="str">
            <v>32x32+40D/180x56</v>
          </cell>
          <cell r="F1603" t="str">
            <v>C/S 97/3 - SATEEN PRINT</v>
          </cell>
          <cell r="G1603" t="str">
            <v xml:space="preserve">97% COTTON 3% SPANDEX </v>
          </cell>
          <cell r="H1603" t="str">
            <v>57/58</v>
          </cell>
          <cell r="I1603">
            <v>170</v>
          </cell>
          <cell r="J1603">
            <v>2.1800000000000002</v>
          </cell>
          <cell r="K1603">
            <v>2.37</v>
          </cell>
          <cell r="L1603">
            <v>2.23</v>
          </cell>
          <cell r="M1603">
            <v>2.5099999999999998</v>
          </cell>
          <cell r="N1603">
            <v>2.2599999999999998</v>
          </cell>
          <cell r="O1603">
            <v>2.62</v>
          </cell>
          <cell r="P1603"/>
          <cell r="Q1603"/>
          <cell r="R1603">
            <v>2.38</v>
          </cell>
          <cell r="S1603">
            <v>3.45</v>
          </cell>
          <cell r="T1603"/>
          <cell r="U1603"/>
          <cell r="V1603">
            <v>15</v>
          </cell>
          <cell r="W1603"/>
          <cell r="X1603" t="str">
            <v>SONG</v>
          </cell>
          <cell r="Y1603" t="str">
            <v>SONG LI 13-OCT</v>
          </cell>
          <cell r="Z1603" t="str">
            <v>SONG ' MAIL 18/10/17</v>
          </cell>
          <cell r="AA1603"/>
          <cell r="AB1603">
            <v>43026</v>
          </cell>
          <cell r="AC1603">
            <v>5631</v>
          </cell>
        </row>
        <row r="1604">
          <cell r="B1604">
            <v>1648</v>
          </cell>
          <cell r="C1604" t="str">
            <v>#7072</v>
          </cell>
          <cell r="D1604" t="str">
            <v>TENCEL - TWILL</v>
          </cell>
          <cell r="E1604"/>
          <cell r="F1604" t="str">
            <v>TENCEL 100%</v>
          </cell>
          <cell r="G1604" t="str">
            <v>100% TENCEL</v>
          </cell>
          <cell r="H1604" t="str">
            <v>57/58</v>
          </cell>
          <cell r="I1604">
            <v>157</v>
          </cell>
          <cell r="J1604">
            <v>2.96</v>
          </cell>
          <cell r="K1604">
            <v>3.22</v>
          </cell>
          <cell r="L1604">
            <v>2.98</v>
          </cell>
          <cell r="M1604">
            <v>3.3</v>
          </cell>
          <cell r="N1604">
            <v>3.03</v>
          </cell>
          <cell r="O1604">
            <v>3.34</v>
          </cell>
          <cell r="P1604"/>
          <cell r="Q1604"/>
          <cell r="R1604">
            <v>3.11</v>
          </cell>
          <cell r="S1604">
            <v>3.83</v>
          </cell>
          <cell r="T1604"/>
          <cell r="U1604"/>
          <cell r="V1604">
            <v>15</v>
          </cell>
          <cell r="W1604"/>
          <cell r="X1604" t="str">
            <v>TERESA</v>
          </cell>
          <cell r="Y1604"/>
          <cell r="Z1604" t="str">
            <v>TERESA' MAIL 18/10/17</v>
          </cell>
          <cell r="AA1604"/>
          <cell r="AB1604">
            <v>43026</v>
          </cell>
          <cell r="AC1604">
            <v>5634</v>
          </cell>
        </row>
        <row r="1605">
          <cell r="B1605">
            <v>3663</v>
          </cell>
          <cell r="C1605" t="str">
            <v>E15201</v>
          </cell>
          <cell r="D1605" t="str">
            <v>INTERLOCK - LINING</v>
          </cell>
          <cell r="E1605" t="str">
            <v>DTY75D/72F</v>
          </cell>
          <cell r="F1605" t="str">
            <v>T100%</v>
          </cell>
          <cell r="G1605" t="str">
            <v xml:space="preserve">100% POLYESTER </v>
          </cell>
          <cell r="H1605" t="str">
            <v>165CM</v>
          </cell>
          <cell r="I1605">
            <v>110</v>
          </cell>
          <cell r="J1605"/>
          <cell r="K1605"/>
          <cell r="L1605">
            <v>0.9</v>
          </cell>
          <cell r="M1605"/>
          <cell r="N1605"/>
          <cell r="O1605"/>
          <cell r="P1605"/>
          <cell r="Q1605"/>
          <cell r="R1605"/>
          <cell r="S1605"/>
          <cell r="T1605"/>
          <cell r="U1605"/>
          <cell r="V1605">
            <v>15</v>
          </cell>
          <cell r="W1605"/>
          <cell r="X1605" t="str">
            <v>TRAN HIEP THANH</v>
          </cell>
          <cell r="Y1605" t="str">
            <v>TRAN HIEP THANH 13-OCT</v>
          </cell>
          <cell r="Z1605" t="str">
            <v>HOA ' MAIL 14/10/17</v>
          </cell>
          <cell r="AA1605"/>
          <cell r="AB1605">
            <v>43022</v>
          </cell>
          <cell r="AC1605">
            <v>5635</v>
          </cell>
        </row>
        <row r="1606">
          <cell r="B1606">
            <v>3662</v>
          </cell>
          <cell r="C1606" t="str">
            <v>E4402</v>
          </cell>
          <cell r="D1606" t="str">
            <v>INTERLOCK - LINING</v>
          </cell>
          <cell r="E1606" t="str">
            <v>75D/72F</v>
          </cell>
          <cell r="F1606" t="str">
            <v>T100%</v>
          </cell>
          <cell r="G1606" t="str">
            <v xml:space="preserve">100% POLYESTER </v>
          </cell>
          <cell r="H1606" t="str">
            <v>170CM</v>
          </cell>
          <cell r="I1606">
            <v>123</v>
          </cell>
          <cell r="J1606"/>
          <cell r="K1606"/>
          <cell r="L1606">
            <v>1.02</v>
          </cell>
          <cell r="M1606"/>
          <cell r="N1606"/>
          <cell r="O1606"/>
          <cell r="P1606"/>
          <cell r="Q1606"/>
          <cell r="R1606"/>
          <cell r="S1606"/>
          <cell r="T1606"/>
          <cell r="U1606"/>
          <cell r="V1606">
            <v>15</v>
          </cell>
          <cell r="W1606"/>
          <cell r="X1606" t="str">
            <v>TRAN HIEP THANH</v>
          </cell>
          <cell r="Y1606" t="str">
            <v>TRAN HIEP THANH 13-OCT</v>
          </cell>
          <cell r="Z1606" t="str">
            <v>HOA ' MAIL 14/10/17</v>
          </cell>
          <cell r="AA1606"/>
          <cell r="AB1606">
            <v>43022</v>
          </cell>
          <cell r="AC1606">
            <v>5636</v>
          </cell>
        </row>
        <row r="1607">
          <cell r="B1607">
            <v>3661</v>
          </cell>
          <cell r="C1607" t="str">
            <v>E101701</v>
          </cell>
          <cell r="D1607" t="str">
            <v xml:space="preserve">JERSEY </v>
          </cell>
          <cell r="E1607" t="str">
            <v>75Dx20D</v>
          </cell>
          <cell r="F1607" t="str">
            <v>C100%</v>
          </cell>
          <cell r="G1607" t="str">
            <v>45% POLY 45 %CD 10% SPANDEX</v>
          </cell>
          <cell r="H1607" t="str">
            <v>63/65</v>
          </cell>
          <cell r="I1607" t="str">
            <v>145 +/- 5%</v>
          </cell>
          <cell r="J1607"/>
          <cell r="K1607"/>
          <cell r="L1607">
            <v>2.85</v>
          </cell>
          <cell r="M1607"/>
          <cell r="N1607"/>
          <cell r="O1607"/>
          <cell r="P1607"/>
          <cell r="Q1607"/>
          <cell r="R1607"/>
          <cell r="S1607"/>
          <cell r="T1607"/>
          <cell r="U1607"/>
          <cell r="V1607">
            <v>15</v>
          </cell>
          <cell r="W1607"/>
          <cell r="X1607" t="str">
            <v>TRAN HIEP THANH</v>
          </cell>
          <cell r="Y1607" t="str">
            <v>TRAN HIEP THANH 13-OCT</v>
          </cell>
          <cell r="Z1607" t="str">
            <v>HOA ' MAIL 14/10/17</v>
          </cell>
          <cell r="AA1607"/>
          <cell r="AB1607">
            <v>43022</v>
          </cell>
          <cell r="AC1607">
            <v>3661</v>
          </cell>
        </row>
        <row r="1608">
          <cell r="B1608">
            <v>3660</v>
          </cell>
          <cell r="C1608" t="str">
            <v>P100802</v>
          </cell>
          <cell r="D1608" t="str">
            <v xml:space="preserve">JERSEY </v>
          </cell>
          <cell r="E1608" t="str">
            <v>75Dx20D</v>
          </cell>
          <cell r="F1608" t="str">
            <v>T/S 92/8</v>
          </cell>
          <cell r="G1608" t="str">
            <v xml:space="preserve">92% POLYESTER  8% SPANDEX </v>
          </cell>
          <cell r="H1608" t="str">
            <v>58/60</v>
          </cell>
          <cell r="I1608" t="str">
            <v>130 +/- 5%</v>
          </cell>
          <cell r="J1608"/>
          <cell r="K1608"/>
          <cell r="L1608">
            <v>1.1200000000000001</v>
          </cell>
          <cell r="M1608"/>
          <cell r="N1608"/>
          <cell r="O1608"/>
          <cell r="P1608"/>
          <cell r="Q1608"/>
          <cell r="R1608"/>
          <cell r="S1608"/>
          <cell r="T1608"/>
          <cell r="U1608"/>
          <cell r="V1608">
            <v>15</v>
          </cell>
          <cell r="W1608"/>
          <cell r="X1608" t="str">
            <v>TRAN HIEP THANH</v>
          </cell>
          <cell r="Y1608" t="str">
            <v>TRAN HIEP THANH 13-OCT</v>
          </cell>
          <cell r="Z1608" t="str">
            <v>HOA ' MAIL 14/10/17</v>
          </cell>
          <cell r="AA1608"/>
          <cell r="AB1608">
            <v>43022</v>
          </cell>
          <cell r="AC1608">
            <v>5637</v>
          </cell>
        </row>
        <row r="1609">
          <cell r="B1609">
            <v>3659</v>
          </cell>
          <cell r="C1609" t="str">
            <v>300D-P39903</v>
          </cell>
          <cell r="D1609"/>
          <cell r="E1609" t="str">
            <v>300Dx300D/54x54</v>
          </cell>
          <cell r="F1609" t="str">
            <v>T100%</v>
          </cell>
          <cell r="G1609" t="str">
            <v xml:space="preserve">100% POLYESTER </v>
          </cell>
          <cell r="H1609">
            <v>60</v>
          </cell>
          <cell r="I1609">
            <v>174</v>
          </cell>
          <cell r="J1609"/>
          <cell r="K1609"/>
          <cell r="L1609">
            <v>1.18</v>
          </cell>
          <cell r="M1609"/>
          <cell r="N1609"/>
          <cell r="O1609"/>
          <cell r="P1609"/>
          <cell r="Q1609"/>
          <cell r="R1609"/>
          <cell r="S1609"/>
          <cell r="T1609"/>
          <cell r="U1609"/>
          <cell r="V1609">
            <v>15</v>
          </cell>
          <cell r="W1609"/>
          <cell r="X1609" t="str">
            <v>TRAN HIEP THANH</v>
          </cell>
          <cell r="Y1609" t="str">
            <v>TRAN HIEP THANH 13-OCT</v>
          </cell>
          <cell r="Z1609" t="str">
            <v>HOA ' MAIL 14/10/17</v>
          </cell>
          <cell r="AA1609"/>
          <cell r="AB1609">
            <v>43022</v>
          </cell>
          <cell r="AC1609">
            <v>5638</v>
          </cell>
        </row>
        <row r="1610">
          <cell r="B1610">
            <v>3658</v>
          </cell>
          <cell r="C1610" t="str">
            <v>SOFT - P30804</v>
          </cell>
          <cell r="D1610"/>
          <cell r="E1610" t="str">
            <v xml:space="preserve"> 300Dx300D/64x52</v>
          </cell>
          <cell r="F1610" t="str">
            <v>T100%</v>
          </cell>
          <cell r="G1610" t="str">
            <v>100% POLYESTER</v>
          </cell>
          <cell r="H1610">
            <v>55</v>
          </cell>
          <cell r="I1610">
            <v>190</v>
          </cell>
          <cell r="J1610"/>
          <cell r="K1610"/>
          <cell r="L1610">
            <v>1.3</v>
          </cell>
          <cell r="M1610"/>
          <cell r="N1610"/>
          <cell r="O1610"/>
          <cell r="P1610"/>
          <cell r="Q1610"/>
          <cell r="R1610"/>
          <cell r="S1610"/>
          <cell r="T1610"/>
          <cell r="U1610"/>
          <cell r="V1610">
            <v>15</v>
          </cell>
          <cell r="W1610"/>
          <cell r="X1610" t="str">
            <v>TRAN HIEP THANH</v>
          </cell>
          <cell r="Y1610" t="str">
            <v>TRAN HIEP THANH 13-OCT</v>
          </cell>
          <cell r="Z1610" t="str">
            <v>HOA ' MAIL 14/10/17</v>
          </cell>
          <cell r="AA1610"/>
          <cell r="AB1610">
            <v>43022</v>
          </cell>
          <cell r="AC1610">
            <v>5639</v>
          </cell>
        </row>
        <row r="1611">
          <cell r="B1611">
            <v>3657</v>
          </cell>
          <cell r="C1611" t="str">
            <v>P8701</v>
          </cell>
          <cell r="D1611" t="str">
            <v>POLY OXFORD</v>
          </cell>
          <cell r="E1611" t="str">
            <v>150Dx150D/53x52</v>
          </cell>
          <cell r="F1611" t="str">
            <v>T100%</v>
          </cell>
          <cell r="G1611" t="str">
            <v xml:space="preserve">100% POLYESTER </v>
          </cell>
          <cell r="H1611" t="str">
            <v>63-64</v>
          </cell>
          <cell r="I1611">
            <v>172</v>
          </cell>
          <cell r="J1611"/>
          <cell r="K1611"/>
          <cell r="L1611">
            <v>1.2</v>
          </cell>
          <cell r="M1611"/>
          <cell r="N1611"/>
          <cell r="O1611"/>
          <cell r="P1611"/>
          <cell r="Q1611"/>
          <cell r="R1611"/>
          <cell r="S1611"/>
          <cell r="T1611"/>
          <cell r="U1611"/>
          <cell r="V1611">
            <v>15</v>
          </cell>
          <cell r="W1611"/>
          <cell r="X1611" t="str">
            <v>TRAN HIEP THANH</v>
          </cell>
          <cell r="Y1611" t="str">
            <v>TRAN HIEP THANH 13-OCT</v>
          </cell>
          <cell r="Z1611" t="str">
            <v>HOA ' MAIL 14/10/17</v>
          </cell>
          <cell r="AA1611"/>
          <cell r="AB1611">
            <v>43022</v>
          </cell>
          <cell r="AC1611">
            <v>5640</v>
          </cell>
        </row>
        <row r="1612">
          <cell r="B1612">
            <v>3656</v>
          </cell>
          <cell r="C1612" t="str">
            <v>P79802</v>
          </cell>
          <cell r="D1612" t="str">
            <v>CREPE</v>
          </cell>
          <cell r="E1612" t="str">
            <v>P195x195/118x75</v>
          </cell>
          <cell r="F1612" t="str">
            <v>T100%</v>
          </cell>
          <cell r="G1612" t="str">
            <v xml:space="preserve">100% POLYESTER </v>
          </cell>
          <cell r="H1612">
            <v>59</v>
          </cell>
          <cell r="I1612">
            <v>208</v>
          </cell>
          <cell r="J1612"/>
          <cell r="K1612"/>
          <cell r="L1612">
            <v>2.4500000000000002</v>
          </cell>
          <cell r="M1612"/>
          <cell r="N1612"/>
          <cell r="O1612"/>
          <cell r="P1612"/>
          <cell r="Q1612"/>
          <cell r="R1612"/>
          <cell r="S1612"/>
          <cell r="T1612"/>
          <cell r="U1612"/>
          <cell r="V1612">
            <v>15</v>
          </cell>
          <cell r="W1612" t="str">
            <v xml:space="preserve">                                                             </v>
          </cell>
          <cell r="X1612" t="str">
            <v>TRAN HIEP THANH</v>
          </cell>
          <cell r="Y1612" t="str">
            <v>TRAN HIEP THANH 13-OCT</v>
          </cell>
          <cell r="Z1612" t="str">
            <v>HOA ' MAIL 14/10/17</v>
          </cell>
          <cell r="AA1612"/>
          <cell r="AB1612">
            <v>43022</v>
          </cell>
          <cell r="AC1612">
            <v>5641</v>
          </cell>
        </row>
        <row r="1613">
          <cell r="B1613">
            <v>3655</v>
          </cell>
          <cell r="C1613" t="str">
            <v>P75601 A</v>
          </cell>
          <cell r="D1613" t="str">
            <v>STRETCH CREPE</v>
          </cell>
          <cell r="E1613" t="str">
            <v>160D/72Fx150D/48F+Sp40D/112x86</v>
          </cell>
          <cell r="F1613" t="str">
            <v>T/S 96/4</v>
          </cell>
          <cell r="G1613" t="str">
            <v xml:space="preserve">96% POLY 4% SPANDEX </v>
          </cell>
          <cell r="H1613" t="str">
            <v>150CM</v>
          </cell>
          <cell r="I1613">
            <v>160</v>
          </cell>
          <cell r="J1613"/>
          <cell r="K1613"/>
          <cell r="L1613">
            <v>2.2999999999999998</v>
          </cell>
          <cell r="M1613"/>
          <cell r="N1613"/>
          <cell r="O1613"/>
          <cell r="P1613"/>
          <cell r="Q1613"/>
          <cell r="R1613"/>
          <cell r="S1613"/>
          <cell r="T1613"/>
          <cell r="U1613"/>
          <cell r="V1613">
            <v>15</v>
          </cell>
          <cell r="W1613"/>
          <cell r="X1613" t="str">
            <v>TRAN HIEP THANH</v>
          </cell>
          <cell r="Y1613" t="str">
            <v>TRAN HIEP THANH 13-OCT</v>
          </cell>
          <cell r="Z1613" t="str">
            <v>HOA ' MAIL 14/10/17</v>
          </cell>
          <cell r="AA1613"/>
          <cell r="AB1613">
            <v>43022</v>
          </cell>
          <cell r="AC1613">
            <v>3655</v>
          </cell>
        </row>
        <row r="1614">
          <cell r="B1614">
            <v>3654</v>
          </cell>
          <cell r="C1614" t="str">
            <v>P75601</v>
          </cell>
          <cell r="D1614" t="str">
            <v>STRETCH CREPE</v>
          </cell>
          <cell r="E1614" t="str">
            <v>160D/72Fx150D/48F+Sp40D/112x86</v>
          </cell>
          <cell r="F1614" t="str">
            <v>T/S 96/4</v>
          </cell>
          <cell r="G1614" t="str">
            <v xml:space="preserve">96% POLY 4% SPANDEX </v>
          </cell>
          <cell r="H1614" t="str">
            <v>150CM</v>
          </cell>
          <cell r="I1614">
            <v>191</v>
          </cell>
          <cell r="J1614"/>
          <cell r="K1614"/>
          <cell r="L1614">
            <v>2.25</v>
          </cell>
          <cell r="M1614"/>
          <cell r="N1614"/>
          <cell r="O1614"/>
          <cell r="P1614"/>
          <cell r="Q1614"/>
          <cell r="R1614"/>
          <cell r="S1614"/>
          <cell r="T1614"/>
          <cell r="U1614"/>
          <cell r="V1614">
            <v>15</v>
          </cell>
          <cell r="W1614"/>
          <cell r="X1614" t="str">
            <v>TRAN HIEP THANH</v>
          </cell>
          <cell r="Y1614" t="str">
            <v>TRAN HIEP THANH 13-OCT</v>
          </cell>
          <cell r="Z1614" t="str">
            <v>HOA ' MAIL 14/10/17</v>
          </cell>
          <cell r="AA1614"/>
          <cell r="AB1614">
            <v>43022</v>
          </cell>
          <cell r="AC1614">
            <v>5642</v>
          </cell>
        </row>
        <row r="1615">
          <cell r="B1615">
            <v>3653</v>
          </cell>
          <cell r="C1615" t="str">
            <v>P5503</v>
          </cell>
          <cell r="D1615" t="str">
            <v>SATEEN</v>
          </cell>
          <cell r="E1615" t="str">
            <v>P75/36xP150/96/188x96</v>
          </cell>
          <cell r="F1615" t="str">
            <v>T100%</v>
          </cell>
          <cell r="G1615" t="str">
            <v xml:space="preserve">100% POLYESTER </v>
          </cell>
          <cell r="H1615">
            <v>58</v>
          </cell>
          <cell r="I1615">
            <v>120</v>
          </cell>
          <cell r="J1615"/>
          <cell r="K1615"/>
          <cell r="L1615">
            <v>1.4</v>
          </cell>
          <cell r="M1615"/>
          <cell r="N1615"/>
          <cell r="O1615"/>
          <cell r="P1615"/>
          <cell r="Q1615"/>
          <cell r="R1615"/>
          <cell r="S1615"/>
          <cell r="T1615"/>
          <cell r="U1615"/>
          <cell r="V1615">
            <v>15</v>
          </cell>
          <cell r="W1615"/>
          <cell r="X1615" t="str">
            <v>TRAN HIEP THANH</v>
          </cell>
          <cell r="Y1615" t="str">
            <v>TRAN HIEP THANH 13-OCT</v>
          </cell>
          <cell r="Z1615" t="str">
            <v>HOA ' MAIL 14/10/17</v>
          </cell>
          <cell r="AA1615"/>
          <cell r="AB1615">
            <v>43022</v>
          </cell>
          <cell r="AC1615">
            <v>3653</v>
          </cell>
        </row>
        <row r="1616">
          <cell r="B1616">
            <v>3652</v>
          </cell>
          <cell r="C1616" t="str">
            <v>P77006</v>
          </cell>
          <cell r="D1616" t="str">
            <v>CREPE</v>
          </cell>
          <cell r="E1616" t="str">
            <v>P75DxP75D/227x105</v>
          </cell>
          <cell r="F1616" t="str">
            <v>T100%</v>
          </cell>
          <cell r="G1616" t="str">
            <v xml:space="preserve">100% POLYESTER </v>
          </cell>
          <cell r="H1616" t="str">
            <v>150CM</v>
          </cell>
          <cell r="I1616">
            <v>115</v>
          </cell>
          <cell r="J1616"/>
          <cell r="K1616"/>
          <cell r="L1616">
            <v>1.25</v>
          </cell>
          <cell r="M1616"/>
          <cell r="N1616"/>
          <cell r="O1616"/>
          <cell r="P1616"/>
          <cell r="Q1616"/>
          <cell r="R1616"/>
          <cell r="S1616"/>
          <cell r="T1616"/>
          <cell r="U1616"/>
          <cell r="V1616">
            <v>15</v>
          </cell>
          <cell r="W1616"/>
          <cell r="X1616" t="str">
            <v>TRAN HIEP THANH</v>
          </cell>
          <cell r="Y1616" t="str">
            <v>TRAN HIEP THANH 13-OCT</v>
          </cell>
          <cell r="Z1616" t="str">
            <v>HOA ' MAIL 14/10/17</v>
          </cell>
          <cell r="AA1616"/>
          <cell r="AB1616">
            <v>43022</v>
          </cell>
          <cell r="AC1616">
            <v>5643</v>
          </cell>
        </row>
        <row r="1617">
          <cell r="B1617">
            <v>3651</v>
          </cell>
          <cell r="C1617" t="str">
            <v>P86101</v>
          </cell>
          <cell r="D1617"/>
          <cell r="E1617" t="str">
            <v>P150xP150+Sp40/129X85</v>
          </cell>
          <cell r="F1617" t="str">
            <v>T/S 97/3</v>
          </cell>
          <cell r="G1617" t="str">
            <v>97% POLYESTER 3%SPANDEX</v>
          </cell>
          <cell r="H1617">
            <v>58</v>
          </cell>
          <cell r="I1617">
            <v>185</v>
          </cell>
          <cell r="J1617"/>
          <cell r="K1617"/>
          <cell r="L1617">
            <v>1.9</v>
          </cell>
          <cell r="M1617"/>
          <cell r="N1617"/>
          <cell r="O1617"/>
          <cell r="P1617"/>
          <cell r="Q1617"/>
          <cell r="R1617"/>
          <cell r="S1617"/>
          <cell r="T1617"/>
          <cell r="U1617"/>
          <cell r="V1617">
            <v>15</v>
          </cell>
          <cell r="W1617"/>
          <cell r="X1617" t="str">
            <v>TRAN HIEP THANH</v>
          </cell>
          <cell r="Y1617" t="str">
            <v>TRAN HIEP THANH 13-OCT</v>
          </cell>
          <cell r="Z1617" t="str">
            <v>HOA ' MAIL 14/10/17</v>
          </cell>
          <cell r="AA1617"/>
          <cell r="AB1617">
            <v>43022</v>
          </cell>
          <cell r="AC1617">
            <v>5644</v>
          </cell>
        </row>
        <row r="1618">
          <cell r="B1618">
            <v>3650</v>
          </cell>
          <cell r="C1618" t="str">
            <v>P86201</v>
          </cell>
          <cell r="D1618" t="str">
            <v>TAILORING</v>
          </cell>
          <cell r="E1618" t="str">
            <v>P150xP150+Sp40/129x85</v>
          </cell>
          <cell r="F1618" t="str">
            <v>T/S 97/3</v>
          </cell>
          <cell r="G1618" t="str">
            <v>97% POLYESTER  3%SPANDEX</v>
          </cell>
          <cell r="H1618">
            <v>58</v>
          </cell>
          <cell r="I1618">
            <v>185</v>
          </cell>
          <cell r="J1618"/>
          <cell r="K1618"/>
          <cell r="L1618">
            <v>1.9</v>
          </cell>
          <cell r="M1618"/>
          <cell r="N1618"/>
          <cell r="O1618"/>
          <cell r="P1618"/>
          <cell r="Q1618"/>
          <cell r="R1618"/>
          <cell r="S1618"/>
          <cell r="T1618"/>
          <cell r="U1618"/>
          <cell r="V1618">
            <v>15</v>
          </cell>
          <cell r="W1618"/>
          <cell r="X1618" t="str">
            <v>TRAN HIEP THANH</v>
          </cell>
          <cell r="Y1618" t="str">
            <v>TRAN HIEP THANH 13-OCT</v>
          </cell>
          <cell r="Z1618" t="str">
            <v>HOA ' MAIL 14/10/17</v>
          </cell>
          <cell r="AA1618"/>
          <cell r="AB1618">
            <v>43022</v>
          </cell>
          <cell r="AC1618">
            <v>5645</v>
          </cell>
        </row>
        <row r="1619">
          <cell r="B1619">
            <v>3187</v>
          </cell>
          <cell r="C1619" t="str">
            <v>HLT2758</v>
          </cell>
          <cell r="D1619" t="str">
            <v>SATEEN DULL</v>
          </cell>
          <cell r="E1619"/>
          <cell r="F1619" t="str">
            <v>T 100%</v>
          </cell>
          <cell r="G1619" t="str">
            <v>100% POLYESTER</v>
          </cell>
          <cell r="H1619" t="str">
            <v>55/56</v>
          </cell>
          <cell r="I1619">
            <v>108</v>
          </cell>
          <cell r="J1619">
            <v>1.5317567567567565</v>
          </cell>
          <cell r="K1619">
            <v>1.6398648648648646</v>
          </cell>
          <cell r="L1619">
            <v>1.6317567567567566</v>
          </cell>
          <cell r="M1619">
            <v>1.7398648648648647</v>
          </cell>
          <cell r="N1619">
            <v>1.7317567567567567</v>
          </cell>
          <cell r="O1619">
            <v>1.7498648648648647</v>
          </cell>
          <cell r="P1619"/>
          <cell r="Q1619"/>
          <cell r="R1619">
            <v>1.8317567567567568</v>
          </cell>
          <cell r="S1619">
            <v>1.9498648648648647</v>
          </cell>
          <cell r="T1619"/>
          <cell r="U1619"/>
          <cell r="V1619">
            <v>15</v>
          </cell>
          <cell r="W1619"/>
          <cell r="X1619" t="str">
            <v>CANDY</v>
          </cell>
          <cell r="Y1619" t="str">
            <v>CANDY 10-OCT (UPDATE PRICE )</v>
          </cell>
          <cell r="Z1619" t="str">
            <v>CANDY ' MAIL 14/10/17</v>
          </cell>
          <cell r="AA1619"/>
          <cell r="AB1619">
            <v>43022</v>
          </cell>
          <cell r="AC1619">
            <v>3187</v>
          </cell>
        </row>
        <row r="1620">
          <cell r="B1620">
            <v>3171</v>
          </cell>
          <cell r="C1620" t="str">
            <v>BG1519</v>
          </cell>
          <cell r="D1620"/>
          <cell r="E1620"/>
          <cell r="F1620" t="str">
            <v>T100%</v>
          </cell>
          <cell r="G1620" t="str">
            <v>100% POLYESTER</v>
          </cell>
          <cell r="H1620" t="str">
            <v>57/58</v>
          </cell>
          <cell r="I1620">
            <v>100</v>
          </cell>
          <cell r="J1620">
            <v>1.5</v>
          </cell>
          <cell r="K1620">
            <v>1.8</v>
          </cell>
          <cell r="L1620">
            <v>1.53</v>
          </cell>
          <cell r="M1620">
            <v>1.85</v>
          </cell>
          <cell r="N1620">
            <v>1.55</v>
          </cell>
          <cell r="O1620">
            <v>1.9</v>
          </cell>
          <cell r="P1620"/>
          <cell r="Q1620"/>
          <cell r="R1620">
            <v>1.6</v>
          </cell>
          <cell r="S1620">
            <v>2.1</v>
          </cell>
          <cell r="T1620"/>
          <cell r="U1620"/>
          <cell r="V1620">
            <v>15</v>
          </cell>
          <cell r="W1620"/>
          <cell r="X1620" t="str">
            <v>EDWIN</v>
          </cell>
          <cell r="Y1620" t="str">
            <v>EDWIN 10-OCT ( UPDATE PRICE )</v>
          </cell>
          <cell r="Z1620" t="str">
            <v>EDWIN ' MAIL 14/10/17</v>
          </cell>
          <cell r="AA1620"/>
          <cell r="AB1620">
            <v>43022</v>
          </cell>
          <cell r="AC1620">
            <v>3171</v>
          </cell>
        </row>
        <row r="1621">
          <cell r="B1621">
            <v>2983</v>
          </cell>
          <cell r="C1621" t="str">
            <v>BG1522</v>
          </cell>
          <cell r="D1621"/>
          <cell r="E1621"/>
          <cell r="F1621" t="str">
            <v>T100%</v>
          </cell>
          <cell r="G1621" t="str">
            <v>100% POLYESTER</v>
          </cell>
          <cell r="H1621" t="str">
            <v>57/58</v>
          </cell>
          <cell r="I1621">
            <v>115</v>
          </cell>
          <cell r="J1621">
            <v>1.63</v>
          </cell>
          <cell r="K1621">
            <v>1.93</v>
          </cell>
          <cell r="L1621">
            <v>1.65</v>
          </cell>
          <cell r="M1621">
            <v>1.98</v>
          </cell>
          <cell r="N1621">
            <v>1.7</v>
          </cell>
          <cell r="O1621">
            <v>2</v>
          </cell>
          <cell r="P1621"/>
          <cell r="Q1621"/>
          <cell r="R1621">
            <v>1.9</v>
          </cell>
          <cell r="S1621">
            <v>2.4</v>
          </cell>
          <cell r="T1621"/>
          <cell r="U1621"/>
          <cell r="V1621">
            <v>15</v>
          </cell>
          <cell r="W1621"/>
          <cell r="X1621" t="str">
            <v>EDWIN</v>
          </cell>
          <cell r="Y1621" t="str">
            <v>EDWIN 10-OCT ( UPDATE PRICE )</v>
          </cell>
          <cell r="Z1621" t="str">
            <v>EDWIN ' MAIL 14/10/17</v>
          </cell>
          <cell r="AA1621"/>
          <cell r="AB1621">
            <v>43022</v>
          </cell>
          <cell r="AC1621">
            <v>2983</v>
          </cell>
        </row>
        <row r="1622">
          <cell r="B1622">
            <v>2764</v>
          </cell>
          <cell r="C1622" t="str">
            <v>HLT3176</v>
          </cell>
          <cell r="D1622" t="str">
            <v xml:space="preserve"> POLY SATEEN</v>
          </cell>
          <cell r="E1622"/>
          <cell r="F1622" t="str">
            <v>T 100%</v>
          </cell>
          <cell r="G1622" t="str">
            <v>100% POLYESTER</v>
          </cell>
          <cell r="H1622" t="str">
            <v>57/58</v>
          </cell>
          <cell r="I1622">
            <v>160</v>
          </cell>
          <cell r="J1622">
            <v>1.5317567567567567</v>
          </cell>
          <cell r="K1622">
            <v>1.5722972972972973</v>
          </cell>
          <cell r="L1622">
            <v>1.6317567567567568</v>
          </cell>
          <cell r="M1622">
            <v>1.6722972972972974</v>
          </cell>
          <cell r="N1622">
            <v>1.7317567567567569</v>
          </cell>
          <cell r="O1622">
            <v>1.7822972972972999</v>
          </cell>
          <cell r="P1622"/>
          <cell r="Q1622"/>
          <cell r="R1622">
            <v>1.831756756756757</v>
          </cell>
          <cell r="S1622">
            <v>1.8822972972972973</v>
          </cell>
          <cell r="T1622"/>
          <cell r="U1622"/>
          <cell r="V1622">
            <v>15</v>
          </cell>
          <cell r="W1622"/>
          <cell r="X1622" t="str">
            <v>CANDY</v>
          </cell>
          <cell r="Y1622" t="str">
            <v>CANDY 10-OCT (UPDATE PRICE )</v>
          </cell>
          <cell r="Z1622" t="str">
            <v>CANDY ' MAIL 14/10/17</v>
          </cell>
          <cell r="AA1622"/>
          <cell r="AB1622">
            <v>43022</v>
          </cell>
          <cell r="AC1622">
            <v>2764</v>
          </cell>
        </row>
        <row r="1623">
          <cell r="B1623">
            <v>2762</v>
          </cell>
          <cell r="C1623" t="str">
            <v>HLT3098</v>
          </cell>
          <cell r="D1623" t="str">
            <v>POLY SATEEN</v>
          </cell>
          <cell r="E1623"/>
          <cell r="F1623" t="str">
            <v>T 100%</v>
          </cell>
          <cell r="G1623" t="str">
            <v>100% POLYESTER</v>
          </cell>
          <cell r="H1623" t="str">
            <v>57/58</v>
          </cell>
          <cell r="I1623">
            <v>89</v>
          </cell>
          <cell r="J1623">
            <v>1.6162162162162159</v>
          </cell>
          <cell r="K1623">
            <v>1.724324324324324</v>
          </cell>
          <cell r="L1623">
            <v>1.716216216216216</v>
          </cell>
          <cell r="M1623">
            <v>1.8243243243243241</v>
          </cell>
          <cell r="N1623">
            <v>1.8162162162162161</v>
          </cell>
          <cell r="O1623">
            <v>1.8343243243243241</v>
          </cell>
          <cell r="P1623"/>
          <cell r="Q1623"/>
          <cell r="R1623">
            <v>1.9162162162162162</v>
          </cell>
          <cell r="S1623">
            <v>2.0343243243243241</v>
          </cell>
          <cell r="T1623"/>
          <cell r="U1623"/>
          <cell r="V1623">
            <v>15</v>
          </cell>
          <cell r="W1623"/>
          <cell r="X1623" t="str">
            <v>CANDY</v>
          </cell>
          <cell r="Y1623" t="str">
            <v>CANDY 10-OCT (UPDATE PRICE )</v>
          </cell>
          <cell r="Z1623" t="str">
            <v>CANDY ' MAIL 14/10/17</v>
          </cell>
          <cell r="AA1623"/>
          <cell r="AB1623">
            <v>43022</v>
          </cell>
          <cell r="AC1623">
            <v>2762</v>
          </cell>
        </row>
        <row r="1624">
          <cell r="B1624">
            <v>2761</v>
          </cell>
          <cell r="C1624" t="str">
            <v>HLT3097</v>
          </cell>
          <cell r="D1624" t="str">
            <v>CHIFFON SATEEN</v>
          </cell>
          <cell r="E1624"/>
          <cell r="F1624" t="str">
            <v>T 100%</v>
          </cell>
          <cell r="G1624" t="str">
            <v>100% POLYESTER</v>
          </cell>
          <cell r="H1624" t="str">
            <v>57/58</v>
          </cell>
          <cell r="I1624">
            <v>84</v>
          </cell>
          <cell r="J1624">
            <v>1.7344594594594596</v>
          </cell>
          <cell r="K1624">
            <v>1.8425675675675675</v>
          </cell>
          <cell r="L1624">
            <v>1.8344594594594597</v>
          </cell>
          <cell r="M1624">
            <v>1.9425675675675675</v>
          </cell>
          <cell r="N1624">
            <v>1.9344594594594597</v>
          </cell>
          <cell r="O1624">
            <v>1.9525675675675676</v>
          </cell>
          <cell r="P1624"/>
          <cell r="Q1624"/>
          <cell r="R1624">
            <v>2.0344594594594598</v>
          </cell>
          <cell r="S1624">
            <v>2.1525675675675675</v>
          </cell>
          <cell r="T1624"/>
          <cell r="U1624"/>
          <cell r="V1624">
            <v>15</v>
          </cell>
          <cell r="W1624"/>
          <cell r="X1624" t="str">
            <v>CANDY</v>
          </cell>
          <cell r="Y1624" t="str">
            <v>CANDY 10-OCT (UPDATE PRICE )</v>
          </cell>
          <cell r="Z1624" t="str">
            <v>CANDY ' MAIL 14/10/17</v>
          </cell>
          <cell r="AA1624"/>
          <cell r="AB1624">
            <v>43022</v>
          </cell>
          <cell r="AC1624">
            <v>2761</v>
          </cell>
        </row>
        <row r="1625">
          <cell r="B1625">
            <v>2760</v>
          </cell>
          <cell r="C1625" t="str">
            <v>HLT3096</v>
          </cell>
          <cell r="D1625" t="str">
            <v>POLY SATEEN</v>
          </cell>
          <cell r="E1625"/>
          <cell r="F1625" t="str">
            <v>T 100%</v>
          </cell>
          <cell r="G1625" t="str">
            <v>100% POLYESTER</v>
          </cell>
          <cell r="H1625" t="str">
            <v>57/58</v>
          </cell>
          <cell r="I1625">
            <v>127</v>
          </cell>
          <cell r="J1625">
            <v>1.9540540540540541</v>
          </cell>
          <cell r="K1625">
            <v>2.0621621621621622</v>
          </cell>
          <cell r="L1625">
            <v>2.0540540540540539</v>
          </cell>
          <cell r="M1625">
            <v>2.1621621621621623</v>
          </cell>
          <cell r="N1625">
            <v>2.154054054054054</v>
          </cell>
          <cell r="O1625">
            <v>2.1721621621621621</v>
          </cell>
          <cell r="P1625"/>
          <cell r="Q1625"/>
          <cell r="R1625">
            <v>2.2540540540540541</v>
          </cell>
          <cell r="S1625">
            <v>2.3721621621621622</v>
          </cell>
          <cell r="T1625"/>
          <cell r="U1625"/>
          <cell r="V1625">
            <v>15</v>
          </cell>
          <cell r="W1625"/>
          <cell r="X1625" t="str">
            <v>CANDY</v>
          </cell>
          <cell r="Y1625" t="str">
            <v>CANDY 10-OCT (UPDATE PRICE )</v>
          </cell>
          <cell r="Z1625" t="str">
            <v>CANDY ' MAIL 14/10/17</v>
          </cell>
          <cell r="AA1625"/>
          <cell r="AB1625">
            <v>43022</v>
          </cell>
          <cell r="AC1625">
            <v>2760</v>
          </cell>
        </row>
        <row r="1626">
          <cell r="B1626">
            <v>2759</v>
          </cell>
          <cell r="C1626" t="str">
            <v>HLT3095</v>
          </cell>
          <cell r="D1626" t="str">
            <v xml:space="preserve"> POLY SATEEN (SHINY)</v>
          </cell>
          <cell r="E1626"/>
          <cell r="F1626" t="str">
            <v>T 100%</v>
          </cell>
          <cell r="G1626" t="str">
            <v>100% POLYESTER</v>
          </cell>
          <cell r="H1626" t="str">
            <v>57/58</v>
          </cell>
          <cell r="I1626">
            <v>110</v>
          </cell>
          <cell r="J1626">
            <v>1.7851351351351352</v>
          </cell>
          <cell r="K1626">
            <v>1.8932432432432431</v>
          </cell>
          <cell r="L1626">
            <v>1.8851351351351353</v>
          </cell>
          <cell r="M1626">
            <v>1.9932432432432432</v>
          </cell>
          <cell r="N1626">
            <v>1.9851351351351354</v>
          </cell>
          <cell r="O1626">
            <v>2.0032432432432432</v>
          </cell>
          <cell r="P1626"/>
          <cell r="Q1626"/>
          <cell r="R1626">
            <v>2.0851351351351353</v>
          </cell>
          <cell r="S1626">
            <v>2.2032432432432434</v>
          </cell>
          <cell r="T1626"/>
          <cell r="U1626"/>
          <cell r="V1626">
            <v>15</v>
          </cell>
          <cell r="W1626"/>
          <cell r="X1626" t="str">
            <v>CANDY</v>
          </cell>
          <cell r="Y1626" t="str">
            <v>CANDY 10-OCT (UPDATE PRICE )</v>
          </cell>
          <cell r="Z1626" t="str">
            <v>CANDY ' MAIL 14/10/17</v>
          </cell>
          <cell r="AA1626"/>
          <cell r="AB1626">
            <v>43022</v>
          </cell>
          <cell r="AC1626">
            <v>2759</v>
          </cell>
        </row>
        <row r="1627">
          <cell r="B1627">
            <v>2465</v>
          </cell>
          <cell r="C1627" t="str">
            <v>BG-1735</v>
          </cell>
          <cell r="D1627"/>
          <cell r="E1627"/>
          <cell r="F1627" t="str">
            <v>T100%</v>
          </cell>
          <cell r="G1627" t="str">
            <v>100% POLYESTER</v>
          </cell>
          <cell r="H1627" t="str">
            <v>57/58</v>
          </cell>
          <cell r="I1627">
            <v>85</v>
          </cell>
          <cell r="J1627">
            <v>1.3</v>
          </cell>
          <cell r="K1627">
            <v>1.6</v>
          </cell>
          <cell r="L1627">
            <v>1.3299999999999999E-2</v>
          </cell>
          <cell r="M1627">
            <v>1.65</v>
          </cell>
          <cell r="N1627">
            <v>1.35</v>
          </cell>
          <cell r="O1627">
            <v>1.7</v>
          </cell>
          <cell r="P1627"/>
          <cell r="Q1627"/>
          <cell r="R1627">
            <v>1.5</v>
          </cell>
          <cell r="S1627">
            <v>2</v>
          </cell>
          <cell r="T1627"/>
          <cell r="U1627"/>
          <cell r="V1627">
            <v>15</v>
          </cell>
          <cell r="W1627"/>
          <cell r="X1627" t="str">
            <v>EDWIN</v>
          </cell>
          <cell r="Y1627" t="str">
            <v>EDWIN 10-OCT ( UPDATE PRICE )</v>
          </cell>
          <cell r="Z1627" t="str">
            <v>EDWIN ' MAIL 14/10/17</v>
          </cell>
          <cell r="AA1627"/>
          <cell r="AB1627">
            <v>43022</v>
          </cell>
          <cell r="AC1627">
            <v>2465</v>
          </cell>
        </row>
        <row r="1628">
          <cell r="B1628">
            <v>2464</v>
          </cell>
          <cell r="C1628" t="str">
            <v>BG 3551</v>
          </cell>
          <cell r="D1628"/>
          <cell r="E1628"/>
          <cell r="F1628" t="str">
            <v>T100%</v>
          </cell>
          <cell r="G1628" t="str">
            <v>100% POLYESTER</v>
          </cell>
          <cell r="H1628" t="str">
            <v>57/58</v>
          </cell>
          <cell r="I1628">
            <v>118</v>
          </cell>
          <cell r="J1628">
            <v>1.1000000000000001</v>
          </cell>
          <cell r="K1628">
            <v>1.4</v>
          </cell>
          <cell r="L1628">
            <v>1.1299999999999999</v>
          </cell>
          <cell r="M1628">
            <v>1.45</v>
          </cell>
          <cell r="N1628">
            <v>1.1499999999999999</v>
          </cell>
          <cell r="O1628">
            <v>1.48</v>
          </cell>
          <cell r="P1628"/>
          <cell r="Q1628"/>
          <cell r="R1628">
            <v>1.3</v>
          </cell>
          <cell r="S1628">
            <v>1.9</v>
          </cell>
          <cell r="T1628"/>
          <cell r="U1628"/>
          <cell r="V1628">
            <v>15</v>
          </cell>
          <cell r="W1628"/>
          <cell r="X1628" t="str">
            <v>EDWIN</v>
          </cell>
          <cell r="Y1628" t="str">
            <v>EDWIN 10-OCT ( UPDATE PRICE )</v>
          </cell>
          <cell r="Z1628" t="str">
            <v>EDWIN ' MAIL 14/10/17</v>
          </cell>
          <cell r="AA1628"/>
          <cell r="AB1628">
            <v>43022</v>
          </cell>
          <cell r="AC1628">
            <v>2464</v>
          </cell>
        </row>
        <row r="1629">
          <cell r="B1629">
            <v>2448</v>
          </cell>
          <cell r="C1629" t="str">
            <v>HLT3212</v>
          </cell>
          <cell r="D1629" t="str">
            <v>CHIFFON SATEEN</v>
          </cell>
          <cell r="E1629"/>
          <cell r="F1629" t="str">
            <v>T 100%</v>
          </cell>
          <cell r="G1629" t="str">
            <v>100% POLYESTER</v>
          </cell>
          <cell r="H1629" t="str">
            <v>57/58</v>
          </cell>
          <cell r="I1629">
            <v>95</v>
          </cell>
          <cell r="J1629">
            <v>1.5317567567567565</v>
          </cell>
          <cell r="K1629">
            <v>1.6398648648648646</v>
          </cell>
          <cell r="L1629">
            <v>1.6317567567567566</v>
          </cell>
          <cell r="M1629">
            <v>1.7398648648648647</v>
          </cell>
          <cell r="N1629">
            <v>1.7317567567567567</v>
          </cell>
          <cell r="O1629">
            <v>1.7498648648648647</v>
          </cell>
          <cell r="P1629"/>
          <cell r="Q1629"/>
          <cell r="R1629">
            <v>1.8317567567567568</v>
          </cell>
          <cell r="S1629">
            <v>1.9498648648648647</v>
          </cell>
          <cell r="T1629"/>
          <cell r="U1629"/>
          <cell r="V1629">
            <v>15</v>
          </cell>
          <cell r="W1629"/>
          <cell r="X1629" t="str">
            <v>CANDY</v>
          </cell>
          <cell r="Y1629" t="str">
            <v>CANDY 10-OCT (UPDATE PRICE )</v>
          </cell>
          <cell r="Z1629" t="str">
            <v>CANDY ' MAIL 14/10/17</v>
          </cell>
          <cell r="AA1629"/>
          <cell r="AB1629">
            <v>43022</v>
          </cell>
          <cell r="AC1629">
            <v>2448</v>
          </cell>
        </row>
        <row r="1630">
          <cell r="B1630">
            <v>2264</v>
          </cell>
          <cell r="C1630" t="str">
            <v>BG 2745</v>
          </cell>
          <cell r="D1630"/>
          <cell r="E1630"/>
          <cell r="F1630" t="str">
            <v>T100%</v>
          </cell>
          <cell r="G1630" t="str">
            <v>100% POLYESTER</v>
          </cell>
          <cell r="H1630" t="str">
            <v>57/58</v>
          </cell>
          <cell r="I1630">
            <v>70</v>
          </cell>
          <cell r="J1630">
            <v>1.1000000000000001</v>
          </cell>
          <cell r="K1630">
            <v>1.4</v>
          </cell>
          <cell r="L1630">
            <v>1.1299999999999999</v>
          </cell>
          <cell r="M1630">
            <v>1.45</v>
          </cell>
          <cell r="N1630">
            <v>1.1499999999999999</v>
          </cell>
          <cell r="O1630">
            <v>1.48</v>
          </cell>
          <cell r="P1630"/>
          <cell r="Q1630"/>
          <cell r="R1630">
            <v>1.3</v>
          </cell>
          <cell r="S1630">
            <v>1.9</v>
          </cell>
          <cell r="T1630"/>
          <cell r="U1630"/>
          <cell r="V1630">
            <v>15</v>
          </cell>
          <cell r="W1630"/>
          <cell r="X1630" t="str">
            <v>EDWIN</v>
          </cell>
          <cell r="Y1630" t="str">
            <v>EDWIN 10-OCT ( UPDATE PRICE )</v>
          </cell>
          <cell r="Z1630" t="str">
            <v>EDWIN ' MAIL 14/10/17</v>
          </cell>
          <cell r="AA1630"/>
          <cell r="AB1630">
            <v>43022</v>
          </cell>
          <cell r="AC1630">
            <v>2264</v>
          </cell>
        </row>
        <row r="1631">
          <cell r="B1631">
            <v>2148</v>
          </cell>
          <cell r="C1631" t="str">
            <v>HLT1201</v>
          </cell>
          <cell r="D1631"/>
          <cell r="E1631"/>
          <cell r="F1631" t="str">
            <v>C/MODAL/S 47/47/S</v>
          </cell>
          <cell r="G1631" t="str">
            <v>47% COTTON 47% MODAL 6% SPANDEX</v>
          </cell>
          <cell r="H1631" t="str">
            <v>68/69</v>
          </cell>
          <cell r="I1631">
            <v>180</v>
          </cell>
          <cell r="J1631">
            <v>3.239066133802976</v>
          </cell>
          <cell r="K1631"/>
          <cell r="L1631">
            <v>3.3390661338029761</v>
          </cell>
          <cell r="M1631"/>
          <cell r="N1631">
            <v>3.4390661338029762</v>
          </cell>
          <cell r="O1631"/>
          <cell r="P1631"/>
          <cell r="Q1631"/>
          <cell r="R1631">
            <v>3.5390661338029763</v>
          </cell>
          <cell r="S1631"/>
          <cell r="T1631"/>
          <cell r="U1631"/>
          <cell r="V1631"/>
          <cell r="W1631"/>
          <cell r="X1631" t="str">
            <v>CANDY</v>
          </cell>
          <cell r="Y1631" t="str">
            <v>CANDY 10-OCT (UPDATE PRICE )</v>
          </cell>
          <cell r="Z1631" t="str">
            <v>CANDY ' MAIL 14/10/17</v>
          </cell>
          <cell r="AA1631"/>
          <cell r="AB1631">
            <v>43022</v>
          </cell>
          <cell r="AC1631">
            <v>5646</v>
          </cell>
        </row>
        <row r="1632">
          <cell r="B1632">
            <v>234</v>
          </cell>
          <cell r="C1632" t="str">
            <v>BG-1735</v>
          </cell>
          <cell r="D1632"/>
          <cell r="E1632"/>
          <cell r="F1632" t="str">
            <v>T100%</v>
          </cell>
          <cell r="G1632" t="str">
            <v>100%POLYESTER</v>
          </cell>
          <cell r="H1632" t="str">
            <v>57/58</v>
          </cell>
          <cell r="I1632">
            <v>80</v>
          </cell>
          <cell r="J1632">
            <v>1.3</v>
          </cell>
          <cell r="K1632">
            <v>1.6</v>
          </cell>
          <cell r="L1632">
            <v>1.3299999999999999E-2</v>
          </cell>
          <cell r="M1632">
            <v>1.65</v>
          </cell>
          <cell r="N1632">
            <v>1.35</v>
          </cell>
          <cell r="O1632">
            <v>1.7</v>
          </cell>
          <cell r="P1632"/>
          <cell r="Q1632"/>
          <cell r="R1632">
            <v>1.5</v>
          </cell>
          <cell r="S1632">
            <v>2</v>
          </cell>
          <cell r="T1632"/>
          <cell r="U1632"/>
          <cell r="V1632">
            <v>15</v>
          </cell>
          <cell r="W1632"/>
          <cell r="X1632" t="str">
            <v>EDWIN</v>
          </cell>
          <cell r="Y1632" t="str">
            <v>EDWIN 10-OCT ( UPDATE PRICE )</v>
          </cell>
          <cell r="Z1632" t="str">
            <v>EDWIN ' MAIL 14/10/17</v>
          </cell>
          <cell r="AA1632"/>
          <cell r="AB1632">
            <v>43022</v>
          </cell>
          <cell r="AC1632">
            <v>234</v>
          </cell>
        </row>
        <row r="1633">
          <cell r="B1633"/>
          <cell r="C1633" t="str">
            <v>E99001</v>
          </cell>
          <cell r="D1633"/>
          <cell r="E1633" t="str">
            <v>Dty 75D+10%+ Spandex20D</v>
          </cell>
          <cell r="F1633" t="str">
            <v>T/S 90/10</v>
          </cell>
          <cell r="G1633" t="str">
            <v xml:space="preserve">90% POLYESTER 10% SPANDEX </v>
          </cell>
          <cell r="H1633" t="str">
            <v>68+1</v>
          </cell>
          <cell r="I1633">
            <v>130</v>
          </cell>
          <cell r="J1633"/>
          <cell r="K1633"/>
          <cell r="L1633">
            <v>1.1499999999999999</v>
          </cell>
          <cell r="M1633"/>
          <cell r="N1633"/>
          <cell r="O1633"/>
          <cell r="P1633"/>
          <cell r="Q1633"/>
          <cell r="R1633"/>
          <cell r="S1633"/>
          <cell r="T1633"/>
          <cell r="U1633"/>
          <cell r="V1633"/>
          <cell r="W1633"/>
          <cell r="X1633" t="str">
            <v>TRAN HIEP THANH</v>
          </cell>
          <cell r="Y1633" t="str">
            <v>TRAN HIEP THANH 13-OCT</v>
          </cell>
          <cell r="Z1633" t="str">
            <v>HOA ' MAIL 14/10/17</v>
          </cell>
          <cell r="AA1633"/>
          <cell r="AB1633">
            <v>43022</v>
          </cell>
          <cell r="AC1633"/>
        </row>
        <row r="1634">
          <cell r="B1634"/>
          <cell r="C1634" t="str">
            <v>N6701</v>
          </cell>
          <cell r="D1634"/>
          <cell r="E1634" t="str">
            <v>30D -44D(50%CD)+44D(50%CD)+SP30D)</v>
          </cell>
          <cell r="F1634"/>
          <cell r="G1634" t="str">
            <v>44% NYLON 44%CD POLY 12%SPANDEX</v>
          </cell>
          <cell r="H1634" t="str">
            <v>68+1</v>
          </cell>
          <cell r="I1634">
            <v>150</v>
          </cell>
          <cell r="J1634"/>
          <cell r="K1634"/>
          <cell r="L1634">
            <v>4.5</v>
          </cell>
          <cell r="M1634"/>
          <cell r="N1634"/>
          <cell r="O1634"/>
          <cell r="P1634"/>
          <cell r="Q1634"/>
          <cell r="R1634"/>
          <cell r="S1634"/>
          <cell r="T1634"/>
          <cell r="U1634"/>
          <cell r="V1634"/>
          <cell r="W1634"/>
          <cell r="X1634" t="str">
            <v>TRAN HIEP THANH</v>
          </cell>
          <cell r="Y1634" t="str">
            <v>TRAN HIEP THANH 13-OCT</v>
          </cell>
          <cell r="Z1634" t="str">
            <v>HOA ' MAIL 14/10/17</v>
          </cell>
          <cell r="AA1634"/>
          <cell r="AB1634">
            <v>43022</v>
          </cell>
          <cell r="AC1634"/>
        </row>
        <row r="1635">
          <cell r="B1635" t="str">
            <v>3132SW</v>
          </cell>
          <cell r="C1635" t="str">
            <v>UD-JC-351321</v>
          </cell>
          <cell r="D1635" t="str">
            <v>Y/D PEACHED</v>
          </cell>
          <cell r="E1635" t="str">
            <v xml:space="preserve"> (Y/D POPLIN PEACHED)40*40 120*80</v>
          </cell>
          <cell r="F1635" t="str">
            <v>C 100%</v>
          </cell>
          <cell r="G1635" t="str">
            <v>100% COTTON</v>
          </cell>
          <cell r="H1635" t="str">
            <v>57/58</v>
          </cell>
          <cell r="I1635">
            <v>117</v>
          </cell>
          <cell r="J1635">
            <v>2.06</v>
          </cell>
          <cell r="K1635"/>
          <cell r="L1635">
            <v>2.1</v>
          </cell>
          <cell r="M1635"/>
          <cell r="N1635">
            <v>2.23</v>
          </cell>
          <cell r="O1635"/>
          <cell r="P1635"/>
          <cell r="Q1635"/>
          <cell r="R1635">
            <v>2.4700000000000002</v>
          </cell>
          <cell r="S1635"/>
          <cell r="T1635"/>
          <cell r="U1635"/>
          <cell r="V1635">
            <v>15</v>
          </cell>
          <cell r="W1635" t="str">
            <v xml:space="preserve">PRICES INCLUDING CARBON PEACH &amp; WRINKLE FREE FINISHING COSTS </v>
          </cell>
          <cell r="X1635" t="str">
            <v>WANG HUA</v>
          </cell>
          <cell r="Y1635" t="str">
            <v>WANG HUA 06-OCT</v>
          </cell>
          <cell r="Z1635" t="str">
            <v>WANG HUA MAIL 13/10/17</v>
          </cell>
          <cell r="AA1635"/>
          <cell r="AB1635">
            <v>43021</v>
          </cell>
          <cell r="AC1635" t="str">
            <v>3132SW</v>
          </cell>
        </row>
        <row r="1636">
          <cell r="B1636">
            <v>3698</v>
          </cell>
          <cell r="C1636" t="str">
            <v>CS1816</v>
          </cell>
          <cell r="D1636" t="str">
            <v>LINEN PRINT</v>
          </cell>
          <cell r="E1636" t="str">
            <v>20x20/68x56</v>
          </cell>
          <cell r="F1636" t="str">
            <v xml:space="preserve">COTTON LINEN PRINT </v>
          </cell>
          <cell r="G1636" t="str">
            <v xml:space="preserve">COTTON LINEN PRINT </v>
          </cell>
          <cell r="H1636" t="str">
            <v>54/55</v>
          </cell>
          <cell r="I1636">
            <v>120</v>
          </cell>
          <cell r="J1636">
            <v>1.9</v>
          </cell>
          <cell r="K1636">
            <v>2.12</v>
          </cell>
          <cell r="L1636">
            <v>1.94</v>
          </cell>
          <cell r="M1636">
            <v>2.2799999999999998</v>
          </cell>
          <cell r="N1636">
            <v>1.97</v>
          </cell>
          <cell r="O1636">
            <v>2.4</v>
          </cell>
          <cell r="P1636"/>
          <cell r="Q1636"/>
          <cell r="R1636">
            <v>2.0499999999999998</v>
          </cell>
          <cell r="S1636">
            <v>3.1</v>
          </cell>
          <cell r="T1636"/>
          <cell r="U1636"/>
          <cell r="V1636">
            <v>15</v>
          </cell>
          <cell r="W1636"/>
          <cell r="X1636" t="str">
            <v>SONG</v>
          </cell>
          <cell r="Y1636" t="str">
            <v>SONG LI 28-SEP</v>
          </cell>
          <cell r="Z1636" t="str">
            <v>SONG ' MAIL 28/9/17</v>
          </cell>
          <cell r="AA1636"/>
          <cell r="AB1636">
            <v>43021</v>
          </cell>
          <cell r="AC1636">
            <v>3698</v>
          </cell>
        </row>
        <row r="1637">
          <cell r="B1637">
            <v>3697</v>
          </cell>
          <cell r="C1637" t="str">
            <v>CS1750</v>
          </cell>
          <cell r="D1637" t="str">
            <v>DOBBY PRINT</v>
          </cell>
          <cell r="E1637" t="str">
            <v>32x16+70D/188x61</v>
          </cell>
          <cell r="F1637" t="str">
            <v xml:space="preserve">C/SP DOBBY PRINT </v>
          </cell>
          <cell r="G1637" t="str">
            <v xml:space="preserve">C/SP DOBBY PRINT </v>
          </cell>
          <cell r="H1637" t="str">
            <v>57/58</v>
          </cell>
          <cell r="I1637">
            <v>245</v>
          </cell>
          <cell r="J1637">
            <v>2.5299999999999998</v>
          </cell>
          <cell r="K1637">
            <v>2.74</v>
          </cell>
          <cell r="L1637">
            <v>2.5499999999999998</v>
          </cell>
          <cell r="M1637">
            <v>2.88</v>
          </cell>
          <cell r="N1637">
            <v>2.58</v>
          </cell>
          <cell r="O1637">
            <v>2.72</v>
          </cell>
          <cell r="P1637"/>
          <cell r="Q1637"/>
          <cell r="R1637">
            <v>2.83</v>
          </cell>
          <cell r="S1637">
            <v>3.74</v>
          </cell>
          <cell r="T1637"/>
          <cell r="U1637"/>
          <cell r="V1637">
            <v>15</v>
          </cell>
          <cell r="W1637"/>
          <cell r="X1637" t="str">
            <v>SONG</v>
          </cell>
          <cell r="Y1637" t="str">
            <v>SONG LI 28-SEP</v>
          </cell>
          <cell r="Z1637" t="str">
            <v>SONG ' MAIL 28/9/17</v>
          </cell>
          <cell r="AA1637"/>
          <cell r="AB1637">
            <v>43021</v>
          </cell>
          <cell r="AC1637">
            <v>3697</v>
          </cell>
        </row>
        <row r="1638">
          <cell r="B1638">
            <v>3696</v>
          </cell>
          <cell r="C1638" t="str">
            <v>CS1746</v>
          </cell>
          <cell r="D1638" t="str">
            <v>COTTON POPLIN PRINT</v>
          </cell>
          <cell r="E1638" t="str">
            <v xml:space="preserve"> 60x60/128x110</v>
          </cell>
          <cell r="F1638" t="str">
            <v>COTTON POPLIN PRINT</v>
          </cell>
          <cell r="G1638" t="str">
            <v>COTTON POPLIN PRINT</v>
          </cell>
          <cell r="H1638" t="str">
            <v>57/58</v>
          </cell>
          <cell r="I1638">
            <v>90</v>
          </cell>
          <cell r="J1638">
            <v>1.8</v>
          </cell>
          <cell r="K1638">
            <v>1.98</v>
          </cell>
          <cell r="L1638">
            <v>1.82</v>
          </cell>
          <cell r="M1638">
            <v>2.14</v>
          </cell>
          <cell r="N1638">
            <v>1.84</v>
          </cell>
          <cell r="O1638">
            <v>2.25</v>
          </cell>
          <cell r="P1638"/>
          <cell r="Q1638"/>
          <cell r="R1638">
            <v>2.12</v>
          </cell>
          <cell r="S1638">
            <v>3</v>
          </cell>
          <cell r="T1638"/>
          <cell r="U1638"/>
          <cell r="V1638">
            <v>15</v>
          </cell>
          <cell r="W1638"/>
          <cell r="X1638" t="str">
            <v>SONG</v>
          </cell>
          <cell r="Y1638" t="str">
            <v>SONG LI 28-SEP</v>
          </cell>
          <cell r="Z1638" t="str">
            <v>SONG ' MAIL 28/9/17</v>
          </cell>
          <cell r="AA1638"/>
          <cell r="AB1638">
            <v>43021</v>
          </cell>
          <cell r="AC1638">
            <v>3696</v>
          </cell>
        </row>
        <row r="1639">
          <cell r="B1639">
            <v>3695</v>
          </cell>
          <cell r="C1639" t="str">
            <v>CS1586</v>
          </cell>
          <cell r="D1639"/>
          <cell r="E1639" t="str">
            <v>30x21/130x58</v>
          </cell>
          <cell r="F1639" t="str">
            <v>C/R/S 52/45/3</v>
          </cell>
          <cell r="G1639" t="str">
            <v xml:space="preserve">52% COTTON 45% RAYON 3% SPANDEX - PRINT </v>
          </cell>
          <cell r="H1639" t="str">
            <v>57/58</v>
          </cell>
          <cell r="I1639"/>
          <cell r="J1639">
            <v>2.89</v>
          </cell>
          <cell r="K1639">
            <v>3.1</v>
          </cell>
          <cell r="L1639">
            <v>2.93</v>
          </cell>
          <cell r="M1639">
            <v>3.3</v>
          </cell>
          <cell r="N1639">
            <v>3</v>
          </cell>
          <cell r="O1639">
            <v>3.25</v>
          </cell>
          <cell r="P1639"/>
          <cell r="Q1639"/>
          <cell r="R1639">
            <v>3.2</v>
          </cell>
          <cell r="S1639">
            <v>4.0999999999999996</v>
          </cell>
          <cell r="T1639"/>
          <cell r="U1639"/>
          <cell r="V1639">
            <v>15</v>
          </cell>
          <cell r="W1639"/>
          <cell r="X1639" t="str">
            <v>SONG</v>
          </cell>
          <cell r="Y1639" t="str">
            <v>SONG LI 28-SEP</v>
          </cell>
          <cell r="Z1639" t="str">
            <v>SONG ' MAIL 28/9/17</v>
          </cell>
          <cell r="AA1639"/>
          <cell r="AB1639">
            <v>43021</v>
          </cell>
          <cell r="AC1639">
            <v>3695</v>
          </cell>
        </row>
        <row r="1640">
          <cell r="B1640">
            <v>3694</v>
          </cell>
          <cell r="C1640" t="str">
            <v>CS1522</v>
          </cell>
          <cell r="D1640" t="str">
            <v xml:space="preserve">SATEEN PRINT </v>
          </cell>
          <cell r="E1640" t="str">
            <v xml:space="preserve"> 32x16+70D/130x58</v>
          </cell>
          <cell r="F1640" t="str">
            <v>C/S 97/3</v>
          </cell>
          <cell r="G1640" t="str">
            <v xml:space="preserve">97% COTTON 3% SPANDEX </v>
          </cell>
          <cell r="H1640"/>
          <cell r="I1640" t="str">
            <v>57/58</v>
          </cell>
          <cell r="J1640">
            <v>2.4300000000000002</v>
          </cell>
          <cell r="K1640">
            <v>2.64</v>
          </cell>
          <cell r="L1640">
            <v>2.4500000000000002</v>
          </cell>
          <cell r="M1640">
            <v>2.78</v>
          </cell>
          <cell r="N1640">
            <v>2.48</v>
          </cell>
          <cell r="O1640">
            <v>2.62</v>
          </cell>
          <cell r="P1640"/>
          <cell r="Q1640"/>
          <cell r="R1640">
            <v>2.73</v>
          </cell>
          <cell r="S1640">
            <v>3.64</v>
          </cell>
          <cell r="T1640"/>
          <cell r="U1640"/>
          <cell r="V1640">
            <v>15</v>
          </cell>
          <cell r="W1640"/>
          <cell r="X1640" t="str">
            <v>SONG</v>
          </cell>
          <cell r="Y1640" t="str">
            <v>SONG LI 28-SEP</v>
          </cell>
          <cell r="Z1640" t="str">
            <v>SONG ' MAIL 28/9/17</v>
          </cell>
          <cell r="AA1640"/>
          <cell r="AB1640">
            <v>43021</v>
          </cell>
          <cell r="AC1640">
            <v>3694</v>
          </cell>
        </row>
        <row r="1641">
          <cell r="B1641">
            <v>3693</v>
          </cell>
          <cell r="C1641" t="str">
            <v>CS1617</v>
          </cell>
          <cell r="D1641" t="str">
            <v>COTTON ROVING PRINT</v>
          </cell>
          <cell r="E1641" t="str">
            <v>21x21/81x60</v>
          </cell>
          <cell r="F1641" t="str">
            <v xml:space="preserve">COTTON ROVING PRINT </v>
          </cell>
          <cell r="G1641" t="str">
            <v xml:space="preserve">COTTON ROVING PRINT </v>
          </cell>
          <cell r="H1641" t="str">
            <v>57/58</v>
          </cell>
          <cell r="I1641">
            <v>145</v>
          </cell>
          <cell r="J1641">
            <v>1.7</v>
          </cell>
          <cell r="K1641">
            <v>2.0099999999999998</v>
          </cell>
          <cell r="L1641">
            <v>1.72</v>
          </cell>
          <cell r="M1641">
            <v>2.17</v>
          </cell>
          <cell r="N1641">
            <v>1.7</v>
          </cell>
          <cell r="O1641">
            <v>2.2799999999999998</v>
          </cell>
          <cell r="P1641"/>
          <cell r="Q1641"/>
          <cell r="R1641">
            <v>2</v>
          </cell>
          <cell r="S1641">
            <v>2.0499999999999998</v>
          </cell>
          <cell r="T1641"/>
          <cell r="U1641"/>
          <cell r="V1641">
            <v>15</v>
          </cell>
          <cell r="W1641"/>
          <cell r="X1641" t="str">
            <v>SONG</v>
          </cell>
          <cell r="Y1641" t="str">
            <v>SONG LI 28-SEP</v>
          </cell>
          <cell r="Z1641" t="str">
            <v>SONG ' MAIL 28/9/17</v>
          </cell>
          <cell r="AA1641"/>
          <cell r="AB1641">
            <v>43021</v>
          </cell>
          <cell r="AC1641">
            <v>3693</v>
          </cell>
        </row>
        <row r="1642">
          <cell r="B1642">
            <v>3692</v>
          </cell>
          <cell r="C1642" t="str">
            <v>CS2001</v>
          </cell>
          <cell r="D1642" t="str">
            <v>COTTON SLUB POPLIN PRINT</v>
          </cell>
          <cell r="E1642"/>
          <cell r="F1642" t="str">
            <v xml:space="preserve">COTTON SLUB POPLIN PRINT 100% </v>
          </cell>
          <cell r="G1642" t="str">
            <v xml:space="preserve">100% COTTON SLUB POPLIN PRINT </v>
          </cell>
          <cell r="H1642" t="str">
            <v>150CM</v>
          </cell>
          <cell r="I1642">
            <v>100</v>
          </cell>
          <cell r="J1642">
            <v>1.73</v>
          </cell>
          <cell r="K1642">
            <v>2.0499999999999998</v>
          </cell>
          <cell r="L1642">
            <v>1.76</v>
          </cell>
          <cell r="M1642">
            <v>2.2200000000000002</v>
          </cell>
          <cell r="N1642">
            <v>1.78</v>
          </cell>
          <cell r="O1642">
            <v>2.35</v>
          </cell>
          <cell r="P1642"/>
          <cell r="Q1642"/>
          <cell r="R1642">
            <v>2.1</v>
          </cell>
          <cell r="S1642">
            <v>2.15</v>
          </cell>
          <cell r="T1642"/>
          <cell r="U1642"/>
          <cell r="V1642">
            <v>15</v>
          </cell>
          <cell r="W1642"/>
          <cell r="X1642" t="str">
            <v>SONG</v>
          </cell>
          <cell r="Y1642" t="str">
            <v>SONG LI 28-SEP</v>
          </cell>
          <cell r="Z1642" t="str">
            <v>SONG ' MAIL 28/9/17</v>
          </cell>
          <cell r="AA1642"/>
          <cell r="AB1642">
            <v>43021</v>
          </cell>
          <cell r="AC1642">
            <v>3692</v>
          </cell>
        </row>
        <row r="1643">
          <cell r="B1643">
            <v>3691</v>
          </cell>
          <cell r="C1643" t="str">
            <v>CS1084</v>
          </cell>
          <cell r="D1643" t="str">
            <v>COTTON POPLIN</v>
          </cell>
          <cell r="E1643" t="str">
            <v>40x40/133x72</v>
          </cell>
          <cell r="F1643" t="str">
            <v>COTTON POPLIN SOLID</v>
          </cell>
          <cell r="G1643" t="str">
            <v xml:space="preserve">COTTON POPLIN SOLID </v>
          </cell>
          <cell r="H1643" t="str">
            <v>57/58</v>
          </cell>
          <cell r="I1643">
            <v>115</v>
          </cell>
          <cell r="J1643">
            <v>1.58</v>
          </cell>
          <cell r="K1643">
            <v>1.8</v>
          </cell>
          <cell r="L1643">
            <v>1.62</v>
          </cell>
          <cell r="M1643">
            <v>1.98</v>
          </cell>
          <cell r="N1643">
            <v>1.65</v>
          </cell>
          <cell r="O1643">
            <v>2.08</v>
          </cell>
          <cell r="P1643"/>
          <cell r="Q1643"/>
          <cell r="R1643">
            <v>1.8</v>
          </cell>
          <cell r="S1643">
            <v>2.8</v>
          </cell>
          <cell r="T1643"/>
          <cell r="U1643"/>
          <cell r="V1643">
            <v>15</v>
          </cell>
          <cell r="W1643"/>
          <cell r="X1643" t="str">
            <v>SONG</v>
          </cell>
          <cell r="Y1643" t="str">
            <v>SONG LI 28-SEP</v>
          </cell>
          <cell r="Z1643" t="str">
            <v>SONG ' MAIL 28/9/17</v>
          </cell>
          <cell r="AA1643"/>
          <cell r="AB1643">
            <v>43021</v>
          </cell>
          <cell r="AC1643">
            <v>3691</v>
          </cell>
        </row>
        <row r="1644">
          <cell r="B1644">
            <v>3690</v>
          </cell>
          <cell r="C1644" t="str">
            <v>CS0751</v>
          </cell>
          <cell r="D1644" t="str">
            <v>COTTON POPLIN</v>
          </cell>
          <cell r="E1644" t="str">
            <v>40x40/110x70</v>
          </cell>
          <cell r="F1644" t="str">
            <v>COTTON POPLIN 100%</v>
          </cell>
          <cell r="G1644" t="str">
            <v xml:space="preserve">100% COTTON POPLIN </v>
          </cell>
          <cell r="H1644" t="str">
            <v>57/58</v>
          </cell>
          <cell r="I1644">
            <v>100</v>
          </cell>
          <cell r="J1644">
            <v>1.53</v>
          </cell>
          <cell r="K1644">
            <v>1.75</v>
          </cell>
          <cell r="L1644">
            <v>1.57</v>
          </cell>
          <cell r="M1644">
            <v>1.93</v>
          </cell>
          <cell r="N1644">
            <v>1.65</v>
          </cell>
          <cell r="O1644">
            <v>2.0299999999999998</v>
          </cell>
          <cell r="P1644"/>
          <cell r="Q1644"/>
          <cell r="R1644">
            <v>1.75</v>
          </cell>
          <cell r="S1644">
            <v>2.2400000000000002</v>
          </cell>
          <cell r="T1644"/>
          <cell r="U1644"/>
          <cell r="V1644">
            <v>15</v>
          </cell>
          <cell r="W1644"/>
          <cell r="X1644" t="str">
            <v>SONG</v>
          </cell>
          <cell r="Y1644" t="str">
            <v>SONG LI 28-SEP</v>
          </cell>
          <cell r="Z1644" t="str">
            <v>SONG ' MAIL 28/9/17</v>
          </cell>
          <cell r="AA1644"/>
          <cell r="AB1644">
            <v>43021</v>
          </cell>
          <cell r="AC1644">
            <v>3690</v>
          </cell>
        </row>
        <row r="1645">
          <cell r="B1645">
            <v>3132</v>
          </cell>
          <cell r="C1645" t="str">
            <v>UD-JC-351321</v>
          </cell>
          <cell r="D1645" t="str">
            <v>Y/D PEACHED</v>
          </cell>
          <cell r="E1645" t="str">
            <v xml:space="preserve"> (Y/D POPLIN PEACHED)40*40 120*80</v>
          </cell>
          <cell r="F1645" t="str">
            <v>C 100%</v>
          </cell>
          <cell r="G1645" t="str">
            <v>100% COTTON</v>
          </cell>
          <cell r="H1645" t="str">
            <v>63/64</v>
          </cell>
          <cell r="I1645">
            <v>117</v>
          </cell>
          <cell r="J1645">
            <v>2.23</v>
          </cell>
          <cell r="K1645"/>
          <cell r="L1645">
            <v>2.27</v>
          </cell>
          <cell r="M1645"/>
          <cell r="N1645">
            <v>2.4</v>
          </cell>
          <cell r="O1645"/>
          <cell r="P1645"/>
          <cell r="Q1645"/>
          <cell r="R1645">
            <v>2.64</v>
          </cell>
          <cell r="S1645"/>
          <cell r="T1645"/>
          <cell r="U1645"/>
          <cell r="V1645">
            <v>15</v>
          </cell>
          <cell r="W1645" t="str">
            <v xml:space="preserve">PRICES INCLUDING CARBON PEACH &amp; WRINKLE FREE FINISHING COSTS </v>
          </cell>
          <cell r="X1645" t="str">
            <v>WANG HUA</v>
          </cell>
          <cell r="Y1645" t="str">
            <v>WANG HUA 06-OCT</v>
          </cell>
          <cell r="Z1645" t="str">
            <v>WANG HUA MAIL 13/10/17</v>
          </cell>
          <cell r="AA1645"/>
          <cell r="AB1645">
            <v>43021</v>
          </cell>
          <cell r="AC1645">
            <v>3132</v>
          </cell>
        </row>
        <row r="1646">
          <cell r="B1646">
            <v>2775</v>
          </cell>
          <cell r="C1646" t="str">
            <v>MW16007JD</v>
          </cell>
          <cell r="D1646" t="str">
            <v>TWILL</v>
          </cell>
          <cell r="E1646"/>
          <cell r="F1646" t="str">
            <v>R100% TWILL</v>
          </cell>
          <cell r="G1646" t="str">
            <v>100% RAYON TWILL</v>
          </cell>
          <cell r="H1646" t="str">
            <v>58/59</v>
          </cell>
          <cell r="I1646">
            <v>169</v>
          </cell>
          <cell r="J1646">
            <v>1.82</v>
          </cell>
          <cell r="K1646">
            <v>1.9</v>
          </cell>
          <cell r="L1646">
            <v>1.82</v>
          </cell>
          <cell r="M1646">
            <v>1.9</v>
          </cell>
          <cell r="N1646">
            <v>1.82</v>
          </cell>
          <cell r="O1646">
            <v>1.9</v>
          </cell>
          <cell r="P1646"/>
          <cell r="Q1646"/>
          <cell r="R1646">
            <v>1.94</v>
          </cell>
          <cell r="S1646">
            <v>2.2000000000000002</v>
          </cell>
          <cell r="T1646"/>
          <cell r="U1646"/>
          <cell r="V1646">
            <v>15</v>
          </cell>
          <cell r="W1646"/>
          <cell r="X1646" t="str">
            <v>ZOE</v>
          </cell>
          <cell r="Y1646" t="str">
            <v>ZOE 12-OCT</v>
          </cell>
          <cell r="Z1646" t="str">
            <v>ZOE ' MAIL 13/10/17</v>
          </cell>
          <cell r="AA1646"/>
          <cell r="AB1646">
            <v>43021</v>
          </cell>
          <cell r="AC1646">
            <v>2775</v>
          </cell>
        </row>
        <row r="1647">
          <cell r="B1647">
            <v>3687</v>
          </cell>
          <cell r="C1647" t="str">
            <v>1172 ( 1171)</v>
          </cell>
          <cell r="D1647" t="str">
            <v>CREPE</v>
          </cell>
          <cell r="E1647"/>
          <cell r="F1647" t="str">
            <v>T100%</v>
          </cell>
          <cell r="G1647" t="str">
            <v>100% POLYESTER</v>
          </cell>
          <cell r="H1647" t="str">
            <v>1.48/58</v>
          </cell>
          <cell r="I1647">
            <v>115</v>
          </cell>
          <cell r="J1647">
            <v>1.5929203539823009</v>
          </cell>
          <cell r="K1647"/>
          <cell r="L1647">
            <v>1.5929203539823009</v>
          </cell>
          <cell r="M1647"/>
          <cell r="N1647">
            <v>1.5929203539823009</v>
          </cell>
          <cell r="O1647"/>
          <cell r="P1647"/>
          <cell r="Q1647"/>
          <cell r="R1647">
            <v>1.5929203539823009</v>
          </cell>
          <cell r="S1647"/>
          <cell r="T1647"/>
          <cell r="U1647"/>
          <cell r="V1647">
            <v>15</v>
          </cell>
          <cell r="W1647"/>
          <cell r="X1647" t="str">
            <v>NHAT NHAT NAM</v>
          </cell>
          <cell r="Y1647" t="str">
            <v>BAO GIA CTY - AMW</v>
          </cell>
          <cell r="Z1647" t="str">
            <v>THOA ' MAIL 12/10/17</v>
          </cell>
          <cell r="AA1647"/>
          <cell r="AB1647">
            <v>43020</v>
          </cell>
          <cell r="AC1647">
            <v>3687</v>
          </cell>
        </row>
        <row r="1648">
          <cell r="B1648">
            <v>3686</v>
          </cell>
          <cell r="C1648">
            <v>1239</v>
          </cell>
          <cell r="D1648"/>
          <cell r="E1648"/>
          <cell r="F1648" t="str">
            <v>T100%</v>
          </cell>
          <cell r="G1648" t="str">
            <v>100% POLYESTER</v>
          </cell>
          <cell r="H1648" t="str">
            <v>1.52/60</v>
          </cell>
          <cell r="I1648">
            <v>254</v>
          </cell>
          <cell r="J1648">
            <v>3.3185840707964602</v>
          </cell>
          <cell r="K1648"/>
          <cell r="L1648">
            <v>3.3185840707964602</v>
          </cell>
          <cell r="M1648"/>
          <cell r="N1648">
            <v>3.3185840707964602</v>
          </cell>
          <cell r="O1648"/>
          <cell r="P1648"/>
          <cell r="Q1648"/>
          <cell r="R1648">
            <v>3.3185840707964602</v>
          </cell>
          <cell r="S1648"/>
          <cell r="T1648"/>
          <cell r="U1648"/>
          <cell r="V1648">
            <v>15</v>
          </cell>
          <cell r="W1648"/>
          <cell r="X1648" t="str">
            <v>NHAT NHAT NAM</v>
          </cell>
          <cell r="Y1648" t="str">
            <v>BAO GIA CTY - AMW</v>
          </cell>
          <cell r="Z1648" t="str">
            <v>THOA ' MAIL 12/10/17</v>
          </cell>
          <cell r="AA1648"/>
          <cell r="AB1648">
            <v>43020</v>
          </cell>
          <cell r="AC1648">
            <v>3686</v>
          </cell>
        </row>
        <row r="1649">
          <cell r="B1649">
            <v>3685</v>
          </cell>
          <cell r="C1649">
            <v>619</v>
          </cell>
          <cell r="D1649"/>
          <cell r="E1649"/>
          <cell r="F1649" t="str">
            <v>T100%</v>
          </cell>
          <cell r="G1649" t="str">
            <v>100% POLYESTER</v>
          </cell>
          <cell r="H1649" t="str">
            <v>1.48/58</v>
          </cell>
          <cell r="I1649">
            <v>260</v>
          </cell>
          <cell r="J1649">
            <v>2.2123893805309733</v>
          </cell>
          <cell r="K1649"/>
          <cell r="L1649">
            <v>2.2123893805309733</v>
          </cell>
          <cell r="M1649"/>
          <cell r="N1649">
            <v>2.2123893805309733</v>
          </cell>
          <cell r="O1649"/>
          <cell r="P1649"/>
          <cell r="Q1649"/>
          <cell r="R1649">
            <v>2.2123893805309733</v>
          </cell>
          <cell r="S1649"/>
          <cell r="T1649"/>
          <cell r="U1649"/>
          <cell r="V1649">
            <v>15</v>
          </cell>
          <cell r="W1649"/>
          <cell r="X1649" t="str">
            <v>NHAT NHAT NAM</v>
          </cell>
          <cell r="Y1649" t="str">
            <v>BAO GIA CTY - AMW</v>
          </cell>
          <cell r="Z1649" t="str">
            <v>THOA ' MAIL 12/10/17</v>
          </cell>
          <cell r="AA1649"/>
          <cell r="AB1649">
            <v>43020</v>
          </cell>
          <cell r="AC1649">
            <v>3685</v>
          </cell>
        </row>
        <row r="1650">
          <cell r="B1650">
            <v>3684</v>
          </cell>
          <cell r="C1650">
            <v>636</v>
          </cell>
          <cell r="D1650"/>
          <cell r="E1650"/>
          <cell r="F1650" t="str">
            <v>T/S 96/4</v>
          </cell>
          <cell r="G1650" t="str">
            <v>96% POLYESTER  4% SPANDEX</v>
          </cell>
          <cell r="H1650" t="str">
            <v>1.48/58</v>
          </cell>
          <cell r="I1650">
            <v>220</v>
          </cell>
          <cell r="J1650">
            <v>2.3008849557522124</v>
          </cell>
          <cell r="K1650"/>
          <cell r="L1650">
            <v>2.3008849557522124</v>
          </cell>
          <cell r="M1650"/>
          <cell r="N1650">
            <v>2.3008849557522124</v>
          </cell>
          <cell r="O1650"/>
          <cell r="P1650"/>
          <cell r="Q1650"/>
          <cell r="R1650">
            <v>2.3008849557522124</v>
          </cell>
          <cell r="S1650"/>
          <cell r="T1650"/>
          <cell r="U1650"/>
          <cell r="V1650">
            <v>15</v>
          </cell>
          <cell r="W1650"/>
          <cell r="X1650" t="str">
            <v>NHAT NHAT NAM</v>
          </cell>
          <cell r="Y1650" t="str">
            <v>BAO GIA CTY - AMW</v>
          </cell>
          <cell r="Z1650" t="str">
            <v>THOA ' MAIL 12/10/17</v>
          </cell>
          <cell r="AA1650"/>
          <cell r="AB1650">
            <v>43020</v>
          </cell>
          <cell r="AC1650">
            <v>3684</v>
          </cell>
        </row>
        <row r="1651">
          <cell r="B1651">
            <v>3683</v>
          </cell>
          <cell r="C1651">
            <v>693</v>
          </cell>
          <cell r="D1651"/>
          <cell r="E1651"/>
          <cell r="F1651" t="str">
            <v>T100%</v>
          </cell>
          <cell r="G1651" t="str">
            <v>100% POLYESTER</v>
          </cell>
          <cell r="H1651" t="str">
            <v>1.48/58</v>
          </cell>
          <cell r="I1651">
            <v>220</v>
          </cell>
          <cell r="J1651">
            <v>2.2566371681415931</v>
          </cell>
          <cell r="K1651"/>
          <cell r="L1651">
            <v>2.2566371681415931</v>
          </cell>
          <cell r="M1651"/>
          <cell r="N1651">
            <v>2.2566371681415931</v>
          </cell>
          <cell r="O1651"/>
          <cell r="P1651"/>
          <cell r="Q1651"/>
          <cell r="R1651">
            <v>2.2566371681415931</v>
          </cell>
          <cell r="S1651"/>
          <cell r="T1651"/>
          <cell r="U1651"/>
          <cell r="V1651">
            <v>15</v>
          </cell>
          <cell r="W1651"/>
          <cell r="X1651" t="str">
            <v>NHAT NHAT NAM</v>
          </cell>
          <cell r="Y1651" t="str">
            <v>BAO GIA CTY - AMW</v>
          </cell>
          <cell r="Z1651" t="str">
            <v>THOA ' MAIL 12/10/17</v>
          </cell>
          <cell r="AA1651"/>
          <cell r="AB1651">
            <v>43020</v>
          </cell>
          <cell r="AC1651">
            <v>3683</v>
          </cell>
        </row>
        <row r="1652">
          <cell r="B1652">
            <v>3682</v>
          </cell>
          <cell r="C1652">
            <v>1401</v>
          </cell>
          <cell r="D1652"/>
          <cell r="E1652"/>
          <cell r="F1652" t="str">
            <v>T100%</v>
          </cell>
          <cell r="G1652" t="str">
            <v>100% POLYESTER</v>
          </cell>
          <cell r="H1652" t="str">
            <v>1.48/58</v>
          </cell>
          <cell r="I1652">
            <v>160</v>
          </cell>
          <cell r="J1652">
            <v>1.7699115044247788</v>
          </cell>
          <cell r="K1652"/>
          <cell r="L1652">
            <v>1.7699115044247788</v>
          </cell>
          <cell r="M1652"/>
          <cell r="N1652">
            <v>1.7699115044247788</v>
          </cell>
          <cell r="O1652"/>
          <cell r="P1652"/>
          <cell r="Q1652"/>
          <cell r="R1652">
            <v>1.7699115044247788</v>
          </cell>
          <cell r="S1652"/>
          <cell r="T1652"/>
          <cell r="U1652"/>
          <cell r="V1652">
            <v>15</v>
          </cell>
          <cell r="W1652"/>
          <cell r="X1652" t="str">
            <v>NHAT NHAT NAM</v>
          </cell>
          <cell r="Y1652" t="str">
            <v>BAO GIA CTY - AMW</v>
          </cell>
          <cell r="Z1652" t="str">
            <v>THOA ' MAIL 12/10/17</v>
          </cell>
          <cell r="AA1652"/>
          <cell r="AB1652">
            <v>43020</v>
          </cell>
          <cell r="AC1652">
            <v>3682</v>
          </cell>
        </row>
        <row r="1653">
          <cell r="B1653">
            <v>3681</v>
          </cell>
          <cell r="C1653">
            <v>790</v>
          </cell>
          <cell r="D1653" t="str">
            <v xml:space="preserve">JERSEY </v>
          </cell>
          <cell r="E1653"/>
          <cell r="F1653" t="str">
            <v>T/CD/S 48/48/4</v>
          </cell>
          <cell r="G1653" t="str">
            <v>48%POLYESTER  48%CD  4%SPANDEX</v>
          </cell>
          <cell r="H1653" t="str">
            <v>1.50/59</v>
          </cell>
          <cell r="I1653">
            <v>230</v>
          </cell>
          <cell r="J1653">
            <v>1.7123893805309736</v>
          </cell>
          <cell r="K1653"/>
          <cell r="L1653">
            <v>1.7123893805309736</v>
          </cell>
          <cell r="M1653"/>
          <cell r="N1653">
            <v>1.7123893805309736</v>
          </cell>
          <cell r="O1653"/>
          <cell r="P1653"/>
          <cell r="Q1653"/>
          <cell r="R1653">
            <v>1.7123893805309736</v>
          </cell>
          <cell r="S1653"/>
          <cell r="T1653"/>
          <cell r="U1653"/>
          <cell r="V1653">
            <v>15</v>
          </cell>
          <cell r="W1653"/>
          <cell r="X1653" t="str">
            <v>NHAT NHAT NAM</v>
          </cell>
          <cell r="Y1653" t="str">
            <v>BAO GIA CTY - AMW</v>
          </cell>
          <cell r="Z1653" t="str">
            <v>THOA ' MAIL 12/10/17</v>
          </cell>
          <cell r="AA1653"/>
          <cell r="AB1653">
            <v>43020</v>
          </cell>
          <cell r="AC1653">
            <v>3681</v>
          </cell>
        </row>
        <row r="1654">
          <cell r="B1654">
            <v>3680</v>
          </cell>
          <cell r="C1654">
            <v>1752</v>
          </cell>
          <cell r="D1654" t="str">
            <v>SATEEN</v>
          </cell>
          <cell r="E1654"/>
          <cell r="F1654" t="str">
            <v>T100%</v>
          </cell>
          <cell r="G1654" t="str">
            <v>100% POLYESTER</v>
          </cell>
          <cell r="H1654" t="str">
            <v>1.60/63</v>
          </cell>
          <cell r="I1654">
            <v>133</v>
          </cell>
          <cell r="J1654">
            <v>1.7699115044247788</v>
          </cell>
          <cell r="K1654"/>
          <cell r="L1654">
            <v>1.7699115044247788</v>
          </cell>
          <cell r="M1654"/>
          <cell r="N1654">
            <v>1.7699115044247788</v>
          </cell>
          <cell r="O1654"/>
          <cell r="P1654"/>
          <cell r="Q1654"/>
          <cell r="R1654">
            <v>1.7699115044247788</v>
          </cell>
          <cell r="S1654"/>
          <cell r="T1654"/>
          <cell r="U1654"/>
          <cell r="V1654">
            <v>15</v>
          </cell>
          <cell r="W1654"/>
          <cell r="X1654" t="str">
            <v>NHAT NHAT NAM</v>
          </cell>
          <cell r="Y1654" t="str">
            <v>BAO GIA CTY - AMW</v>
          </cell>
          <cell r="Z1654" t="str">
            <v>THOA ' MAIL 12/10/17</v>
          </cell>
          <cell r="AA1654"/>
          <cell r="AB1654">
            <v>43020</v>
          </cell>
          <cell r="AC1654">
            <v>3680</v>
          </cell>
        </row>
        <row r="1655">
          <cell r="B1655">
            <v>3679</v>
          </cell>
          <cell r="C1655">
            <v>7161</v>
          </cell>
          <cell r="D1655" t="str">
            <v>CREPE</v>
          </cell>
          <cell r="E1655"/>
          <cell r="F1655" t="str">
            <v>T/PLA 90/10</v>
          </cell>
          <cell r="G1655" t="str">
            <v>90% POLYESTER  10% PLA</v>
          </cell>
          <cell r="H1655" t="str">
            <v>1.48/58</v>
          </cell>
          <cell r="I1655">
            <v>127</v>
          </cell>
          <cell r="J1655">
            <v>1.9911504424778761</v>
          </cell>
          <cell r="K1655"/>
          <cell r="L1655">
            <v>1.9911504424778761</v>
          </cell>
          <cell r="M1655"/>
          <cell r="N1655">
            <v>1.9911504424778761</v>
          </cell>
          <cell r="O1655"/>
          <cell r="P1655"/>
          <cell r="Q1655"/>
          <cell r="R1655">
            <v>1.9911504424778761</v>
          </cell>
          <cell r="S1655"/>
          <cell r="T1655"/>
          <cell r="U1655"/>
          <cell r="V1655">
            <v>15</v>
          </cell>
          <cell r="W1655"/>
          <cell r="X1655" t="str">
            <v>NHAT NHAT NAM</v>
          </cell>
          <cell r="Y1655" t="str">
            <v>BAO GIA CTY - AMW</v>
          </cell>
          <cell r="Z1655" t="str">
            <v>THOA ' MAIL 12/10/17</v>
          </cell>
          <cell r="AA1655"/>
          <cell r="AB1655">
            <v>43020</v>
          </cell>
          <cell r="AC1655">
            <v>3679</v>
          </cell>
        </row>
        <row r="1656">
          <cell r="B1656">
            <v>3678</v>
          </cell>
          <cell r="C1656">
            <v>1725</v>
          </cell>
          <cell r="D1656" t="str">
            <v>SATEEN</v>
          </cell>
          <cell r="E1656"/>
          <cell r="F1656" t="str">
            <v>T100%</v>
          </cell>
          <cell r="G1656" t="str">
            <v>100% POLYESTER</v>
          </cell>
          <cell r="H1656" t="str">
            <v>1.48/58</v>
          </cell>
          <cell r="I1656">
            <v>140</v>
          </cell>
          <cell r="J1656">
            <v>1.5486725663716814</v>
          </cell>
          <cell r="K1656"/>
          <cell r="L1656">
            <v>1.5486725663716814</v>
          </cell>
          <cell r="M1656"/>
          <cell r="N1656">
            <v>1.5486725663716814</v>
          </cell>
          <cell r="O1656"/>
          <cell r="P1656"/>
          <cell r="Q1656"/>
          <cell r="R1656">
            <v>1.5486725663716814</v>
          </cell>
          <cell r="S1656"/>
          <cell r="T1656"/>
          <cell r="U1656"/>
          <cell r="V1656">
            <v>15</v>
          </cell>
          <cell r="W1656"/>
          <cell r="X1656" t="str">
            <v>NHAT NHAT NAM</v>
          </cell>
          <cell r="Y1656" t="str">
            <v>BAO GIA CTY - AMW</v>
          </cell>
          <cell r="Z1656" t="str">
            <v>THOA ' MAIL 12/10/17</v>
          </cell>
          <cell r="AA1656"/>
          <cell r="AB1656">
            <v>43020</v>
          </cell>
          <cell r="AC1656">
            <v>3678</v>
          </cell>
        </row>
        <row r="1657">
          <cell r="B1657">
            <v>3677</v>
          </cell>
          <cell r="C1657">
            <v>606</v>
          </cell>
          <cell r="D1657" t="str">
            <v>SATEEN</v>
          </cell>
          <cell r="E1657"/>
          <cell r="F1657" t="str">
            <v>T/S 96/4</v>
          </cell>
          <cell r="G1657" t="str">
            <v>96% POLYESTER  4% SPANDEX</v>
          </cell>
          <cell r="H1657" t="str">
            <v>1.48/58</v>
          </cell>
          <cell r="I1657">
            <v>165</v>
          </cell>
          <cell r="J1657">
            <v>1.7035398230088497</v>
          </cell>
          <cell r="K1657"/>
          <cell r="L1657">
            <v>1.7035398230088497</v>
          </cell>
          <cell r="M1657"/>
          <cell r="N1657">
            <v>1.7035398230088497</v>
          </cell>
          <cell r="O1657"/>
          <cell r="P1657"/>
          <cell r="Q1657"/>
          <cell r="R1657">
            <v>1.7035398230088497</v>
          </cell>
          <cell r="S1657"/>
          <cell r="T1657"/>
          <cell r="U1657"/>
          <cell r="V1657">
            <v>15</v>
          </cell>
          <cell r="W1657"/>
          <cell r="X1657" t="str">
            <v>NHAT NHAT NAM</v>
          </cell>
          <cell r="Y1657" t="str">
            <v>BAO GIA CTY - AMW</v>
          </cell>
          <cell r="Z1657" t="str">
            <v>THOA ' MAIL 12/10/17</v>
          </cell>
          <cell r="AA1657"/>
          <cell r="AB1657">
            <v>43020</v>
          </cell>
          <cell r="AC1657">
            <v>3677</v>
          </cell>
        </row>
        <row r="1658">
          <cell r="B1658">
            <v>3676</v>
          </cell>
          <cell r="C1658">
            <v>512</v>
          </cell>
          <cell r="D1658" t="str">
            <v>CRINKLE SATEEN</v>
          </cell>
          <cell r="E1658"/>
          <cell r="F1658" t="str">
            <v>T100%</v>
          </cell>
          <cell r="G1658" t="str">
            <v>100% POLYESTER</v>
          </cell>
          <cell r="H1658" t="str">
            <v>1.38/54</v>
          </cell>
          <cell r="I1658">
            <v>142</v>
          </cell>
          <cell r="J1658">
            <v>1.5486725663716814</v>
          </cell>
          <cell r="K1658"/>
          <cell r="L1658">
            <v>1.5486725663716814</v>
          </cell>
          <cell r="M1658"/>
          <cell r="N1658">
            <v>1.5486725663716814</v>
          </cell>
          <cell r="O1658"/>
          <cell r="P1658"/>
          <cell r="Q1658"/>
          <cell r="R1658">
            <v>1.5486725663716814</v>
          </cell>
          <cell r="S1658"/>
          <cell r="T1658"/>
          <cell r="U1658"/>
          <cell r="V1658">
            <v>15</v>
          </cell>
          <cell r="W1658"/>
          <cell r="X1658" t="str">
            <v>NHAT NHAT NAM</v>
          </cell>
          <cell r="Y1658" t="str">
            <v>BAO GIA CTY - AMW</v>
          </cell>
          <cell r="Z1658" t="str">
            <v>THOA ' MAIL 12/10/17</v>
          </cell>
          <cell r="AA1658"/>
          <cell r="AB1658">
            <v>43020</v>
          </cell>
          <cell r="AC1658">
            <v>3676</v>
          </cell>
        </row>
        <row r="1659">
          <cell r="B1659">
            <v>3675</v>
          </cell>
          <cell r="C1659">
            <v>6015</v>
          </cell>
          <cell r="D1659"/>
          <cell r="E1659"/>
          <cell r="F1659" t="str">
            <v>T/S 96/4</v>
          </cell>
          <cell r="G1659" t="str">
            <v>96% POLYESTER  4% SPANDEX</v>
          </cell>
          <cell r="H1659" t="str">
            <v>1.48/58</v>
          </cell>
          <cell r="I1659">
            <v>155</v>
          </cell>
          <cell r="J1659">
            <v>2.1238938053097347</v>
          </cell>
          <cell r="K1659"/>
          <cell r="L1659">
            <v>2.1238938053097347</v>
          </cell>
          <cell r="M1659"/>
          <cell r="N1659">
            <v>2.1238938053097347</v>
          </cell>
          <cell r="O1659"/>
          <cell r="P1659"/>
          <cell r="Q1659"/>
          <cell r="R1659">
            <v>2.1238938053097347</v>
          </cell>
          <cell r="S1659"/>
          <cell r="T1659"/>
          <cell r="U1659"/>
          <cell r="V1659">
            <v>15</v>
          </cell>
          <cell r="W1659"/>
          <cell r="X1659" t="str">
            <v>NHAT NHAT NAM</v>
          </cell>
          <cell r="Y1659" t="str">
            <v>BAO GIA CTY - AMW</v>
          </cell>
          <cell r="Z1659" t="str">
            <v>THOA ' MAIL 12/10/17</v>
          </cell>
          <cell r="AA1659"/>
          <cell r="AB1659">
            <v>43020</v>
          </cell>
          <cell r="AC1659">
            <v>3675</v>
          </cell>
        </row>
        <row r="1660">
          <cell r="B1660">
            <v>3674</v>
          </cell>
          <cell r="C1660" t="str">
            <v>P01</v>
          </cell>
          <cell r="D1660" t="str">
            <v>SATEEN</v>
          </cell>
          <cell r="E1660"/>
          <cell r="F1660" t="str">
            <v>T100%</v>
          </cell>
          <cell r="G1660" t="str">
            <v>100% POLYESTER</v>
          </cell>
          <cell r="H1660" t="str">
            <v>1.48/58</v>
          </cell>
          <cell r="I1660">
            <v>130</v>
          </cell>
          <cell r="J1660">
            <v>1.1061946902654867</v>
          </cell>
          <cell r="K1660"/>
          <cell r="L1660">
            <v>1.1061946902654867</v>
          </cell>
          <cell r="M1660"/>
          <cell r="N1660">
            <v>1.1061946902654867</v>
          </cell>
          <cell r="O1660"/>
          <cell r="P1660"/>
          <cell r="Q1660"/>
          <cell r="R1660">
            <v>1.1061946902654867</v>
          </cell>
          <cell r="S1660"/>
          <cell r="T1660"/>
          <cell r="U1660"/>
          <cell r="V1660">
            <v>15</v>
          </cell>
          <cell r="W1660"/>
          <cell r="X1660" t="str">
            <v>NHAT NHAT NAM</v>
          </cell>
          <cell r="Y1660" t="str">
            <v>BAO GIA CTY - AMW</v>
          </cell>
          <cell r="Z1660" t="str">
            <v>THOA ' MAIL 12/10/17</v>
          </cell>
          <cell r="AA1660"/>
          <cell r="AB1660">
            <v>43020</v>
          </cell>
          <cell r="AC1660">
            <v>3674</v>
          </cell>
        </row>
        <row r="1661">
          <cell r="B1661">
            <v>3673</v>
          </cell>
          <cell r="C1661">
            <v>1173</v>
          </cell>
          <cell r="D1661" t="str">
            <v>CHIFFON</v>
          </cell>
          <cell r="E1661"/>
          <cell r="F1661" t="str">
            <v>T100%</v>
          </cell>
          <cell r="G1661" t="str">
            <v>100% POLYESTER</v>
          </cell>
          <cell r="H1661" t="str">
            <v>1.48/58</v>
          </cell>
          <cell r="I1661">
            <v>72</v>
          </cell>
          <cell r="J1661">
            <v>1.1061946902654867</v>
          </cell>
          <cell r="K1661"/>
          <cell r="L1661">
            <v>1.1061946902654867</v>
          </cell>
          <cell r="M1661"/>
          <cell r="N1661">
            <v>1.1061946902654867</v>
          </cell>
          <cell r="O1661"/>
          <cell r="P1661"/>
          <cell r="Q1661"/>
          <cell r="R1661">
            <v>1.1061946902654867</v>
          </cell>
          <cell r="S1661"/>
          <cell r="T1661"/>
          <cell r="U1661"/>
          <cell r="V1661">
            <v>15</v>
          </cell>
          <cell r="W1661"/>
          <cell r="X1661" t="str">
            <v>NHAT NHAT NAM</v>
          </cell>
          <cell r="Y1661" t="str">
            <v>BAO GIA CTY - AMW</v>
          </cell>
          <cell r="Z1661" t="str">
            <v>THOA ' MAIL 12/10/17</v>
          </cell>
          <cell r="AA1661"/>
          <cell r="AB1661">
            <v>43020</v>
          </cell>
          <cell r="AC1661">
            <v>3673</v>
          </cell>
        </row>
        <row r="1662">
          <cell r="B1662">
            <v>3672</v>
          </cell>
          <cell r="C1662">
            <v>5177</v>
          </cell>
          <cell r="D1662" t="str">
            <v>CREPE</v>
          </cell>
          <cell r="E1662"/>
          <cell r="F1662" t="str">
            <v>T100%</v>
          </cell>
          <cell r="G1662" t="str">
            <v>100% POLYESTER</v>
          </cell>
          <cell r="H1662" t="str">
            <v>1.48/58</v>
          </cell>
          <cell r="I1662">
            <v>138</v>
          </cell>
          <cell r="J1662">
            <v>1.5929203539823009</v>
          </cell>
          <cell r="K1662"/>
          <cell r="L1662">
            <v>1.5929203539823009</v>
          </cell>
          <cell r="M1662"/>
          <cell r="N1662">
            <v>1.5929203539823009</v>
          </cell>
          <cell r="O1662"/>
          <cell r="P1662"/>
          <cell r="Q1662"/>
          <cell r="R1662">
            <v>1.5929203539823009</v>
          </cell>
          <cell r="S1662"/>
          <cell r="T1662"/>
          <cell r="U1662"/>
          <cell r="V1662">
            <v>15</v>
          </cell>
          <cell r="W1662"/>
          <cell r="X1662" t="str">
            <v>NHAT NHAT NAM</v>
          </cell>
          <cell r="Y1662" t="str">
            <v>BAO GIA CTY - AMW</v>
          </cell>
          <cell r="Z1662" t="str">
            <v>THOA ' MAIL 12/10/17</v>
          </cell>
          <cell r="AA1662"/>
          <cell r="AB1662">
            <v>43020</v>
          </cell>
          <cell r="AC1662">
            <v>3672</v>
          </cell>
        </row>
        <row r="1663">
          <cell r="B1663">
            <v>3671</v>
          </cell>
          <cell r="C1663">
            <v>1718</v>
          </cell>
          <cell r="D1663" t="str">
            <v>POLY TWILL</v>
          </cell>
          <cell r="E1663"/>
          <cell r="F1663" t="str">
            <v>T100%</v>
          </cell>
          <cell r="G1663" t="str">
            <v>100% POLYESTER</v>
          </cell>
          <cell r="H1663" t="str">
            <v>1.48/58</v>
          </cell>
          <cell r="I1663">
            <v>216</v>
          </cell>
          <cell r="J1663">
            <v>1.6814159292035398</v>
          </cell>
          <cell r="K1663"/>
          <cell r="L1663">
            <v>1.6814159292035398</v>
          </cell>
          <cell r="M1663"/>
          <cell r="N1663">
            <v>1.6814159292035398</v>
          </cell>
          <cell r="O1663"/>
          <cell r="P1663"/>
          <cell r="Q1663"/>
          <cell r="R1663">
            <v>1.6814159292035398</v>
          </cell>
          <cell r="S1663"/>
          <cell r="T1663"/>
          <cell r="U1663"/>
          <cell r="V1663">
            <v>15</v>
          </cell>
          <cell r="W1663"/>
          <cell r="X1663" t="str">
            <v>NHAT NHAT NAM</v>
          </cell>
          <cell r="Y1663" t="str">
            <v>BAO GIA CTY - AMW</v>
          </cell>
          <cell r="Z1663" t="str">
            <v>THOA ' MAIL 12/10/17</v>
          </cell>
          <cell r="AA1663"/>
          <cell r="AB1663">
            <v>43020</v>
          </cell>
          <cell r="AC1663">
            <v>3671</v>
          </cell>
        </row>
        <row r="1664">
          <cell r="B1664">
            <v>3670</v>
          </cell>
          <cell r="C1664" t="str">
            <v>#040</v>
          </cell>
          <cell r="D1664" t="str">
            <v>CREPE</v>
          </cell>
          <cell r="E1664"/>
          <cell r="F1664" t="str">
            <v>T100%</v>
          </cell>
          <cell r="G1664" t="str">
            <v>100% POLYESTER</v>
          </cell>
          <cell r="H1664" t="str">
            <v>1.48/58</v>
          </cell>
          <cell r="I1664">
            <v>200</v>
          </cell>
          <cell r="J1664">
            <v>1.6371681415929205</v>
          </cell>
          <cell r="K1664"/>
          <cell r="L1664">
            <v>1.6371681415929205</v>
          </cell>
          <cell r="M1664"/>
          <cell r="N1664">
            <v>1.6371681415929205</v>
          </cell>
          <cell r="O1664"/>
          <cell r="P1664"/>
          <cell r="Q1664"/>
          <cell r="R1664">
            <v>1.6371681415929205</v>
          </cell>
          <cell r="S1664"/>
          <cell r="T1664"/>
          <cell r="U1664"/>
          <cell r="V1664">
            <v>15</v>
          </cell>
          <cell r="W1664"/>
          <cell r="X1664" t="str">
            <v>NHAT NHAT NAM</v>
          </cell>
          <cell r="Y1664" t="str">
            <v>BAO GIA CTY - AMW</v>
          </cell>
          <cell r="Z1664" t="str">
            <v>THOA ' MAIL 12/10/17</v>
          </cell>
          <cell r="AA1664"/>
          <cell r="AB1664">
            <v>43020</v>
          </cell>
          <cell r="AC1664">
            <v>3670</v>
          </cell>
        </row>
        <row r="1665">
          <cell r="B1665">
            <v>3669</v>
          </cell>
          <cell r="C1665">
            <v>1176</v>
          </cell>
          <cell r="D1665" t="str">
            <v>CHIFFON</v>
          </cell>
          <cell r="E1665"/>
          <cell r="F1665" t="str">
            <v>T100%</v>
          </cell>
          <cell r="G1665" t="str">
            <v>100% POLYESTER</v>
          </cell>
          <cell r="H1665" t="str">
            <v>1.48/58</v>
          </cell>
          <cell r="I1665">
            <v>90</v>
          </cell>
          <cell r="J1665">
            <v>1.2389380530973451</v>
          </cell>
          <cell r="K1665"/>
          <cell r="L1665">
            <v>1.2389380530973451</v>
          </cell>
          <cell r="M1665"/>
          <cell r="N1665">
            <v>1.2389380530973451</v>
          </cell>
          <cell r="O1665"/>
          <cell r="P1665"/>
          <cell r="Q1665"/>
          <cell r="R1665">
            <v>1.2389380530973451</v>
          </cell>
          <cell r="S1665"/>
          <cell r="T1665"/>
          <cell r="U1665"/>
          <cell r="V1665">
            <v>15</v>
          </cell>
          <cell r="W1665"/>
          <cell r="X1665" t="str">
            <v>NHAT NHAT NAM</v>
          </cell>
          <cell r="Y1665" t="str">
            <v>BAO GIA CTY - AMW</v>
          </cell>
          <cell r="Z1665" t="str">
            <v>THOA ' MAIL 12/10/17</v>
          </cell>
          <cell r="AA1665"/>
          <cell r="AB1665">
            <v>43020</v>
          </cell>
          <cell r="AC1665">
            <v>3669</v>
          </cell>
        </row>
        <row r="1666">
          <cell r="B1666">
            <v>3668</v>
          </cell>
          <cell r="C1666">
            <v>1023</v>
          </cell>
          <cell r="D1666"/>
          <cell r="E1666"/>
          <cell r="F1666" t="str">
            <v>T100%</v>
          </cell>
          <cell r="G1666" t="str">
            <v>100% POLYESTER</v>
          </cell>
          <cell r="H1666" t="str">
            <v>1.48/58</v>
          </cell>
          <cell r="I1666">
            <v>110</v>
          </cell>
          <cell r="J1666">
            <v>1.6814159292035398</v>
          </cell>
          <cell r="K1666"/>
          <cell r="L1666">
            <v>1.6814159292035398</v>
          </cell>
          <cell r="M1666"/>
          <cell r="N1666">
            <v>1.6814159292035398</v>
          </cell>
          <cell r="O1666"/>
          <cell r="P1666"/>
          <cell r="Q1666"/>
          <cell r="R1666">
            <v>1.6814159292035398</v>
          </cell>
          <cell r="S1666"/>
          <cell r="T1666"/>
          <cell r="U1666"/>
          <cell r="V1666">
            <v>15</v>
          </cell>
          <cell r="W1666"/>
          <cell r="X1666" t="str">
            <v>NHAT NHAT NAM</v>
          </cell>
          <cell r="Y1666" t="str">
            <v>BAO GIA CTY - AMW</v>
          </cell>
          <cell r="Z1666" t="str">
            <v>THOA ' MAIL 12/10/17</v>
          </cell>
          <cell r="AA1666"/>
          <cell r="AB1666">
            <v>43020</v>
          </cell>
          <cell r="AC1666">
            <v>3668</v>
          </cell>
        </row>
        <row r="1667">
          <cell r="B1667">
            <v>3667</v>
          </cell>
          <cell r="C1667">
            <v>909</v>
          </cell>
          <cell r="D1667" t="str">
            <v>SATEEN</v>
          </cell>
          <cell r="E1667"/>
          <cell r="F1667" t="str">
            <v>T/S 96/4</v>
          </cell>
          <cell r="G1667" t="str">
            <v>96% POLYESTER  4% SPANDEX</v>
          </cell>
          <cell r="H1667" t="str">
            <v>1.48/58</v>
          </cell>
          <cell r="I1667">
            <v>130</v>
          </cell>
          <cell r="J1667">
            <v>1.5486725663716814</v>
          </cell>
          <cell r="K1667"/>
          <cell r="L1667">
            <v>1.5486725663716814</v>
          </cell>
          <cell r="M1667"/>
          <cell r="N1667">
            <v>1.5486725663716814</v>
          </cell>
          <cell r="O1667"/>
          <cell r="P1667"/>
          <cell r="Q1667"/>
          <cell r="R1667">
            <v>1.5486725663716814</v>
          </cell>
          <cell r="S1667"/>
          <cell r="T1667"/>
          <cell r="U1667"/>
          <cell r="V1667">
            <v>15</v>
          </cell>
          <cell r="W1667"/>
          <cell r="X1667" t="str">
            <v>NHAT NHAT NAM</v>
          </cell>
          <cell r="Y1667" t="str">
            <v>BAO GIA CTY - AMW</v>
          </cell>
          <cell r="Z1667" t="str">
            <v>THOA ' MAIL 12/10/17</v>
          </cell>
          <cell r="AA1667"/>
          <cell r="AB1667">
            <v>43020</v>
          </cell>
          <cell r="AC1667">
            <v>3667</v>
          </cell>
        </row>
        <row r="1668">
          <cell r="B1668">
            <v>3666</v>
          </cell>
          <cell r="C1668">
            <v>1174</v>
          </cell>
          <cell r="D1668" t="str">
            <v>CREPE</v>
          </cell>
          <cell r="E1668"/>
          <cell r="F1668" t="str">
            <v>T100%</v>
          </cell>
          <cell r="G1668" t="str">
            <v>100% POLYESTER</v>
          </cell>
          <cell r="H1668" t="str">
            <v>1.50/59</v>
          </cell>
          <cell r="I1668">
            <v>115</v>
          </cell>
          <cell r="J1668">
            <v>1.4380530973451326</v>
          </cell>
          <cell r="K1668"/>
          <cell r="L1668">
            <v>1.4380530973451326</v>
          </cell>
          <cell r="M1668"/>
          <cell r="N1668">
            <v>1.4380530973451326</v>
          </cell>
          <cell r="O1668"/>
          <cell r="P1668"/>
          <cell r="Q1668"/>
          <cell r="R1668">
            <v>1.4380530973451326</v>
          </cell>
          <cell r="S1668"/>
          <cell r="T1668"/>
          <cell r="U1668"/>
          <cell r="V1668">
            <v>15</v>
          </cell>
          <cell r="W1668"/>
          <cell r="X1668" t="str">
            <v>NHAT NHAT NAM</v>
          </cell>
          <cell r="Y1668" t="str">
            <v>BAO GIA CTY - AMW</v>
          </cell>
          <cell r="Z1668" t="str">
            <v>THOA ' MAIL 12/10/17</v>
          </cell>
          <cell r="AA1668"/>
          <cell r="AB1668">
            <v>43020</v>
          </cell>
          <cell r="AC1668">
            <v>3666</v>
          </cell>
        </row>
        <row r="1669">
          <cell r="B1669">
            <v>3665</v>
          </cell>
          <cell r="C1669" t="str">
            <v>7053(PA2)</v>
          </cell>
          <cell r="D1669"/>
          <cell r="E1669"/>
          <cell r="F1669" t="str">
            <v>T100%</v>
          </cell>
          <cell r="G1669" t="str">
            <v>100% POLYESTER</v>
          </cell>
          <cell r="H1669" t="str">
            <v>1.49/59</v>
          </cell>
          <cell r="I1669">
            <v>93</v>
          </cell>
          <cell r="J1669">
            <v>2.5663716814159292</v>
          </cell>
          <cell r="K1669"/>
          <cell r="L1669">
            <v>2.5663716814159292</v>
          </cell>
          <cell r="M1669"/>
          <cell r="N1669">
            <v>2.5663716814159292</v>
          </cell>
          <cell r="O1669"/>
          <cell r="P1669"/>
          <cell r="Q1669"/>
          <cell r="R1669">
            <v>2.5663716814159292</v>
          </cell>
          <cell r="S1669"/>
          <cell r="T1669"/>
          <cell r="U1669"/>
          <cell r="V1669">
            <v>15</v>
          </cell>
          <cell r="W1669"/>
          <cell r="X1669" t="str">
            <v>NHAT NHAT NAM</v>
          </cell>
          <cell r="Y1669" t="str">
            <v>BAO GIA CTY - AMW</v>
          </cell>
          <cell r="Z1669" t="str">
            <v>THOA ' MAIL 12/10/17</v>
          </cell>
          <cell r="AA1669"/>
          <cell r="AB1669">
            <v>43020</v>
          </cell>
          <cell r="AC1669">
            <v>3665</v>
          </cell>
        </row>
        <row r="1670">
          <cell r="B1670">
            <v>3664</v>
          </cell>
          <cell r="C1670">
            <v>270</v>
          </cell>
          <cell r="D1670"/>
          <cell r="E1670"/>
          <cell r="F1670" t="str">
            <v>T100%</v>
          </cell>
          <cell r="G1670" t="str">
            <v>100% POLYESTER</v>
          </cell>
          <cell r="H1670" t="str">
            <v>1.52/60</v>
          </cell>
          <cell r="I1670">
            <v>82</v>
          </cell>
          <cell r="J1670">
            <v>0.6415929203539823</v>
          </cell>
          <cell r="K1670"/>
          <cell r="L1670">
            <v>0.6415929203539823</v>
          </cell>
          <cell r="M1670"/>
          <cell r="N1670">
            <v>0.6415929203539823</v>
          </cell>
          <cell r="O1670"/>
          <cell r="P1670"/>
          <cell r="Q1670"/>
          <cell r="R1670">
            <v>0.6415929203539823</v>
          </cell>
          <cell r="S1670"/>
          <cell r="T1670"/>
          <cell r="U1670"/>
          <cell r="V1670">
            <v>15</v>
          </cell>
          <cell r="W1670"/>
          <cell r="X1670" t="str">
            <v>NHAT NHAT NAM</v>
          </cell>
          <cell r="Y1670" t="str">
            <v>BAO GIA CTY - AMW</v>
          </cell>
          <cell r="Z1670" t="str">
            <v>THOA ' MAIL 12/10/17</v>
          </cell>
          <cell r="AA1670"/>
          <cell r="AB1670">
            <v>43020</v>
          </cell>
          <cell r="AC1670">
            <v>3664</v>
          </cell>
        </row>
        <row r="1671">
          <cell r="B1671">
            <v>3649</v>
          </cell>
          <cell r="C1671">
            <v>145</v>
          </cell>
          <cell r="D1671" t="str">
            <v>CREPE</v>
          </cell>
          <cell r="E1671"/>
          <cell r="F1671" t="str">
            <v>T100%</v>
          </cell>
          <cell r="G1671" t="str">
            <v>100% POLYESTER</v>
          </cell>
          <cell r="H1671">
            <v>58</v>
          </cell>
          <cell r="I1671">
            <v>190</v>
          </cell>
          <cell r="J1671">
            <v>1.9</v>
          </cell>
          <cell r="K1671"/>
          <cell r="L1671">
            <v>1.9</v>
          </cell>
          <cell r="M1671"/>
          <cell r="N1671">
            <v>1.9</v>
          </cell>
          <cell r="O1671"/>
          <cell r="P1671"/>
          <cell r="Q1671"/>
          <cell r="R1671">
            <v>1.9</v>
          </cell>
          <cell r="S1671"/>
          <cell r="T1671"/>
          <cell r="U1671"/>
          <cell r="V1671">
            <v>15</v>
          </cell>
          <cell r="W1671"/>
          <cell r="X1671" t="str">
            <v>NHAT NAM</v>
          </cell>
          <cell r="Y1671" t="str">
            <v>BAO GIA CTY - AMW</v>
          </cell>
          <cell r="Z1671" t="str">
            <v>THOA'MAIL 12/10/17</v>
          </cell>
          <cell r="AA1671"/>
          <cell r="AB1671">
            <v>43020</v>
          </cell>
          <cell r="AC1671">
            <v>3649</v>
          </cell>
        </row>
        <row r="1672">
          <cell r="B1672">
            <v>3648</v>
          </cell>
          <cell r="C1672" t="str">
            <v>OLIP-1762103DH</v>
          </cell>
          <cell r="D1672"/>
          <cell r="E1672"/>
          <cell r="F1672" t="str">
            <v>R/T 70/30</v>
          </cell>
          <cell r="G1672" t="str">
            <v>70% RAYON 30% POLYESTER</v>
          </cell>
          <cell r="H1672" t="str">
            <v>57/58</v>
          </cell>
          <cell r="I1672">
            <v>190</v>
          </cell>
          <cell r="J1672">
            <v>2.4500000000000002</v>
          </cell>
          <cell r="K1672"/>
          <cell r="L1672">
            <v>2.5</v>
          </cell>
          <cell r="M1672"/>
          <cell r="N1672">
            <v>2.62</v>
          </cell>
          <cell r="O1672"/>
          <cell r="P1672"/>
          <cell r="Q1672"/>
          <cell r="R1672">
            <v>2.82</v>
          </cell>
          <cell r="S1672"/>
          <cell r="T1672"/>
          <cell r="U1672"/>
          <cell r="V1672">
            <v>15</v>
          </cell>
          <cell r="W1672"/>
          <cell r="X1672" t="str">
            <v>OWEN</v>
          </cell>
          <cell r="Y1672" t="str">
            <v>SANDY 11-OCT</v>
          </cell>
          <cell r="Z1672" t="str">
            <v>SANDY ' MAIL 12/10/17</v>
          </cell>
          <cell r="AA1672"/>
          <cell r="AB1672">
            <v>43020</v>
          </cell>
          <cell r="AC1672">
            <v>3648</v>
          </cell>
        </row>
        <row r="1673">
          <cell r="B1673">
            <v>3647</v>
          </cell>
          <cell r="C1673" t="str">
            <v>OLIP-1761401 / 02</v>
          </cell>
          <cell r="D1673"/>
          <cell r="E1673"/>
          <cell r="F1673" t="str">
            <v>V100% TWILL</v>
          </cell>
          <cell r="G1673" t="str">
            <v>100% VISCOSE TWILL</v>
          </cell>
          <cell r="H1673" t="str">
            <v>53/54</v>
          </cell>
          <cell r="I1673">
            <v>140</v>
          </cell>
          <cell r="J1673">
            <v>1.7</v>
          </cell>
          <cell r="K1673">
            <v>2.1</v>
          </cell>
          <cell r="L1673">
            <v>1.76</v>
          </cell>
          <cell r="M1673">
            <v>2.15</v>
          </cell>
          <cell r="N1673">
            <v>1.82</v>
          </cell>
          <cell r="O1673">
            <v>2.2999999999999998</v>
          </cell>
          <cell r="P1673"/>
          <cell r="Q1673"/>
          <cell r="R1673">
            <v>1.97</v>
          </cell>
          <cell r="S1673">
            <v>3</v>
          </cell>
          <cell r="T1673"/>
          <cell r="U1673"/>
          <cell r="V1673">
            <v>15</v>
          </cell>
          <cell r="W1673"/>
          <cell r="X1673" t="str">
            <v>OWEN</v>
          </cell>
          <cell r="Y1673" t="str">
            <v>SANDY 11-OCT</v>
          </cell>
          <cell r="Z1673" t="str">
            <v>SANDY ' MAIL 12/10/17</v>
          </cell>
          <cell r="AA1673"/>
          <cell r="AB1673">
            <v>43020</v>
          </cell>
          <cell r="AC1673">
            <v>3647</v>
          </cell>
        </row>
        <row r="1674">
          <cell r="B1674">
            <v>3367</v>
          </cell>
          <cell r="C1674" t="str">
            <v>OLP-177605TB</v>
          </cell>
          <cell r="D1674"/>
          <cell r="E1674"/>
          <cell r="F1674" t="str">
            <v>T/C 65/35</v>
          </cell>
          <cell r="G1674" t="str">
            <v>65% POLYESTER 35% COTTON</v>
          </cell>
          <cell r="H1674" t="str">
            <v>57/58</v>
          </cell>
          <cell r="I1674">
            <v>95</v>
          </cell>
          <cell r="J1674">
            <v>1.2</v>
          </cell>
          <cell r="K1674">
            <v>1.45</v>
          </cell>
          <cell r="L1674">
            <v>1.3</v>
          </cell>
          <cell r="M1674">
            <v>1.55</v>
          </cell>
          <cell r="N1674">
            <v>1.55</v>
          </cell>
          <cell r="O1674">
            <v>1.8</v>
          </cell>
          <cell r="P1674"/>
          <cell r="Q1674"/>
          <cell r="R1674">
            <v>1.7</v>
          </cell>
          <cell r="S1674">
            <v>2.5499999999999998</v>
          </cell>
          <cell r="T1674"/>
          <cell r="U1674"/>
          <cell r="V1674"/>
          <cell r="W1674"/>
          <cell r="X1674" t="str">
            <v>OWEN</v>
          </cell>
          <cell r="Y1674" t="str">
            <v>OWEN 7-OCT</v>
          </cell>
          <cell r="Z1674" t="str">
            <v>SANDY ' MAIL 12/10/17</v>
          </cell>
          <cell r="AA1674"/>
          <cell r="AB1674">
            <v>43020</v>
          </cell>
          <cell r="AC1674">
            <v>3367</v>
          </cell>
        </row>
        <row r="1675">
          <cell r="B1675">
            <v>3202</v>
          </cell>
          <cell r="C1675" t="str">
            <v>TS-588  / R-130517-B</v>
          </cell>
          <cell r="D1675" t="str">
            <v>SATEEN</v>
          </cell>
          <cell r="E1675"/>
          <cell r="F1675" t="str">
            <v>T/S 98/2</v>
          </cell>
          <cell r="G1675" t="str">
            <v>98% POLYESTER 2% SPANDEX</v>
          </cell>
          <cell r="H1675" t="str">
            <v>56/57</v>
          </cell>
          <cell r="I1675">
            <v>110</v>
          </cell>
          <cell r="J1675">
            <v>1.79</v>
          </cell>
          <cell r="K1675"/>
          <cell r="L1675">
            <v>1.84</v>
          </cell>
          <cell r="M1675"/>
          <cell r="N1675">
            <v>1.84</v>
          </cell>
          <cell r="O1675"/>
          <cell r="P1675"/>
          <cell r="Q1675"/>
          <cell r="R1675">
            <v>2.2999999999999998</v>
          </cell>
          <cell r="S1675"/>
          <cell r="T1675"/>
          <cell r="U1675"/>
          <cell r="V1675">
            <v>15</v>
          </cell>
          <cell r="W1675"/>
          <cell r="X1675" t="str">
            <v>LIVALTEX</v>
          </cell>
          <cell r="Y1675">
            <v>1012</v>
          </cell>
          <cell r="Z1675" t="str">
            <v>ROSE' MAIL 12/10/17</v>
          </cell>
          <cell r="AA1675"/>
          <cell r="AB1675">
            <v>43020</v>
          </cell>
          <cell r="AC1675">
            <v>3202</v>
          </cell>
        </row>
        <row r="1676">
          <cell r="B1676">
            <v>3073</v>
          </cell>
          <cell r="C1676" t="str">
            <v>OLP-1742022RBE</v>
          </cell>
          <cell r="D1676"/>
          <cell r="E1676"/>
          <cell r="F1676" t="str">
            <v>T 100%</v>
          </cell>
          <cell r="G1676" t="str">
            <v>100% POLYESTER</v>
          </cell>
          <cell r="H1676" t="str">
            <v>57/58</v>
          </cell>
          <cell r="I1676">
            <v>106</v>
          </cell>
          <cell r="J1676">
            <v>1.57</v>
          </cell>
          <cell r="K1676">
            <v>1.9</v>
          </cell>
          <cell r="L1676">
            <v>1.68</v>
          </cell>
          <cell r="M1676">
            <v>2</v>
          </cell>
          <cell r="N1676">
            <v>1.77</v>
          </cell>
          <cell r="O1676">
            <v>2.15</v>
          </cell>
          <cell r="P1676"/>
          <cell r="Q1676"/>
          <cell r="R1676">
            <v>1.9</v>
          </cell>
          <cell r="S1676">
            <v>2.9</v>
          </cell>
          <cell r="T1676"/>
          <cell r="U1676"/>
          <cell r="V1676"/>
          <cell r="W1676"/>
          <cell r="X1676" t="str">
            <v>OWEN</v>
          </cell>
          <cell r="Y1676" t="str">
            <v>OWEN OCT10 ( UPDATE PRICE )</v>
          </cell>
          <cell r="Z1676" t="str">
            <v>SANDY ' MAIL 12/10/17</v>
          </cell>
          <cell r="AA1676"/>
          <cell r="AB1676">
            <v>43020</v>
          </cell>
          <cell r="AC1676">
            <v>3073</v>
          </cell>
        </row>
        <row r="1677">
          <cell r="B1677">
            <v>3071</v>
          </cell>
          <cell r="C1677" t="str">
            <v>OLP-1742020RBE</v>
          </cell>
          <cell r="D1677"/>
          <cell r="E1677"/>
          <cell r="F1677" t="str">
            <v>T 100%</v>
          </cell>
          <cell r="G1677" t="str">
            <v>100% POLYESTER</v>
          </cell>
          <cell r="H1677" t="str">
            <v>57/58</v>
          </cell>
          <cell r="I1677">
            <v>115</v>
          </cell>
          <cell r="J1677">
            <v>1.54</v>
          </cell>
          <cell r="K1677">
            <v>1.84</v>
          </cell>
          <cell r="L1677">
            <v>1.62</v>
          </cell>
          <cell r="M1677">
            <v>1.93</v>
          </cell>
          <cell r="N1677">
            <v>1.7</v>
          </cell>
          <cell r="O1677">
            <v>2.1</v>
          </cell>
          <cell r="P1677"/>
          <cell r="Q1677"/>
          <cell r="R1677">
            <v>1.85</v>
          </cell>
          <cell r="S1677">
            <v>2.85</v>
          </cell>
          <cell r="T1677"/>
          <cell r="U1677"/>
          <cell r="V1677">
            <v>15</v>
          </cell>
          <cell r="W1677"/>
          <cell r="X1677" t="str">
            <v>OWEN</v>
          </cell>
          <cell r="Y1677" t="str">
            <v>OWEN OCT10 ( UPDATE PRICE )</v>
          </cell>
          <cell r="Z1677" t="str">
            <v>SANDY ' MAIL 12/10/17</v>
          </cell>
          <cell r="AA1677"/>
          <cell r="AB1677">
            <v>43020</v>
          </cell>
          <cell r="AC1677">
            <v>3071</v>
          </cell>
        </row>
        <row r="1678">
          <cell r="B1678">
            <v>3070</v>
          </cell>
          <cell r="C1678" t="str">
            <v>OLP-1742019RBE</v>
          </cell>
          <cell r="D1678"/>
          <cell r="E1678"/>
          <cell r="F1678" t="str">
            <v>T 100%</v>
          </cell>
          <cell r="G1678" t="str">
            <v>100% POLYESTER</v>
          </cell>
          <cell r="H1678" t="str">
            <v>57/58</v>
          </cell>
          <cell r="I1678">
            <v>110</v>
          </cell>
          <cell r="J1678">
            <v>1.5</v>
          </cell>
          <cell r="K1678">
            <v>1.8</v>
          </cell>
          <cell r="L1678">
            <v>1.58</v>
          </cell>
          <cell r="M1678">
            <v>1.86</v>
          </cell>
          <cell r="N1678">
            <v>1.65</v>
          </cell>
          <cell r="O1678">
            <v>2.06</v>
          </cell>
          <cell r="P1678"/>
          <cell r="Q1678"/>
          <cell r="R1678">
            <v>1.8</v>
          </cell>
          <cell r="S1678">
            <v>2.76</v>
          </cell>
          <cell r="T1678"/>
          <cell r="U1678"/>
          <cell r="V1678">
            <v>15</v>
          </cell>
          <cell r="W1678"/>
          <cell r="X1678" t="str">
            <v>OWEN</v>
          </cell>
          <cell r="Y1678" t="str">
            <v>OWEN OCT10 ( UPDATE PRICE )</v>
          </cell>
          <cell r="Z1678" t="str">
            <v>SANDY ' MAIL 12/10/17</v>
          </cell>
          <cell r="AA1678"/>
          <cell r="AB1678">
            <v>43020</v>
          </cell>
          <cell r="AC1678">
            <v>3070</v>
          </cell>
        </row>
        <row r="1679">
          <cell r="B1679">
            <v>1885</v>
          </cell>
          <cell r="C1679" t="str">
            <v>1652102RBE</v>
          </cell>
          <cell r="D1679" t="str">
            <v>TWILL</v>
          </cell>
          <cell r="E1679"/>
          <cell r="F1679" t="str">
            <v>T 100%</v>
          </cell>
          <cell r="G1679" t="str">
            <v>100% POLYESTER</v>
          </cell>
          <cell r="H1679" t="str">
            <v>57/58</v>
          </cell>
          <cell r="I1679">
            <v>95</v>
          </cell>
          <cell r="J1679">
            <v>1.2</v>
          </cell>
          <cell r="K1679">
            <v>1.58</v>
          </cell>
          <cell r="L1679">
            <v>1.28</v>
          </cell>
          <cell r="M1679">
            <v>1.65</v>
          </cell>
          <cell r="N1679">
            <v>1.35</v>
          </cell>
          <cell r="O1679">
            <v>1.72</v>
          </cell>
          <cell r="P1679"/>
          <cell r="Q1679"/>
          <cell r="R1679">
            <v>1.5</v>
          </cell>
          <cell r="S1679">
            <v>2.4500000000000002</v>
          </cell>
          <cell r="T1679"/>
          <cell r="U1679"/>
          <cell r="V1679"/>
          <cell r="W1679"/>
          <cell r="X1679" t="str">
            <v>OWEN</v>
          </cell>
          <cell r="Y1679" t="str">
            <v>OWEN OCT10 ( UPDATE PRICE )</v>
          </cell>
          <cell r="Z1679" t="str">
            <v>SANDY ' MAIL 12/10/17</v>
          </cell>
          <cell r="AA1679"/>
          <cell r="AB1679">
            <v>43020</v>
          </cell>
          <cell r="AC1679">
            <v>1885</v>
          </cell>
        </row>
        <row r="1680">
          <cell r="B1680">
            <v>1774</v>
          </cell>
          <cell r="C1680" t="str">
            <v>JLH00560-16040702</v>
          </cell>
          <cell r="D1680"/>
          <cell r="E1680"/>
          <cell r="F1680" t="str">
            <v>C100%</v>
          </cell>
          <cell r="G1680" t="str">
            <v>100% COTTON</v>
          </cell>
          <cell r="H1680" t="str">
            <v>56/57</v>
          </cell>
          <cell r="I1680">
            <v>114</v>
          </cell>
          <cell r="J1680">
            <v>2.15</v>
          </cell>
          <cell r="K1680"/>
          <cell r="L1680">
            <v>2.2200000000000002</v>
          </cell>
          <cell r="M1680"/>
          <cell r="N1680">
            <v>2.35</v>
          </cell>
          <cell r="O1680"/>
          <cell r="P1680"/>
          <cell r="Q1680"/>
          <cell r="R1680">
            <v>2.48</v>
          </cell>
          <cell r="S1680"/>
          <cell r="T1680"/>
          <cell r="U1680"/>
          <cell r="V1680"/>
          <cell r="W1680"/>
          <cell r="X1680" t="str">
            <v>OWEN</v>
          </cell>
          <cell r="Y1680" t="str">
            <v>OWEN OCT10 ( UPDATE PRICE )</v>
          </cell>
          <cell r="Z1680" t="str">
            <v>SANDY ' MAIL 12/10/17</v>
          </cell>
          <cell r="AA1680"/>
          <cell r="AB1680">
            <v>43020</v>
          </cell>
          <cell r="AC1680">
            <v>1774</v>
          </cell>
        </row>
        <row r="1681">
          <cell r="B1681">
            <v>4569</v>
          </cell>
          <cell r="C1681" t="str">
            <v>OLP-1733001YD</v>
          </cell>
          <cell r="D1681"/>
          <cell r="E1681" t="str">
            <v>40x75D</v>
          </cell>
          <cell r="F1681" t="str">
            <v>MODAY/T 66/34</v>
          </cell>
          <cell r="G1681" t="str">
            <v xml:space="preserve">66% MODAY 34% POLY - </v>
          </cell>
          <cell r="H1681" t="str">
            <v>57/58</v>
          </cell>
          <cell r="I1681">
            <v>110</v>
          </cell>
          <cell r="J1681">
            <v>3.73</v>
          </cell>
          <cell r="K1681"/>
          <cell r="L1681">
            <v>3.8</v>
          </cell>
          <cell r="M1681"/>
          <cell r="N1681">
            <v>3.9</v>
          </cell>
          <cell r="O1681"/>
          <cell r="P1681"/>
          <cell r="Q1681"/>
          <cell r="R1681">
            <v>4.05</v>
          </cell>
          <cell r="S1681"/>
          <cell r="T1681"/>
          <cell r="U1681"/>
          <cell r="V1681"/>
          <cell r="W1681"/>
          <cell r="X1681" t="str">
            <v>OWEN</v>
          </cell>
          <cell r="Y1681" t="str">
            <v>SANDY OLIP 04-OCT</v>
          </cell>
          <cell r="Z1681" t="str">
            <v>SANDY ' MAIL 11/10/17</v>
          </cell>
          <cell r="AA1681"/>
          <cell r="AB1681">
            <v>43019</v>
          </cell>
          <cell r="AC1681"/>
        </row>
        <row r="1682">
          <cell r="B1682">
            <v>3646</v>
          </cell>
          <cell r="C1682" t="str">
            <v>OLP-PR00076</v>
          </cell>
          <cell r="D1682" t="str">
            <v>TWILL</v>
          </cell>
          <cell r="E1682" t="str">
            <v>30x30</v>
          </cell>
          <cell r="F1682" t="str">
            <v>V100%</v>
          </cell>
          <cell r="G1682" t="str">
            <v>100% VISCOSE</v>
          </cell>
          <cell r="H1682" t="str">
            <v>53/54</v>
          </cell>
          <cell r="I1682">
            <v>150</v>
          </cell>
          <cell r="J1682">
            <v>3.05</v>
          </cell>
          <cell r="K1682">
            <v>3.26</v>
          </cell>
          <cell r="L1682">
            <v>3.12</v>
          </cell>
          <cell r="M1682">
            <v>3.33</v>
          </cell>
          <cell r="N1682">
            <v>3.22</v>
          </cell>
          <cell r="O1682">
            <v>3.48</v>
          </cell>
          <cell r="P1682"/>
          <cell r="Q1682"/>
          <cell r="R1682">
            <v>3.37</v>
          </cell>
          <cell r="S1682">
            <v>4.0999999999999996</v>
          </cell>
          <cell r="T1682"/>
          <cell r="U1682"/>
          <cell r="V1682">
            <v>15</v>
          </cell>
          <cell r="W1682"/>
          <cell r="X1682" t="str">
            <v>OWEN</v>
          </cell>
          <cell r="Y1682" t="str">
            <v>SANDY OLIP 04-OCT</v>
          </cell>
          <cell r="Z1682" t="str">
            <v>SANDY ' MAIL 11/10/17</v>
          </cell>
          <cell r="AA1682"/>
          <cell r="AB1682">
            <v>43019</v>
          </cell>
          <cell r="AC1682">
            <v>3646</v>
          </cell>
        </row>
        <row r="1683">
          <cell r="B1683">
            <v>3645</v>
          </cell>
          <cell r="C1683" t="str">
            <v>OLP-PC00077</v>
          </cell>
          <cell r="D1683"/>
          <cell r="E1683" t="str">
            <v>32x32+40D</v>
          </cell>
          <cell r="F1683" t="str">
            <v>C/S 97/3</v>
          </cell>
          <cell r="G1683" t="str">
            <v xml:space="preserve">97% COTTON 3% SPANDEX </v>
          </cell>
          <cell r="H1683" t="str">
            <v>57/58</v>
          </cell>
          <cell r="I1683">
            <v>205</v>
          </cell>
          <cell r="J1683">
            <v>3.06</v>
          </cell>
          <cell r="K1683">
            <v>3.48</v>
          </cell>
          <cell r="L1683">
            <v>3.12</v>
          </cell>
          <cell r="M1683">
            <v>3.54</v>
          </cell>
          <cell r="N1683">
            <v>3.27</v>
          </cell>
          <cell r="O1683">
            <v>3.7</v>
          </cell>
          <cell r="P1683"/>
          <cell r="Q1683"/>
          <cell r="R1683">
            <v>3.5</v>
          </cell>
          <cell r="S1683">
            <v>4.4000000000000004</v>
          </cell>
          <cell r="T1683"/>
          <cell r="U1683"/>
          <cell r="V1683">
            <v>15</v>
          </cell>
          <cell r="W1683"/>
          <cell r="X1683" t="str">
            <v>OWEN</v>
          </cell>
          <cell r="Y1683" t="str">
            <v>SANDY OLIP 04-OCT</v>
          </cell>
          <cell r="Z1683" t="str">
            <v>SANDY ' MAIL 11/10/17</v>
          </cell>
          <cell r="AA1683"/>
          <cell r="AB1683">
            <v>43019</v>
          </cell>
          <cell r="AC1683">
            <v>3645</v>
          </cell>
        </row>
        <row r="1684">
          <cell r="B1684">
            <v>3644</v>
          </cell>
          <cell r="C1684" t="str">
            <v>OLP-PR00074</v>
          </cell>
          <cell r="D1684"/>
          <cell r="E1684" t="str">
            <v>45x45</v>
          </cell>
          <cell r="F1684" t="str">
            <v>V100%</v>
          </cell>
          <cell r="G1684" t="str">
            <v>100% VISCOSE</v>
          </cell>
          <cell r="H1684" t="str">
            <v>53/54</v>
          </cell>
          <cell r="I1684">
            <v>100</v>
          </cell>
          <cell r="J1684">
            <v>2.15</v>
          </cell>
          <cell r="K1684">
            <v>2.2999999999999998</v>
          </cell>
          <cell r="L1684">
            <v>2.2200000000000002</v>
          </cell>
          <cell r="M1684">
            <v>2.4</v>
          </cell>
          <cell r="N1684">
            <v>2.2999999999999998</v>
          </cell>
          <cell r="O1684">
            <v>2.5499999999999998</v>
          </cell>
          <cell r="P1684"/>
          <cell r="Q1684"/>
          <cell r="R1684">
            <v>2.4500000000000002</v>
          </cell>
          <cell r="S1684">
            <v>3.25</v>
          </cell>
          <cell r="T1684"/>
          <cell r="U1684"/>
          <cell r="V1684">
            <v>15</v>
          </cell>
          <cell r="W1684"/>
          <cell r="X1684" t="str">
            <v>OWEN</v>
          </cell>
          <cell r="Y1684" t="str">
            <v>SANDY OLIP 04-OCT</v>
          </cell>
          <cell r="Z1684" t="str">
            <v>SANDY ' MAIL 11/10/17</v>
          </cell>
          <cell r="AA1684"/>
          <cell r="AB1684">
            <v>43019</v>
          </cell>
          <cell r="AC1684">
            <v>3644</v>
          </cell>
        </row>
        <row r="1685">
          <cell r="B1685">
            <v>3643</v>
          </cell>
          <cell r="C1685" t="str">
            <v>OLP-SR00235</v>
          </cell>
          <cell r="D1685" t="str">
            <v>TWILL</v>
          </cell>
          <cell r="E1685"/>
          <cell r="F1685" t="str">
            <v>V/C 55/45</v>
          </cell>
          <cell r="G1685" t="str">
            <v xml:space="preserve"> 55% VISCOSE 45% COTTON</v>
          </cell>
          <cell r="H1685" t="str">
            <v>54/55</v>
          </cell>
          <cell r="I1685">
            <v>105</v>
          </cell>
          <cell r="J1685">
            <v>2.2999999999999998</v>
          </cell>
          <cell r="K1685">
            <v>2.7</v>
          </cell>
          <cell r="L1685">
            <v>2.36</v>
          </cell>
          <cell r="M1685">
            <v>2.75</v>
          </cell>
          <cell r="N1685">
            <v>2.42</v>
          </cell>
          <cell r="O1685">
            <v>2.85</v>
          </cell>
          <cell r="P1685"/>
          <cell r="Q1685"/>
          <cell r="R1685">
            <v>2.62</v>
          </cell>
          <cell r="S1685">
            <v>3.55</v>
          </cell>
          <cell r="T1685"/>
          <cell r="U1685"/>
          <cell r="V1685">
            <v>15</v>
          </cell>
          <cell r="W1685"/>
          <cell r="X1685" t="str">
            <v>OWEN</v>
          </cell>
          <cell r="Y1685" t="str">
            <v>SANDY OLIP 04-OCT</v>
          </cell>
          <cell r="Z1685" t="str">
            <v>SANDY ' MAIL 11/10/17</v>
          </cell>
          <cell r="AA1685"/>
          <cell r="AB1685">
            <v>43019</v>
          </cell>
          <cell r="AC1685">
            <v>3643</v>
          </cell>
        </row>
        <row r="1686">
          <cell r="B1686">
            <v>3642</v>
          </cell>
          <cell r="C1686" t="str">
            <v>OLP-SP000236</v>
          </cell>
          <cell r="D1686" t="str">
            <v>TWILL</v>
          </cell>
          <cell r="E1686"/>
          <cell r="F1686" t="str">
            <v>T/V 65/35</v>
          </cell>
          <cell r="G1686" t="str">
            <v>65%POLYESTER 35%VISCOSE</v>
          </cell>
          <cell r="H1686" t="str">
            <v>56/57</v>
          </cell>
          <cell r="I1686">
            <v>260</v>
          </cell>
          <cell r="J1686">
            <v>3.86</v>
          </cell>
          <cell r="K1686"/>
          <cell r="L1686">
            <v>3.92</v>
          </cell>
          <cell r="M1686"/>
          <cell r="N1686">
            <v>4</v>
          </cell>
          <cell r="O1686"/>
          <cell r="P1686"/>
          <cell r="Q1686"/>
          <cell r="R1686">
            <v>4.1500000000000004</v>
          </cell>
          <cell r="S1686"/>
          <cell r="T1686"/>
          <cell r="U1686"/>
          <cell r="V1686">
            <v>15</v>
          </cell>
          <cell r="W1686"/>
          <cell r="X1686" t="str">
            <v>OWEN</v>
          </cell>
          <cell r="Y1686" t="str">
            <v>SANDY OLIP 04-OCT</v>
          </cell>
          <cell r="Z1686" t="str">
            <v>SANDY ' MAIL 11/10/17</v>
          </cell>
          <cell r="AA1686"/>
          <cell r="AB1686">
            <v>43019</v>
          </cell>
          <cell r="AC1686">
            <v>3642</v>
          </cell>
        </row>
        <row r="1687">
          <cell r="B1687">
            <v>3641</v>
          </cell>
          <cell r="C1687" t="str">
            <v>OLP-YC00184</v>
          </cell>
          <cell r="D1687" t="str">
            <v>Y/D DOBBY</v>
          </cell>
          <cell r="E1687" t="str">
            <v>50x50</v>
          </cell>
          <cell r="F1687" t="str">
            <v>C100%</v>
          </cell>
          <cell r="G1687" t="str">
            <v xml:space="preserve">100% COTTON </v>
          </cell>
          <cell r="H1687" t="str">
            <v>57/58</v>
          </cell>
          <cell r="I1687">
            <v>130</v>
          </cell>
          <cell r="J1687">
            <v>2.5</v>
          </cell>
          <cell r="K1687"/>
          <cell r="L1687">
            <v>2.58</v>
          </cell>
          <cell r="M1687"/>
          <cell r="N1687">
            <v>2.68</v>
          </cell>
          <cell r="O1687"/>
          <cell r="P1687"/>
          <cell r="Q1687"/>
          <cell r="R1687">
            <v>2.88</v>
          </cell>
          <cell r="S1687"/>
          <cell r="T1687"/>
          <cell r="U1687"/>
          <cell r="V1687">
            <v>15</v>
          </cell>
          <cell r="W1687" t="str">
            <v xml:space="preserve">this  is Y/D dobby </v>
          </cell>
          <cell r="X1687" t="str">
            <v>OWEN</v>
          </cell>
          <cell r="Y1687" t="str">
            <v>SANDY OLIP 04-OCT</v>
          </cell>
          <cell r="Z1687" t="str">
            <v>SANDY ' MAIL 11/10/17</v>
          </cell>
          <cell r="AA1687"/>
          <cell r="AB1687">
            <v>43019</v>
          </cell>
          <cell r="AC1687">
            <v>3641</v>
          </cell>
        </row>
        <row r="1688">
          <cell r="B1688">
            <v>3640</v>
          </cell>
          <cell r="C1688" t="str">
            <v>OLP-PR00075</v>
          </cell>
          <cell r="D1688"/>
          <cell r="E1688" t="str">
            <v>40x40</v>
          </cell>
          <cell r="F1688" t="str">
            <v>V100%</v>
          </cell>
          <cell r="G1688" t="str">
            <v xml:space="preserve">100% VISCOSE </v>
          </cell>
          <cell r="H1688" t="str">
            <v>50/52</v>
          </cell>
          <cell r="I1688">
            <v>110</v>
          </cell>
          <cell r="J1688">
            <v>2</v>
          </cell>
          <cell r="K1688">
            <v>2.2000000000000002</v>
          </cell>
          <cell r="L1688">
            <v>2.0499999999999998</v>
          </cell>
          <cell r="M1688">
            <v>2.2799999999999998</v>
          </cell>
          <cell r="N1688">
            <v>2.15</v>
          </cell>
          <cell r="O1688">
            <v>2.4300000000000002</v>
          </cell>
          <cell r="P1688"/>
          <cell r="Q1688"/>
          <cell r="R1688">
            <v>2.2999999999999998</v>
          </cell>
          <cell r="S1688">
            <v>3.05</v>
          </cell>
          <cell r="T1688"/>
          <cell r="U1688"/>
          <cell r="V1688">
            <v>15</v>
          </cell>
          <cell r="W1688"/>
          <cell r="X1688" t="str">
            <v>OWEN</v>
          </cell>
          <cell r="Y1688" t="str">
            <v>SANDY OLIP 04-OCT</v>
          </cell>
          <cell r="Z1688" t="str">
            <v>SANDY ' MAIL 11/10/17</v>
          </cell>
          <cell r="AA1688"/>
          <cell r="AB1688">
            <v>43019</v>
          </cell>
          <cell r="AC1688">
            <v>3640</v>
          </cell>
        </row>
        <row r="1689">
          <cell r="B1689">
            <v>3326</v>
          </cell>
          <cell r="C1689" t="str">
            <v>K-2985</v>
          </cell>
          <cell r="D1689"/>
          <cell r="E1689"/>
          <cell r="F1689" t="str">
            <v>T100%</v>
          </cell>
          <cell r="G1689" t="str">
            <v>100% POLYESTER</v>
          </cell>
          <cell r="H1689" t="str">
            <v>57/58</v>
          </cell>
          <cell r="I1689">
            <v>170</v>
          </cell>
          <cell r="J1689"/>
          <cell r="K1689">
            <v>2.7</v>
          </cell>
          <cell r="L1689"/>
          <cell r="M1689">
            <v>2.75</v>
          </cell>
          <cell r="N1689"/>
          <cell r="O1689">
            <v>2.75</v>
          </cell>
          <cell r="P1689"/>
          <cell r="Q1689"/>
          <cell r="R1689"/>
          <cell r="S1689">
            <v>3.25</v>
          </cell>
          <cell r="T1689"/>
          <cell r="U1689"/>
          <cell r="V1689">
            <v>15</v>
          </cell>
          <cell r="W1689"/>
          <cell r="X1689" t="str">
            <v>LIVALTEX</v>
          </cell>
          <cell r="Y1689" t="str">
            <v>LIVALTEX 07-OCT</v>
          </cell>
          <cell r="Z1689" t="str">
            <v>ROSE' MAIL 11/10/17</v>
          </cell>
          <cell r="AA1689"/>
          <cell r="AB1689">
            <v>43019</v>
          </cell>
          <cell r="AC1689">
            <v>3326</v>
          </cell>
        </row>
        <row r="1690">
          <cell r="B1690">
            <v>3325</v>
          </cell>
          <cell r="C1690" t="str">
            <v>K-2984</v>
          </cell>
          <cell r="D1690"/>
          <cell r="E1690"/>
          <cell r="F1690" t="str">
            <v>T100%</v>
          </cell>
          <cell r="G1690" t="str">
            <v>100% POLYESTER</v>
          </cell>
          <cell r="H1690" t="str">
            <v>57/58</v>
          </cell>
          <cell r="I1690">
            <v>64</v>
          </cell>
          <cell r="J1690"/>
          <cell r="K1690">
            <v>2.25</v>
          </cell>
          <cell r="L1690"/>
          <cell r="M1690">
            <v>2.2999999999999998</v>
          </cell>
          <cell r="N1690"/>
          <cell r="O1690">
            <v>2.2999999999999998</v>
          </cell>
          <cell r="P1690"/>
          <cell r="Q1690"/>
          <cell r="R1690"/>
          <cell r="S1690">
            <v>2.85</v>
          </cell>
          <cell r="T1690"/>
          <cell r="U1690"/>
          <cell r="V1690">
            <v>15</v>
          </cell>
          <cell r="W1690"/>
          <cell r="X1690" t="str">
            <v>LIVALTEX</v>
          </cell>
          <cell r="Y1690" t="str">
            <v>LIVALTEX 07-OCT</v>
          </cell>
          <cell r="Z1690" t="str">
            <v>ROSE' MAIL 11/10/17</v>
          </cell>
          <cell r="AA1690"/>
          <cell r="AB1690">
            <v>43019</v>
          </cell>
          <cell r="AC1690">
            <v>3325</v>
          </cell>
        </row>
        <row r="1691">
          <cell r="B1691">
            <v>3324</v>
          </cell>
          <cell r="C1691" t="str">
            <v>K-2983</v>
          </cell>
          <cell r="D1691"/>
          <cell r="E1691"/>
          <cell r="F1691" t="str">
            <v>T100%</v>
          </cell>
          <cell r="G1691" t="str">
            <v>100% POLYESTER</v>
          </cell>
          <cell r="H1691" t="str">
            <v>57/58</v>
          </cell>
          <cell r="I1691">
            <v>140</v>
          </cell>
          <cell r="J1691"/>
          <cell r="K1691">
            <v>2.7</v>
          </cell>
          <cell r="L1691"/>
          <cell r="M1691">
            <v>2.75</v>
          </cell>
          <cell r="N1691"/>
          <cell r="O1691">
            <v>2.75</v>
          </cell>
          <cell r="P1691"/>
          <cell r="Q1691"/>
          <cell r="R1691"/>
          <cell r="S1691">
            <v>3.25</v>
          </cell>
          <cell r="T1691"/>
          <cell r="U1691"/>
          <cell r="V1691">
            <v>15</v>
          </cell>
          <cell r="W1691"/>
          <cell r="X1691" t="str">
            <v>LIVALTEX</v>
          </cell>
          <cell r="Y1691" t="str">
            <v>LIVALTEX 07-OCT</v>
          </cell>
          <cell r="Z1691" t="str">
            <v>ROSE' MAIL 11/10/17</v>
          </cell>
          <cell r="AA1691"/>
          <cell r="AB1691">
            <v>43019</v>
          </cell>
          <cell r="AC1691">
            <v>3324</v>
          </cell>
        </row>
        <row r="1692">
          <cell r="B1692">
            <v>3323</v>
          </cell>
          <cell r="C1692" t="str">
            <v>K-2981</v>
          </cell>
          <cell r="D1692"/>
          <cell r="E1692"/>
          <cell r="F1692" t="str">
            <v>T100%</v>
          </cell>
          <cell r="G1692" t="str">
            <v>100% POLYESTER</v>
          </cell>
          <cell r="H1692" t="str">
            <v>57/58</v>
          </cell>
          <cell r="I1692">
            <v>152</v>
          </cell>
          <cell r="J1692"/>
          <cell r="K1692">
            <v>2.7</v>
          </cell>
          <cell r="L1692"/>
          <cell r="M1692">
            <v>2.75</v>
          </cell>
          <cell r="N1692"/>
          <cell r="O1692">
            <v>2.75</v>
          </cell>
          <cell r="P1692"/>
          <cell r="Q1692"/>
          <cell r="R1692"/>
          <cell r="S1692">
            <v>3.25</v>
          </cell>
          <cell r="T1692"/>
          <cell r="U1692"/>
          <cell r="V1692">
            <v>15</v>
          </cell>
          <cell r="W1692"/>
          <cell r="X1692" t="str">
            <v>LIVALTEX</v>
          </cell>
          <cell r="Y1692" t="str">
            <v>LIVALTEX 07-OCT</v>
          </cell>
          <cell r="Z1692" t="str">
            <v>ROSE' MAIL 11/10/17</v>
          </cell>
          <cell r="AA1692"/>
          <cell r="AB1692">
            <v>43019</v>
          </cell>
          <cell r="AC1692">
            <v>3323</v>
          </cell>
        </row>
        <row r="1693">
          <cell r="B1693">
            <v>3305</v>
          </cell>
          <cell r="C1693" t="str">
            <v>K-2990</v>
          </cell>
          <cell r="D1693" t="str">
            <v xml:space="preserve"> KNIT RIB FOIL</v>
          </cell>
          <cell r="E1693"/>
          <cell r="F1693" t="str">
            <v>T/S 95/5 KNIT RIB FOIL</v>
          </cell>
          <cell r="G1693" t="str">
            <v>95% POLYESTER 5% SPANDEX knit rib foil</v>
          </cell>
          <cell r="H1693" t="str">
            <v>57/58</v>
          </cell>
          <cell r="I1693" t="str">
            <v>165-170</v>
          </cell>
          <cell r="J1693"/>
          <cell r="K1693">
            <v>1.81</v>
          </cell>
          <cell r="L1693"/>
          <cell r="M1693">
            <v>1.86</v>
          </cell>
          <cell r="N1693"/>
          <cell r="O1693">
            <v>1.86</v>
          </cell>
          <cell r="P1693"/>
          <cell r="Q1693"/>
          <cell r="R1693"/>
          <cell r="S1693">
            <v>2.36</v>
          </cell>
          <cell r="T1693"/>
          <cell r="U1693"/>
          <cell r="V1693">
            <v>15</v>
          </cell>
          <cell r="W1693"/>
          <cell r="X1693" t="str">
            <v>LIVALTEX</v>
          </cell>
          <cell r="Y1693" t="str">
            <v>LIVALTEX 07-OCT</v>
          </cell>
          <cell r="Z1693" t="str">
            <v>ROSE' MAIL 11/10/17</v>
          </cell>
          <cell r="AA1693"/>
          <cell r="AB1693">
            <v>43019</v>
          </cell>
          <cell r="AC1693">
            <v>3305</v>
          </cell>
        </row>
        <row r="1694">
          <cell r="B1694">
            <v>3302</v>
          </cell>
          <cell r="C1694" t="str">
            <v>K-2941</v>
          </cell>
          <cell r="D1694"/>
          <cell r="E1694"/>
          <cell r="F1694" t="str">
            <v>T/S 97/3</v>
          </cell>
          <cell r="G1694" t="str">
            <v>97% POLYESTER 3% SPANDEX</v>
          </cell>
          <cell r="H1694" t="str">
            <v>60/62</v>
          </cell>
          <cell r="I1694">
            <v>300</v>
          </cell>
          <cell r="J1694"/>
          <cell r="K1694">
            <v>2.2999999999999998</v>
          </cell>
          <cell r="L1694"/>
          <cell r="M1694">
            <v>2.35</v>
          </cell>
          <cell r="N1694"/>
          <cell r="O1694">
            <v>2.35</v>
          </cell>
          <cell r="P1694"/>
          <cell r="Q1694"/>
          <cell r="R1694"/>
          <cell r="S1694">
            <v>2.8</v>
          </cell>
          <cell r="T1694"/>
          <cell r="U1694"/>
          <cell r="V1694">
            <v>15</v>
          </cell>
          <cell r="W1694"/>
          <cell r="X1694" t="str">
            <v>LIVALTEX</v>
          </cell>
          <cell r="Y1694" t="str">
            <v>LIVALTEX 07-OCT</v>
          </cell>
          <cell r="Z1694" t="str">
            <v>ROSE' MAIL 11/10/17</v>
          </cell>
          <cell r="AA1694"/>
          <cell r="AB1694">
            <v>43019</v>
          </cell>
          <cell r="AC1694">
            <v>3302</v>
          </cell>
        </row>
        <row r="1695">
          <cell r="B1695">
            <v>3294</v>
          </cell>
          <cell r="C1695" t="str">
            <v>K-2991</v>
          </cell>
          <cell r="D1695"/>
          <cell r="E1695"/>
          <cell r="F1695" t="str">
            <v>T100% ROIL + CRINKLE</v>
          </cell>
          <cell r="G1695" t="str">
            <v>100% POLYESTER FOIL+CRINKLE</v>
          </cell>
          <cell r="H1695" t="str">
            <v>57/58</v>
          </cell>
          <cell r="I1695"/>
          <cell r="J1695"/>
          <cell r="K1695">
            <v>2.7</v>
          </cell>
          <cell r="L1695"/>
          <cell r="M1695">
            <v>2.75</v>
          </cell>
          <cell r="N1695"/>
          <cell r="O1695">
            <v>2.75</v>
          </cell>
          <cell r="P1695"/>
          <cell r="Q1695"/>
          <cell r="R1695"/>
          <cell r="S1695">
            <v>3.1</v>
          </cell>
          <cell r="T1695"/>
          <cell r="U1695"/>
          <cell r="V1695">
            <v>15</v>
          </cell>
          <cell r="W1695"/>
          <cell r="X1695" t="str">
            <v>LIVALTEX</v>
          </cell>
          <cell r="Y1695" t="str">
            <v>LIVALTEX 07-OCT</v>
          </cell>
          <cell r="Z1695" t="str">
            <v>ROSE' MAIL 11/10/17</v>
          </cell>
          <cell r="AA1695"/>
          <cell r="AB1695">
            <v>43019</v>
          </cell>
          <cell r="AC1695">
            <v>3294</v>
          </cell>
        </row>
        <row r="1696">
          <cell r="B1696">
            <v>3231</v>
          </cell>
          <cell r="C1696" t="str">
            <v>K-2958</v>
          </cell>
          <cell r="D1696"/>
          <cell r="E1696"/>
          <cell r="F1696" t="str">
            <v>T100%</v>
          </cell>
          <cell r="G1696" t="str">
            <v>100% POLYESTER</v>
          </cell>
          <cell r="H1696" t="str">
            <v>57/58</v>
          </cell>
          <cell r="I1696">
            <v>135</v>
          </cell>
          <cell r="J1696">
            <v>2.75</v>
          </cell>
          <cell r="K1696"/>
          <cell r="L1696">
            <v>2.8</v>
          </cell>
          <cell r="M1696"/>
          <cell r="N1696">
            <v>2.8</v>
          </cell>
          <cell r="O1696"/>
          <cell r="P1696"/>
          <cell r="Q1696"/>
          <cell r="R1696">
            <v>3.3</v>
          </cell>
          <cell r="S1696"/>
          <cell r="T1696"/>
          <cell r="U1696"/>
          <cell r="V1696">
            <v>15</v>
          </cell>
          <cell r="W1696"/>
          <cell r="X1696" t="str">
            <v>LIVALTEX</v>
          </cell>
          <cell r="Y1696" t="str">
            <v>LIVALTEX 07-OCT</v>
          </cell>
          <cell r="Z1696" t="str">
            <v>ROSE' MAIL 11/10/17</v>
          </cell>
          <cell r="AA1696"/>
          <cell r="AB1696">
            <v>43019</v>
          </cell>
          <cell r="AC1696">
            <v>3231</v>
          </cell>
        </row>
        <row r="1697">
          <cell r="B1697">
            <v>3106</v>
          </cell>
          <cell r="C1697" t="str">
            <v>K-2958</v>
          </cell>
          <cell r="D1697"/>
          <cell r="E1697"/>
          <cell r="F1697" t="str">
            <v>T100%</v>
          </cell>
          <cell r="G1697" t="str">
            <v>100% POLYESTER</v>
          </cell>
          <cell r="H1697" t="str">
            <v>57/58</v>
          </cell>
          <cell r="I1697">
            <v>135</v>
          </cell>
          <cell r="J1697"/>
          <cell r="K1697">
            <v>2.75</v>
          </cell>
          <cell r="L1697"/>
          <cell r="M1697">
            <v>2.8</v>
          </cell>
          <cell r="N1697"/>
          <cell r="O1697">
            <v>2.8</v>
          </cell>
          <cell r="P1697"/>
          <cell r="Q1697"/>
          <cell r="R1697"/>
          <cell r="S1697">
            <v>3.3</v>
          </cell>
          <cell r="T1697"/>
          <cell r="U1697"/>
          <cell r="V1697">
            <v>15</v>
          </cell>
          <cell r="W1697"/>
          <cell r="X1697" t="str">
            <v>LIVALTEX</v>
          </cell>
          <cell r="Y1697" t="str">
            <v>LIVALTEX 07-OCT</v>
          </cell>
          <cell r="Z1697" t="str">
            <v>ROSE' MAIL 11/10/17</v>
          </cell>
          <cell r="AA1697"/>
          <cell r="AB1697">
            <v>43019</v>
          </cell>
          <cell r="AC1697">
            <v>3106</v>
          </cell>
        </row>
        <row r="1698">
          <cell r="B1698">
            <v>3104</v>
          </cell>
          <cell r="C1698" t="str">
            <v>SYS-397</v>
          </cell>
          <cell r="D1698"/>
          <cell r="E1698"/>
          <cell r="F1698" t="str">
            <v>T/R/S 88/10/2</v>
          </cell>
          <cell r="G1698" t="str">
            <v>88% POLYESTER 10% RAYON 2% SPAN</v>
          </cell>
          <cell r="H1698" t="str">
            <v>57/58</v>
          </cell>
          <cell r="I1698">
            <v>210</v>
          </cell>
          <cell r="J1698">
            <v>2.71</v>
          </cell>
          <cell r="K1698"/>
          <cell r="L1698">
            <v>2.76</v>
          </cell>
          <cell r="M1698"/>
          <cell r="N1698">
            <v>2.76</v>
          </cell>
          <cell r="O1698"/>
          <cell r="P1698"/>
          <cell r="Q1698"/>
          <cell r="R1698">
            <v>3.26</v>
          </cell>
          <cell r="S1698"/>
          <cell r="T1698"/>
          <cell r="U1698"/>
          <cell r="V1698">
            <v>15</v>
          </cell>
          <cell r="W1698"/>
          <cell r="X1698" t="str">
            <v>LIVALTEX</v>
          </cell>
          <cell r="Y1698" t="str">
            <v>LIVALTEX 07-OCT</v>
          </cell>
          <cell r="Z1698" t="str">
            <v>ROSE' MAIL 11/10/17</v>
          </cell>
          <cell r="AA1698"/>
          <cell r="AB1698">
            <v>43019</v>
          </cell>
          <cell r="AC1698">
            <v>3104</v>
          </cell>
        </row>
        <row r="1699">
          <cell r="B1699">
            <v>3092</v>
          </cell>
          <cell r="C1699" t="str">
            <v>NP-573</v>
          </cell>
          <cell r="D1699"/>
          <cell r="E1699"/>
          <cell r="F1699" t="str">
            <v>R/N 80/20</v>
          </cell>
          <cell r="G1699" t="str">
            <v>20% NYLON 80% RAYON</v>
          </cell>
          <cell r="H1699" t="str">
            <v>56/57</v>
          </cell>
          <cell r="I1699">
            <v>112</v>
          </cell>
          <cell r="J1699">
            <v>2.0699999999999998</v>
          </cell>
          <cell r="K1699"/>
          <cell r="L1699">
            <v>2.12</v>
          </cell>
          <cell r="M1699"/>
          <cell r="N1699">
            <v>2.12</v>
          </cell>
          <cell r="O1699"/>
          <cell r="P1699"/>
          <cell r="Q1699"/>
          <cell r="R1699">
            <v>2.65</v>
          </cell>
          <cell r="S1699"/>
          <cell r="T1699"/>
          <cell r="U1699"/>
          <cell r="V1699">
            <v>15</v>
          </cell>
          <cell r="W1699"/>
          <cell r="X1699" t="str">
            <v>LIVALTEX</v>
          </cell>
          <cell r="Y1699" t="str">
            <v>LIVALTEX 07-OCT</v>
          </cell>
          <cell r="Z1699" t="str">
            <v>ROSE' MAIL 11/10/17</v>
          </cell>
          <cell r="AA1699"/>
          <cell r="AB1699">
            <v>43019</v>
          </cell>
          <cell r="AC1699">
            <v>3092</v>
          </cell>
        </row>
        <row r="1700">
          <cell r="B1700">
            <v>3089</v>
          </cell>
          <cell r="C1700" t="str">
            <v>NP-577</v>
          </cell>
          <cell r="D1700"/>
          <cell r="E1700"/>
          <cell r="F1700" t="str">
            <v>R/N 80/20</v>
          </cell>
          <cell r="G1700" t="str">
            <v>20% NYLON 80% RAYON</v>
          </cell>
          <cell r="H1700" t="str">
            <v>56/57</v>
          </cell>
          <cell r="I1700">
            <v>133</v>
          </cell>
          <cell r="J1700">
            <v>2.08</v>
          </cell>
          <cell r="K1700"/>
          <cell r="L1700">
            <v>2.13</v>
          </cell>
          <cell r="M1700"/>
          <cell r="N1700">
            <v>2.13</v>
          </cell>
          <cell r="O1700"/>
          <cell r="P1700"/>
          <cell r="Q1700"/>
          <cell r="R1700">
            <v>2.66</v>
          </cell>
          <cell r="S1700"/>
          <cell r="T1700"/>
          <cell r="U1700"/>
          <cell r="V1700">
            <v>15</v>
          </cell>
          <cell r="W1700"/>
          <cell r="X1700" t="str">
            <v>LIVALTEX</v>
          </cell>
          <cell r="Y1700" t="str">
            <v>LIVALTEX 07-OCT</v>
          </cell>
          <cell r="Z1700" t="str">
            <v>ROSE' MAIL 11/10/17</v>
          </cell>
          <cell r="AA1700"/>
          <cell r="AB1700">
            <v>43019</v>
          </cell>
          <cell r="AC1700">
            <v>3089</v>
          </cell>
        </row>
        <row r="1701">
          <cell r="B1701">
            <v>3084</v>
          </cell>
          <cell r="C1701" t="str">
            <v>NP-575</v>
          </cell>
          <cell r="D1701"/>
          <cell r="E1701"/>
          <cell r="F1701" t="str">
            <v>R/N 80/20</v>
          </cell>
          <cell r="G1701" t="str">
            <v>20% NYLON 80% RAYON</v>
          </cell>
          <cell r="H1701" t="str">
            <v>56/57</v>
          </cell>
          <cell r="I1701">
            <v>91</v>
          </cell>
          <cell r="J1701">
            <v>2.0699999999999998</v>
          </cell>
          <cell r="K1701"/>
          <cell r="L1701">
            <v>2.12</v>
          </cell>
          <cell r="M1701"/>
          <cell r="N1701">
            <v>2.12</v>
          </cell>
          <cell r="O1701"/>
          <cell r="P1701"/>
          <cell r="Q1701"/>
          <cell r="R1701">
            <v>2.65</v>
          </cell>
          <cell r="S1701"/>
          <cell r="T1701"/>
          <cell r="U1701"/>
          <cell r="V1701">
            <v>15</v>
          </cell>
          <cell r="W1701"/>
          <cell r="X1701" t="str">
            <v>LIVALTEX</v>
          </cell>
          <cell r="Y1701" t="str">
            <v>LIVALTEX 07-OCT</v>
          </cell>
          <cell r="Z1701" t="str">
            <v>ROSE' MAIL 11/10/17</v>
          </cell>
          <cell r="AA1701"/>
          <cell r="AB1701">
            <v>43019</v>
          </cell>
          <cell r="AC1701">
            <v>3084</v>
          </cell>
        </row>
        <row r="1702">
          <cell r="B1702">
            <v>3082</v>
          </cell>
          <cell r="C1702" t="str">
            <v>T-2061</v>
          </cell>
          <cell r="D1702" t="str">
            <v>POLY SATEEN</v>
          </cell>
          <cell r="E1702"/>
          <cell r="F1702" t="str">
            <v>T100%</v>
          </cell>
          <cell r="G1702" t="str">
            <v>100% POLYESTER</v>
          </cell>
          <cell r="H1702" t="str">
            <v>57/58</v>
          </cell>
          <cell r="I1702">
            <v>104</v>
          </cell>
          <cell r="J1702">
            <v>2.08</v>
          </cell>
          <cell r="K1702"/>
          <cell r="L1702">
            <v>2.13</v>
          </cell>
          <cell r="M1702"/>
          <cell r="N1702">
            <v>2.13</v>
          </cell>
          <cell r="O1702"/>
          <cell r="P1702"/>
          <cell r="Q1702"/>
          <cell r="R1702">
            <v>2.5499999999999998</v>
          </cell>
          <cell r="S1702"/>
          <cell r="T1702"/>
          <cell r="U1702"/>
          <cell r="V1702">
            <v>15</v>
          </cell>
          <cell r="W1702"/>
          <cell r="X1702" t="str">
            <v>LIVALTEX</v>
          </cell>
          <cell r="Y1702">
            <v>1010</v>
          </cell>
          <cell r="Z1702" t="str">
            <v>ROSE' MAIL 11/10/17</v>
          </cell>
          <cell r="AA1702"/>
          <cell r="AB1702">
            <v>43019</v>
          </cell>
          <cell r="AC1702">
            <v>3082</v>
          </cell>
        </row>
        <row r="1703">
          <cell r="B1703">
            <v>3081</v>
          </cell>
          <cell r="C1703" t="str">
            <v>K-2935</v>
          </cell>
          <cell r="D1703"/>
          <cell r="E1703"/>
          <cell r="F1703" t="str">
            <v>R/S 95/5</v>
          </cell>
          <cell r="G1703" t="str">
            <v>95% RAYON 5% SPAN</v>
          </cell>
          <cell r="H1703" t="str">
            <v>57/58</v>
          </cell>
          <cell r="I1703">
            <v>150</v>
          </cell>
          <cell r="J1703">
            <v>2.4</v>
          </cell>
          <cell r="K1703"/>
          <cell r="L1703">
            <v>2.4500000000000002</v>
          </cell>
          <cell r="M1703"/>
          <cell r="N1703">
            <v>2.4500000000000002</v>
          </cell>
          <cell r="O1703"/>
          <cell r="P1703"/>
          <cell r="Q1703"/>
          <cell r="R1703">
            <v>3</v>
          </cell>
          <cell r="S1703"/>
          <cell r="T1703"/>
          <cell r="U1703"/>
          <cell r="V1703">
            <v>15</v>
          </cell>
          <cell r="W1703"/>
          <cell r="X1703" t="str">
            <v>LIVALTEX</v>
          </cell>
          <cell r="Y1703" t="str">
            <v>LIVALTEX 07-OCT</v>
          </cell>
          <cell r="Z1703" t="str">
            <v>ROSE' MAIL 11/10/17</v>
          </cell>
          <cell r="AA1703"/>
          <cell r="AB1703">
            <v>43019</v>
          </cell>
          <cell r="AC1703">
            <v>3081</v>
          </cell>
        </row>
        <row r="1704">
          <cell r="B1704">
            <v>2984</v>
          </cell>
          <cell r="C1704" t="str">
            <v>K-2682A</v>
          </cell>
          <cell r="D1704"/>
          <cell r="E1704"/>
          <cell r="F1704" t="str">
            <v>T/S 95/5</v>
          </cell>
          <cell r="G1704" t="str">
            <v>95% POLYESTER 5% SPANDEX</v>
          </cell>
          <cell r="H1704" t="str">
            <v>56/57</v>
          </cell>
          <cell r="I1704">
            <v>165</v>
          </cell>
          <cell r="J1704"/>
          <cell r="K1704">
            <v>1.81</v>
          </cell>
          <cell r="L1704"/>
          <cell r="M1704">
            <v>1.86</v>
          </cell>
          <cell r="N1704"/>
          <cell r="O1704">
            <v>1.86</v>
          </cell>
          <cell r="P1704"/>
          <cell r="Q1704"/>
          <cell r="R1704"/>
          <cell r="S1704">
            <v>2.36</v>
          </cell>
          <cell r="T1704"/>
          <cell r="U1704"/>
          <cell r="V1704">
            <v>15</v>
          </cell>
          <cell r="W1704"/>
          <cell r="X1704" t="str">
            <v>LIVALTEX</v>
          </cell>
          <cell r="Y1704" t="str">
            <v>LIVALTEX 07-OCT</v>
          </cell>
          <cell r="Z1704" t="str">
            <v>ROSE' MAIL 11/10/17</v>
          </cell>
          <cell r="AA1704"/>
          <cell r="AB1704">
            <v>43019</v>
          </cell>
          <cell r="AC1704">
            <v>2984</v>
          </cell>
        </row>
        <row r="1705">
          <cell r="B1705">
            <v>2972</v>
          </cell>
          <cell r="C1705" t="str">
            <v>LX537</v>
          </cell>
          <cell r="D1705" t="str">
            <v>SATEEN (PAPER)</v>
          </cell>
          <cell r="E1705"/>
          <cell r="F1705" t="str">
            <v>T100%</v>
          </cell>
          <cell r="G1705" t="str">
            <v>100% POLYESTER</v>
          </cell>
          <cell r="H1705" t="str">
            <v>57/58</v>
          </cell>
          <cell r="I1705">
            <v>100</v>
          </cell>
          <cell r="J1705">
            <v>1.6</v>
          </cell>
          <cell r="K1705">
            <v>1.68</v>
          </cell>
          <cell r="L1705">
            <v>1.64</v>
          </cell>
          <cell r="M1705">
            <v>1.73</v>
          </cell>
          <cell r="N1705">
            <v>1.7</v>
          </cell>
          <cell r="O1705">
            <v>1.8</v>
          </cell>
          <cell r="P1705"/>
          <cell r="Q1705"/>
          <cell r="R1705">
            <v>1.82</v>
          </cell>
          <cell r="S1705">
            <v>1.93</v>
          </cell>
          <cell r="T1705"/>
          <cell r="U1705"/>
          <cell r="V1705">
            <v>15</v>
          </cell>
          <cell r="W1705"/>
          <cell r="X1705" t="str">
            <v>TINA</v>
          </cell>
          <cell r="Y1705" t="str">
            <v>TINA 10-OCT</v>
          </cell>
          <cell r="Z1705" t="str">
            <v>TINA' MAIL 11/10/17</v>
          </cell>
          <cell r="AA1705"/>
          <cell r="AB1705">
            <v>43019</v>
          </cell>
          <cell r="AC1705">
            <v>2972</v>
          </cell>
        </row>
        <row r="1706">
          <cell r="B1706">
            <v>2970</v>
          </cell>
          <cell r="C1706" t="str">
            <v>LX526</v>
          </cell>
          <cell r="D1706" t="str">
            <v>JACQUARD - DOBBY - NEW TEXTURE</v>
          </cell>
          <cell r="E1706"/>
          <cell r="F1706" t="str">
            <v>T100%</v>
          </cell>
          <cell r="G1706" t="str">
            <v>100% POLYESTER</v>
          </cell>
          <cell r="H1706" t="str">
            <v>57/58</v>
          </cell>
          <cell r="I1706">
            <v>215</v>
          </cell>
          <cell r="J1706">
            <v>2.95</v>
          </cell>
          <cell r="K1706">
            <v>3.05</v>
          </cell>
          <cell r="L1706">
            <v>2.98</v>
          </cell>
          <cell r="M1706">
            <v>3.1</v>
          </cell>
          <cell r="N1706">
            <v>3.05</v>
          </cell>
          <cell r="O1706">
            <v>3.18</v>
          </cell>
          <cell r="P1706"/>
          <cell r="Q1706"/>
          <cell r="R1706">
            <v>3.18</v>
          </cell>
          <cell r="S1706">
            <v>3.38</v>
          </cell>
          <cell r="T1706"/>
          <cell r="U1706"/>
          <cell r="V1706">
            <v>15</v>
          </cell>
          <cell r="W1706"/>
          <cell r="X1706" t="str">
            <v>TINA</v>
          </cell>
          <cell r="Y1706" t="str">
            <v>TINA 07-OCT</v>
          </cell>
          <cell r="Z1706" t="str">
            <v>TINA ' MAIL 11/10/17</v>
          </cell>
          <cell r="AA1706"/>
          <cell r="AB1706">
            <v>43019</v>
          </cell>
          <cell r="AC1706">
            <v>2970</v>
          </cell>
        </row>
        <row r="1707">
          <cell r="B1707">
            <v>2958</v>
          </cell>
          <cell r="C1707" t="str">
            <v>TCPJ-121</v>
          </cell>
          <cell r="D1707"/>
          <cell r="E1707"/>
          <cell r="F1707" t="str">
            <v>T/C 75/25</v>
          </cell>
          <cell r="G1707" t="str">
            <v>75% POLYESTER 25% COTTON</v>
          </cell>
          <cell r="H1707" t="str">
            <v>57/58</v>
          </cell>
          <cell r="I1707">
            <v>155</v>
          </cell>
          <cell r="J1707">
            <v>3.8</v>
          </cell>
          <cell r="K1707"/>
          <cell r="L1707">
            <v>3.85</v>
          </cell>
          <cell r="M1707"/>
          <cell r="N1707">
            <v>3.85</v>
          </cell>
          <cell r="O1707"/>
          <cell r="P1707"/>
          <cell r="Q1707"/>
          <cell r="R1707">
            <v>4.3499999999999996</v>
          </cell>
          <cell r="S1707"/>
          <cell r="T1707"/>
          <cell r="U1707"/>
          <cell r="V1707">
            <v>15</v>
          </cell>
          <cell r="W1707"/>
          <cell r="X1707" t="str">
            <v>LIVALTEX</v>
          </cell>
          <cell r="Y1707" t="str">
            <v>LIVALTEX 07-OCT</v>
          </cell>
          <cell r="Z1707" t="str">
            <v>ROSE' MAIL 11/10/17</v>
          </cell>
          <cell r="AA1707"/>
          <cell r="AB1707">
            <v>43019</v>
          </cell>
          <cell r="AC1707">
            <v>2958</v>
          </cell>
        </row>
        <row r="1708">
          <cell r="B1708">
            <v>2953</v>
          </cell>
          <cell r="C1708" t="str">
            <v>SPSJ-028A/B</v>
          </cell>
          <cell r="D1708"/>
          <cell r="E1708"/>
          <cell r="F1708" t="str">
            <v>T/R/S 60/35/5</v>
          </cell>
          <cell r="G1708" t="str">
            <v>T/R/SPX 60/35/5</v>
          </cell>
          <cell r="H1708" t="str">
            <v>56/57</v>
          </cell>
          <cell r="I1708">
            <v>248</v>
          </cell>
          <cell r="J1708">
            <v>3.43</v>
          </cell>
          <cell r="K1708"/>
          <cell r="L1708">
            <v>3.48</v>
          </cell>
          <cell r="M1708"/>
          <cell r="N1708">
            <v>3.48</v>
          </cell>
          <cell r="O1708"/>
          <cell r="P1708"/>
          <cell r="Q1708"/>
          <cell r="R1708">
            <v>4.03</v>
          </cell>
          <cell r="S1708"/>
          <cell r="T1708"/>
          <cell r="U1708"/>
          <cell r="V1708">
            <v>15</v>
          </cell>
          <cell r="W1708"/>
          <cell r="X1708" t="str">
            <v>LIVALTEX</v>
          </cell>
          <cell r="Y1708" t="str">
            <v>LIVALTEX 07-OCT</v>
          </cell>
          <cell r="Z1708" t="str">
            <v>ROSE' MAIL 11/10/17</v>
          </cell>
          <cell r="AA1708"/>
          <cell r="AB1708">
            <v>43019</v>
          </cell>
          <cell r="AC1708">
            <v>2953</v>
          </cell>
        </row>
        <row r="1709">
          <cell r="B1709">
            <v>2947</v>
          </cell>
          <cell r="C1709" t="str">
            <v>KB-301S</v>
          </cell>
          <cell r="D1709" t="str">
            <v>FACE PU</v>
          </cell>
          <cell r="E1709"/>
          <cell r="F1709" t="str">
            <v>T100% FACE PU</v>
          </cell>
          <cell r="G1709" t="str">
            <v>100% POLYESTER (FACE PU)</v>
          </cell>
          <cell r="H1709" t="str">
            <v>54/55</v>
          </cell>
          <cell r="I1709">
            <v>270</v>
          </cell>
          <cell r="J1709">
            <v>3.03</v>
          </cell>
          <cell r="K1709"/>
          <cell r="L1709">
            <v>3.07</v>
          </cell>
          <cell r="M1709"/>
          <cell r="N1709">
            <v>3.07</v>
          </cell>
          <cell r="O1709"/>
          <cell r="P1709"/>
          <cell r="Q1709"/>
          <cell r="R1709">
            <v>3.45</v>
          </cell>
          <cell r="S1709"/>
          <cell r="T1709"/>
          <cell r="U1709"/>
          <cell r="V1709">
            <v>15</v>
          </cell>
          <cell r="W1709"/>
          <cell r="X1709" t="str">
            <v>LIVALTEX</v>
          </cell>
          <cell r="Y1709" t="str">
            <v>LIVALTEX 07-OCT</v>
          </cell>
          <cell r="Z1709" t="str">
            <v>ROSE' MAIL 11/10/17</v>
          </cell>
          <cell r="AA1709"/>
          <cell r="AB1709">
            <v>43019</v>
          </cell>
          <cell r="AC1709">
            <v>2947</v>
          </cell>
        </row>
        <row r="1710">
          <cell r="B1710">
            <v>2946</v>
          </cell>
          <cell r="C1710" t="str">
            <v>KB-301G</v>
          </cell>
          <cell r="D1710" t="str">
            <v>FACE PU</v>
          </cell>
          <cell r="E1710"/>
          <cell r="F1710" t="str">
            <v>T100% FACE PU</v>
          </cell>
          <cell r="G1710" t="str">
            <v>100% POLYESTER (FACE PU)</v>
          </cell>
          <cell r="H1710" t="str">
            <v>54/55</v>
          </cell>
          <cell r="I1710">
            <v>270</v>
          </cell>
          <cell r="J1710">
            <v>3.03</v>
          </cell>
          <cell r="K1710"/>
          <cell r="L1710">
            <v>3.07</v>
          </cell>
          <cell r="M1710"/>
          <cell r="N1710">
            <v>3.07</v>
          </cell>
          <cell r="O1710"/>
          <cell r="P1710"/>
          <cell r="Q1710"/>
          <cell r="R1710">
            <v>3.45</v>
          </cell>
          <cell r="S1710"/>
          <cell r="T1710"/>
          <cell r="U1710"/>
          <cell r="V1710">
            <v>15</v>
          </cell>
          <cell r="W1710"/>
          <cell r="X1710" t="str">
            <v>LIVALTEX</v>
          </cell>
          <cell r="Y1710" t="str">
            <v>LIVALTEX 07-OCT</v>
          </cell>
          <cell r="Z1710" t="str">
            <v>ROSE' MAIL 11/10/17</v>
          </cell>
          <cell r="AA1710"/>
          <cell r="AB1710">
            <v>43019</v>
          </cell>
          <cell r="AC1710">
            <v>2946</v>
          </cell>
        </row>
        <row r="1711">
          <cell r="B1711">
            <v>2944</v>
          </cell>
          <cell r="C1711" t="str">
            <v>K-2882</v>
          </cell>
          <cell r="D1711" t="str">
            <v>FACE PU</v>
          </cell>
          <cell r="E1711"/>
          <cell r="F1711" t="str">
            <v>T100% FACE PU</v>
          </cell>
          <cell r="G1711" t="str">
            <v>100% POLYESTER (FACE PU)</v>
          </cell>
          <cell r="H1711" t="str">
            <v>57/58</v>
          </cell>
          <cell r="I1711">
            <v>305</v>
          </cell>
          <cell r="J1711">
            <v>3.05</v>
          </cell>
          <cell r="K1711"/>
          <cell r="L1711">
            <v>3.1</v>
          </cell>
          <cell r="M1711"/>
          <cell r="N1711">
            <v>3.1</v>
          </cell>
          <cell r="O1711"/>
          <cell r="P1711"/>
          <cell r="Q1711"/>
          <cell r="R1711">
            <v>3.5</v>
          </cell>
          <cell r="S1711"/>
          <cell r="T1711"/>
          <cell r="U1711"/>
          <cell r="V1711">
            <v>15</v>
          </cell>
          <cell r="W1711"/>
          <cell r="X1711" t="str">
            <v>LIVALTEX</v>
          </cell>
          <cell r="Y1711" t="str">
            <v>LIVALTEX 07-OCT</v>
          </cell>
          <cell r="Z1711" t="str">
            <v>ROSE' MAIL 11/10/17</v>
          </cell>
          <cell r="AA1711"/>
          <cell r="AB1711">
            <v>43019</v>
          </cell>
          <cell r="AC1711">
            <v>2944</v>
          </cell>
        </row>
        <row r="1712">
          <cell r="B1712">
            <v>2943</v>
          </cell>
          <cell r="C1712" t="str">
            <v>K-2875</v>
          </cell>
          <cell r="D1712"/>
          <cell r="E1712"/>
          <cell r="F1712" t="str">
            <v>T/S 92/8</v>
          </cell>
          <cell r="G1712" t="str">
            <v>92% POLYESTER 8% SPAN</v>
          </cell>
          <cell r="H1712" t="str">
            <v>150CM</v>
          </cell>
          <cell r="I1712">
            <v>320</v>
          </cell>
          <cell r="J1712">
            <v>3.15</v>
          </cell>
          <cell r="K1712"/>
          <cell r="L1712">
            <v>3.2</v>
          </cell>
          <cell r="M1712"/>
          <cell r="N1712">
            <v>3.2</v>
          </cell>
          <cell r="O1712"/>
          <cell r="P1712"/>
          <cell r="Q1712"/>
          <cell r="R1712">
            <v>3.7</v>
          </cell>
          <cell r="S1712"/>
          <cell r="T1712"/>
          <cell r="U1712"/>
          <cell r="V1712">
            <v>15</v>
          </cell>
          <cell r="W1712"/>
          <cell r="X1712" t="str">
            <v>LIVALTEX</v>
          </cell>
          <cell r="Y1712" t="str">
            <v>LIVALTEX 07-OCT</v>
          </cell>
          <cell r="Z1712" t="str">
            <v>ROSE' MAIL 11/10/17</v>
          </cell>
          <cell r="AA1712"/>
          <cell r="AB1712">
            <v>43019</v>
          </cell>
          <cell r="AC1712">
            <v>2943</v>
          </cell>
        </row>
        <row r="1713">
          <cell r="B1713">
            <v>2942</v>
          </cell>
          <cell r="C1713" t="str">
            <v>K-2872</v>
          </cell>
          <cell r="D1713"/>
          <cell r="E1713"/>
          <cell r="F1713" t="str">
            <v>T/S 92/8</v>
          </cell>
          <cell r="G1713" t="str">
            <v>92% POLYESTER 8% SPAN</v>
          </cell>
          <cell r="H1713" t="str">
            <v>150CM</v>
          </cell>
          <cell r="I1713">
            <v>320</v>
          </cell>
          <cell r="J1713">
            <v>3.15</v>
          </cell>
          <cell r="K1713"/>
          <cell r="L1713">
            <v>3.2</v>
          </cell>
          <cell r="M1713"/>
          <cell r="N1713">
            <v>3.2</v>
          </cell>
          <cell r="O1713"/>
          <cell r="P1713"/>
          <cell r="Q1713"/>
          <cell r="R1713">
            <v>3.7</v>
          </cell>
          <cell r="S1713"/>
          <cell r="T1713"/>
          <cell r="U1713"/>
          <cell r="V1713">
            <v>15</v>
          </cell>
          <cell r="W1713"/>
          <cell r="X1713" t="str">
            <v>LIVALTEX</v>
          </cell>
          <cell r="Y1713" t="str">
            <v>LIVALTEX 07-OCT</v>
          </cell>
          <cell r="Z1713" t="str">
            <v>ROSE' MAIL 11/10/17</v>
          </cell>
          <cell r="AA1713"/>
          <cell r="AB1713">
            <v>43019</v>
          </cell>
          <cell r="AC1713">
            <v>2942</v>
          </cell>
        </row>
        <row r="1714">
          <cell r="B1714">
            <v>2941</v>
          </cell>
          <cell r="C1714" t="str">
            <v>K-2767A</v>
          </cell>
          <cell r="D1714"/>
          <cell r="E1714"/>
          <cell r="F1714" t="str">
            <v>T 100%</v>
          </cell>
          <cell r="G1714" t="str">
            <v>100% POLYESTER</v>
          </cell>
          <cell r="H1714" t="str">
            <v>57/58</v>
          </cell>
          <cell r="I1714">
            <v>125</v>
          </cell>
          <cell r="J1714"/>
          <cell r="K1714">
            <v>1.95</v>
          </cell>
          <cell r="L1714"/>
          <cell r="M1714">
            <v>1.99</v>
          </cell>
          <cell r="N1714"/>
          <cell r="O1714">
            <v>1.99</v>
          </cell>
          <cell r="P1714"/>
          <cell r="Q1714"/>
          <cell r="R1714"/>
          <cell r="S1714">
            <v>2.39</v>
          </cell>
          <cell r="T1714"/>
          <cell r="U1714"/>
          <cell r="V1714">
            <v>15</v>
          </cell>
          <cell r="W1714"/>
          <cell r="X1714" t="str">
            <v>LIVALTEX</v>
          </cell>
          <cell r="Y1714" t="str">
            <v>LIVALTEX 07-OCT</v>
          </cell>
          <cell r="Z1714" t="str">
            <v>ROSE' MAIL 11/10/17</v>
          </cell>
          <cell r="AA1714"/>
          <cell r="AB1714">
            <v>43019</v>
          </cell>
          <cell r="AC1714">
            <v>2941</v>
          </cell>
        </row>
        <row r="1715">
          <cell r="B1715">
            <v>2940</v>
          </cell>
          <cell r="C1715" t="str">
            <v>K-2510</v>
          </cell>
          <cell r="D1715"/>
          <cell r="E1715"/>
          <cell r="F1715" t="str">
            <v>T 100%</v>
          </cell>
          <cell r="G1715" t="str">
            <v>100% POLYESTER</v>
          </cell>
          <cell r="H1715" t="str">
            <v>57/58</v>
          </cell>
          <cell r="I1715">
            <v>279</v>
          </cell>
          <cell r="J1715"/>
          <cell r="K1715">
            <v>4.7300000000000004</v>
          </cell>
          <cell r="L1715"/>
          <cell r="M1715">
            <v>4.78</v>
          </cell>
          <cell r="N1715"/>
          <cell r="O1715">
            <v>4.78</v>
          </cell>
          <cell r="P1715"/>
          <cell r="Q1715"/>
          <cell r="R1715"/>
          <cell r="S1715">
            <v>5.28</v>
          </cell>
          <cell r="T1715"/>
          <cell r="U1715"/>
          <cell r="V1715">
            <v>15</v>
          </cell>
          <cell r="W1715"/>
          <cell r="X1715" t="str">
            <v>LIVALTEX</v>
          </cell>
          <cell r="Y1715" t="str">
            <v>LIVALTEX 07-OCT</v>
          </cell>
          <cell r="Z1715" t="str">
            <v>ROSE' MAIL 11/10/17</v>
          </cell>
          <cell r="AA1715"/>
          <cell r="AB1715">
            <v>43019</v>
          </cell>
          <cell r="AC1715">
            <v>2940</v>
          </cell>
        </row>
        <row r="1716">
          <cell r="B1716">
            <v>2464</v>
          </cell>
          <cell r="C1716" t="str">
            <v>BG 3551</v>
          </cell>
          <cell r="D1716" t="str">
            <v>POLY SATEEN</v>
          </cell>
          <cell r="E1716"/>
          <cell r="F1716" t="str">
            <v>T100%</v>
          </cell>
          <cell r="G1716" t="str">
            <v>100% POLYESTER</v>
          </cell>
          <cell r="H1716" t="str">
            <v>57/58</v>
          </cell>
          <cell r="I1716">
            <v>118</v>
          </cell>
          <cell r="J1716"/>
          <cell r="K1716"/>
          <cell r="L1716"/>
          <cell r="M1716"/>
          <cell r="N1716"/>
          <cell r="O1716"/>
          <cell r="P1716"/>
          <cell r="Q1716"/>
          <cell r="R1716"/>
          <cell r="S1716"/>
          <cell r="T1716"/>
          <cell r="U1716"/>
          <cell r="V1716"/>
          <cell r="W1716"/>
          <cell r="X1716" t="str">
            <v>EDWIN</v>
          </cell>
          <cell r="Y1716"/>
          <cell r="Z1716"/>
          <cell r="AA1716"/>
          <cell r="AB1716"/>
          <cell r="AC1716"/>
        </row>
        <row r="1717">
          <cell r="B1717">
            <v>2264</v>
          </cell>
          <cell r="C1717" t="str">
            <v>BG 2745</v>
          </cell>
          <cell r="D1717" t="str">
            <v>POLY SATEEN</v>
          </cell>
          <cell r="E1717"/>
          <cell r="F1717" t="str">
            <v>T100%</v>
          </cell>
          <cell r="G1717" t="str">
            <v>100% POLYESTER</v>
          </cell>
          <cell r="H1717" t="str">
            <v>57/58</v>
          </cell>
          <cell r="I1717">
            <v>70</v>
          </cell>
          <cell r="J1717"/>
          <cell r="K1717"/>
          <cell r="L1717"/>
          <cell r="M1717"/>
          <cell r="N1717"/>
          <cell r="O1717"/>
          <cell r="P1717"/>
          <cell r="Q1717"/>
          <cell r="R1717"/>
          <cell r="S1717"/>
          <cell r="T1717"/>
          <cell r="U1717"/>
          <cell r="V1717"/>
          <cell r="W1717"/>
          <cell r="X1717" t="str">
            <v>EDWIN</v>
          </cell>
          <cell r="Y1717"/>
          <cell r="Z1717"/>
          <cell r="AA1717"/>
          <cell r="AB1717"/>
          <cell r="AC1717"/>
        </row>
        <row r="1718">
          <cell r="B1718">
            <v>2214</v>
          </cell>
          <cell r="C1718" t="str">
            <v>GLLXF052605</v>
          </cell>
          <cell r="D1718"/>
          <cell r="E1718"/>
          <cell r="F1718" t="str">
            <v>T/S 98/2</v>
          </cell>
          <cell r="G1718" t="str">
            <v>98% POLYESTER 2%SPANDEX</v>
          </cell>
          <cell r="H1718" t="str">
            <v>58/59</v>
          </cell>
          <cell r="I1718" t="str">
            <v>90-95</v>
          </cell>
          <cell r="J1718">
            <v>1.34</v>
          </cell>
          <cell r="K1718"/>
          <cell r="L1718">
            <v>1.35</v>
          </cell>
          <cell r="M1718"/>
          <cell r="N1718">
            <v>1.37</v>
          </cell>
          <cell r="O1718"/>
          <cell r="P1718"/>
          <cell r="Q1718"/>
          <cell r="R1718">
            <v>1.44</v>
          </cell>
          <cell r="S1718"/>
          <cell r="T1718"/>
          <cell r="U1718"/>
          <cell r="V1718">
            <v>15</v>
          </cell>
          <cell r="W1718"/>
          <cell r="X1718" t="str">
            <v>HOWARD</v>
          </cell>
          <cell r="Y1718" t="str">
            <v>HOWARD 10-OCT</v>
          </cell>
          <cell r="Z1718" t="str">
            <v>HOWARD MAIL 11/10/17</v>
          </cell>
          <cell r="AA1718"/>
          <cell r="AB1718">
            <v>43019</v>
          </cell>
          <cell r="AC1718">
            <v>2214</v>
          </cell>
        </row>
        <row r="1719">
          <cell r="B1719">
            <v>2163</v>
          </cell>
          <cell r="C1719" t="str">
            <v>UD-JT-251225</v>
          </cell>
          <cell r="D1719" t="str">
            <v>POLY SATEEN</v>
          </cell>
          <cell r="E1719"/>
          <cell r="F1719" t="str">
            <v>T100%</v>
          </cell>
          <cell r="G1719" t="str">
            <v>100% POLYESTER</v>
          </cell>
          <cell r="H1719" t="str">
            <v>57/58</v>
          </cell>
          <cell r="I1719">
            <v>73</v>
          </cell>
          <cell r="J1719"/>
          <cell r="K1719"/>
          <cell r="L1719"/>
          <cell r="M1719"/>
          <cell r="N1719"/>
          <cell r="O1719"/>
          <cell r="P1719"/>
          <cell r="Q1719"/>
          <cell r="R1719"/>
          <cell r="S1719"/>
          <cell r="T1719"/>
          <cell r="U1719"/>
          <cell r="V1719"/>
          <cell r="W1719"/>
          <cell r="X1719" t="str">
            <v>WANGHUA</v>
          </cell>
          <cell r="Y1719"/>
          <cell r="Z1719"/>
          <cell r="AA1719"/>
          <cell r="AB1719"/>
          <cell r="AC1719"/>
        </row>
        <row r="1720">
          <cell r="B1720">
            <v>2133</v>
          </cell>
          <cell r="C1720" t="str">
            <v>UD-JCN-151017</v>
          </cell>
          <cell r="D1720"/>
          <cell r="E1720"/>
          <cell r="F1720" t="str">
            <v>C/N 70/30</v>
          </cell>
          <cell r="G1720" t="str">
            <v>70% COTTON  30% NYLON</v>
          </cell>
          <cell r="H1720" t="str">
            <v>57/58</v>
          </cell>
          <cell r="I1720">
            <v>140</v>
          </cell>
          <cell r="J1720"/>
          <cell r="K1720"/>
          <cell r="L1720"/>
          <cell r="M1720"/>
          <cell r="N1720"/>
          <cell r="O1720"/>
          <cell r="P1720"/>
          <cell r="Q1720"/>
          <cell r="R1720"/>
          <cell r="S1720"/>
          <cell r="T1720"/>
          <cell r="U1720"/>
          <cell r="V1720"/>
          <cell r="W1720"/>
          <cell r="X1720" t="str">
            <v>WANG HUA</v>
          </cell>
          <cell r="Y1720"/>
          <cell r="Z1720"/>
          <cell r="AA1720"/>
          <cell r="AB1720"/>
          <cell r="AC1720"/>
        </row>
        <row r="1721">
          <cell r="B1721">
            <v>2128</v>
          </cell>
          <cell r="C1721" t="str">
            <v>UD-JCE-351102</v>
          </cell>
          <cell r="D1721"/>
          <cell r="E1721"/>
          <cell r="F1721" t="str">
            <v>C/S 97/3</v>
          </cell>
          <cell r="G1721" t="str">
            <v>97%  COTTON 3% SPANDEX</v>
          </cell>
          <cell r="H1721" t="str">
            <v>57/58</v>
          </cell>
          <cell r="I1721">
            <v>110</v>
          </cell>
          <cell r="J1721"/>
          <cell r="K1721"/>
          <cell r="L1721"/>
          <cell r="M1721"/>
          <cell r="N1721"/>
          <cell r="O1721"/>
          <cell r="P1721"/>
          <cell r="Q1721"/>
          <cell r="R1721"/>
          <cell r="S1721"/>
          <cell r="T1721"/>
          <cell r="U1721"/>
          <cell r="V1721"/>
          <cell r="W1721"/>
          <cell r="X1721" t="str">
            <v>WANG HUA</v>
          </cell>
          <cell r="Y1721"/>
          <cell r="Z1721"/>
          <cell r="AA1721"/>
          <cell r="AB1721"/>
          <cell r="AC1721"/>
        </row>
        <row r="1722">
          <cell r="B1722">
            <v>2114</v>
          </cell>
          <cell r="C1722" t="str">
            <v>UD-JCE-251266</v>
          </cell>
          <cell r="D1722"/>
          <cell r="E1722"/>
          <cell r="F1722" t="str">
            <v>C/S 97/3</v>
          </cell>
          <cell r="G1722" t="str">
            <v>97% COTTON 3% SPANDEX</v>
          </cell>
          <cell r="H1722" t="str">
            <v>49/50</v>
          </cell>
          <cell r="I1722">
            <v>92</v>
          </cell>
          <cell r="J1722"/>
          <cell r="K1722"/>
          <cell r="L1722"/>
          <cell r="M1722"/>
          <cell r="N1722"/>
          <cell r="O1722"/>
          <cell r="P1722"/>
          <cell r="Q1722"/>
          <cell r="R1722"/>
          <cell r="S1722"/>
          <cell r="T1722"/>
          <cell r="U1722"/>
          <cell r="V1722"/>
          <cell r="W1722"/>
          <cell r="X1722" t="str">
            <v>WANG HUA</v>
          </cell>
          <cell r="Y1722"/>
          <cell r="Z1722"/>
          <cell r="AA1722"/>
          <cell r="AB1722"/>
          <cell r="AC1722"/>
        </row>
        <row r="1723">
          <cell r="B1723">
            <v>2112</v>
          </cell>
          <cell r="C1723" t="str">
            <v>UD-JCE-151156</v>
          </cell>
          <cell r="D1723"/>
          <cell r="E1723"/>
          <cell r="F1723" t="str">
            <v>C/S 97/3</v>
          </cell>
          <cell r="G1723" t="str">
            <v>97% COTTON 3% SPANDEX</v>
          </cell>
          <cell r="H1723" t="str">
            <v>57/58</v>
          </cell>
          <cell r="I1723">
            <v>105</v>
          </cell>
          <cell r="J1723"/>
          <cell r="K1723"/>
          <cell r="L1723"/>
          <cell r="M1723"/>
          <cell r="N1723"/>
          <cell r="O1723"/>
          <cell r="P1723"/>
          <cell r="Q1723"/>
          <cell r="R1723"/>
          <cell r="S1723"/>
          <cell r="T1723"/>
          <cell r="U1723"/>
          <cell r="V1723"/>
          <cell r="W1723"/>
          <cell r="X1723" t="str">
            <v>WANG HUA</v>
          </cell>
          <cell r="Y1723"/>
          <cell r="Z1723"/>
          <cell r="AA1723"/>
          <cell r="AB1723"/>
          <cell r="AC1723"/>
        </row>
        <row r="1724">
          <cell r="B1724">
            <v>1935</v>
          </cell>
          <cell r="C1724" t="str">
            <v>GLLRM061101</v>
          </cell>
          <cell r="D1724" t="str">
            <v>SINGLE JERSEY</v>
          </cell>
          <cell r="E1724"/>
          <cell r="F1724" t="str">
            <v>R100%</v>
          </cell>
          <cell r="G1724" t="str">
            <v>100% RAYON</v>
          </cell>
          <cell r="H1724" t="str">
            <v>160CM</v>
          </cell>
          <cell r="I1724">
            <v>145</v>
          </cell>
          <cell r="J1724">
            <v>1.25</v>
          </cell>
          <cell r="K1724"/>
          <cell r="L1724">
            <v>1.26</v>
          </cell>
          <cell r="M1724"/>
          <cell r="N1724">
            <v>1.27</v>
          </cell>
          <cell r="O1724"/>
          <cell r="P1724"/>
          <cell r="Q1724"/>
          <cell r="R1724">
            <v>1.35</v>
          </cell>
          <cell r="S1724"/>
          <cell r="T1724"/>
          <cell r="U1724"/>
          <cell r="V1724"/>
          <cell r="W1724"/>
          <cell r="X1724" t="str">
            <v>HOWARD</v>
          </cell>
          <cell r="Y1724" t="str">
            <v>HOWARD 06-OCT</v>
          </cell>
          <cell r="Z1724" t="str">
            <v>HOWARD ' MAIL 11/10/17</v>
          </cell>
          <cell r="AA1724"/>
          <cell r="AB1724">
            <v>43019</v>
          </cell>
          <cell r="AC1724">
            <v>1935</v>
          </cell>
        </row>
        <row r="1725">
          <cell r="B1725">
            <v>1823</v>
          </cell>
          <cell r="C1725" t="str">
            <v>GLLFC64</v>
          </cell>
          <cell r="D1725"/>
          <cell r="E1725"/>
          <cell r="F1725" t="str">
            <v>C/S 97/3</v>
          </cell>
          <cell r="G1725" t="str">
            <v>97% COTTON 3% SPANDEX</v>
          </cell>
          <cell r="H1725" t="str">
            <v>49/50</v>
          </cell>
          <cell r="I1725" t="str">
            <v>105-110</v>
          </cell>
          <cell r="J1725">
            <v>1.65</v>
          </cell>
          <cell r="K1725"/>
          <cell r="L1725">
            <v>1.66</v>
          </cell>
          <cell r="M1725"/>
          <cell r="N1725">
            <v>1.68</v>
          </cell>
          <cell r="O1725"/>
          <cell r="P1725"/>
          <cell r="Q1725"/>
          <cell r="R1725">
            <v>1.75</v>
          </cell>
          <cell r="S1725"/>
          <cell r="T1725"/>
          <cell r="U1725"/>
          <cell r="V1725">
            <v>15</v>
          </cell>
          <cell r="W1725" t="str">
            <v>Pls note, GLLFC64, normally is 105-110gsm, after long time storage, then will become 120gsm.</v>
          </cell>
          <cell r="X1725" t="str">
            <v>HOWARD</v>
          </cell>
          <cell r="Y1725" t="str">
            <v>HOWARD 10-OCT</v>
          </cell>
          <cell r="Z1725" t="str">
            <v>HOWARD MAIL 11/10/17</v>
          </cell>
          <cell r="AA1725"/>
          <cell r="AB1725">
            <v>43019</v>
          </cell>
          <cell r="AC1725">
            <v>1823</v>
          </cell>
        </row>
        <row r="1726">
          <cell r="B1726">
            <v>593</v>
          </cell>
          <cell r="C1726" t="str">
            <v>TS-119</v>
          </cell>
          <cell r="D1726" t="str">
            <v>POLY SATEEN</v>
          </cell>
          <cell r="E1726"/>
          <cell r="F1726" t="str">
            <v>T100%</v>
          </cell>
          <cell r="G1726" t="str">
            <v>100% POLYESTER</v>
          </cell>
          <cell r="H1726" t="str">
            <v>57/58</v>
          </cell>
          <cell r="I1726">
            <v>84</v>
          </cell>
          <cell r="J1726"/>
          <cell r="K1726"/>
          <cell r="L1726"/>
          <cell r="M1726"/>
          <cell r="N1726"/>
          <cell r="O1726"/>
          <cell r="P1726"/>
          <cell r="Q1726"/>
          <cell r="R1726"/>
          <cell r="S1726"/>
          <cell r="T1726"/>
          <cell r="U1726"/>
          <cell r="V1726"/>
          <cell r="W1726"/>
          <cell r="X1726" t="str">
            <v>GAVIN</v>
          </cell>
          <cell r="Y1726"/>
          <cell r="Z1726"/>
          <cell r="AA1726"/>
          <cell r="AB1726"/>
          <cell r="AC1726"/>
        </row>
        <row r="1727">
          <cell r="B1727"/>
          <cell r="C1727" t="str">
            <v>WK-25766</v>
          </cell>
          <cell r="D1727"/>
          <cell r="E1727"/>
          <cell r="F1727" t="str">
            <v>T/S 90/10</v>
          </cell>
          <cell r="G1727" t="str">
            <v>90% POLYESTER 10% SPANDEX</v>
          </cell>
          <cell r="H1727" t="str">
            <v>162CM</v>
          </cell>
          <cell r="I1727">
            <v>195</v>
          </cell>
          <cell r="J1727"/>
          <cell r="K1727">
            <v>2</v>
          </cell>
          <cell r="L1727"/>
          <cell r="M1727">
            <v>2</v>
          </cell>
          <cell r="N1727"/>
          <cell r="O1727">
            <v>2.1</v>
          </cell>
          <cell r="P1727"/>
          <cell r="Q1727"/>
          <cell r="R1727"/>
          <cell r="S1727">
            <v>2.2000000000000002</v>
          </cell>
          <cell r="T1727"/>
          <cell r="U1727"/>
          <cell r="V1727"/>
          <cell r="W1727"/>
          <cell r="X1727" t="str">
            <v>PANI</v>
          </cell>
          <cell r="Y1727" t="str">
            <v>PANI 06-OCT</v>
          </cell>
          <cell r="Z1727" t="str">
            <v>AMY 'S MAIL 7/10/17</v>
          </cell>
          <cell r="AA1727"/>
          <cell r="AB1727">
            <v>43019</v>
          </cell>
          <cell r="AC1727"/>
        </row>
        <row r="1728">
          <cell r="B1728"/>
          <cell r="C1728" t="str">
            <v>KPK-21475</v>
          </cell>
          <cell r="D1728"/>
          <cell r="E1728"/>
          <cell r="F1728" t="str">
            <v>T/S 95/5</v>
          </cell>
          <cell r="G1728" t="str">
            <v>95% POLYESTER 5% SPANDEX</v>
          </cell>
          <cell r="H1728" t="str">
            <v>57/58</v>
          </cell>
          <cell r="I1728">
            <v>220</v>
          </cell>
          <cell r="J1728"/>
          <cell r="K1728">
            <v>2</v>
          </cell>
          <cell r="L1728"/>
          <cell r="M1728">
            <v>2</v>
          </cell>
          <cell r="N1728"/>
          <cell r="O1728">
            <v>2.1</v>
          </cell>
          <cell r="P1728"/>
          <cell r="Q1728"/>
          <cell r="R1728"/>
          <cell r="S1728">
            <v>2.2000000000000002</v>
          </cell>
          <cell r="T1728"/>
          <cell r="U1728"/>
          <cell r="V1728"/>
          <cell r="W1728"/>
          <cell r="X1728" t="str">
            <v>PANI</v>
          </cell>
          <cell r="Y1728" t="str">
            <v>PANI 06-OCT</v>
          </cell>
          <cell r="Z1728" t="str">
            <v>AMY 'S MAIL 7/10/17</v>
          </cell>
          <cell r="AA1728"/>
          <cell r="AB1728">
            <v>43019</v>
          </cell>
          <cell r="AC1728"/>
        </row>
        <row r="1729">
          <cell r="B1729"/>
          <cell r="C1729" t="str">
            <v>KPK-22688</v>
          </cell>
          <cell r="D1729"/>
          <cell r="E1729"/>
          <cell r="F1729" t="str">
            <v>T/R/S 82/15/3</v>
          </cell>
          <cell r="G1729" t="str">
            <v>82% POLYESTER 15% RAYON 3% SPANDEX</v>
          </cell>
          <cell r="H1729" t="str">
            <v>150CM</v>
          </cell>
          <cell r="I1729">
            <v>240</v>
          </cell>
          <cell r="J1729"/>
          <cell r="K1729">
            <v>2</v>
          </cell>
          <cell r="L1729"/>
          <cell r="M1729">
            <v>2</v>
          </cell>
          <cell r="N1729"/>
          <cell r="O1729">
            <v>2.1</v>
          </cell>
          <cell r="P1729"/>
          <cell r="Q1729"/>
          <cell r="R1729"/>
          <cell r="S1729">
            <v>2.2000000000000002</v>
          </cell>
          <cell r="T1729"/>
          <cell r="U1729"/>
          <cell r="V1729"/>
          <cell r="W1729"/>
          <cell r="X1729" t="str">
            <v>PANI</v>
          </cell>
          <cell r="Y1729" t="str">
            <v>PANI 06-OCT</v>
          </cell>
          <cell r="Z1729" t="str">
            <v>AMY 'S MAIL 7/10/17</v>
          </cell>
          <cell r="AA1729"/>
          <cell r="AB1729">
            <v>43019</v>
          </cell>
          <cell r="AC1729"/>
        </row>
        <row r="1730">
          <cell r="B1730"/>
          <cell r="C1730" t="str">
            <v>KPK-22665</v>
          </cell>
          <cell r="D1730"/>
          <cell r="E1730"/>
          <cell r="F1730" t="str">
            <v>T/R/S 82/15/3</v>
          </cell>
          <cell r="G1730" t="str">
            <v>82% POLYESTER 15% RAYON 3% SPANDEX</v>
          </cell>
          <cell r="H1730" t="str">
            <v>144CM</v>
          </cell>
          <cell r="I1730">
            <v>240</v>
          </cell>
          <cell r="J1730"/>
          <cell r="K1730">
            <v>2</v>
          </cell>
          <cell r="L1730"/>
          <cell r="M1730">
            <v>2</v>
          </cell>
          <cell r="N1730"/>
          <cell r="O1730">
            <v>2.1</v>
          </cell>
          <cell r="P1730"/>
          <cell r="Q1730"/>
          <cell r="R1730"/>
          <cell r="S1730">
            <v>2.2000000000000002</v>
          </cell>
          <cell r="T1730"/>
          <cell r="U1730"/>
          <cell r="V1730"/>
          <cell r="W1730"/>
          <cell r="X1730" t="str">
            <v>PANI</v>
          </cell>
          <cell r="Y1730" t="str">
            <v>PANI 06-OCT</v>
          </cell>
          <cell r="Z1730" t="str">
            <v>AMY 'S MAIL 7/10/17</v>
          </cell>
          <cell r="AA1730"/>
          <cell r="AB1730">
            <v>43019</v>
          </cell>
          <cell r="AC1730"/>
        </row>
        <row r="1731">
          <cell r="B1731"/>
          <cell r="C1731" t="str">
            <v>KPK-22611</v>
          </cell>
          <cell r="D1731"/>
          <cell r="E1731"/>
          <cell r="F1731" t="str">
            <v>T/R/S 82/15/3</v>
          </cell>
          <cell r="G1731" t="str">
            <v>82% POLYESTER 15% RAYON 3% SPANDEX</v>
          </cell>
          <cell r="H1731" t="str">
            <v>58/60</v>
          </cell>
          <cell r="I1731">
            <v>230</v>
          </cell>
          <cell r="J1731"/>
          <cell r="K1731">
            <v>2</v>
          </cell>
          <cell r="L1731"/>
          <cell r="M1731">
            <v>2</v>
          </cell>
          <cell r="N1731"/>
          <cell r="O1731">
            <v>2.1</v>
          </cell>
          <cell r="P1731"/>
          <cell r="Q1731"/>
          <cell r="R1731"/>
          <cell r="S1731">
            <v>2.2000000000000002</v>
          </cell>
          <cell r="T1731"/>
          <cell r="U1731"/>
          <cell r="V1731"/>
          <cell r="W1731"/>
          <cell r="X1731" t="str">
            <v>PANI</v>
          </cell>
          <cell r="Y1731" t="str">
            <v>PANI 06-OCT</v>
          </cell>
          <cell r="Z1731" t="str">
            <v>AMY 'S MAIL 7/10/17</v>
          </cell>
          <cell r="AA1731"/>
          <cell r="AB1731">
            <v>43019</v>
          </cell>
          <cell r="AC1731"/>
        </row>
        <row r="1732">
          <cell r="B1732"/>
          <cell r="C1732" t="str">
            <v>KPK-22396</v>
          </cell>
          <cell r="D1732"/>
          <cell r="E1732"/>
          <cell r="F1732" t="str">
            <v>T/R/S 82/15/3</v>
          </cell>
          <cell r="G1732" t="str">
            <v>82% POLYESTER 15% RAYON 3% SPANDEX</v>
          </cell>
          <cell r="H1732" t="str">
            <v>58/60</v>
          </cell>
          <cell r="I1732">
            <v>240</v>
          </cell>
          <cell r="J1732"/>
          <cell r="K1732">
            <v>2</v>
          </cell>
          <cell r="L1732"/>
          <cell r="M1732">
            <v>2</v>
          </cell>
          <cell r="N1732"/>
          <cell r="O1732">
            <v>2.1</v>
          </cell>
          <cell r="P1732"/>
          <cell r="Q1732"/>
          <cell r="R1732"/>
          <cell r="S1732">
            <v>2.2000000000000002</v>
          </cell>
          <cell r="T1732"/>
          <cell r="U1732"/>
          <cell r="V1732"/>
          <cell r="W1732"/>
          <cell r="X1732" t="str">
            <v>PANI</v>
          </cell>
          <cell r="Y1732" t="str">
            <v>PANI 06-OCT</v>
          </cell>
          <cell r="Z1732" t="str">
            <v>AMY 'S MAIL 7/10/17</v>
          </cell>
          <cell r="AA1732"/>
          <cell r="AB1732">
            <v>43019</v>
          </cell>
          <cell r="AC1732"/>
        </row>
        <row r="1733">
          <cell r="B1733"/>
          <cell r="C1733" t="str">
            <v>KPK-22409</v>
          </cell>
          <cell r="D1733"/>
          <cell r="E1733"/>
          <cell r="F1733" t="str">
            <v>T/S 95/5</v>
          </cell>
          <cell r="G1733" t="str">
            <v>95% POLYESTER 5% SPANDEX</v>
          </cell>
          <cell r="H1733" t="str">
            <v>155CM</v>
          </cell>
          <cell r="I1733">
            <v>200</v>
          </cell>
          <cell r="J1733"/>
          <cell r="K1733">
            <v>2.0499999999999998</v>
          </cell>
          <cell r="L1733"/>
          <cell r="M1733">
            <v>2.0499999999999998</v>
          </cell>
          <cell r="N1733"/>
          <cell r="O1733">
            <v>2.15</v>
          </cell>
          <cell r="P1733"/>
          <cell r="Q1733"/>
          <cell r="R1733"/>
          <cell r="S1733">
            <v>2.25</v>
          </cell>
          <cell r="T1733"/>
          <cell r="U1733"/>
          <cell r="V1733"/>
          <cell r="W1733"/>
          <cell r="X1733" t="str">
            <v>PANI</v>
          </cell>
          <cell r="Y1733" t="str">
            <v>PANI 06-OCT</v>
          </cell>
          <cell r="Z1733" t="str">
            <v>AMY 'S MAIL 7/10/17</v>
          </cell>
          <cell r="AA1733"/>
          <cell r="AB1733">
            <v>43019</v>
          </cell>
          <cell r="AC1733"/>
        </row>
        <row r="1734">
          <cell r="B1734"/>
          <cell r="C1734" t="str">
            <v>KPK-22391</v>
          </cell>
          <cell r="D1734"/>
          <cell r="E1734"/>
          <cell r="F1734" t="str">
            <v>T/S 95/5</v>
          </cell>
          <cell r="G1734" t="str">
            <v>95% POLYESTER 5% SPANDEX</v>
          </cell>
          <cell r="H1734" t="str">
            <v>155CM</v>
          </cell>
          <cell r="I1734">
            <v>250</v>
          </cell>
          <cell r="J1734"/>
          <cell r="K1734">
            <v>2.0499999999999998</v>
          </cell>
          <cell r="L1734"/>
          <cell r="M1734">
            <v>2.0499999999999998</v>
          </cell>
          <cell r="N1734"/>
          <cell r="O1734">
            <v>2.15</v>
          </cell>
          <cell r="P1734"/>
          <cell r="Q1734"/>
          <cell r="R1734"/>
          <cell r="S1734">
            <v>2.25</v>
          </cell>
          <cell r="T1734"/>
          <cell r="U1734"/>
          <cell r="V1734"/>
          <cell r="W1734"/>
          <cell r="X1734" t="str">
            <v>PANI</v>
          </cell>
          <cell r="Y1734" t="str">
            <v>PANI 06-OCT</v>
          </cell>
          <cell r="Z1734" t="str">
            <v>AMY 'S MAIL 7/10/17</v>
          </cell>
          <cell r="AA1734"/>
          <cell r="AB1734">
            <v>43019</v>
          </cell>
          <cell r="AC1734"/>
        </row>
        <row r="1735">
          <cell r="B1735"/>
          <cell r="C1735" t="str">
            <v>KPK-22306</v>
          </cell>
          <cell r="D1735"/>
          <cell r="E1735"/>
          <cell r="F1735" t="str">
            <v>T/S 95/5</v>
          </cell>
          <cell r="G1735" t="str">
            <v>95% POLYESTER 5% SPANDEX</v>
          </cell>
          <cell r="H1735" t="str">
            <v>160CM</v>
          </cell>
          <cell r="I1735">
            <v>220</v>
          </cell>
          <cell r="J1735"/>
          <cell r="K1735">
            <v>2.25</v>
          </cell>
          <cell r="L1735"/>
          <cell r="M1735">
            <v>2.25</v>
          </cell>
          <cell r="N1735"/>
          <cell r="O1735">
            <v>2.35</v>
          </cell>
          <cell r="P1735"/>
          <cell r="Q1735"/>
          <cell r="R1735"/>
          <cell r="S1735">
            <v>2.4500000000000002</v>
          </cell>
          <cell r="T1735"/>
          <cell r="U1735"/>
          <cell r="V1735"/>
          <cell r="W1735"/>
          <cell r="X1735" t="str">
            <v>PANI</v>
          </cell>
          <cell r="Y1735" t="str">
            <v>PANI 06-OCT</v>
          </cell>
          <cell r="Z1735" t="str">
            <v>AMY 'S MAIL 7/10/17</v>
          </cell>
          <cell r="AA1735"/>
          <cell r="AB1735">
            <v>43019</v>
          </cell>
          <cell r="AC1735"/>
        </row>
        <row r="1736">
          <cell r="B1736"/>
          <cell r="C1736" t="str">
            <v>KPK-22314</v>
          </cell>
          <cell r="D1736"/>
          <cell r="E1736"/>
          <cell r="F1736" t="str">
            <v>T/S 95/5</v>
          </cell>
          <cell r="G1736" t="str">
            <v>95% POLYESTER 5% SPANDEX</v>
          </cell>
          <cell r="H1736" t="str">
            <v>160CM</v>
          </cell>
          <cell r="I1736">
            <v>250</v>
          </cell>
          <cell r="J1736"/>
          <cell r="K1736">
            <v>2.25</v>
          </cell>
          <cell r="L1736"/>
          <cell r="M1736">
            <v>2.25</v>
          </cell>
          <cell r="N1736"/>
          <cell r="O1736">
            <v>2.35</v>
          </cell>
          <cell r="P1736"/>
          <cell r="Q1736"/>
          <cell r="R1736"/>
          <cell r="S1736">
            <v>2.4500000000000002</v>
          </cell>
          <cell r="T1736"/>
          <cell r="U1736"/>
          <cell r="V1736"/>
          <cell r="W1736"/>
          <cell r="X1736" t="str">
            <v>PANI</v>
          </cell>
          <cell r="Y1736" t="str">
            <v>PANI 06-OCT</v>
          </cell>
          <cell r="Z1736" t="str">
            <v>AMY 'S MAIL 7/10/17</v>
          </cell>
          <cell r="AA1736"/>
          <cell r="AB1736">
            <v>43019</v>
          </cell>
          <cell r="AC1736"/>
        </row>
        <row r="1737">
          <cell r="B1737"/>
          <cell r="C1737" t="str">
            <v>KPK-22317</v>
          </cell>
          <cell r="D1737"/>
          <cell r="E1737"/>
          <cell r="F1737" t="str">
            <v>T/S 95/5</v>
          </cell>
          <cell r="G1737" t="str">
            <v>95% POLYESTER 5% SPANDEX</v>
          </cell>
          <cell r="H1737" t="str">
            <v>160CM</v>
          </cell>
          <cell r="I1737">
            <v>250</v>
          </cell>
          <cell r="J1737"/>
          <cell r="K1737">
            <v>2.25</v>
          </cell>
          <cell r="L1737"/>
          <cell r="M1737">
            <v>2.25</v>
          </cell>
          <cell r="N1737"/>
          <cell r="O1737">
            <v>2.35</v>
          </cell>
          <cell r="P1737"/>
          <cell r="Q1737"/>
          <cell r="R1737"/>
          <cell r="S1737">
            <v>2.4500000000000002</v>
          </cell>
          <cell r="T1737"/>
          <cell r="U1737"/>
          <cell r="V1737"/>
          <cell r="W1737"/>
          <cell r="X1737" t="str">
            <v>PANI</v>
          </cell>
          <cell r="Y1737" t="str">
            <v>PANI 06-OCT</v>
          </cell>
          <cell r="Z1737" t="str">
            <v>AMY 'S MAIL 7/10/17</v>
          </cell>
          <cell r="AA1737"/>
          <cell r="AB1737">
            <v>43019</v>
          </cell>
          <cell r="AC1737"/>
        </row>
        <row r="1738">
          <cell r="B1738"/>
          <cell r="C1738" t="str">
            <v>XH-8835-6</v>
          </cell>
          <cell r="D1738"/>
          <cell r="E1738"/>
          <cell r="F1738" t="str">
            <v>T/S 95/5</v>
          </cell>
          <cell r="G1738" t="str">
            <v>95% POLYESTER 5% SPANDEX</v>
          </cell>
          <cell r="H1738" t="str">
            <v>58/60</v>
          </cell>
          <cell r="I1738" t="str">
            <v>270-280</v>
          </cell>
          <cell r="J1738">
            <v>1.8</v>
          </cell>
          <cell r="K1738">
            <v>2.2999999999999998</v>
          </cell>
          <cell r="L1738">
            <v>1.8</v>
          </cell>
          <cell r="M1738">
            <v>2.1</v>
          </cell>
          <cell r="N1738">
            <v>1.9</v>
          </cell>
          <cell r="O1738">
            <v>2.2000000000000002</v>
          </cell>
          <cell r="P1738"/>
          <cell r="Q1738"/>
          <cell r="R1738">
            <v>2</v>
          </cell>
          <cell r="S1738">
            <v>2.2999999999999998</v>
          </cell>
          <cell r="T1738"/>
          <cell r="U1738"/>
          <cell r="V1738"/>
          <cell r="W1738"/>
          <cell r="X1738" t="str">
            <v>PANI</v>
          </cell>
          <cell r="Y1738" t="str">
            <v>PANI 06-OCT</v>
          </cell>
          <cell r="Z1738" t="str">
            <v>AMY 'S MAIL 7/10/17</v>
          </cell>
          <cell r="AA1738"/>
          <cell r="AB1738">
            <v>43019</v>
          </cell>
          <cell r="AC1738"/>
        </row>
        <row r="1739">
          <cell r="B1739"/>
          <cell r="C1739" t="str">
            <v>OLP-YT00185</v>
          </cell>
          <cell r="D1739"/>
          <cell r="E1739"/>
          <cell r="F1739" t="str">
            <v>T/C</v>
          </cell>
          <cell r="G1739" t="str">
            <v>POLY/COTTON</v>
          </cell>
          <cell r="H1739" t="str">
            <v>57/58</v>
          </cell>
          <cell r="I1739">
            <v>95</v>
          </cell>
          <cell r="J1739">
            <v>2.2999999999999998</v>
          </cell>
          <cell r="K1739">
            <v>2.5499999999999998</v>
          </cell>
          <cell r="L1739">
            <v>2.35</v>
          </cell>
          <cell r="M1739">
            <v>2.6</v>
          </cell>
          <cell r="N1739">
            <v>2.4</v>
          </cell>
          <cell r="O1739">
            <v>2.75</v>
          </cell>
          <cell r="P1739"/>
          <cell r="Q1739"/>
          <cell r="R1739">
            <v>2.6</v>
          </cell>
          <cell r="S1739">
            <v>3.4</v>
          </cell>
          <cell r="T1739"/>
          <cell r="U1739"/>
          <cell r="V1739">
            <v>15</v>
          </cell>
          <cell r="W1739"/>
          <cell r="X1739" t="str">
            <v>OWEN</v>
          </cell>
          <cell r="Y1739" t="str">
            <v>SANDY OLIP 04-OCT</v>
          </cell>
          <cell r="Z1739" t="str">
            <v>SANDY ' MAIL 11/10/17</v>
          </cell>
          <cell r="AA1739"/>
          <cell r="AB1739">
            <v>43019</v>
          </cell>
          <cell r="AC1739"/>
        </row>
        <row r="1740">
          <cell r="B1740"/>
          <cell r="C1740" t="str">
            <v>KPK-22471</v>
          </cell>
          <cell r="D1740"/>
          <cell r="E1740"/>
          <cell r="F1740" t="str">
            <v>T/R/S 54/41/5</v>
          </cell>
          <cell r="G1740" t="str">
            <v>54% POLYESTER 41% RAYON 5% SPANDEX</v>
          </cell>
          <cell r="H1740" t="str">
            <v>157CM</v>
          </cell>
          <cell r="I1740">
            <v>350</v>
          </cell>
          <cell r="J1740"/>
          <cell r="K1740">
            <v>3</v>
          </cell>
          <cell r="L1740"/>
          <cell r="M1740">
            <v>3</v>
          </cell>
          <cell r="N1740"/>
          <cell r="O1740">
            <v>3.1</v>
          </cell>
          <cell r="P1740"/>
          <cell r="Q1740"/>
          <cell r="R1740"/>
          <cell r="S1740">
            <v>3.2</v>
          </cell>
          <cell r="T1740"/>
          <cell r="U1740"/>
          <cell r="V1740"/>
          <cell r="W1740"/>
          <cell r="X1740" t="str">
            <v>PANI</v>
          </cell>
          <cell r="Y1740" t="str">
            <v>PANI 06-OCT</v>
          </cell>
          <cell r="Z1740" t="str">
            <v>AMY 'S MAIL 7/10/17</v>
          </cell>
          <cell r="AA1740"/>
          <cell r="AB1740">
            <v>43019</v>
          </cell>
          <cell r="AC1740"/>
        </row>
        <row r="1741">
          <cell r="B1741"/>
          <cell r="C1741" t="str">
            <v>KPK-22444</v>
          </cell>
          <cell r="D1741"/>
          <cell r="E1741"/>
          <cell r="F1741" t="str">
            <v>T/R/S 83/12/5</v>
          </cell>
          <cell r="G1741" t="str">
            <v>83% POLYESTER 12% RAYON 5% SPANDEX</v>
          </cell>
          <cell r="H1741" t="str">
            <v>153CM</v>
          </cell>
          <cell r="I1741" t="str">
            <v>340-350</v>
          </cell>
          <cell r="J1741"/>
          <cell r="K1741">
            <v>3</v>
          </cell>
          <cell r="L1741"/>
          <cell r="M1741">
            <v>3</v>
          </cell>
          <cell r="N1741"/>
          <cell r="O1741">
            <v>3.1</v>
          </cell>
          <cell r="P1741"/>
          <cell r="Q1741"/>
          <cell r="R1741"/>
          <cell r="S1741">
            <v>3.2</v>
          </cell>
          <cell r="T1741"/>
          <cell r="U1741"/>
          <cell r="V1741"/>
          <cell r="W1741"/>
          <cell r="X1741" t="str">
            <v>PANI</v>
          </cell>
          <cell r="Y1741" t="str">
            <v>PANI 06-OCT</v>
          </cell>
          <cell r="Z1741" t="str">
            <v>AMY 'S MAIL 7/10/17</v>
          </cell>
          <cell r="AA1741"/>
          <cell r="AB1741">
            <v>43019</v>
          </cell>
          <cell r="AC1741"/>
        </row>
        <row r="1742">
          <cell r="B1742"/>
          <cell r="C1742" t="str">
            <v>KPK-22431</v>
          </cell>
          <cell r="D1742"/>
          <cell r="E1742"/>
          <cell r="F1742" t="str">
            <v>T/R/S 83/12/5</v>
          </cell>
          <cell r="G1742" t="str">
            <v>83% POLYESTER 12% RAYON 5% SPANDEX</v>
          </cell>
          <cell r="H1742" t="str">
            <v>153CM</v>
          </cell>
          <cell r="I1742" t="str">
            <v>340-350</v>
          </cell>
          <cell r="J1742"/>
          <cell r="K1742">
            <v>3</v>
          </cell>
          <cell r="L1742"/>
          <cell r="M1742">
            <v>3</v>
          </cell>
          <cell r="N1742"/>
          <cell r="O1742">
            <v>3.1</v>
          </cell>
          <cell r="P1742"/>
          <cell r="Q1742"/>
          <cell r="R1742"/>
          <cell r="S1742">
            <v>3.2</v>
          </cell>
          <cell r="T1742"/>
          <cell r="U1742"/>
          <cell r="V1742"/>
          <cell r="W1742"/>
          <cell r="X1742" t="str">
            <v>PANI</v>
          </cell>
          <cell r="Y1742" t="str">
            <v>PANI 06-OCT</v>
          </cell>
          <cell r="Z1742" t="str">
            <v>AMY 'S MAIL 7/10/17</v>
          </cell>
          <cell r="AA1742"/>
          <cell r="AB1742">
            <v>43019</v>
          </cell>
          <cell r="AC1742"/>
        </row>
        <row r="1743">
          <cell r="B1743"/>
          <cell r="C1743" t="str">
            <v>KPK-22459</v>
          </cell>
          <cell r="D1743"/>
          <cell r="E1743"/>
          <cell r="F1743" t="str">
            <v>T/R/S 83/12/5</v>
          </cell>
          <cell r="G1743" t="str">
            <v>83% POLYESTER 12% RAYON 5% SPANDEX</v>
          </cell>
          <cell r="H1743" t="str">
            <v>153CM</v>
          </cell>
          <cell r="I1743" t="str">
            <v>340-350</v>
          </cell>
          <cell r="J1743"/>
          <cell r="K1743">
            <v>3</v>
          </cell>
          <cell r="L1743"/>
          <cell r="M1743">
            <v>3</v>
          </cell>
          <cell r="N1743"/>
          <cell r="O1743">
            <v>3.1</v>
          </cell>
          <cell r="P1743"/>
          <cell r="Q1743"/>
          <cell r="R1743"/>
          <cell r="S1743">
            <v>3.2</v>
          </cell>
          <cell r="T1743"/>
          <cell r="U1743"/>
          <cell r="V1743"/>
          <cell r="W1743"/>
          <cell r="X1743" t="str">
            <v>PANI</v>
          </cell>
          <cell r="Y1743" t="str">
            <v>PANI 06-OCT</v>
          </cell>
          <cell r="Z1743" t="str">
            <v>AMY 'S MAIL 7/10/17</v>
          </cell>
          <cell r="AA1743"/>
          <cell r="AB1743">
            <v>43019</v>
          </cell>
          <cell r="AC1743"/>
        </row>
        <row r="1744">
          <cell r="B1744"/>
          <cell r="C1744" t="str">
            <v>KPK-22411</v>
          </cell>
          <cell r="D1744"/>
          <cell r="E1744"/>
          <cell r="F1744" t="str">
            <v>R/N/S 68/27/5</v>
          </cell>
          <cell r="G1744" t="str">
            <v>68% RAYON 27% NYLON 5% SPANDEX</v>
          </cell>
          <cell r="H1744" t="str">
            <v>59/61</v>
          </cell>
          <cell r="I1744" t="str">
            <v>350-360</v>
          </cell>
          <cell r="J1744"/>
          <cell r="K1744">
            <v>3.05</v>
          </cell>
          <cell r="L1744"/>
          <cell r="M1744">
            <v>3.05</v>
          </cell>
          <cell r="N1744"/>
          <cell r="O1744">
            <v>3.15</v>
          </cell>
          <cell r="P1744"/>
          <cell r="Q1744"/>
          <cell r="R1744"/>
          <cell r="S1744">
            <v>3.25</v>
          </cell>
          <cell r="T1744"/>
          <cell r="U1744"/>
          <cell r="V1744"/>
          <cell r="W1744"/>
          <cell r="X1744" t="str">
            <v>PANI</v>
          </cell>
          <cell r="Y1744" t="str">
            <v>PANI 06-OCT</v>
          </cell>
          <cell r="Z1744" t="str">
            <v>AMY 'S MAIL 7/10/17</v>
          </cell>
          <cell r="AA1744"/>
          <cell r="AB1744">
            <v>43019</v>
          </cell>
          <cell r="AC1744"/>
        </row>
        <row r="1745">
          <cell r="B1745"/>
          <cell r="C1745" t="str">
            <v>KPK-22344</v>
          </cell>
          <cell r="D1745"/>
          <cell r="E1745"/>
          <cell r="F1745" t="str">
            <v>T/S 95/5</v>
          </cell>
          <cell r="G1745" t="str">
            <v>95% POLYESTER 5% SPANDEX</v>
          </cell>
          <cell r="H1745" t="str">
            <v>155CM</v>
          </cell>
          <cell r="I1745">
            <v>200</v>
          </cell>
          <cell r="J1745"/>
          <cell r="K1745">
            <v>3.1</v>
          </cell>
          <cell r="L1745"/>
          <cell r="M1745">
            <v>3.1</v>
          </cell>
          <cell r="N1745"/>
          <cell r="O1745">
            <v>3.2</v>
          </cell>
          <cell r="P1745"/>
          <cell r="Q1745"/>
          <cell r="R1745"/>
          <cell r="S1745">
            <v>3.3</v>
          </cell>
          <cell r="T1745"/>
          <cell r="U1745"/>
          <cell r="V1745"/>
          <cell r="W1745"/>
          <cell r="X1745" t="str">
            <v>PANI</v>
          </cell>
          <cell r="Y1745" t="str">
            <v>PANI 06-OCT</v>
          </cell>
          <cell r="Z1745" t="str">
            <v>AMY 'S MAIL 7/10/17</v>
          </cell>
          <cell r="AA1745"/>
          <cell r="AB1745">
            <v>43019</v>
          </cell>
          <cell r="AC1745"/>
        </row>
        <row r="1746">
          <cell r="B1746"/>
          <cell r="C1746" t="str">
            <v>KPK-22345</v>
          </cell>
          <cell r="D1746"/>
          <cell r="E1746"/>
          <cell r="F1746" t="str">
            <v>T/S 95/5</v>
          </cell>
          <cell r="G1746" t="str">
            <v>95% POLYESTER 5% SPANDEX</v>
          </cell>
          <cell r="H1746" t="str">
            <v>160CM</v>
          </cell>
          <cell r="I1746" t="str">
            <v>220-230</v>
          </cell>
          <cell r="J1746"/>
          <cell r="K1746">
            <v>3.2</v>
          </cell>
          <cell r="L1746"/>
          <cell r="M1746">
            <v>3.2</v>
          </cell>
          <cell r="N1746"/>
          <cell r="O1746">
            <v>3.3000000000000003</v>
          </cell>
          <cell r="P1746"/>
          <cell r="Q1746"/>
          <cell r="R1746"/>
          <cell r="S1746">
            <v>3.4000000000000004</v>
          </cell>
          <cell r="T1746"/>
          <cell r="U1746"/>
          <cell r="V1746"/>
          <cell r="W1746"/>
          <cell r="X1746" t="str">
            <v>PANI</v>
          </cell>
          <cell r="Y1746" t="str">
            <v>PANI 06-OCT</v>
          </cell>
          <cell r="Z1746" t="str">
            <v>AMY 'S MAIL 7/10/17</v>
          </cell>
          <cell r="AA1746"/>
          <cell r="AB1746">
            <v>43019</v>
          </cell>
          <cell r="AC1746"/>
        </row>
        <row r="1747">
          <cell r="B1747"/>
          <cell r="C1747" t="str">
            <v>KPK-22351</v>
          </cell>
          <cell r="D1747"/>
          <cell r="E1747"/>
          <cell r="F1747" t="str">
            <v>T/S 95/5</v>
          </cell>
          <cell r="G1747" t="str">
            <v>95% POLYESTER 5% SPANDEX</v>
          </cell>
          <cell r="H1747" t="str">
            <v>160CM</v>
          </cell>
          <cell r="I1747" t="str">
            <v>220-230</v>
          </cell>
          <cell r="J1747"/>
          <cell r="K1747">
            <v>3.2</v>
          </cell>
          <cell r="L1747"/>
          <cell r="M1747">
            <v>3.2</v>
          </cell>
          <cell r="N1747"/>
          <cell r="O1747">
            <v>3.3000000000000003</v>
          </cell>
          <cell r="P1747"/>
          <cell r="Q1747"/>
          <cell r="R1747"/>
          <cell r="S1747">
            <v>3.4000000000000004</v>
          </cell>
          <cell r="T1747"/>
          <cell r="U1747"/>
          <cell r="V1747"/>
          <cell r="W1747"/>
          <cell r="X1747" t="str">
            <v>PANI</v>
          </cell>
          <cell r="Y1747" t="str">
            <v>PANI 06-OCT</v>
          </cell>
          <cell r="Z1747" t="str">
            <v>AMY 'S MAIL 7/10/17</v>
          </cell>
          <cell r="AA1747"/>
          <cell r="AB1747">
            <v>43019</v>
          </cell>
          <cell r="AC1747"/>
        </row>
        <row r="1748">
          <cell r="B1748"/>
          <cell r="C1748" t="str">
            <v>OLP-YT00183</v>
          </cell>
          <cell r="D1748"/>
          <cell r="E1748" t="str">
            <v>24x24</v>
          </cell>
          <cell r="F1748" t="str">
            <v>TENCEL 100%</v>
          </cell>
          <cell r="G1748" t="str">
            <v xml:space="preserve">100% TENCEL </v>
          </cell>
          <cell r="H1748" t="str">
            <v>57/58</v>
          </cell>
          <cell r="I1748">
            <v>200</v>
          </cell>
          <cell r="J1748">
            <v>2.52</v>
          </cell>
          <cell r="K1748"/>
          <cell r="L1748">
            <v>2.6</v>
          </cell>
          <cell r="M1748"/>
          <cell r="N1748">
            <v>2.68</v>
          </cell>
          <cell r="O1748"/>
          <cell r="P1748"/>
          <cell r="Q1748"/>
          <cell r="R1748">
            <v>3.1</v>
          </cell>
          <cell r="S1748"/>
          <cell r="T1748"/>
          <cell r="U1748"/>
          <cell r="V1748"/>
          <cell r="W1748" t="str">
            <v>this  is indigo dye</v>
          </cell>
          <cell r="X1748" t="str">
            <v>OWEN</v>
          </cell>
          <cell r="Y1748" t="str">
            <v>SANDY OLIP 04-OCT</v>
          </cell>
          <cell r="Z1748" t="str">
            <v>SANDY ' MAIL 11/10/17</v>
          </cell>
          <cell r="AA1748"/>
          <cell r="AB1748">
            <v>43019</v>
          </cell>
          <cell r="AC1748"/>
        </row>
        <row r="1749">
          <cell r="B1749">
            <v>3632</v>
          </cell>
          <cell r="C1749" t="str">
            <v>MNR-40301</v>
          </cell>
          <cell r="D1749"/>
          <cell r="E1749"/>
          <cell r="F1749" t="str">
            <v>R/N/S 66.7/29.1/4.2</v>
          </cell>
          <cell r="G1749" t="str">
            <v>66.7% RAYON 29.1% NYLON 4.2% SPANDEX</v>
          </cell>
          <cell r="H1749">
            <v>63</v>
          </cell>
          <cell r="I1749">
            <v>330</v>
          </cell>
          <cell r="J1749"/>
          <cell r="K1749"/>
          <cell r="L1749">
            <v>2.99</v>
          </cell>
          <cell r="M1749"/>
          <cell r="N1749">
            <v>2.99</v>
          </cell>
          <cell r="O1749"/>
          <cell r="P1749"/>
          <cell r="Q1749"/>
          <cell r="R1749">
            <v>3.14</v>
          </cell>
          <cell r="S1749"/>
          <cell r="T1749"/>
          <cell r="U1749"/>
          <cell r="V1749">
            <v>15</v>
          </cell>
          <cell r="W1749" t="str">
            <v>moq is 3,000m &amp; mcq is 1,000m. under moq  up-charge $70.</v>
          </cell>
          <cell r="X1749" t="str">
            <v>FENGQUIANG</v>
          </cell>
          <cell r="Y1749" t="str">
            <v>FENGQUIANG TEXTILE 07-OCT</v>
          </cell>
          <cell r="Z1749" t="str">
            <v>HUYEN ' MAIL 9/10/27</v>
          </cell>
          <cell r="AA1749"/>
          <cell r="AB1749">
            <v>43017</v>
          </cell>
          <cell r="AC1749">
            <v>3632</v>
          </cell>
        </row>
        <row r="1750">
          <cell r="B1750">
            <v>3631</v>
          </cell>
          <cell r="C1750" t="str">
            <v>MRT-41232</v>
          </cell>
          <cell r="D1750"/>
          <cell r="E1750"/>
          <cell r="F1750" t="str">
            <v>R/T/S 61/34.1/4.9</v>
          </cell>
          <cell r="G1750" t="str">
            <v>61% RAYON 34.1 POLYESTER 4.9% SPANDEX</v>
          </cell>
          <cell r="H1750" t="str">
            <v>160CM</v>
          </cell>
          <cell r="I1750">
            <v>320</v>
          </cell>
          <cell r="J1750"/>
          <cell r="K1750"/>
          <cell r="L1750">
            <v>2.99</v>
          </cell>
          <cell r="M1750"/>
          <cell r="N1750">
            <v>2.99</v>
          </cell>
          <cell r="O1750"/>
          <cell r="P1750"/>
          <cell r="Q1750"/>
          <cell r="R1750">
            <v>3.14</v>
          </cell>
          <cell r="S1750"/>
          <cell r="T1750"/>
          <cell r="U1750"/>
          <cell r="V1750">
            <v>15</v>
          </cell>
          <cell r="W1750" t="str">
            <v>moq is 3,000m &amp; mcq is 1,000m. under moq  up-charge $70.</v>
          </cell>
          <cell r="X1750" t="str">
            <v>FENGQUIANG</v>
          </cell>
          <cell r="Y1750" t="str">
            <v>FENGQUIANG TEXTILE 07-OCT</v>
          </cell>
          <cell r="Z1750" t="str">
            <v>HUYEN ' MAIL 9/10/24</v>
          </cell>
          <cell r="AA1750"/>
          <cell r="AB1750">
            <v>43017</v>
          </cell>
          <cell r="AC1750">
            <v>3631</v>
          </cell>
        </row>
        <row r="1751">
          <cell r="B1751">
            <v>3630</v>
          </cell>
          <cell r="C1751" t="str">
            <v>MTR-61111</v>
          </cell>
          <cell r="D1751"/>
          <cell r="E1751"/>
          <cell r="F1751" t="str">
            <v>T/R/S 75/20/5</v>
          </cell>
          <cell r="G1751" t="str">
            <v>75% POLYESTER 20% RAYON 5% SPANDEX</v>
          </cell>
          <cell r="H1751">
            <v>63</v>
          </cell>
          <cell r="I1751">
            <v>330</v>
          </cell>
          <cell r="J1751"/>
          <cell r="K1751"/>
          <cell r="L1751">
            <v>2.65</v>
          </cell>
          <cell r="M1751"/>
          <cell r="N1751">
            <v>2.65</v>
          </cell>
          <cell r="O1751"/>
          <cell r="P1751"/>
          <cell r="Q1751"/>
          <cell r="R1751">
            <v>2.8</v>
          </cell>
          <cell r="S1751"/>
          <cell r="T1751"/>
          <cell r="U1751"/>
          <cell r="V1751">
            <v>15</v>
          </cell>
          <cell r="W1751" t="str">
            <v>moq is 3,000m &amp; mcq is 1,000m. under moq  up-charge $70.</v>
          </cell>
          <cell r="X1751" t="str">
            <v>FENGQUIANG</v>
          </cell>
          <cell r="Y1751" t="str">
            <v>FENGQUIANG TEXTILE 07-OCT</v>
          </cell>
          <cell r="Z1751" t="str">
            <v>HUYEN ' MAIL 9/10/21</v>
          </cell>
          <cell r="AA1751"/>
          <cell r="AB1751">
            <v>43017</v>
          </cell>
          <cell r="AC1751">
            <v>3630</v>
          </cell>
        </row>
        <row r="1752">
          <cell r="B1752">
            <v>3629</v>
          </cell>
          <cell r="C1752" t="str">
            <v>MTR-51117</v>
          </cell>
          <cell r="D1752"/>
          <cell r="E1752"/>
          <cell r="F1752" t="str">
            <v>T/R/S 76/19/5</v>
          </cell>
          <cell r="G1752" t="str">
            <v>76% POLYESTER 19% RAYON 5% SPANDEX</v>
          </cell>
          <cell r="H1752">
            <v>64</v>
          </cell>
          <cell r="I1752">
            <v>300</v>
          </cell>
          <cell r="J1752"/>
          <cell r="K1752"/>
          <cell r="L1752">
            <v>2.4500000000000002</v>
          </cell>
          <cell r="M1752"/>
          <cell r="N1752">
            <v>2.4500000000000002</v>
          </cell>
          <cell r="O1752"/>
          <cell r="P1752"/>
          <cell r="Q1752"/>
          <cell r="R1752">
            <v>2.6</v>
          </cell>
          <cell r="S1752"/>
          <cell r="T1752"/>
          <cell r="U1752"/>
          <cell r="V1752">
            <v>15</v>
          </cell>
          <cell r="W1752" t="str">
            <v>moq is 3,000m &amp; mcq is 1,000m. under moq  up-charge $70.</v>
          </cell>
          <cell r="X1752" t="str">
            <v>FENGQUIANG</v>
          </cell>
          <cell r="Y1752" t="str">
            <v>FENGQUIANG TEXTILE 07-OCT</v>
          </cell>
          <cell r="Z1752" t="str">
            <v>HUYEN ' MAIL 9/10/20</v>
          </cell>
          <cell r="AA1752"/>
          <cell r="AB1752">
            <v>43017</v>
          </cell>
          <cell r="AC1752">
            <v>3629</v>
          </cell>
        </row>
        <row r="1753">
          <cell r="B1753">
            <v>3628</v>
          </cell>
          <cell r="C1753" t="str">
            <v>MTR-51202</v>
          </cell>
          <cell r="D1753"/>
          <cell r="E1753"/>
          <cell r="F1753" t="str">
            <v>T/R/S 83/13/4</v>
          </cell>
          <cell r="G1753" t="str">
            <v>83% POLYESTER 13% RAYON 4% SPANDEX</v>
          </cell>
          <cell r="H1753" t="str">
            <v>170CM</v>
          </cell>
          <cell r="I1753">
            <v>316</v>
          </cell>
          <cell r="J1753"/>
          <cell r="K1753"/>
          <cell r="L1753">
            <v>2.8</v>
          </cell>
          <cell r="M1753"/>
          <cell r="N1753">
            <v>2.8</v>
          </cell>
          <cell r="O1753"/>
          <cell r="P1753"/>
          <cell r="Q1753"/>
          <cell r="R1753">
            <v>2.9499999999999997</v>
          </cell>
          <cell r="S1753"/>
          <cell r="T1753"/>
          <cell r="U1753"/>
          <cell r="V1753">
            <v>15</v>
          </cell>
          <cell r="W1753" t="str">
            <v>moq is 3,000m &amp; mcq is 1,000m. under moq  up-charge $70.</v>
          </cell>
          <cell r="X1753" t="str">
            <v>FENGQUIANG</v>
          </cell>
          <cell r="Y1753" t="str">
            <v>FENGQUIANG TEXTILE 07-OCT</v>
          </cell>
          <cell r="Z1753" t="str">
            <v>HUYEN ' MAIL 9/10/19</v>
          </cell>
          <cell r="AA1753"/>
          <cell r="AB1753">
            <v>43017</v>
          </cell>
          <cell r="AC1753">
            <v>3628</v>
          </cell>
        </row>
        <row r="1754">
          <cell r="B1754">
            <v>3627</v>
          </cell>
          <cell r="C1754" t="str">
            <v>MTR-3189</v>
          </cell>
          <cell r="D1754"/>
          <cell r="E1754"/>
          <cell r="F1754" t="str">
            <v>T/R/SP 78/20/2</v>
          </cell>
          <cell r="G1754" t="str">
            <v>78% POLYESTER 20% RAYON 2% SPANDEX</v>
          </cell>
          <cell r="H1754" t="str">
            <v>61/63</v>
          </cell>
          <cell r="I1754">
            <v>380</v>
          </cell>
          <cell r="J1754"/>
          <cell r="K1754"/>
          <cell r="L1754">
            <v>3.65</v>
          </cell>
          <cell r="M1754"/>
          <cell r="N1754">
            <v>3.65</v>
          </cell>
          <cell r="O1754"/>
          <cell r="P1754"/>
          <cell r="Q1754"/>
          <cell r="R1754">
            <v>3.8</v>
          </cell>
          <cell r="S1754"/>
          <cell r="T1754"/>
          <cell r="U1754"/>
          <cell r="V1754">
            <v>15</v>
          </cell>
          <cell r="W1754" t="str">
            <v>moq is 3,000m &amp; mcq is 1,000m. under moq  up-charge $70.</v>
          </cell>
          <cell r="X1754" t="str">
            <v>FENGQUIANG</v>
          </cell>
          <cell r="Y1754" t="str">
            <v>FENGQUIANG TEXTILE 07-OCT</v>
          </cell>
          <cell r="Z1754" t="str">
            <v>HUYEN ' MAIL 9/10/17</v>
          </cell>
          <cell r="AA1754"/>
          <cell r="AB1754">
            <v>43017</v>
          </cell>
          <cell r="AC1754">
            <v>3627</v>
          </cell>
        </row>
        <row r="1755">
          <cell r="B1755">
            <v>3626</v>
          </cell>
          <cell r="C1755" t="str">
            <v>TS-389</v>
          </cell>
          <cell r="D1755"/>
          <cell r="E1755"/>
          <cell r="F1755" t="str">
            <v>T/S-4WAY 95/5</v>
          </cell>
          <cell r="G1755" t="str">
            <v xml:space="preserve">95/5 POLY 4-WAY SPANDEX </v>
          </cell>
          <cell r="H1755" t="str">
            <v>57/58</v>
          </cell>
          <cell r="I1755">
            <v>240</v>
          </cell>
          <cell r="J1755">
            <v>1.81</v>
          </cell>
          <cell r="K1755">
            <v>1.99</v>
          </cell>
          <cell r="L1755">
            <v>1.83</v>
          </cell>
          <cell r="M1755">
            <v>2.02</v>
          </cell>
          <cell r="N1755">
            <v>1.85</v>
          </cell>
          <cell r="O1755">
            <v>2.0499999999999998</v>
          </cell>
          <cell r="P1755"/>
          <cell r="Q1755"/>
          <cell r="R1755">
            <v>2</v>
          </cell>
          <cell r="S1755">
            <v>2.2999999999999998</v>
          </cell>
          <cell r="T1755"/>
          <cell r="U1755"/>
          <cell r="V1755">
            <v>15</v>
          </cell>
          <cell r="W1755"/>
          <cell r="X1755" t="str">
            <v>GAVIN</v>
          </cell>
          <cell r="Y1755" t="str">
            <v>GAVIN 4-OCT</v>
          </cell>
          <cell r="Z1755" t="str">
            <v>GAVIN ' MAIL 9/10/17</v>
          </cell>
          <cell r="AA1755"/>
          <cell r="AB1755">
            <v>43017</v>
          </cell>
          <cell r="AC1755">
            <v>3626</v>
          </cell>
        </row>
        <row r="1756">
          <cell r="B1756">
            <v>3540</v>
          </cell>
          <cell r="C1756" t="str">
            <v>MRN-41231</v>
          </cell>
          <cell r="D1756" t="str">
            <v>PONTE ROMA</v>
          </cell>
          <cell r="E1756"/>
          <cell r="F1756" t="str">
            <v>R/N/S 63/33/4</v>
          </cell>
          <cell r="G1756" t="str">
            <v>63% RAYON 33% NYLON 4% SPANDEX</v>
          </cell>
          <cell r="H1756">
            <v>62</v>
          </cell>
          <cell r="I1756">
            <v>320</v>
          </cell>
          <cell r="J1756"/>
          <cell r="K1756"/>
          <cell r="L1756">
            <v>3.55</v>
          </cell>
          <cell r="M1756"/>
          <cell r="N1756">
            <v>3.55</v>
          </cell>
          <cell r="O1756"/>
          <cell r="P1756"/>
          <cell r="Q1756"/>
          <cell r="R1756">
            <v>3.6999999999999997</v>
          </cell>
          <cell r="S1756"/>
          <cell r="T1756"/>
          <cell r="U1756"/>
          <cell r="V1756">
            <v>15</v>
          </cell>
          <cell r="W1756" t="str">
            <v>moq is 3,000m &amp; mcq is 1,000m. under moq  up-charge $70.</v>
          </cell>
          <cell r="X1756" t="str">
            <v>FENGQUIANG</v>
          </cell>
          <cell r="Y1756" t="str">
            <v>FENGQUIANG TEXTILE 07-OCT</v>
          </cell>
          <cell r="Z1756" t="str">
            <v>HUYEN ' MAIL 9/10/25</v>
          </cell>
          <cell r="AA1756"/>
          <cell r="AB1756">
            <v>43017</v>
          </cell>
          <cell r="AC1756">
            <v>3540</v>
          </cell>
        </row>
        <row r="1757">
          <cell r="B1757">
            <v>3372</v>
          </cell>
          <cell r="C1757" t="str">
            <v>MNR-30518</v>
          </cell>
          <cell r="D1757" t="str">
            <v>PONTE ROMA</v>
          </cell>
          <cell r="E1757"/>
          <cell r="F1757" t="str">
            <v>R/N/S 63/33/4</v>
          </cell>
          <cell r="G1757" t="str">
            <v>63% RAYON 33% NYLON 4% SPANDEX</v>
          </cell>
          <cell r="H1757" t="str">
            <v>165CM</v>
          </cell>
          <cell r="I1757">
            <v>320</v>
          </cell>
          <cell r="J1757"/>
          <cell r="K1757"/>
          <cell r="L1757">
            <v>3.71</v>
          </cell>
          <cell r="M1757"/>
          <cell r="N1757">
            <v>3.71</v>
          </cell>
          <cell r="O1757"/>
          <cell r="P1757"/>
          <cell r="Q1757"/>
          <cell r="R1757">
            <v>3.86</v>
          </cell>
          <cell r="S1757"/>
          <cell r="T1757"/>
          <cell r="U1757"/>
          <cell r="V1757">
            <v>15</v>
          </cell>
          <cell r="W1757" t="str">
            <v>moq is 3,000m &amp; mcq is 1,000m. under moq  up-charge $70.</v>
          </cell>
          <cell r="X1757" t="str">
            <v>FENGQUIANG</v>
          </cell>
          <cell r="Y1757" t="str">
            <v>FENGQUIANG TEXTILE 07-OCT</v>
          </cell>
          <cell r="Z1757" t="str">
            <v>HUYEN ' MAIL 9/10/26</v>
          </cell>
          <cell r="AA1757"/>
          <cell r="AB1757">
            <v>43017</v>
          </cell>
          <cell r="AC1757">
            <v>3372</v>
          </cell>
        </row>
        <row r="1758">
          <cell r="B1758">
            <v>3371</v>
          </cell>
          <cell r="C1758" t="str">
            <v>#60801</v>
          </cell>
          <cell r="D1758" t="str">
            <v>PONTE ROMA</v>
          </cell>
          <cell r="E1758"/>
          <cell r="F1758" t="str">
            <v>R/T/S 65/31/4</v>
          </cell>
          <cell r="G1758" t="str">
            <v>65% RAYON 31% POLY 4% SPANDEX</v>
          </cell>
          <cell r="H1758" t="str">
            <v>160CM</v>
          </cell>
          <cell r="I1758">
            <v>300</v>
          </cell>
          <cell r="J1758"/>
          <cell r="K1758"/>
          <cell r="L1758">
            <v>2.4500000000000002</v>
          </cell>
          <cell r="M1758"/>
          <cell r="N1758">
            <v>2.4500000000000002</v>
          </cell>
          <cell r="O1758"/>
          <cell r="P1758"/>
          <cell r="Q1758"/>
          <cell r="R1758">
            <v>2.6</v>
          </cell>
          <cell r="S1758"/>
          <cell r="T1758"/>
          <cell r="U1758"/>
          <cell r="V1758">
            <v>15</v>
          </cell>
          <cell r="W1758" t="str">
            <v>moq is 3,000m &amp; mcq is 1,000m. under moq  up-charge $70.</v>
          </cell>
          <cell r="X1758" t="str">
            <v>FENGQUIANG</v>
          </cell>
          <cell r="Y1758" t="str">
            <v>FENGQUIANG TEXTILE 07-OCT</v>
          </cell>
          <cell r="Z1758" t="str">
            <v>HUYEN ' MAIL 9/10/23</v>
          </cell>
          <cell r="AA1758"/>
          <cell r="AB1758">
            <v>43017</v>
          </cell>
          <cell r="AC1758">
            <v>3371</v>
          </cell>
        </row>
        <row r="1759">
          <cell r="B1759">
            <v>2718</v>
          </cell>
          <cell r="C1759" t="str">
            <v>HLT227</v>
          </cell>
          <cell r="D1759"/>
          <cell r="E1759"/>
          <cell r="F1759" t="str">
            <v>T/S 92/8</v>
          </cell>
          <cell r="G1759" t="str">
            <v>92% POLYESTER 8% SPAN</v>
          </cell>
          <cell r="H1759" t="str">
            <v>57/58</v>
          </cell>
          <cell r="I1759">
            <v>375</v>
          </cell>
          <cell r="J1759">
            <v>3.65</v>
          </cell>
          <cell r="K1759">
            <v>4.0999999999999996</v>
          </cell>
          <cell r="L1759">
            <v>3.75</v>
          </cell>
          <cell r="M1759">
            <v>4.55</v>
          </cell>
          <cell r="N1759">
            <v>3.85</v>
          </cell>
          <cell r="O1759">
            <v>4.6499999999999995</v>
          </cell>
          <cell r="P1759"/>
          <cell r="Q1759"/>
          <cell r="R1759">
            <v>4</v>
          </cell>
          <cell r="S1759">
            <v>4.8</v>
          </cell>
          <cell r="T1759"/>
          <cell r="U1759"/>
          <cell r="V1759">
            <v>15</v>
          </cell>
          <cell r="W1759" t="str">
            <v>SOLID (LIGHT COLOR) = SOLID - $0.15   /   DIGITAL PRINT</v>
          </cell>
          <cell r="X1759" t="str">
            <v>CANDY</v>
          </cell>
          <cell r="Y1759" t="str">
            <v>CANDY 7-OCT</v>
          </cell>
          <cell r="Z1759" t="str">
            <v>CANDY ' MAIL 9/10/17</v>
          </cell>
          <cell r="AA1759"/>
          <cell r="AB1759">
            <v>43017</v>
          </cell>
          <cell r="AC1759">
            <v>2718</v>
          </cell>
        </row>
        <row r="1760">
          <cell r="B1760">
            <v>3195</v>
          </cell>
          <cell r="C1760" t="str">
            <v>Y160916-2</v>
          </cell>
          <cell r="D1760" t="str">
            <v>YARNDYED SHIRT - POPLIN STRETCH</v>
          </cell>
          <cell r="E1760"/>
          <cell r="F1760" t="str">
            <v>C/T/S 61/34/5</v>
          </cell>
          <cell r="G1760" t="str">
            <v>61% COTTON 34% POLYESTER 5% SPANDEX</v>
          </cell>
          <cell r="H1760" t="str">
            <v>57/58</v>
          </cell>
          <cell r="I1760">
            <v>110</v>
          </cell>
          <cell r="J1760">
            <v>1.95</v>
          </cell>
          <cell r="K1760">
            <v>2.2000000000000002</v>
          </cell>
          <cell r="L1760">
            <v>1.98</v>
          </cell>
          <cell r="M1760">
            <v>2.25</v>
          </cell>
          <cell r="N1760">
            <v>2.02</v>
          </cell>
          <cell r="O1760">
            <v>2.29</v>
          </cell>
          <cell r="P1760"/>
          <cell r="Q1760"/>
          <cell r="R1760">
            <v>2.15</v>
          </cell>
          <cell r="S1760">
            <v>2.65</v>
          </cell>
          <cell r="T1760"/>
          <cell r="U1760"/>
          <cell r="V1760">
            <v>15</v>
          </cell>
          <cell r="W1760"/>
          <cell r="X1760" t="str">
            <v>DAVID</v>
          </cell>
          <cell r="Y1760" t="str">
            <v>DAVID 7-OCT</v>
          </cell>
          <cell r="Z1760" t="str">
            <v>DAVID ' MAIL 8/10/17</v>
          </cell>
          <cell r="AA1760"/>
          <cell r="AB1760">
            <v>43016</v>
          </cell>
          <cell r="AC1760">
            <v>3195</v>
          </cell>
        </row>
        <row r="1761">
          <cell r="B1761">
            <v>1071</v>
          </cell>
          <cell r="C1761" t="str">
            <v>T105 / R9645-G</v>
          </cell>
          <cell r="D1761"/>
          <cell r="E1761"/>
          <cell r="F1761" t="str">
            <v>T 100%</v>
          </cell>
          <cell r="G1761" t="str">
            <v xml:space="preserve">100%POLYESTER </v>
          </cell>
          <cell r="H1761" t="str">
            <v>56/57</v>
          </cell>
          <cell r="I1761">
            <v>100</v>
          </cell>
          <cell r="J1761">
            <v>1.35</v>
          </cell>
          <cell r="K1761">
            <v>1.55</v>
          </cell>
          <cell r="L1761">
            <v>1.37</v>
          </cell>
          <cell r="M1761">
            <v>1.63</v>
          </cell>
          <cell r="N1761">
            <v>1.42</v>
          </cell>
          <cell r="O1761">
            <v>1.67</v>
          </cell>
          <cell r="P1761"/>
          <cell r="Q1761"/>
          <cell r="R1761">
            <v>1.5</v>
          </cell>
          <cell r="S1761">
            <v>2.16</v>
          </cell>
          <cell r="T1761"/>
          <cell r="U1761"/>
          <cell r="V1761">
            <v>15</v>
          </cell>
          <cell r="W1761"/>
          <cell r="X1761" t="str">
            <v>TERESA</v>
          </cell>
          <cell r="Y1761" t="str">
            <v>32 T105 TERESA 2017 10 08</v>
          </cell>
          <cell r="Z1761" t="str">
            <v>TERESA' MAIL 8/10/17</v>
          </cell>
          <cell r="AA1761"/>
          <cell r="AB1761">
            <v>43016</v>
          </cell>
          <cell r="AC1761">
            <v>1071</v>
          </cell>
        </row>
        <row r="1762">
          <cell r="B1762">
            <v>3639</v>
          </cell>
          <cell r="C1762" t="str">
            <v>PF15320</v>
          </cell>
          <cell r="D1762" t="str">
            <v>lining - 210T</v>
          </cell>
          <cell r="E1762" t="str">
            <v>66Dx66D</v>
          </cell>
          <cell r="F1762" t="str">
            <v>T 100%</v>
          </cell>
          <cell r="G1762" t="str">
            <v>100% POLYESTER</v>
          </cell>
          <cell r="H1762" t="str">
            <v>57/58</v>
          </cell>
          <cell r="I1762">
            <v>58</v>
          </cell>
          <cell r="J1762">
            <v>0.75</v>
          </cell>
          <cell r="K1762"/>
          <cell r="L1762">
            <v>0.75</v>
          </cell>
          <cell r="M1762"/>
          <cell r="N1762">
            <v>0.75</v>
          </cell>
          <cell r="O1762"/>
          <cell r="P1762"/>
          <cell r="Q1762"/>
          <cell r="R1762">
            <v>0.75</v>
          </cell>
          <cell r="S1762"/>
          <cell r="T1762"/>
          <cell r="U1762"/>
          <cell r="V1762">
            <v>15</v>
          </cell>
          <cell r="W1762" t="str">
            <v>base price all same , but if one shipment less than 5000mts, need to add $35 small shipment surcharge</v>
          </cell>
          <cell r="X1762" t="str">
            <v>ERMI</v>
          </cell>
          <cell r="Y1762" t="str">
            <v>ERMI O4-OCT</v>
          </cell>
          <cell r="Z1762" t="str">
            <v>CHRITINA ' S MAIL 7/10/17</v>
          </cell>
          <cell r="AA1762"/>
          <cell r="AB1762">
            <v>43015</v>
          </cell>
          <cell r="AC1762">
            <v>3639</v>
          </cell>
        </row>
        <row r="1763">
          <cell r="B1763">
            <v>3638</v>
          </cell>
          <cell r="C1763" t="str">
            <v>PP12001-210</v>
          </cell>
          <cell r="D1763" t="str">
            <v>lining - 210T</v>
          </cell>
          <cell r="E1763" t="str">
            <v>66Dx66D</v>
          </cell>
          <cell r="F1763" t="str">
            <v>T 100%</v>
          </cell>
          <cell r="G1763" t="str">
            <v>100% POLYESTER</v>
          </cell>
          <cell r="H1763" t="str">
            <v>58/59</v>
          </cell>
          <cell r="I1763">
            <v>58</v>
          </cell>
          <cell r="J1763">
            <v>0.46</v>
          </cell>
          <cell r="K1763"/>
          <cell r="L1763">
            <v>0.46</v>
          </cell>
          <cell r="M1763"/>
          <cell r="N1763">
            <v>0.46</v>
          </cell>
          <cell r="O1763"/>
          <cell r="P1763"/>
          <cell r="Q1763"/>
          <cell r="R1763">
            <v>0.46</v>
          </cell>
          <cell r="S1763"/>
          <cell r="T1763"/>
          <cell r="U1763"/>
          <cell r="V1763">
            <v>15</v>
          </cell>
          <cell r="W1763" t="str">
            <v>base price all same , but if one shipment less than 5000mts, need to add $35 small shipment surcharge</v>
          </cell>
          <cell r="X1763" t="str">
            <v>ERMI</v>
          </cell>
          <cell r="Y1763" t="str">
            <v>ERMI O4-OCT</v>
          </cell>
          <cell r="Z1763" t="str">
            <v>CHRITINA ' S MAIL 7/10/17</v>
          </cell>
          <cell r="AA1763"/>
          <cell r="AB1763">
            <v>43015</v>
          </cell>
          <cell r="AC1763">
            <v>3638</v>
          </cell>
        </row>
        <row r="1764">
          <cell r="B1764">
            <v>3637</v>
          </cell>
          <cell r="C1764" t="str">
            <v>FTRSP17021</v>
          </cell>
          <cell r="D1764" t="str">
            <v>tailoring</v>
          </cell>
          <cell r="E1764" t="str">
            <v>83x72(32S/2+40Dx25D/1+80D+40D)</v>
          </cell>
          <cell r="F1764" t="str">
            <v>T/R/S 71.5/25/3.5</v>
          </cell>
          <cell r="G1764" t="str">
            <v>71/5% POLYESTER 25% RAYON 3.5% SPANDEX</v>
          </cell>
          <cell r="H1764" t="str">
            <v>57/58</v>
          </cell>
          <cell r="I1764">
            <v>346</v>
          </cell>
          <cell r="J1764">
            <v>3.49</v>
          </cell>
          <cell r="K1764"/>
          <cell r="L1764">
            <v>3.53</v>
          </cell>
          <cell r="M1764"/>
          <cell r="N1764">
            <v>3.56</v>
          </cell>
          <cell r="O1764"/>
          <cell r="P1764"/>
          <cell r="Q1764"/>
          <cell r="R1764">
            <v>3.77</v>
          </cell>
          <cell r="S1764"/>
          <cell r="T1764"/>
          <cell r="U1764"/>
          <cell r="V1764">
            <v>15</v>
          </cell>
          <cell r="W1764"/>
          <cell r="X1764" t="str">
            <v>ERMI</v>
          </cell>
          <cell r="Y1764" t="str">
            <v>ERMI O4-OCT</v>
          </cell>
          <cell r="Z1764" t="str">
            <v>CHRITINA ' S MAIL 7/10/17</v>
          </cell>
          <cell r="AA1764"/>
          <cell r="AB1764">
            <v>43015</v>
          </cell>
          <cell r="AC1764">
            <v>3637</v>
          </cell>
        </row>
        <row r="1765">
          <cell r="B1765">
            <v>3636</v>
          </cell>
          <cell r="C1765" t="str">
            <v>FTRSP16215</v>
          </cell>
          <cell r="D1765" t="str">
            <v>tailoring</v>
          </cell>
          <cell r="E1765" t="str">
            <v>50S/2x32S/1+200D+40D)</v>
          </cell>
          <cell r="F1765" t="str">
            <v>T/R/S 74.5/24/1.5</v>
          </cell>
          <cell r="G1765" t="str">
            <v>74% POLYESTER 24% RAYON 1.5% SPANDEX</v>
          </cell>
          <cell r="H1765" t="str">
            <v>57/58</v>
          </cell>
          <cell r="I1765">
            <v>257</v>
          </cell>
          <cell r="J1765">
            <v>2.74</v>
          </cell>
          <cell r="K1765"/>
          <cell r="L1765">
            <v>2.78</v>
          </cell>
          <cell r="M1765"/>
          <cell r="N1765">
            <v>2.81</v>
          </cell>
          <cell r="O1765"/>
          <cell r="P1765"/>
          <cell r="Q1765"/>
          <cell r="R1765">
            <v>3.01</v>
          </cell>
          <cell r="S1765"/>
          <cell r="T1765"/>
          <cell r="U1765"/>
          <cell r="V1765">
            <v>15</v>
          </cell>
          <cell r="W1765" t="str">
            <v>this bulk easy to happen crepe problem.</v>
          </cell>
          <cell r="X1765" t="str">
            <v>ERMI</v>
          </cell>
          <cell r="Y1765" t="str">
            <v>ERMI O4-OCT</v>
          </cell>
          <cell r="Z1765" t="str">
            <v>CHRITINA ' S MAIL 7/10/17</v>
          </cell>
          <cell r="AA1765"/>
          <cell r="AB1765">
            <v>43015</v>
          </cell>
          <cell r="AC1765">
            <v>3636</v>
          </cell>
        </row>
        <row r="1766">
          <cell r="B1766">
            <v>3635</v>
          </cell>
          <cell r="C1766" t="str">
            <v>FTR15085</v>
          </cell>
          <cell r="D1766" t="str">
            <v>tailoring</v>
          </cell>
          <cell r="E1766" t="str">
            <v>102x84</v>
          </cell>
          <cell r="F1766" t="str">
            <v>T/R/ 80/20</v>
          </cell>
          <cell r="G1766" t="str">
            <v>80% POLYETSER 20% RAYON</v>
          </cell>
          <cell r="H1766" t="str">
            <v>58/59</v>
          </cell>
          <cell r="I1766">
            <v>158</v>
          </cell>
          <cell r="J1766">
            <v>1.58</v>
          </cell>
          <cell r="K1766"/>
          <cell r="L1766">
            <v>1.62</v>
          </cell>
          <cell r="M1766"/>
          <cell r="N1766">
            <v>1.64</v>
          </cell>
          <cell r="O1766"/>
          <cell r="P1766"/>
          <cell r="Q1766"/>
          <cell r="R1766">
            <v>1.85</v>
          </cell>
          <cell r="S1766"/>
          <cell r="T1766"/>
          <cell r="U1766"/>
          <cell r="V1766">
            <v>15</v>
          </cell>
          <cell r="W1766"/>
          <cell r="X1766" t="str">
            <v>ERMI</v>
          </cell>
          <cell r="Y1766" t="str">
            <v>ERMI O4-OCT</v>
          </cell>
          <cell r="Z1766" t="str">
            <v>CHRITINA ' S MAIL 7/10/17</v>
          </cell>
          <cell r="AA1766"/>
          <cell r="AB1766">
            <v>43015</v>
          </cell>
          <cell r="AC1766">
            <v>3635</v>
          </cell>
        </row>
        <row r="1767">
          <cell r="B1767">
            <v>3634</v>
          </cell>
          <cell r="C1767" t="str">
            <v>FTR17074</v>
          </cell>
          <cell r="D1767" t="str">
            <v>tailoring</v>
          </cell>
          <cell r="E1767" t="str">
            <v>100D+21S/1+50D</v>
          </cell>
          <cell r="F1767" t="str">
            <v>T/R 87/13</v>
          </cell>
          <cell r="G1767" t="str">
            <v>87% POLYESTER 13% RAYON</v>
          </cell>
          <cell r="H1767" t="str">
            <v>180CM</v>
          </cell>
          <cell r="I1767">
            <v>190</v>
          </cell>
          <cell r="J1767">
            <v>3.15</v>
          </cell>
          <cell r="K1767"/>
          <cell r="L1767">
            <v>3.19</v>
          </cell>
          <cell r="M1767"/>
          <cell r="N1767">
            <v>3.22</v>
          </cell>
          <cell r="O1767"/>
          <cell r="P1767"/>
          <cell r="Q1767"/>
          <cell r="R1767">
            <v>3.43</v>
          </cell>
          <cell r="S1767"/>
          <cell r="T1767"/>
          <cell r="U1767"/>
          <cell r="V1767">
            <v>15</v>
          </cell>
          <cell r="W1767"/>
          <cell r="X1767" t="str">
            <v>ERMI</v>
          </cell>
          <cell r="Y1767" t="str">
            <v>ERMI O4-OCT</v>
          </cell>
          <cell r="Z1767" t="str">
            <v>CHRITINA ' S MAIL 7/10/17</v>
          </cell>
          <cell r="AA1767"/>
          <cell r="AB1767">
            <v>43015</v>
          </cell>
          <cell r="AC1767">
            <v>3634</v>
          </cell>
        </row>
        <row r="1768">
          <cell r="B1768">
            <v>3633</v>
          </cell>
          <cell r="C1768" t="str">
            <v>FTR17075</v>
          </cell>
          <cell r="D1768" t="str">
            <v>tailoring</v>
          </cell>
          <cell r="E1768" t="str">
            <v>100D+21S/1+50D</v>
          </cell>
          <cell r="F1768" t="str">
            <v>T/R 87/13</v>
          </cell>
          <cell r="G1768" t="str">
            <v>87% POLYESTER 13% RAYON</v>
          </cell>
          <cell r="H1768" t="str">
            <v>180CM</v>
          </cell>
          <cell r="I1768">
            <v>203</v>
          </cell>
          <cell r="J1768">
            <v>3.15</v>
          </cell>
          <cell r="K1768"/>
          <cell r="L1768">
            <v>3.19</v>
          </cell>
          <cell r="M1768"/>
          <cell r="N1768">
            <v>3.22</v>
          </cell>
          <cell r="O1768"/>
          <cell r="P1768"/>
          <cell r="Q1768"/>
          <cell r="R1768">
            <v>3.43</v>
          </cell>
          <cell r="S1768"/>
          <cell r="T1768"/>
          <cell r="U1768"/>
          <cell r="V1768">
            <v>15</v>
          </cell>
          <cell r="W1768"/>
          <cell r="X1768" t="str">
            <v>ERMI</v>
          </cell>
          <cell r="Y1768" t="str">
            <v>ERMI O4-OCT</v>
          </cell>
          <cell r="Z1768" t="str">
            <v>CHRITINA ' S MAIL 7/10/17</v>
          </cell>
          <cell r="AA1768"/>
          <cell r="AB1768">
            <v>43015</v>
          </cell>
          <cell r="AC1768">
            <v>3633</v>
          </cell>
        </row>
        <row r="1769">
          <cell r="B1769">
            <v>3626</v>
          </cell>
          <cell r="C1769" t="str">
            <v>TS-389</v>
          </cell>
          <cell r="D1769"/>
          <cell r="E1769"/>
          <cell r="F1769" t="str">
            <v>T/S-4WAY 95/5</v>
          </cell>
          <cell r="G1769" t="str">
            <v xml:space="preserve">95/5 POLY 4-WAY SPANDEX </v>
          </cell>
          <cell r="H1769" t="str">
            <v>57/58</v>
          </cell>
          <cell r="I1769">
            <v>240</v>
          </cell>
          <cell r="J1769">
            <v>2.11</v>
          </cell>
          <cell r="K1769">
            <v>2.2400000000000002</v>
          </cell>
          <cell r="L1769">
            <v>2.13</v>
          </cell>
          <cell r="M1769">
            <v>2.27</v>
          </cell>
          <cell r="N1769">
            <v>2.15</v>
          </cell>
          <cell r="O1769">
            <v>2.2999999999999998</v>
          </cell>
          <cell r="P1769"/>
          <cell r="Q1769"/>
          <cell r="R1769">
            <v>2.2999999999999998</v>
          </cell>
          <cell r="S1769">
            <v>2.5499999999999998</v>
          </cell>
          <cell r="T1769"/>
          <cell r="U1769"/>
          <cell r="V1769">
            <v>15</v>
          </cell>
          <cell r="W1769"/>
          <cell r="X1769" t="str">
            <v>GAVIN</v>
          </cell>
          <cell r="Y1769" t="str">
            <v>GAVIN 4-OCT</v>
          </cell>
          <cell r="Z1769" t="str">
            <v>GAVIN ' MAIL 7/10/17</v>
          </cell>
          <cell r="AA1769"/>
          <cell r="AB1769">
            <v>43015</v>
          </cell>
          <cell r="AC1769">
            <v>3626</v>
          </cell>
        </row>
        <row r="1770">
          <cell r="B1770">
            <v>3625</v>
          </cell>
          <cell r="C1770" t="str">
            <v>TS-390</v>
          </cell>
          <cell r="D1770"/>
          <cell r="E1770"/>
          <cell r="F1770" t="str">
            <v xml:space="preserve">V 100% </v>
          </cell>
          <cell r="G1770" t="str">
            <v xml:space="preserve">100% VISCOSE </v>
          </cell>
          <cell r="H1770" t="str">
            <v>57/58</v>
          </cell>
          <cell r="I1770"/>
          <cell r="J1770">
            <v>3.26</v>
          </cell>
          <cell r="K1770">
            <v>3.74</v>
          </cell>
          <cell r="L1770">
            <v>3.28</v>
          </cell>
          <cell r="M1770">
            <v>3.77</v>
          </cell>
          <cell r="N1770">
            <v>3.3</v>
          </cell>
          <cell r="O1770">
            <v>3.8</v>
          </cell>
          <cell r="P1770"/>
          <cell r="Q1770"/>
          <cell r="R1770"/>
          <cell r="S1770"/>
          <cell r="T1770"/>
          <cell r="U1770"/>
          <cell r="V1770">
            <v>15</v>
          </cell>
          <cell r="W1770" t="str">
            <v>MOQ 3,000</v>
          </cell>
          <cell r="X1770" t="str">
            <v>GAVIN</v>
          </cell>
          <cell r="Y1770" t="str">
            <v>GAVIN 4-OCT</v>
          </cell>
          <cell r="Z1770" t="str">
            <v>GAVIN ' MAIL 7/10/19</v>
          </cell>
          <cell r="AA1770"/>
          <cell r="AB1770">
            <v>43015</v>
          </cell>
          <cell r="AC1770">
            <v>3625</v>
          </cell>
        </row>
        <row r="1771">
          <cell r="B1771">
            <v>3624</v>
          </cell>
          <cell r="C1771" t="str">
            <v>TS-392</v>
          </cell>
          <cell r="D1771"/>
          <cell r="E1771"/>
          <cell r="F1771" t="str">
            <v>T 100%</v>
          </cell>
          <cell r="G1771" t="str">
            <v xml:space="preserve">100% POLYESTER </v>
          </cell>
          <cell r="H1771" t="str">
            <v>57/58</v>
          </cell>
          <cell r="I1771"/>
          <cell r="J1771">
            <v>1.01</v>
          </cell>
          <cell r="K1771">
            <v>1.19</v>
          </cell>
          <cell r="L1771">
            <v>1.03</v>
          </cell>
          <cell r="M1771">
            <v>1.22</v>
          </cell>
          <cell r="N1771">
            <v>1.05</v>
          </cell>
          <cell r="O1771">
            <v>1.25</v>
          </cell>
          <cell r="P1771"/>
          <cell r="Q1771"/>
          <cell r="R1771">
            <v>1.2</v>
          </cell>
          <cell r="S1771">
            <v>1.5</v>
          </cell>
          <cell r="T1771"/>
          <cell r="U1771"/>
          <cell r="V1771">
            <v>15</v>
          </cell>
          <cell r="W1771"/>
          <cell r="X1771" t="str">
            <v>GAVIN</v>
          </cell>
          <cell r="Y1771" t="str">
            <v>GAVIN 4-OCT</v>
          </cell>
          <cell r="Z1771" t="str">
            <v>GAVIN ' MAIL 7/10/18</v>
          </cell>
          <cell r="AA1771"/>
          <cell r="AB1771">
            <v>43015</v>
          </cell>
          <cell r="AC1771">
            <v>3624</v>
          </cell>
        </row>
        <row r="1772">
          <cell r="B1772">
            <v>3623</v>
          </cell>
          <cell r="C1772" t="str">
            <v>TS-388</v>
          </cell>
          <cell r="D1772"/>
          <cell r="E1772"/>
          <cell r="F1772" t="str">
            <v>T 100%</v>
          </cell>
          <cell r="G1772" t="str">
            <v xml:space="preserve">100% POLYESTER </v>
          </cell>
          <cell r="H1772" t="str">
            <v>57/58</v>
          </cell>
          <cell r="I1772"/>
          <cell r="J1772">
            <v>1.29</v>
          </cell>
          <cell r="K1772">
            <v>1.44</v>
          </cell>
          <cell r="L1772">
            <v>1.31</v>
          </cell>
          <cell r="M1772">
            <v>1.47</v>
          </cell>
          <cell r="N1772">
            <v>1.33</v>
          </cell>
          <cell r="O1772">
            <v>1.5</v>
          </cell>
          <cell r="P1772"/>
          <cell r="Q1772"/>
          <cell r="R1772">
            <v>1.48</v>
          </cell>
          <cell r="S1772">
            <v>1.75</v>
          </cell>
          <cell r="T1772"/>
          <cell r="U1772"/>
          <cell r="V1772">
            <v>15</v>
          </cell>
          <cell r="W1772"/>
          <cell r="X1772" t="str">
            <v>GAVIN</v>
          </cell>
          <cell r="Y1772" t="str">
            <v>GAVIN 4-OCT</v>
          </cell>
          <cell r="Z1772" t="str">
            <v>GAVIN ' MAIL 7/10/17</v>
          </cell>
          <cell r="AA1772"/>
          <cell r="AB1772">
            <v>43015</v>
          </cell>
          <cell r="AC1772">
            <v>3623</v>
          </cell>
        </row>
        <row r="1773">
          <cell r="B1773">
            <v>3600</v>
          </cell>
          <cell r="C1773" t="str">
            <v>TS-395</v>
          </cell>
          <cell r="D1773" t="str">
            <v>TC POPLIN</v>
          </cell>
          <cell r="E1773" t="str">
            <v>45x45 / 110x76</v>
          </cell>
          <cell r="F1773" t="str">
            <v>T/C 65/35</v>
          </cell>
          <cell r="G1773" t="str">
            <v>65% POLYESTER 35% COTTON</v>
          </cell>
          <cell r="H1773" t="str">
            <v>57/58</v>
          </cell>
          <cell r="I1773">
            <v>100</v>
          </cell>
          <cell r="J1773">
            <v>1.26</v>
          </cell>
          <cell r="K1773">
            <v>1.42</v>
          </cell>
          <cell r="L1773">
            <v>1.28</v>
          </cell>
          <cell r="M1773">
            <v>1.45</v>
          </cell>
          <cell r="N1773">
            <v>1.3</v>
          </cell>
          <cell r="O1773">
            <v>1.48</v>
          </cell>
          <cell r="P1773"/>
          <cell r="Q1773"/>
          <cell r="R1773">
            <v>1.45</v>
          </cell>
          <cell r="S1773">
            <v>1.73</v>
          </cell>
          <cell r="T1773"/>
          <cell r="U1773"/>
          <cell r="V1773">
            <v>15</v>
          </cell>
          <cell r="W1773"/>
          <cell r="X1773" t="str">
            <v>GAVIN</v>
          </cell>
          <cell r="Y1773" t="str">
            <v>GAVIN 6-OCT</v>
          </cell>
          <cell r="Z1773" t="str">
            <v>GAVIN 'MAIL 7/10/17</v>
          </cell>
          <cell r="AA1773"/>
          <cell r="AB1773">
            <v>43015</v>
          </cell>
          <cell r="AC1773">
            <v>3600</v>
          </cell>
        </row>
        <row r="1774">
          <cell r="B1774">
            <v>3398</v>
          </cell>
          <cell r="C1774" t="str">
            <v>BG3350</v>
          </cell>
          <cell r="D1774"/>
          <cell r="E1774"/>
          <cell r="F1774" t="str">
            <v>TENCEL 100%</v>
          </cell>
          <cell r="G1774" t="str">
            <v xml:space="preserve">100% TENCEL </v>
          </cell>
          <cell r="H1774" t="str">
            <v>54/55</v>
          </cell>
          <cell r="I1774">
            <v>167</v>
          </cell>
          <cell r="J1774">
            <v>3.3</v>
          </cell>
          <cell r="K1774">
            <v>4.0999999999999996</v>
          </cell>
          <cell r="L1774">
            <v>3.35</v>
          </cell>
          <cell r="M1774">
            <v>4.1500000000000004</v>
          </cell>
          <cell r="N1774">
            <v>3.4</v>
          </cell>
          <cell r="O1774">
            <v>4.2</v>
          </cell>
          <cell r="P1774"/>
          <cell r="Q1774"/>
          <cell r="R1774">
            <v>3.6</v>
          </cell>
          <cell r="S1774">
            <v>4.7</v>
          </cell>
          <cell r="T1774"/>
          <cell r="U1774"/>
          <cell r="V1774">
            <v>15</v>
          </cell>
          <cell r="W1774"/>
          <cell r="X1774" t="str">
            <v>EDWIN</v>
          </cell>
          <cell r="Y1774" t="str">
            <v>EDWIN 7-OCT</v>
          </cell>
          <cell r="Z1774" t="str">
            <v>EDWIN ' MAIL 7/10/17</v>
          </cell>
          <cell r="AA1774"/>
          <cell r="AB1774">
            <v>43015</v>
          </cell>
          <cell r="AC1774">
            <v>3398</v>
          </cell>
        </row>
        <row r="1775">
          <cell r="B1775">
            <v>3225</v>
          </cell>
          <cell r="C1775" t="str">
            <v>TS-340</v>
          </cell>
          <cell r="D1775" t="str">
            <v>PLEAT METALLIC</v>
          </cell>
          <cell r="E1775"/>
          <cell r="F1775" t="str">
            <v>T/METALIC 50/50</v>
          </cell>
          <cell r="G1775" t="str">
            <v xml:space="preserve">50% POLYESTER 50% METALLIC </v>
          </cell>
          <cell r="H1775" t="str">
            <v>57/58</v>
          </cell>
          <cell r="I1775">
            <v>65</v>
          </cell>
          <cell r="J1775">
            <v>1.51</v>
          </cell>
          <cell r="K1775">
            <v>1.84</v>
          </cell>
          <cell r="L1775">
            <v>1.53</v>
          </cell>
          <cell r="M1775">
            <v>1.87</v>
          </cell>
          <cell r="N1775">
            <v>1.55</v>
          </cell>
          <cell r="O1775">
            <v>1.9</v>
          </cell>
          <cell r="P1775"/>
          <cell r="Q1775"/>
          <cell r="R1775">
            <v>1.7</v>
          </cell>
          <cell r="S1775">
            <v>2.15</v>
          </cell>
          <cell r="T1775"/>
          <cell r="U1775"/>
          <cell r="V1775"/>
          <cell r="W1775"/>
          <cell r="X1775" t="str">
            <v>GAVIN</v>
          </cell>
          <cell r="Y1775" t="str">
            <v>GAVIN 7-OCT</v>
          </cell>
          <cell r="Z1775" t="str">
            <v>GAVIN ' MAIL 7/10/19</v>
          </cell>
          <cell r="AA1775"/>
          <cell r="AB1775">
            <v>43015</v>
          </cell>
          <cell r="AC1775">
            <v>3225</v>
          </cell>
        </row>
        <row r="1776">
          <cell r="B1776">
            <v>3182</v>
          </cell>
          <cell r="C1776" t="str">
            <v>TS-337</v>
          </cell>
          <cell r="D1776" t="str">
            <v>POLY SATEEN</v>
          </cell>
          <cell r="E1776"/>
          <cell r="F1776" t="str">
            <v>T/S 95/5</v>
          </cell>
          <cell r="G1776" t="str">
            <v>95% POLYESTER 5% SPANDEX</v>
          </cell>
          <cell r="H1776" t="str">
            <v>57/58</v>
          </cell>
          <cell r="I1776">
            <v>95</v>
          </cell>
          <cell r="J1776">
            <v>1.08</v>
          </cell>
          <cell r="K1776">
            <v>1.26</v>
          </cell>
          <cell r="L1776">
            <v>1.1000000000000001</v>
          </cell>
          <cell r="M1776">
            <v>1.29</v>
          </cell>
          <cell r="N1776">
            <v>1.1200000000000001</v>
          </cell>
          <cell r="O1776">
            <v>1.32</v>
          </cell>
          <cell r="P1776"/>
          <cell r="Q1776"/>
          <cell r="R1776">
            <v>1.27</v>
          </cell>
          <cell r="S1776">
            <v>1.57</v>
          </cell>
          <cell r="T1776"/>
          <cell r="U1776"/>
          <cell r="V1776"/>
          <cell r="W1776"/>
          <cell r="X1776" t="str">
            <v>GAVIN</v>
          </cell>
          <cell r="Y1776" t="str">
            <v>GAVIN 6-OCT</v>
          </cell>
          <cell r="Z1776" t="str">
            <v>GAVIN 'MAIL 7/10/17</v>
          </cell>
          <cell r="AA1776"/>
          <cell r="AB1776">
            <v>43015</v>
          </cell>
          <cell r="AC1776">
            <v>3182</v>
          </cell>
        </row>
        <row r="1777">
          <cell r="B1777">
            <v>2619</v>
          </cell>
          <cell r="C1777" t="str">
            <v>TS-317</v>
          </cell>
          <cell r="D1777"/>
          <cell r="E1777" t="str">
            <v>70Dx21'S</v>
          </cell>
          <cell r="F1777" t="str">
            <v>C/N 66/34</v>
          </cell>
          <cell r="G1777" t="str">
            <v>66% COTTON 34% NYLON</v>
          </cell>
          <cell r="H1777" t="str">
            <v>57/58</v>
          </cell>
          <cell r="I1777">
            <v>160</v>
          </cell>
          <cell r="J1777">
            <v>1.84</v>
          </cell>
          <cell r="K1777">
            <v>2.15</v>
          </cell>
          <cell r="L1777">
            <v>1.86</v>
          </cell>
          <cell r="M1777">
            <v>2.1800000000000002</v>
          </cell>
          <cell r="N1777">
            <v>1.88</v>
          </cell>
          <cell r="O1777">
            <v>2.21</v>
          </cell>
          <cell r="P1777"/>
          <cell r="Q1777"/>
          <cell r="R1777">
            <v>2.0299999999999998</v>
          </cell>
          <cell r="S1777">
            <v>2.46</v>
          </cell>
          <cell r="T1777"/>
          <cell r="U1777"/>
          <cell r="V1777"/>
          <cell r="W1777"/>
          <cell r="X1777" t="str">
            <v>GAVIN</v>
          </cell>
          <cell r="Y1777" t="str">
            <v>GAVIN 7-OCT</v>
          </cell>
          <cell r="Z1777" t="str">
            <v>GAVIN ' MAIL 7/10/18</v>
          </cell>
          <cell r="AA1777"/>
          <cell r="AB1777">
            <v>43015</v>
          </cell>
          <cell r="AC1777">
            <v>2619</v>
          </cell>
        </row>
        <row r="1778">
          <cell r="B1778">
            <v>2357</v>
          </cell>
          <cell r="C1778" t="str">
            <v>SL-098</v>
          </cell>
          <cell r="D1778"/>
          <cell r="E1778"/>
          <cell r="F1778" t="str">
            <v>T/S 96/4</v>
          </cell>
          <cell r="G1778" t="str">
            <v>96% POLYESTER 4% SPANDEX</v>
          </cell>
          <cell r="H1778" t="str">
            <v>57/58</v>
          </cell>
          <cell r="I1778">
            <v>95</v>
          </cell>
          <cell r="J1778">
            <v>1.71</v>
          </cell>
          <cell r="K1778"/>
          <cell r="L1778">
            <v>1.73</v>
          </cell>
          <cell r="M1778"/>
          <cell r="N1778">
            <v>1.75</v>
          </cell>
          <cell r="O1778"/>
          <cell r="P1778"/>
          <cell r="Q1778"/>
          <cell r="R1778"/>
          <cell r="S1778"/>
          <cell r="T1778"/>
          <cell r="U1778"/>
          <cell r="V1778">
            <v>15</v>
          </cell>
          <cell r="W1778" t="str">
            <v>MOQ 3,000</v>
          </cell>
          <cell r="X1778" t="str">
            <v>GAVIN</v>
          </cell>
          <cell r="Y1778" t="str">
            <v>GAVIN 7-OCT</v>
          </cell>
          <cell r="Z1778" t="str">
            <v>GAVIN ' MAIL 7/10/21</v>
          </cell>
          <cell r="AA1778"/>
          <cell r="AB1778">
            <v>43015</v>
          </cell>
          <cell r="AC1778">
            <v>2357</v>
          </cell>
        </row>
        <row r="1779">
          <cell r="B1779">
            <v>342</v>
          </cell>
          <cell r="C1779" t="str">
            <v>TS-089</v>
          </cell>
          <cell r="D1779"/>
          <cell r="E1779"/>
          <cell r="F1779" t="str">
            <v>C/N/S 66/31/3</v>
          </cell>
          <cell r="G1779" t="str">
            <v>66% COTTON 31% NYLON 3% SPANDEX</v>
          </cell>
          <cell r="H1779" t="str">
            <v>57/58</v>
          </cell>
          <cell r="I1779">
            <v>107</v>
          </cell>
          <cell r="J1779">
            <v>1.68</v>
          </cell>
          <cell r="K1779">
            <v>1.79</v>
          </cell>
          <cell r="L1779">
            <v>1.7</v>
          </cell>
          <cell r="M1779">
            <v>1.82</v>
          </cell>
          <cell r="N1779">
            <v>1.72</v>
          </cell>
          <cell r="O1779">
            <v>1.85</v>
          </cell>
          <cell r="P1779"/>
          <cell r="Q1779"/>
          <cell r="R1779">
            <v>1.87</v>
          </cell>
          <cell r="S1779">
            <v>2.12</v>
          </cell>
          <cell r="T1779"/>
          <cell r="U1779"/>
          <cell r="V1779">
            <v>15</v>
          </cell>
          <cell r="W1779"/>
          <cell r="X1779" t="str">
            <v>GAVIN</v>
          </cell>
          <cell r="Y1779" t="str">
            <v>GAVIN 7-OCT</v>
          </cell>
          <cell r="Z1779" t="str">
            <v>GAVIN ' MAIL 7/10/20</v>
          </cell>
          <cell r="AA1779"/>
          <cell r="AB1779">
            <v>43015</v>
          </cell>
          <cell r="AC1779">
            <v>342</v>
          </cell>
        </row>
        <row r="1780">
          <cell r="B1780"/>
          <cell r="C1780" t="str">
            <v>WW-20599</v>
          </cell>
          <cell r="D1780"/>
          <cell r="E1780"/>
          <cell r="F1780" t="str">
            <v>T100%</v>
          </cell>
          <cell r="G1780" t="str">
            <v>100% POLYESTER</v>
          </cell>
          <cell r="H1780" t="str">
            <v>57/58</v>
          </cell>
          <cell r="I1780">
            <v>50</v>
          </cell>
          <cell r="J1780">
            <v>0.95</v>
          </cell>
          <cell r="K1780">
            <v>1.2</v>
          </cell>
          <cell r="L1780">
            <v>0.95</v>
          </cell>
          <cell r="M1780">
            <v>1.2</v>
          </cell>
          <cell r="N1780">
            <v>1.05</v>
          </cell>
          <cell r="O1780">
            <v>1.32</v>
          </cell>
          <cell r="P1780"/>
          <cell r="Q1780"/>
          <cell r="R1780">
            <v>1.1499999999999999</v>
          </cell>
          <cell r="S1780">
            <v>1.45</v>
          </cell>
          <cell r="T1780"/>
          <cell r="U1780"/>
          <cell r="V1780"/>
          <cell r="W1780"/>
          <cell r="X1780" t="str">
            <v>PANI</v>
          </cell>
          <cell r="Y1780" t="str">
            <v>PANI 2-OCT</v>
          </cell>
          <cell r="Z1780" t="str">
            <v>AMY ' MAIL 7/10/17</v>
          </cell>
          <cell r="AA1780"/>
          <cell r="AB1780">
            <v>43015</v>
          </cell>
          <cell r="AC1780"/>
        </row>
        <row r="1781">
          <cell r="B1781"/>
          <cell r="C1781" t="str">
            <v>KPK-22352</v>
          </cell>
          <cell r="D1781"/>
          <cell r="E1781"/>
          <cell r="F1781" t="str">
            <v>T/C 65/35</v>
          </cell>
          <cell r="G1781" t="str">
            <v>65% POLYESTER 35% COTTON</v>
          </cell>
          <cell r="H1781" t="str">
            <v>55/56</v>
          </cell>
          <cell r="I1781">
            <v>85</v>
          </cell>
          <cell r="J1781"/>
          <cell r="K1781">
            <v>2.2999999999999998</v>
          </cell>
          <cell r="L1781"/>
          <cell r="M1781">
            <v>2.2999999999999998</v>
          </cell>
          <cell r="N1781"/>
          <cell r="O1781">
            <v>2.5299999999999998</v>
          </cell>
          <cell r="P1781"/>
          <cell r="Q1781"/>
          <cell r="R1781"/>
          <cell r="S1781">
            <v>2.78</v>
          </cell>
          <cell r="T1781"/>
          <cell r="U1781"/>
          <cell r="V1781"/>
          <cell r="W1781"/>
          <cell r="X1781" t="str">
            <v>PANI</v>
          </cell>
          <cell r="Y1781" t="str">
            <v>PANI 2-OCT</v>
          </cell>
          <cell r="Z1781" t="str">
            <v>AMY ' MAIL 7/10/17</v>
          </cell>
          <cell r="AA1781"/>
          <cell r="AB1781">
            <v>43015</v>
          </cell>
          <cell r="AC1781"/>
        </row>
        <row r="1782">
          <cell r="B1782"/>
          <cell r="C1782" t="str">
            <v>TS-393</v>
          </cell>
          <cell r="D1782"/>
          <cell r="E1782"/>
          <cell r="F1782" t="str">
            <v>T/C 80/20 Y/D</v>
          </cell>
          <cell r="G1782" t="str">
            <v>80% POLYESTER 20% COTTON ( Y/D )</v>
          </cell>
          <cell r="H1782" t="str">
            <v>57/58</v>
          </cell>
          <cell r="I1782"/>
          <cell r="J1782">
            <v>1.26</v>
          </cell>
          <cell r="K1782"/>
          <cell r="L1782">
            <v>1.28</v>
          </cell>
          <cell r="M1782"/>
          <cell r="N1782">
            <v>1.3</v>
          </cell>
          <cell r="O1782"/>
          <cell r="P1782"/>
          <cell r="Q1782"/>
          <cell r="R1782"/>
          <cell r="S1782"/>
          <cell r="T1782"/>
          <cell r="U1782"/>
          <cell r="V1782"/>
          <cell r="W1782"/>
          <cell r="X1782" t="str">
            <v>GAVIN</v>
          </cell>
          <cell r="Y1782" t="str">
            <v>GAVIN 4-OCT</v>
          </cell>
          <cell r="Z1782" t="str">
            <v>GAVIN ' MAIL 7/10/17</v>
          </cell>
          <cell r="AA1782"/>
          <cell r="AB1782">
            <v>43015</v>
          </cell>
          <cell r="AC1782">
            <v>0</v>
          </cell>
        </row>
        <row r="1783">
          <cell r="B1783"/>
          <cell r="C1783" t="str">
            <v>TS-393</v>
          </cell>
          <cell r="D1783"/>
          <cell r="E1783"/>
          <cell r="F1783" t="str">
            <v>T/C 80/20 Y/D + EMB</v>
          </cell>
          <cell r="G1783" t="str">
            <v>80% POLYESTER 20% COTTON ( Y/D ) + EMB</v>
          </cell>
          <cell r="H1783" t="str">
            <v>55/56</v>
          </cell>
          <cell r="I1783"/>
          <cell r="J1783">
            <v>1.83</v>
          </cell>
          <cell r="K1783"/>
          <cell r="L1783">
            <v>1.85</v>
          </cell>
          <cell r="M1783"/>
          <cell r="N1783">
            <v>1.87</v>
          </cell>
          <cell r="O1783"/>
          <cell r="P1783"/>
          <cell r="Q1783"/>
          <cell r="R1783"/>
          <cell r="S1783"/>
          <cell r="T1783"/>
          <cell r="U1783"/>
          <cell r="V1783"/>
          <cell r="W1783"/>
          <cell r="X1783" t="str">
            <v>GAVIN</v>
          </cell>
          <cell r="Y1783" t="str">
            <v>GAVIN 4-OCT</v>
          </cell>
          <cell r="Z1783" t="str">
            <v>GAVIN ' MAIL 7/10/17</v>
          </cell>
          <cell r="AA1783"/>
          <cell r="AB1783">
            <v>43015</v>
          </cell>
          <cell r="AC1783">
            <v>0</v>
          </cell>
        </row>
        <row r="1784">
          <cell r="B1784"/>
          <cell r="C1784" t="str">
            <v>TS-394</v>
          </cell>
          <cell r="D1784"/>
          <cell r="E1784"/>
          <cell r="F1784" t="str">
            <v>C 100% Y/D</v>
          </cell>
          <cell r="G1784" t="str">
            <v>100% COTTON Y/D</v>
          </cell>
          <cell r="H1784" t="str">
            <v>57/58</v>
          </cell>
          <cell r="I1784"/>
          <cell r="J1784">
            <v>1.98</v>
          </cell>
          <cell r="K1784"/>
          <cell r="L1784">
            <v>2</v>
          </cell>
          <cell r="M1784"/>
          <cell r="N1784">
            <v>2.02</v>
          </cell>
          <cell r="O1784"/>
          <cell r="P1784"/>
          <cell r="Q1784"/>
          <cell r="R1784"/>
          <cell r="S1784"/>
          <cell r="T1784"/>
          <cell r="U1784"/>
          <cell r="V1784"/>
          <cell r="W1784"/>
          <cell r="X1784" t="str">
            <v>GAVIN</v>
          </cell>
          <cell r="Y1784" t="str">
            <v>GAVIN 4-OCT</v>
          </cell>
          <cell r="Z1784" t="str">
            <v>GAVIN ' MAIL 7/10/17</v>
          </cell>
          <cell r="AA1784"/>
          <cell r="AB1784">
            <v>43015</v>
          </cell>
          <cell r="AC1784">
            <v>0</v>
          </cell>
        </row>
        <row r="1785">
          <cell r="B1785">
            <v>3920</v>
          </cell>
          <cell r="C1785" t="str">
            <v>TY-135</v>
          </cell>
          <cell r="D1785" t="str">
            <v>TAILORING</v>
          </cell>
          <cell r="E1785"/>
          <cell r="F1785" t="str">
            <v>T/LUREX 95/5</v>
          </cell>
          <cell r="G1785" t="str">
            <v>95% POLY 5% LUREX</v>
          </cell>
          <cell r="H1785" t="str">
            <v>57/58</v>
          </cell>
          <cell r="I1785">
            <v>320</v>
          </cell>
          <cell r="J1785">
            <v>4.1500000000000004</v>
          </cell>
          <cell r="K1785"/>
          <cell r="L1785">
            <v>4.2</v>
          </cell>
          <cell r="M1785"/>
          <cell r="N1785">
            <v>4.2</v>
          </cell>
          <cell r="O1785"/>
          <cell r="P1785"/>
          <cell r="Q1785"/>
          <cell r="R1785">
            <v>4.75</v>
          </cell>
          <cell r="S1785"/>
          <cell r="T1785"/>
          <cell r="U1785"/>
          <cell r="V1785">
            <v>15</v>
          </cell>
          <cell r="W1785"/>
          <cell r="X1785" t="str">
            <v>LIVALTEX</v>
          </cell>
          <cell r="Y1785">
            <v>1006</v>
          </cell>
          <cell r="Z1785" t="str">
            <v>ROSE' MAIL 6/10/17</v>
          </cell>
          <cell r="AA1785"/>
          <cell r="AB1785">
            <v>43014</v>
          </cell>
          <cell r="AC1785">
            <v>3920</v>
          </cell>
        </row>
        <row r="1786">
          <cell r="B1786">
            <v>3622</v>
          </cell>
          <cell r="C1786" t="str">
            <v>SYS-406A</v>
          </cell>
          <cell r="D1786"/>
          <cell r="E1786"/>
          <cell r="F1786" t="str">
            <v>T/R/S 68/28/4</v>
          </cell>
          <cell r="G1786" t="str">
            <v>68% POLY 28% RAYON 4% SPANDEX</v>
          </cell>
          <cell r="H1786" t="str">
            <v>56/57</v>
          </cell>
          <cell r="I1786">
            <v>400</v>
          </cell>
          <cell r="J1786">
            <v>4.8499999999999996</v>
          </cell>
          <cell r="K1786"/>
          <cell r="L1786">
            <v>4.9000000000000004</v>
          </cell>
          <cell r="M1786"/>
          <cell r="N1786">
            <v>4.9000000000000004</v>
          </cell>
          <cell r="O1786"/>
          <cell r="P1786"/>
          <cell r="Q1786"/>
          <cell r="R1786">
            <v>5.45</v>
          </cell>
          <cell r="S1786"/>
          <cell r="T1786"/>
          <cell r="U1786"/>
          <cell r="V1786">
            <v>15</v>
          </cell>
          <cell r="W1786"/>
          <cell r="X1786" t="str">
            <v>LIVALTEX</v>
          </cell>
          <cell r="Y1786">
            <v>1006</v>
          </cell>
          <cell r="Z1786" t="str">
            <v>ROSE' MAIL 6/10/17</v>
          </cell>
          <cell r="AA1786"/>
          <cell r="AB1786">
            <v>43014</v>
          </cell>
          <cell r="AC1786">
            <v>3622</v>
          </cell>
        </row>
        <row r="1787">
          <cell r="B1787">
            <v>3621</v>
          </cell>
          <cell r="C1787" t="str">
            <v>SYS-405A</v>
          </cell>
          <cell r="D1787"/>
          <cell r="E1787"/>
          <cell r="F1787" t="str">
            <v>T/R/S 75/23/2</v>
          </cell>
          <cell r="G1787" t="str">
            <v>75% POLY 23% RAYON 2% SPANDEX</v>
          </cell>
          <cell r="H1787" t="str">
            <v>56/57</v>
          </cell>
          <cell r="I1787">
            <v>365</v>
          </cell>
          <cell r="J1787">
            <v>4.5999999999999996</v>
          </cell>
          <cell r="K1787"/>
          <cell r="L1787">
            <v>4.6500000000000004</v>
          </cell>
          <cell r="M1787"/>
          <cell r="N1787">
            <v>4.6500000000000004</v>
          </cell>
          <cell r="O1787"/>
          <cell r="P1787"/>
          <cell r="Q1787"/>
          <cell r="R1787">
            <v>5.2</v>
          </cell>
          <cell r="S1787"/>
          <cell r="T1787"/>
          <cell r="U1787"/>
          <cell r="V1787">
            <v>15</v>
          </cell>
          <cell r="W1787"/>
          <cell r="X1787" t="str">
            <v>LIVALTEX</v>
          </cell>
          <cell r="Y1787">
            <v>1006</v>
          </cell>
          <cell r="Z1787" t="str">
            <v>ROSE' MAIL 6/10/17</v>
          </cell>
          <cell r="AA1787"/>
          <cell r="AB1787">
            <v>43014</v>
          </cell>
          <cell r="AC1787">
            <v>3621</v>
          </cell>
        </row>
        <row r="1788">
          <cell r="B1788">
            <v>3620</v>
          </cell>
          <cell r="C1788" t="str">
            <v>SYS-404A</v>
          </cell>
          <cell r="D1788"/>
          <cell r="E1788"/>
          <cell r="F1788" t="str">
            <v>T/R/S 65/32/3</v>
          </cell>
          <cell r="G1788" t="str">
            <v>65% POLY 32% RAYON 3% SPANDEX</v>
          </cell>
          <cell r="H1788" t="str">
            <v>56/57</v>
          </cell>
          <cell r="I1788">
            <v>395</v>
          </cell>
          <cell r="J1788">
            <v>4.8499999999999996</v>
          </cell>
          <cell r="K1788"/>
          <cell r="L1788">
            <v>4.9000000000000004</v>
          </cell>
          <cell r="M1788"/>
          <cell r="N1788">
            <v>4.9000000000000004</v>
          </cell>
          <cell r="O1788"/>
          <cell r="P1788"/>
          <cell r="Q1788"/>
          <cell r="R1788">
            <v>5.45</v>
          </cell>
          <cell r="S1788"/>
          <cell r="T1788"/>
          <cell r="U1788"/>
          <cell r="V1788">
            <v>15</v>
          </cell>
          <cell r="W1788"/>
          <cell r="X1788" t="str">
            <v>LIVALTEX</v>
          </cell>
          <cell r="Y1788">
            <v>1006</v>
          </cell>
          <cell r="Z1788" t="str">
            <v>ROSE' MAIL 6/10/17</v>
          </cell>
          <cell r="AA1788"/>
          <cell r="AB1788">
            <v>43014</v>
          </cell>
          <cell r="AC1788">
            <v>3620</v>
          </cell>
        </row>
        <row r="1789">
          <cell r="B1789">
            <v>3619</v>
          </cell>
          <cell r="C1789" t="str">
            <v>TS-592</v>
          </cell>
          <cell r="D1789"/>
          <cell r="E1789"/>
          <cell r="F1789" t="str">
            <v>T/S 97/3</v>
          </cell>
          <cell r="G1789" t="str">
            <v>97% POLY 3% SPANDEX</v>
          </cell>
          <cell r="H1789" t="str">
            <v>57/58</v>
          </cell>
          <cell r="I1789">
            <v>210</v>
          </cell>
          <cell r="J1789">
            <v>2.85</v>
          </cell>
          <cell r="K1789"/>
          <cell r="L1789">
            <v>2.89</v>
          </cell>
          <cell r="M1789"/>
          <cell r="N1789">
            <v>2.89</v>
          </cell>
          <cell r="O1789"/>
          <cell r="P1789"/>
          <cell r="Q1789"/>
          <cell r="R1789">
            <v>3.4</v>
          </cell>
          <cell r="S1789"/>
          <cell r="T1789"/>
          <cell r="U1789"/>
          <cell r="V1789">
            <v>15</v>
          </cell>
          <cell r="W1789"/>
          <cell r="X1789" t="str">
            <v>LIVALTEX</v>
          </cell>
          <cell r="Y1789">
            <v>1006</v>
          </cell>
          <cell r="Z1789" t="str">
            <v>ROSE' MAIL 6/10/17</v>
          </cell>
          <cell r="AA1789"/>
          <cell r="AB1789">
            <v>43014</v>
          </cell>
          <cell r="AC1789">
            <v>3619</v>
          </cell>
        </row>
        <row r="1790">
          <cell r="B1790">
            <v>3618</v>
          </cell>
          <cell r="C1790" t="str">
            <v>TS-591</v>
          </cell>
          <cell r="D1790"/>
          <cell r="E1790"/>
          <cell r="F1790" t="str">
            <v>T/S 95/5</v>
          </cell>
          <cell r="G1790" t="str">
            <v>95% POLY 5% SPANDEX</v>
          </cell>
          <cell r="H1790" t="str">
            <v>57/58</v>
          </cell>
          <cell r="I1790">
            <v>270</v>
          </cell>
          <cell r="J1790">
            <v>2.44</v>
          </cell>
          <cell r="K1790"/>
          <cell r="L1790">
            <v>2.48</v>
          </cell>
          <cell r="M1790"/>
          <cell r="N1790">
            <v>2.48</v>
          </cell>
          <cell r="O1790"/>
          <cell r="P1790"/>
          <cell r="Q1790"/>
          <cell r="R1790">
            <v>2.98</v>
          </cell>
          <cell r="S1790"/>
          <cell r="T1790"/>
          <cell r="U1790"/>
          <cell r="V1790">
            <v>15</v>
          </cell>
          <cell r="W1790"/>
          <cell r="X1790" t="str">
            <v>LIVALTEX</v>
          </cell>
          <cell r="Y1790">
            <v>1006</v>
          </cell>
          <cell r="Z1790" t="str">
            <v>ROSE' MAIL 6/10/17</v>
          </cell>
          <cell r="AA1790"/>
          <cell r="AB1790">
            <v>43014</v>
          </cell>
          <cell r="AC1790">
            <v>3618</v>
          </cell>
        </row>
        <row r="1791">
          <cell r="B1791">
            <v>3617</v>
          </cell>
          <cell r="C1791" t="str">
            <v>CYS-232</v>
          </cell>
          <cell r="D1791"/>
          <cell r="E1791"/>
          <cell r="F1791" t="str">
            <v>C/S 98/2</v>
          </cell>
          <cell r="G1791" t="str">
            <v>98% COTTON 2% SPANDEX</v>
          </cell>
          <cell r="H1791" t="str">
            <v>57/58</v>
          </cell>
          <cell r="I1791">
            <v>200</v>
          </cell>
          <cell r="J1791">
            <v>3.63</v>
          </cell>
          <cell r="K1791"/>
          <cell r="L1791">
            <v>3.68</v>
          </cell>
          <cell r="M1791"/>
          <cell r="N1791">
            <v>3.68</v>
          </cell>
          <cell r="O1791"/>
          <cell r="P1791"/>
          <cell r="Q1791"/>
          <cell r="R1791">
            <v>4.2300000000000004</v>
          </cell>
          <cell r="S1791"/>
          <cell r="T1791"/>
          <cell r="U1791"/>
          <cell r="V1791">
            <v>15</v>
          </cell>
          <cell r="W1791"/>
          <cell r="X1791" t="str">
            <v>LIVALTEX</v>
          </cell>
          <cell r="Y1791">
            <v>1006</v>
          </cell>
          <cell r="Z1791" t="str">
            <v>ROSE' MAIL 6/10/17</v>
          </cell>
          <cell r="AA1791"/>
          <cell r="AB1791">
            <v>43014</v>
          </cell>
          <cell r="AC1791">
            <v>3617</v>
          </cell>
        </row>
        <row r="1792">
          <cell r="B1792">
            <v>3616</v>
          </cell>
          <cell r="C1792" t="str">
            <v>SY-572</v>
          </cell>
          <cell r="D1792"/>
          <cell r="E1792"/>
          <cell r="F1792" t="str">
            <v>T/R/LUREX 64/33/3</v>
          </cell>
          <cell r="G1792" t="str">
            <v>64% POLY 33% RAYON 3% LUREX</v>
          </cell>
          <cell r="H1792" t="str">
            <v>57/58</v>
          </cell>
          <cell r="I1792">
            <v>235</v>
          </cell>
          <cell r="J1792">
            <v>3.23</v>
          </cell>
          <cell r="K1792"/>
          <cell r="L1792">
            <v>3.28</v>
          </cell>
          <cell r="M1792"/>
          <cell r="N1792">
            <v>3.28</v>
          </cell>
          <cell r="O1792"/>
          <cell r="P1792"/>
          <cell r="Q1792"/>
          <cell r="R1792">
            <v>3.83</v>
          </cell>
          <cell r="S1792"/>
          <cell r="T1792"/>
          <cell r="U1792"/>
          <cell r="V1792">
            <v>15</v>
          </cell>
          <cell r="W1792"/>
          <cell r="X1792" t="str">
            <v>LIVALTEX</v>
          </cell>
          <cell r="Y1792">
            <v>1006</v>
          </cell>
          <cell r="Z1792" t="str">
            <v>ROSE' MAIL 6/10/17</v>
          </cell>
          <cell r="AA1792"/>
          <cell r="AB1792">
            <v>43014</v>
          </cell>
          <cell r="AC1792">
            <v>3616</v>
          </cell>
        </row>
        <row r="1793">
          <cell r="B1793">
            <v>3615</v>
          </cell>
          <cell r="C1793" t="str">
            <v>NPSJ-030</v>
          </cell>
          <cell r="D1793"/>
          <cell r="E1793"/>
          <cell r="F1793" t="str">
            <v>R/N/T/S 67/18/10/5</v>
          </cell>
          <cell r="G1793" t="str">
            <v>18% NYLON 67% RAYON 10% POLY 5% SPANDEX</v>
          </cell>
          <cell r="H1793" t="str">
            <v>56/57</v>
          </cell>
          <cell r="I1793">
            <v>280</v>
          </cell>
          <cell r="J1793">
            <v>3.31</v>
          </cell>
          <cell r="K1793"/>
          <cell r="L1793">
            <v>3.36</v>
          </cell>
          <cell r="M1793"/>
          <cell r="N1793">
            <v>3.36</v>
          </cell>
          <cell r="O1793"/>
          <cell r="P1793"/>
          <cell r="Q1793"/>
          <cell r="R1793">
            <v>3.81</v>
          </cell>
          <cell r="S1793"/>
          <cell r="T1793"/>
          <cell r="U1793"/>
          <cell r="V1793">
            <v>15</v>
          </cell>
          <cell r="W1793"/>
          <cell r="X1793" t="str">
            <v>LIVALTEX</v>
          </cell>
          <cell r="Y1793">
            <v>1006</v>
          </cell>
          <cell r="Z1793" t="str">
            <v>ROSE' MAIL 6/10/17</v>
          </cell>
          <cell r="AA1793"/>
          <cell r="AB1793">
            <v>43014</v>
          </cell>
          <cell r="AC1793">
            <v>3615</v>
          </cell>
        </row>
        <row r="1794">
          <cell r="B1794">
            <v>3614</v>
          </cell>
          <cell r="C1794" t="str">
            <v>TS-593</v>
          </cell>
          <cell r="D1794"/>
          <cell r="E1794"/>
          <cell r="F1794" t="str">
            <v>T/S 97/3</v>
          </cell>
          <cell r="G1794" t="str">
            <v>97% POLY 3% SPANDEX</v>
          </cell>
          <cell r="H1794" t="str">
            <v>57/58</v>
          </cell>
          <cell r="I1794">
            <v>185</v>
          </cell>
          <cell r="J1794">
            <v>2.83</v>
          </cell>
          <cell r="K1794"/>
          <cell r="L1794">
            <v>2.87</v>
          </cell>
          <cell r="M1794"/>
          <cell r="N1794">
            <v>2.87</v>
          </cell>
          <cell r="O1794"/>
          <cell r="P1794"/>
          <cell r="Q1794"/>
          <cell r="R1794">
            <v>3.38</v>
          </cell>
          <cell r="S1794"/>
          <cell r="T1794"/>
          <cell r="U1794"/>
          <cell r="V1794">
            <v>15</v>
          </cell>
          <cell r="W1794"/>
          <cell r="X1794" t="str">
            <v>LIVALTEX</v>
          </cell>
          <cell r="Y1794">
            <v>1006</v>
          </cell>
          <cell r="Z1794" t="str">
            <v>ROSE' MAIL 6/10/17</v>
          </cell>
          <cell r="AA1794"/>
          <cell r="AB1794">
            <v>43014</v>
          </cell>
          <cell r="AC1794">
            <v>3614</v>
          </cell>
        </row>
        <row r="1795">
          <cell r="B1795">
            <v>3613</v>
          </cell>
          <cell r="C1795" t="str">
            <v>TS-495</v>
          </cell>
          <cell r="D1795"/>
          <cell r="E1795"/>
          <cell r="F1795" t="str">
            <v>T/S 96/4</v>
          </cell>
          <cell r="G1795" t="str">
            <v>96% POLYESTER 4% SPANDEX</v>
          </cell>
          <cell r="H1795" t="str">
            <v>57/58</v>
          </cell>
          <cell r="I1795">
            <v>148</v>
          </cell>
          <cell r="J1795">
            <v>2.15</v>
          </cell>
          <cell r="K1795"/>
          <cell r="L1795">
            <v>2.2000000000000002</v>
          </cell>
          <cell r="M1795"/>
          <cell r="N1795">
            <v>2.2000000000000002</v>
          </cell>
          <cell r="O1795"/>
          <cell r="P1795"/>
          <cell r="Q1795"/>
          <cell r="R1795">
            <v>2.73</v>
          </cell>
          <cell r="S1795"/>
          <cell r="T1795"/>
          <cell r="U1795"/>
          <cell r="V1795">
            <v>15</v>
          </cell>
          <cell r="W1795"/>
          <cell r="X1795" t="str">
            <v>LIVALTEX</v>
          </cell>
          <cell r="Y1795">
            <v>1006</v>
          </cell>
          <cell r="Z1795" t="str">
            <v>ROSE' MAIL 6/10/17</v>
          </cell>
          <cell r="AA1795"/>
          <cell r="AB1795">
            <v>43014</v>
          </cell>
          <cell r="AC1795">
            <v>3613</v>
          </cell>
        </row>
        <row r="1796">
          <cell r="B1796">
            <v>3612</v>
          </cell>
          <cell r="C1796" t="str">
            <v>TS-555</v>
          </cell>
          <cell r="D1796"/>
          <cell r="E1796"/>
          <cell r="F1796" t="str">
            <v>T/S 96/4</v>
          </cell>
          <cell r="G1796" t="str">
            <v>96% POLYESTER 4% SPANDEX</v>
          </cell>
          <cell r="H1796" t="str">
            <v>55/56</v>
          </cell>
          <cell r="I1796">
            <v>309</v>
          </cell>
          <cell r="J1796">
            <v>3.75</v>
          </cell>
          <cell r="K1796"/>
          <cell r="L1796">
            <v>3.8</v>
          </cell>
          <cell r="M1796"/>
          <cell r="N1796">
            <v>3.8</v>
          </cell>
          <cell r="O1796"/>
          <cell r="P1796"/>
          <cell r="Q1796"/>
          <cell r="R1796">
            <v>4.3499999999999996</v>
          </cell>
          <cell r="S1796"/>
          <cell r="T1796"/>
          <cell r="U1796"/>
          <cell r="V1796">
            <v>15</v>
          </cell>
          <cell r="W1796"/>
          <cell r="X1796" t="str">
            <v>LIVALTEX</v>
          </cell>
          <cell r="Y1796">
            <v>1006</v>
          </cell>
          <cell r="Z1796" t="str">
            <v>ROSE' MAIL 6/10/17</v>
          </cell>
          <cell r="AA1796"/>
          <cell r="AB1796">
            <v>43014</v>
          </cell>
          <cell r="AC1796">
            <v>3612</v>
          </cell>
        </row>
        <row r="1797">
          <cell r="B1797">
            <v>3611</v>
          </cell>
          <cell r="C1797" t="str">
            <v>TS-577</v>
          </cell>
          <cell r="D1797"/>
          <cell r="E1797"/>
          <cell r="F1797" t="str">
            <v>T/S 95/5</v>
          </cell>
          <cell r="G1797" t="str">
            <v>95% POLY 5% SPANDEX</v>
          </cell>
          <cell r="H1797" t="str">
            <v>57/58</v>
          </cell>
          <cell r="I1797">
            <v>190</v>
          </cell>
          <cell r="J1797">
            <v>2.87</v>
          </cell>
          <cell r="K1797"/>
          <cell r="L1797">
            <v>2.91</v>
          </cell>
          <cell r="M1797"/>
          <cell r="N1797">
            <v>2.91</v>
          </cell>
          <cell r="O1797"/>
          <cell r="P1797"/>
          <cell r="Q1797"/>
          <cell r="R1797">
            <v>3.42</v>
          </cell>
          <cell r="S1797"/>
          <cell r="T1797"/>
          <cell r="U1797"/>
          <cell r="V1797">
            <v>15</v>
          </cell>
          <cell r="W1797"/>
          <cell r="X1797" t="str">
            <v>LIVALTEX</v>
          </cell>
          <cell r="Y1797">
            <v>1006</v>
          </cell>
          <cell r="Z1797" t="str">
            <v>ROSE' MAIL 6/10/17</v>
          </cell>
          <cell r="AA1797"/>
          <cell r="AB1797">
            <v>43014</v>
          </cell>
          <cell r="AC1797">
            <v>3611</v>
          </cell>
        </row>
        <row r="1798">
          <cell r="B1798">
            <v>3610</v>
          </cell>
          <cell r="C1798" t="str">
            <v>SYS-410A</v>
          </cell>
          <cell r="D1798"/>
          <cell r="E1798"/>
          <cell r="F1798" t="str">
            <v>T/R/S</v>
          </cell>
          <cell r="G1798" t="str">
            <v>POLY / RAYON / SPANDEX</v>
          </cell>
          <cell r="H1798" t="str">
            <v>56/57</v>
          </cell>
          <cell r="I1798"/>
          <cell r="J1798">
            <v>4.5999999999999996</v>
          </cell>
          <cell r="K1798"/>
          <cell r="L1798">
            <v>4.6500000000000004</v>
          </cell>
          <cell r="M1798"/>
          <cell r="N1798">
            <v>4.6500000000000004</v>
          </cell>
          <cell r="O1798"/>
          <cell r="P1798"/>
          <cell r="Q1798"/>
          <cell r="R1798">
            <v>5.2</v>
          </cell>
          <cell r="S1798"/>
          <cell r="T1798"/>
          <cell r="U1798"/>
          <cell r="V1798">
            <v>15</v>
          </cell>
          <cell r="W1798"/>
          <cell r="X1798" t="str">
            <v>LIVALTEX</v>
          </cell>
          <cell r="Y1798">
            <v>1006</v>
          </cell>
          <cell r="Z1798" t="str">
            <v>ROSE' MAIL 6/10/17</v>
          </cell>
          <cell r="AA1798"/>
          <cell r="AB1798">
            <v>43014</v>
          </cell>
          <cell r="AC1798">
            <v>3610</v>
          </cell>
        </row>
        <row r="1799">
          <cell r="B1799">
            <v>3609</v>
          </cell>
          <cell r="C1799" t="str">
            <v>SYS-409A</v>
          </cell>
          <cell r="D1799"/>
          <cell r="E1799"/>
          <cell r="F1799" t="str">
            <v>T/R/S 65/33/2</v>
          </cell>
          <cell r="G1799" t="str">
            <v>65% POLY 33% RAYON 2% SPANDEX</v>
          </cell>
          <cell r="H1799" t="str">
            <v>56/57</v>
          </cell>
          <cell r="I1799">
            <v>360</v>
          </cell>
          <cell r="J1799">
            <v>4.5999999999999996</v>
          </cell>
          <cell r="K1799"/>
          <cell r="L1799">
            <v>4.6500000000000004</v>
          </cell>
          <cell r="M1799"/>
          <cell r="N1799">
            <v>4.6500000000000004</v>
          </cell>
          <cell r="O1799"/>
          <cell r="P1799"/>
          <cell r="Q1799"/>
          <cell r="R1799">
            <v>5.2</v>
          </cell>
          <cell r="S1799"/>
          <cell r="T1799"/>
          <cell r="U1799"/>
          <cell r="V1799">
            <v>15</v>
          </cell>
          <cell r="W1799"/>
          <cell r="X1799" t="str">
            <v>LIVALTEX</v>
          </cell>
          <cell r="Y1799">
            <v>1006</v>
          </cell>
          <cell r="Z1799" t="str">
            <v>ROSE' MAIL 6/10/17</v>
          </cell>
          <cell r="AA1799"/>
          <cell r="AB1799">
            <v>43014</v>
          </cell>
          <cell r="AC1799">
            <v>3609</v>
          </cell>
        </row>
        <row r="1800">
          <cell r="B1800">
            <v>3608</v>
          </cell>
          <cell r="C1800" t="str">
            <v>SYS-407A</v>
          </cell>
          <cell r="D1800"/>
          <cell r="E1800"/>
          <cell r="F1800" t="str">
            <v>T/R/S 68/28/4</v>
          </cell>
          <cell r="G1800" t="str">
            <v>68% POLY 28% RAYON 4% SPANDEX</v>
          </cell>
          <cell r="H1800" t="str">
            <v>56/57</v>
          </cell>
          <cell r="I1800">
            <v>380</v>
          </cell>
          <cell r="J1800">
            <v>4.7300000000000004</v>
          </cell>
          <cell r="K1800"/>
          <cell r="L1800">
            <v>4.78</v>
          </cell>
          <cell r="M1800"/>
          <cell r="N1800">
            <v>4.78</v>
          </cell>
          <cell r="O1800"/>
          <cell r="P1800"/>
          <cell r="Q1800"/>
          <cell r="R1800">
            <v>5.33</v>
          </cell>
          <cell r="S1800"/>
          <cell r="T1800"/>
          <cell r="U1800"/>
          <cell r="V1800">
            <v>15</v>
          </cell>
          <cell r="W1800"/>
          <cell r="X1800" t="str">
            <v>LIVALTEX</v>
          </cell>
          <cell r="Y1800">
            <v>1006</v>
          </cell>
          <cell r="Z1800" t="str">
            <v>ROSE' MAIL 6/10/17</v>
          </cell>
          <cell r="AA1800"/>
          <cell r="AB1800">
            <v>43014</v>
          </cell>
          <cell r="AC1800">
            <v>3608</v>
          </cell>
        </row>
        <row r="1801">
          <cell r="B1801">
            <v>3607</v>
          </cell>
          <cell r="C1801" t="str">
            <v>TS-553</v>
          </cell>
          <cell r="D1801"/>
          <cell r="E1801"/>
          <cell r="F1801" t="str">
            <v>T/S 95/5</v>
          </cell>
          <cell r="G1801" t="str">
            <v>95% POLYESTER 5% SPANDEX</v>
          </cell>
          <cell r="H1801">
            <v>56</v>
          </cell>
          <cell r="I1801">
            <v>226</v>
          </cell>
          <cell r="J1801">
            <v>2.88</v>
          </cell>
          <cell r="K1801"/>
          <cell r="L1801">
            <v>2.93</v>
          </cell>
          <cell r="M1801"/>
          <cell r="N1801">
            <v>2.93</v>
          </cell>
          <cell r="O1801"/>
          <cell r="P1801"/>
          <cell r="Q1801"/>
          <cell r="R1801"/>
          <cell r="S1801"/>
          <cell r="T1801"/>
          <cell r="U1801"/>
          <cell r="V1801">
            <v>15</v>
          </cell>
          <cell r="W1801" t="str">
            <v>below MOQ 3,000</v>
          </cell>
          <cell r="X1801" t="str">
            <v>LIVALTEX</v>
          </cell>
          <cell r="Y1801">
            <v>1006</v>
          </cell>
          <cell r="Z1801" t="str">
            <v>ROSE' MAIL 6/10/17</v>
          </cell>
          <cell r="AA1801"/>
          <cell r="AB1801">
            <v>43014</v>
          </cell>
          <cell r="AC1801">
            <v>3607</v>
          </cell>
        </row>
        <row r="1802">
          <cell r="B1802">
            <v>3606</v>
          </cell>
          <cell r="C1802" t="str">
            <v>T-1891</v>
          </cell>
          <cell r="D1802"/>
          <cell r="E1802"/>
          <cell r="F1802" t="str">
            <v>T100%</v>
          </cell>
          <cell r="G1802" t="str">
            <v>100% POLYESTER</v>
          </cell>
          <cell r="H1802" t="str">
            <v>57/58</v>
          </cell>
          <cell r="I1802">
            <v>217</v>
          </cell>
          <cell r="J1802">
            <v>2.95</v>
          </cell>
          <cell r="K1802"/>
          <cell r="L1802">
            <v>3</v>
          </cell>
          <cell r="M1802"/>
          <cell r="N1802">
            <v>3</v>
          </cell>
          <cell r="O1802"/>
          <cell r="P1802"/>
          <cell r="Q1802"/>
          <cell r="R1802">
            <v>3.55</v>
          </cell>
          <cell r="S1802"/>
          <cell r="T1802"/>
          <cell r="U1802"/>
          <cell r="V1802">
            <v>15</v>
          </cell>
          <cell r="W1802"/>
          <cell r="X1802" t="str">
            <v>LIVALTEX</v>
          </cell>
          <cell r="Y1802">
            <v>1006</v>
          </cell>
          <cell r="Z1802" t="str">
            <v>ROSE' MAIL 6/10/17</v>
          </cell>
          <cell r="AA1802"/>
          <cell r="AB1802">
            <v>43014</v>
          </cell>
          <cell r="AC1802">
            <v>3606</v>
          </cell>
        </row>
        <row r="1803">
          <cell r="B1803">
            <v>3605</v>
          </cell>
          <cell r="C1803" t="str">
            <v>T-1932</v>
          </cell>
          <cell r="D1803"/>
          <cell r="E1803"/>
          <cell r="F1803" t="str">
            <v>T100%</v>
          </cell>
          <cell r="G1803" t="str">
            <v>100% POLYESTER</v>
          </cell>
          <cell r="H1803" t="str">
            <v>57/58</v>
          </cell>
          <cell r="I1803">
            <v>279</v>
          </cell>
          <cell r="J1803">
            <v>3.25</v>
          </cell>
          <cell r="K1803"/>
          <cell r="L1803">
            <v>3.3</v>
          </cell>
          <cell r="M1803"/>
          <cell r="N1803">
            <v>3.3</v>
          </cell>
          <cell r="O1803"/>
          <cell r="P1803"/>
          <cell r="Q1803"/>
          <cell r="R1803">
            <v>3.85</v>
          </cell>
          <cell r="S1803"/>
          <cell r="T1803"/>
          <cell r="U1803"/>
          <cell r="V1803">
            <v>15</v>
          </cell>
          <cell r="W1803"/>
          <cell r="X1803" t="str">
            <v>LIVALTEX</v>
          </cell>
          <cell r="Y1803">
            <v>1006</v>
          </cell>
          <cell r="Z1803" t="str">
            <v>ROSE' MAIL 6/10/17</v>
          </cell>
          <cell r="AA1803"/>
          <cell r="AB1803">
            <v>43014</v>
          </cell>
          <cell r="AC1803">
            <v>3605</v>
          </cell>
        </row>
        <row r="1804">
          <cell r="B1804">
            <v>3604</v>
          </cell>
          <cell r="C1804" t="str">
            <v>T-1931</v>
          </cell>
          <cell r="D1804"/>
          <cell r="E1804"/>
          <cell r="F1804" t="str">
            <v>T100%</v>
          </cell>
          <cell r="G1804" t="str">
            <v>100% POLYESTER</v>
          </cell>
          <cell r="H1804" t="str">
            <v>56/57</v>
          </cell>
          <cell r="I1804">
            <v>258</v>
          </cell>
          <cell r="J1804">
            <v>3.95</v>
          </cell>
          <cell r="K1804"/>
          <cell r="L1804">
            <v>4</v>
          </cell>
          <cell r="M1804"/>
          <cell r="N1804">
            <v>4</v>
          </cell>
          <cell r="O1804"/>
          <cell r="P1804"/>
          <cell r="Q1804"/>
          <cell r="R1804">
            <v>4.55</v>
          </cell>
          <cell r="S1804"/>
          <cell r="T1804"/>
          <cell r="U1804"/>
          <cell r="V1804">
            <v>15</v>
          </cell>
          <cell r="W1804"/>
          <cell r="X1804" t="str">
            <v>LIVALTEX</v>
          </cell>
          <cell r="Y1804">
            <v>1006</v>
          </cell>
          <cell r="Z1804" t="str">
            <v>ROSE' MAIL 6/10/17</v>
          </cell>
          <cell r="AA1804"/>
          <cell r="AB1804">
            <v>43014</v>
          </cell>
          <cell r="AC1804">
            <v>3604</v>
          </cell>
        </row>
        <row r="1805">
          <cell r="B1805">
            <v>3603</v>
          </cell>
          <cell r="C1805" t="str">
            <v>T-1976</v>
          </cell>
          <cell r="D1805"/>
          <cell r="E1805"/>
          <cell r="F1805" t="str">
            <v>T100%</v>
          </cell>
          <cell r="G1805" t="str">
            <v>100% POLYESTER</v>
          </cell>
          <cell r="H1805">
            <v>60</v>
          </cell>
          <cell r="I1805">
            <v>261</v>
          </cell>
          <cell r="J1805">
            <v>2.4500000000000002</v>
          </cell>
          <cell r="K1805"/>
          <cell r="L1805">
            <v>2.5</v>
          </cell>
          <cell r="M1805"/>
          <cell r="N1805">
            <v>2.5</v>
          </cell>
          <cell r="O1805"/>
          <cell r="P1805"/>
          <cell r="Q1805"/>
          <cell r="R1805"/>
          <cell r="S1805"/>
          <cell r="T1805"/>
          <cell r="U1805"/>
          <cell r="V1805">
            <v>15</v>
          </cell>
          <cell r="W1805" t="str">
            <v>below MOQ 3,000</v>
          </cell>
          <cell r="X1805" t="str">
            <v>LIVALTEX</v>
          </cell>
          <cell r="Y1805">
            <v>1006</v>
          </cell>
          <cell r="Z1805" t="str">
            <v>ROSE' MAIL 6/10/17</v>
          </cell>
          <cell r="AA1805"/>
          <cell r="AB1805">
            <v>43014</v>
          </cell>
          <cell r="AC1805">
            <v>3603</v>
          </cell>
        </row>
        <row r="1806">
          <cell r="B1806">
            <v>3602</v>
          </cell>
          <cell r="C1806" t="str">
            <v>T-2053</v>
          </cell>
          <cell r="D1806"/>
          <cell r="E1806"/>
          <cell r="F1806" t="str">
            <v>T100%</v>
          </cell>
          <cell r="G1806" t="str">
            <v>100% POLYESTER</v>
          </cell>
          <cell r="H1806" t="str">
            <v>55/56</v>
          </cell>
          <cell r="I1806">
            <v>220</v>
          </cell>
          <cell r="J1806">
            <v>2.95</v>
          </cell>
          <cell r="K1806"/>
          <cell r="L1806">
            <v>3</v>
          </cell>
          <cell r="M1806"/>
          <cell r="N1806">
            <v>3</v>
          </cell>
          <cell r="O1806"/>
          <cell r="P1806"/>
          <cell r="Q1806"/>
          <cell r="R1806">
            <v>3.45</v>
          </cell>
          <cell r="S1806"/>
          <cell r="T1806"/>
          <cell r="U1806"/>
          <cell r="V1806">
            <v>15</v>
          </cell>
          <cell r="W1806"/>
          <cell r="X1806" t="str">
            <v>LIVALTEX</v>
          </cell>
          <cell r="Y1806">
            <v>1006</v>
          </cell>
          <cell r="Z1806" t="str">
            <v>ROSE' MAIL 6/10/17</v>
          </cell>
          <cell r="AA1806"/>
          <cell r="AB1806">
            <v>43014</v>
          </cell>
          <cell r="AC1806">
            <v>3602</v>
          </cell>
        </row>
        <row r="1807">
          <cell r="B1807">
            <v>3601</v>
          </cell>
          <cell r="C1807" t="str">
            <v xml:space="preserve"> SP-689</v>
          </cell>
          <cell r="D1807"/>
          <cell r="E1807"/>
          <cell r="F1807" t="str">
            <v>T/R 94/6</v>
          </cell>
          <cell r="G1807" t="str">
            <v>94% POLYESTER 6% RAYON</v>
          </cell>
          <cell r="H1807" t="str">
            <v>57/58</v>
          </cell>
          <cell r="I1807">
            <v>245</v>
          </cell>
          <cell r="J1807">
            <v>2.65</v>
          </cell>
          <cell r="K1807"/>
          <cell r="L1807">
            <v>2.7</v>
          </cell>
          <cell r="M1807"/>
          <cell r="N1807">
            <v>2.7</v>
          </cell>
          <cell r="O1807"/>
          <cell r="P1807"/>
          <cell r="Q1807"/>
          <cell r="R1807"/>
          <cell r="S1807"/>
          <cell r="T1807"/>
          <cell r="U1807"/>
          <cell r="V1807">
            <v>15</v>
          </cell>
          <cell r="W1807" t="str">
            <v>below MOQ 3,000</v>
          </cell>
          <cell r="X1807" t="str">
            <v>LIVALTEX</v>
          </cell>
          <cell r="Y1807">
            <v>1006</v>
          </cell>
          <cell r="Z1807" t="str">
            <v>ROSE' MAIL 6/10/17</v>
          </cell>
          <cell r="AA1807"/>
          <cell r="AB1807">
            <v>43014</v>
          </cell>
          <cell r="AC1807">
            <v>3601</v>
          </cell>
        </row>
        <row r="1808">
          <cell r="B1808">
            <v>3598</v>
          </cell>
          <cell r="C1808" t="str">
            <v>R017</v>
          </cell>
          <cell r="D1808"/>
          <cell r="E1808" t="str">
            <v>60x60+20SP</v>
          </cell>
          <cell r="F1808" t="str">
            <v>R/S 98/2</v>
          </cell>
          <cell r="G1808" t="str">
            <v>98% RAYON 2% SPAN</v>
          </cell>
          <cell r="H1808" t="str">
            <v>53/54</v>
          </cell>
          <cell r="I1808">
            <v>98</v>
          </cell>
          <cell r="J1808">
            <v>1.69</v>
          </cell>
          <cell r="K1808">
            <v>1.89</v>
          </cell>
          <cell r="L1808">
            <v>1.71</v>
          </cell>
          <cell r="M1808">
            <v>1.97</v>
          </cell>
          <cell r="N1808">
            <v>1.76</v>
          </cell>
          <cell r="O1808">
            <v>2.0099999999999998</v>
          </cell>
          <cell r="P1808"/>
          <cell r="Q1808"/>
          <cell r="R1808">
            <v>1.85</v>
          </cell>
          <cell r="S1808">
            <v>2.5099999999999998</v>
          </cell>
          <cell r="T1808"/>
          <cell r="U1808"/>
          <cell r="V1808">
            <v>15</v>
          </cell>
          <cell r="W1808"/>
          <cell r="X1808" t="str">
            <v>TERESA</v>
          </cell>
          <cell r="Y1808"/>
          <cell r="Z1808" t="str">
            <v>TERESA'MAIL 6/10/17</v>
          </cell>
          <cell r="AA1808"/>
          <cell r="AB1808">
            <v>43014</v>
          </cell>
          <cell r="AC1808">
            <v>3598</v>
          </cell>
        </row>
        <row r="1809">
          <cell r="B1809">
            <v>3597</v>
          </cell>
          <cell r="C1809" t="str">
            <v>R052</v>
          </cell>
          <cell r="D1809"/>
          <cell r="E1809" t="str">
            <v>30Sx30S+40D 91x65</v>
          </cell>
          <cell r="F1809" t="str">
            <v>R/S 96/4</v>
          </cell>
          <cell r="G1809" t="str">
            <v>96% RAYON 4% SPAN</v>
          </cell>
          <cell r="H1809" t="str">
            <v>53/54</v>
          </cell>
          <cell r="I1809">
            <v>200</v>
          </cell>
          <cell r="J1809">
            <v>1.96</v>
          </cell>
          <cell r="K1809">
            <v>2.17</v>
          </cell>
          <cell r="L1809">
            <v>1.98</v>
          </cell>
          <cell r="M1809">
            <v>2.97</v>
          </cell>
          <cell r="N1809">
            <v>2.0299999999999998</v>
          </cell>
          <cell r="O1809">
            <v>3.01</v>
          </cell>
          <cell r="P1809"/>
          <cell r="Q1809"/>
          <cell r="R1809">
            <v>2.11</v>
          </cell>
          <cell r="S1809">
            <v>3.51</v>
          </cell>
          <cell r="T1809"/>
          <cell r="U1809"/>
          <cell r="V1809">
            <v>15</v>
          </cell>
          <cell r="W1809"/>
          <cell r="X1809" t="str">
            <v>TERESA</v>
          </cell>
          <cell r="Y1809"/>
          <cell r="Z1809" t="str">
            <v>TERESA'MAIL 6/10/17</v>
          </cell>
          <cell r="AA1809"/>
          <cell r="AB1809">
            <v>43014</v>
          </cell>
          <cell r="AC1809">
            <v>3597</v>
          </cell>
        </row>
        <row r="1810">
          <cell r="B1810">
            <v>3596</v>
          </cell>
          <cell r="C1810" t="str">
            <v>R141</v>
          </cell>
          <cell r="D1810"/>
          <cell r="E1810" t="str">
            <v>40x40+40D</v>
          </cell>
          <cell r="F1810" t="str">
            <v>R/S 98/2</v>
          </cell>
          <cell r="G1810" t="str">
            <v>98% RAYON 2% SPAN</v>
          </cell>
          <cell r="H1810" t="str">
            <v>53/54</v>
          </cell>
          <cell r="I1810">
            <v>133</v>
          </cell>
          <cell r="J1810">
            <v>1.92</v>
          </cell>
          <cell r="K1810">
            <v>2.0499999999999998</v>
          </cell>
          <cell r="L1810">
            <v>1.94</v>
          </cell>
          <cell r="M1810">
            <v>2.85</v>
          </cell>
          <cell r="N1810">
            <v>1.99</v>
          </cell>
          <cell r="O1810">
            <v>2.89</v>
          </cell>
          <cell r="P1810"/>
          <cell r="Q1810"/>
          <cell r="R1810">
            <v>2.0699999999999998</v>
          </cell>
          <cell r="S1810">
            <v>3.39</v>
          </cell>
          <cell r="T1810"/>
          <cell r="U1810"/>
          <cell r="V1810">
            <v>15</v>
          </cell>
          <cell r="W1810"/>
          <cell r="X1810" t="str">
            <v>TERESA</v>
          </cell>
          <cell r="Y1810"/>
          <cell r="Z1810" t="str">
            <v>TERESA'MAIL 6/10/17</v>
          </cell>
          <cell r="AA1810"/>
          <cell r="AB1810">
            <v>43014</v>
          </cell>
          <cell r="AC1810">
            <v>3596</v>
          </cell>
        </row>
        <row r="1811">
          <cell r="B1811">
            <v>3595</v>
          </cell>
          <cell r="C1811" t="str">
            <v>#9782</v>
          </cell>
          <cell r="D1811"/>
          <cell r="E1811" t="str">
            <v>45x45/110x76</v>
          </cell>
          <cell r="F1811" t="str">
            <v>T/C 65/35</v>
          </cell>
          <cell r="G1811" t="str">
            <v>65% POLYESTER 35% COTTON</v>
          </cell>
          <cell r="H1811" t="str">
            <v>57/58</v>
          </cell>
          <cell r="I1811">
            <v>106</v>
          </cell>
          <cell r="J1811">
            <v>1.31</v>
          </cell>
          <cell r="K1811"/>
          <cell r="L1811">
            <v>1.33</v>
          </cell>
          <cell r="M1811"/>
          <cell r="N1811">
            <v>1.38</v>
          </cell>
          <cell r="O1811"/>
          <cell r="P1811"/>
          <cell r="Q1811"/>
          <cell r="R1811">
            <v>1.46</v>
          </cell>
          <cell r="S1811"/>
          <cell r="T1811"/>
          <cell r="U1811"/>
          <cell r="V1811">
            <v>15</v>
          </cell>
          <cell r="W1811"/>
          <cell r="X1811" t="str">
            <v>TERESA</v>
          </cell>
          <cell r="Y1811"/>
          <cell r="Z1811" t="str">
            <v>TERESA'MAIL 6/10/17</v>
          </cell>
          <cell r="AA1811"/>
          <cell r="AB1811">
            <v>43014</v>
          </cell>
          <cell r="AC1811">
            <v>3595</v>
          </cell>
        </row>
        <row r="1812">
          <cell r="B1812">
            <v>3594</v>
          </cell>
          <cell r="C1812" t="str">
            <v>#9783</v>
          </cell>
          <cell r="D1812"/>
          <cell r="E1812" t="str">
            <v>45x45/133x72</v>
          </cell>
          <cell r="F1812" t="str">
            <v>T/C 65/35</v>
          </cell>
          <cell r="G1812" t="str">
            <v>65% POLYESTER 35% COTTON</v>
          </cell>
          <cell r="H1812" t="str">
            <v>57/58</v>
          </cell>
          <cell r="I1812">
            <v>115</v>
          </cell>
          <cell r="J1812">
            <v>1.35</v>
          </cell>
          <cell r="K1812"/>
          <cell r="L1812">
            <v>1.37</v>
          </cell>
          <cell r="M1812"/>
          <cell r="N1812">
            <v>1.42</v>
          </cell>
          <cell r="O1812"/>
          <cell r="P1812"/>
          <cell r="Q1812"/>
          <cell r="R1812">
            <v>1.5</v>
          </cell>
          <cell r="S1812"/>
          <cell r="T1812"/>
          <cell r="U1812"/>
          <cell r="V1812">
            <v>15</v>
          </cell>
          <cell r="W1812"/>
          <cell r="X1812" t="str">
            <v>TERESA</v>
          </cell>
          <cell r="Y1812"/>
          <cell r="Z1812" t="str">
            <v>TERESA'MAIL 6/10/17</v>
          </cell>
          <cell r="AA1812"/>
          <cell r="AB1812">
            <v>43014</v>
          </cell>
          <cell r="AC1812">
            <v>3594</v>
          </cell>
        </row>
        <row r="1813">
          <cell r="B1813">
            <v>3593</v>
          </cell>
          <cell r="C1813" t="str">
            <v>FX-JP1784</v>
          </cell>
          <cell r="D1813" t="str">
            <v>SEQUIN EMBROIDERY</v>
          </cell>
          <cell r="E1813"/>
          <cell r="F1813" t="str">
            <v>T100%</v>
          </cell>
          <cell r="G1813" t="str">
            <v>100% POLYESTER SEQUIN EMB</v>
          </cell>
          <cell r="H1813" t="str">
            <v>50/52</v>
          </cell>
          <cell r="I1813"/>
          <cell r="J1813">
            <v>2.5499999999999998</v>
          </cell>
          <cell r="K1813"/>
          <cell r="L1813">
            <v>2.68</v>
          </cell>
          <cell r="M1813"/>
          <cell r="N1813">
            <v>2.7</v>
          </cell>
          <cell r="O1813"/>
          <cell r="P1813"/>
          <cell r="Q1813"/>
          <cell r="R1813">
            <v>2.8</v>
          </cell>
          <cell r="S1813"/>
          <cell r="T1813"/>
          <cell r="U1813"/>
          <cell r="V1813">
            <v>15</v>
          </cell>
          <cell r="W1813"/>
          <cell r="X1813" t="str">
            <v>PANI</v>
          </cell>
          <cell r="Y1813"/>
          <cell r="Z1813" t="str">
            <v>PANI' ZALO 6/10/17</v>
          </cell>
          <cell r="AA1813"/>
          <cell r="AB1813">
            <v>43014</v>
          </cell>
          <cell r="AC1813">
            <v>3593</v>
          </cell>
        </row>
        <row r="1814">
          <cell r="B1814">
            <v>3568</v>
          </cell>
          <cell r="C1814" t="str">
            <v>TS-606</v>
          </cell>
          <cell r="D1814" t="str">
            <v>TAILORING - PVL - YARNDYED</v>
          </cell>
          <cell r="E1814" t="str">
            <v>(75D + 100D + 40D) x 2</v>
          </cell>
          <cell r="F1814" t="str">
            <v>T/S</v>
          </cell>
          <cell r="G1814" t="str">
            <v>POLY / SPANDEX</v>
          </cell>
          <cell r="H1814" t="str">
            <v>57/58</v>
          </cell>
          <cell r="I1814">
            <v>205</v>
          </cell>
          <cell r="J1814">
            <v>2.68</v>
          </cell>
          <cell r="K1814"/>
          <cell r="L1814">
            <v>2.73</v>
          </cell>
          <cell r="M1814"/>
          <cell r="N1814">
            <v>2.73</v>
          </cell>
          <cell r="O1814"/>
          <cell r="P1814"/>
          <cell r="Q1814"/>
          <cell r="R1814">
            <v>3.08</v>
          </cell>
          <cell r="S1814"/>
          <cell r="T1814"/>
          <cell r="U1814"/>
          <cell r="V1814">
            <v>15</v>
          </cell>
          <cell r="W1814"/>
          <cell r="X1814" t="str">
            <v>LIVALTEX</v>
          </cell>
          <cell r="Y1814">
            <v>1006</v>
          </cell>
          <cell r="Z1814" t="str">
            <v>ROSE' MAIL 6/10/17</v>
          </cell>
          <cell r="AA1814"/>
          <cell r="AB1814">
            <v>43014</v>
          </cell>
          <cell r="AC1814">
            <v>3568</v>
          </cell>
        </row>
        <row r="1815">
          <cell r="B1815">
            <v>3227</v>
          </cell>
          <cell r="C1815" t="str">
            <v>TS-585</v>
          </cell>
          <cell r="D1815"/>
          <cell r="E1815"/>
          <cell r="F1815" t="str">
            <v>T/S</v>
          </cell>
          <cell r="G1815" t="str">
            <v>POLY / SPANDEX</v>
          </cell>
          <cell r="H1815" t="str">
            <v>56/57</v>
          </cell>
          <cell r="I1815">
            <v>320</v>
          </cell>
          <cell r="J1815">
            <v>3.18</v>
          </cell>
          <cell r="K1815"/>
          <cell r="L1815">
            <v>3.22</v>
          </cell>
          <cell r="M1815"/>
          <cell r="N1815">
            <v>3.22</v>
          </cell>
          <cell r="O1815"/>
          <cell r="P1815"/>
          <cell r="Q1815"/>
          <cell r="R1815">
            <v>3.72</v>
          </cell>
          <cell r="S1815"/>
          <cell r="T1815"/>
          <cell r="U1815"/>
          <cell r="V1815">
            <v>15</v>
          </cell>
          <cell r="W1815"/>
          <cell r="X1815" t="str">
            <v>LIVALTEX</v>
          </cell>
          <cell r="Y1815">
            <v>1006</v>
          </cell>
          <cell r="Z1815" t="str">
            <v>ROSE' MAIL 6/10/17</v>
          </cell>
          <cell r="AA1815"/>
          <cell r="AB1815">
            <v>43014</v>
          </cell>
          <cell r="AC1815">
            <v>3227</v>
          </cell>
        </row>
        <row r="1816">
          <cell r="B1816">
            <v>2985</v>
          </cell>
          <cell r="C1816" t="str">
            <v>T-1980</v>
          </cell>
          <cell r="D1816"/>
          <cell r="E1816"/>
          <cell r="F1816" t="str">
            <v>T100%</v>
          </cell>
          <cell r="G1816" t="str">
            <v>100% POLYESTER</v>
          </cell>
          <cell r="H1816" t="str">
            <v>57/58</v>
          </cell>
          <cell r="I1816">
            <v>289</v>
          </cell>
          <cell r="J1816">
            <v>3.95</v>
          </cell>
          <cell r="K1816"/>
          <cell r="L1816">
            <v>4</v>
          </cell>
          <cell r="M1816"/>
          <cell r="N1816">
            <v>4</v>
          </cell>
          <cell r="O1816"/>
          <cell r="P1816"/>
          <cell r="Q1816"/>
          <cell r="R1816">
            <v>4.55</v>
          </cell>
          <cell r="S1816"/>
          <cell r="T1816"/>
          <cell r="U1816"/>
          <cell r="V1816">
            <v>15</v>
          </cell>
          <cell r="W1816"/>
          <cell r="X1816" t="str">
            <v>LIVALTEX</v>
          </cell>
          <cell r="Y1816">
            <v>1006</v>
          </cell>
          <cell r="Z1816" t="str">
            <v>ROSE' MAIL 6/10/17</v>
          </cell>
          <cell r="AA1816"/>
          <cell r="AB1816">
            <v>43014</v>
          </cell>
          <cell r="AC1816">
            <v>2985</v>
          </cell>
        </row>
        <row r="1817">
          <cell r="B1817">
            <v>3592</v>
          </cell>
          <cell r="C1817" t="str">
            <v>T024</v>
          </cell>
          <cell r="D1817" t="str">
            <v>BUBBLE CRPE</v>
          </cell>
          <cell r="E1817" t="str">
            <v>75Dx75D</v>
          </cell>
          <cell r="F1817" t="str">
            <v>T/S 95/5</v>
          </cell>
          <cell r="G1817" t="str">
            <v>95% POLYESTER 5% SPANDEX</v>
          </cell>
          <cell r="H1817" t="str">
            <v>57/58</v>
          </cell>
          <cell r="I1817">
            <v>130</v>
          </cell>
          <cell r="J1817">
            <v>1.27</v>
          </cell>
          <cell r="K1817">
            <v>1.4</v>
          </cell>
          <cell r="L1817">
            <v>1.29</v>
          </cell>
          <cell r="M1817">
            <v>1.48</v>
          </cell>
          <cell r="N1817">
            <v>1.34</v>
          </cell>
          <cell r="O1817">
            <v>1.52</v>
          </cell>
          <cell r="P1817"/>
          <cell r="Q1817"/>
          <cell r="R1817">
            <v>1.42</v>
          </cell>
          <cell r="S1817">
            <v>2.0099999999999998</v>
          </cell>
          <cell r="T1817"/>
          <cell r="U1817"/>
          <cell r="V1817">
            <v>15</v>
          </cell>
          <cell r="W1817"/>
          <cell r="X1817" t="str">
            <v>TERESA</v>
          </cell>
          <cell r="Y1817" t="str">
            <v>TERESA 25-SEP</v>
          </cell>
          <cell r="Z1817" t="str">
            <v>TERESA'MAIL 5/10/17</v>
          </cell>
          <cell r="AA1817"/>
          <cell r="AB1817">
            <v>43013</v>
          </cell>
          <cell r="AC1817">
            <v>3592</v>
          </cell>
        </row>
        <row r="1818">
          <cell r="B1818">
            <v>3591</v>
          </cell>
          <cell r="C1818" t="str">
            <v>T169</v>
          </cell>
          <cell r="D1818" t="str">
            <v>TWILL</v>
          </cell>
          <cell r="E1818" t="str">
            <v>100D+20D</v>
          </cell>
          <cell r="F1818" t="str">
            <v xml:space="preserve">T 100% </v>
          </cell>
          <cell r="G1818" t="str">
            <v>100% POLYESTER</v>
          </cell>
          <cell r="H1818" t="str">
            <v>57/58</v>
          </cell>
          <cell r="I1818">
            <v>132</v>
          </cell>
          <cell r="J1818">
            <v>1.24</v>
          </cell>
          <cell r="K1818">
            <v>1.41</v>
          </cell>
          <cell r="L1818">
            <v>1.26</v>
          </cell>
          <cell r="M1818">
            <v>1.49</v>
          </cell>
          <cell r="N1818">
            <v>1.31</v>
          </cell>
          <cell r="O1818">
            <v>1.53</v>
          </cell>
          <cell r="P1818"/>
          <cell r="Q1818"/>
          <cell r="R1818">
            <v>1.39</v>
          </cell>
          <cell r="S1818">
            <v>2.02</v>
          </cell>
          <cell r="T1818"/>
          <cell r="U1818"/>
          <cell r="V1818">
            <v>15</v>
          </cell>
          <cell r="W1818"/>
          <cell r="X1818" t="str">
            <v>TERESA</v>
          </cell>
          <cell r="Y1818" t="str">
            <v>TERESA 25-SEP</v>
          </cell>
          <cell r="Z1818" t="str">
            <v>TERESA'MAIL 5/10/17</v>
          </cell>
          <cell r="AA1818"/>
          <cell r="AB1818">
            <v>43013</v>
          </cell>
          <cell r="AC1818">
            <v>3591</v>
          </cell>
        </row>
        <row r="1819">
          <cell r="B1819">
            <v>3590</v>
          </cell>
          <cell r="C1819" t="str">
            <v>#9729</v>
          </cell>
          <cell r="D1819"/>
          <cell r="E1819" t="str">
            <v>21Sx32S+20D</v>
          </cell>
          <cell r="F1819" t="str">
            <v>R/N 93/7</v>
          </cell>
          <cell r="G1819" t="str">
            <v>93% RAYON 7% NILON</v>
          </cell>
          <cell r="H1819" t="str">
            <v>56/57</v>
          </cell>
          <cell r="I1819">
            <v>130</v>
          </cell>
          <cell r="J1819">
            <v>1.71</v>
          </cell>
          <cell r="K1819">
            <v>1.86</v>
          </cell>
          <cell r="L1819">
            <v>1.73</v>
          </cell>
          <cell r="M1819">
            <v>1.94</v>
          </cell>
          <cell r="N1819">
            <v>1.78</v>
          </cell>
          <cell r="O1819">
            <v>1.98</v>
          </cell>
          <cell r="P1819"/>
          <cell r="Q1819"/>
          <cell r="R1819">
            <v>1.86</v>
          </cell>
          <cell r="S1819">
            <v>2.4700000000000002</v>
          </cell>
          <cell r="T1819"/>
          <cell r="U1819"/>
          <cell r="V1819">
            <v>15</v>
          </cell>
          <cell r="W1819"/>
          <cell r="X1819" t="str">
            <v>TERESA</v>
          </cell>
          <cell r="Y1819" t="str">
            <v>TERESA 25-SEP</v>
          </cell>
          <cell r="Z1819" t="str">
            <v>TERESA'MAIL 5/10/17</v>
          </cell>
          <cell r="AA1819"/>
          <cell r="AB1819">
            <v>43013</v>
          </cell>
          <cell r="AC1819">
            <v>3590</v>
          </cell>
        </row>
        <row r="1820">
          <cell r="B1820">
            <v>3589</v>
          </cell>
          <cell r="C1820" t="str">
            <v>#9659</v>
          </cell>
          <cell r="D1820"/>
          <cell r="E1820" t="str">
            <v>120Dx30S 155x76</v>
          </cell>
          <cell r="F1820" t="str">
            <v>V/R 55/45</v>
          </cell>
          <cell r="G1820" t="str">
            <v>55% VICOSE 45% RAYON</v>
          </cell>
          <cell r="H1820" t="str">
            <v>53/54</v>
          </cell>
          <cell r="I1820">
            <v>169</v>
          </cell>
          <cell r="J1820">
            <v>3</v>
          </cell>
          <cell r="K1820">
            <v>3.46</v>
          </cell>
          <cell r="L1820">
            <v>3.02</v>
          </cell>
          <cell r="M1820">
            <v>3.54</v>
          </cell>
          <cell r="N1820">
            <v>3.07</v>
          </cell>
          <cell r="O1820">
            <v>3.59</v>
          </cell>
          <cell r="P1820"/>
          <cell r="Q1820"/>
          <cell r="R1820">
            <v>3.15</v>
          </cell>
          <cell r="S1820">
            <v>4.08</v>
          </cell>
          <cell r="T1820"/>
          <cell r="U1820"/>
          <cell r="V1820">
            <v>15</v>
          </cell>
          <cell r="W1820"/>
          <cell r="X1820" t="str">
            <v>TERESA</v>
          </cell>
          <cell r="Y1820" t="str">
            <v>TERESA 25-SEP</v>
          </cell>
          <cell r="Z1820" t="str">
            <v>TERESA'MAIL 5/10/17</v>
          </cell>
          <cell r="AA1820"/>
          <cell r="AB1820">
            <v>43013</v>
          </cell>
          <cell r="AC1820">
            <v>3589</v>
          </cell>
        </row>
        <row r="1821">
          <cell r="B1821">
            <v>3585</v>
          </cell>
          <cell r="C1821" t="str">
            <v>T066</v>
          </cell>
          <cell r="D1821" t="str">
            <v>SATEEN</v>
          </cell>
          <cell r="E1821" t="str">
            <v xml:space="preserve"> (20D+26D)x(20Dx26D)</v>
          </cell>
          <cell r="F1821" t="str">
            <v xml:space="preserve">T 100% </v>
          </cell>
          <cell r="G1821" t="str">
            <v>100% POLYESTER</v>
          </cell>
          <cell r="H1821" t="str">
            <v>57/58</v>
          </cell>
          <cell r="I1821">
            <v>105</v>
          </cell>
          <cell r="J1821">
            <v>1.31</v>
          </cell>
          <cell r="K1821">
            <v>1.47</v>
          </cell>
          <cell r="L1821">
            <v>1.33</v>
          </cell>
          <cell r="M1821">
            <v>1.55</v>
          </cell>
          <cell r="N1821">
            <v>1.38</v>
          </cell>
          <cell r="O1821">
            <v>1.59</v>
          </cell>
          <cell r="P1821"/>
          <cell r="Q1821"/>
          <cell r="R1821">
            <v>1.46</v>
          </cell>
          <cell r="S1821">
            <v>2.08</v>
          </cell>
          <cell r="T1821"/>
          <cell r="U1821"/>
          <cell r="V1821">
            <v>15</v>
          </cell>
          <cell r="W1821"/>
          <cell r="X1821" t="str">
            <v>TERESA</v>
          </cell>
          <cell r="Y1821" t="str">
            <v>TERESA 25-SEP</v>
          </cell>
          <cell r="Z1821" t="str">
            <v>TERESA'MAIL 5/10/17</v>
          </cell>
          <cell r="AA1821"/>
          <cell r="AB1821">
            <v>43013</v>
          </cell>
          <cell r="AC1821">
            <v>3585</v>
          </cell>
        </row>
        <row r="1822">
          <cell r="B1822">
            <v>3582</v>
          </cell>
          <cell r="C1822" t="str">
            <v>#9767</v>
          </cell>
          <cell r="D1822"/>
          <cell r="E1822" t="str">
            <v>70D+40Dx10S</v>
          </cell>
          <cell r="F1822" t="str">
            <v>R/N/S 72/24/4</v>
          </cell>
          <cell r="G1822" t="str">
            <v>72% RAYON 24% NYLON 4% SPANDEX</v>
          </cell>
          <cell r="H1822" t="str">
            <v>57/58</v>
          </cell>
          <cell r="I1822">
            <v>240</v>
          </cell>
          <cell r="J1822">
            <v>1.95</v>
          </cell>
          <cell r="K1822">
            <v>2.11</v>
          </cell>
          <cell r="L1822">
            <v>1.97</v>
          </cell>
          <cell r="M1822">
            <v>2.19</v>
          </cell>
          <cell r="N1822">
            <v>2.02</v>
          </cell>
          <cell r="O1822">
            <v>2.23</v>
          </cell>
          <cell r="P1822"/>
          <cell r="Q1822"/>
          <cell r="R1822">
            <v>2.1</v>
          </cell>
          <cell r="S1822">
            <v>2.72</v>
          </cell>
          <cell r="T1822"/>
          <cell r="U1822"/>
          <cell r="V1822">
            <v>15</v>
          </cell>
          <cell r="W1822"/>
          <cell r="X1822" t="str">
            <v>TERESA</v>
          </cell>
          <cell r="Y1822" t="str">
            <v>TERESA 25-SEP</v>
          </cell>
          <cell r="Z1822" t="str">
            <v>TERESA'MAIL 5/10/17</v>
          </cell>
          <cell r="AA1822"/>
          <cell r="AB1822">
            <v>43013</v>
          </cell>
          <cell r="AC1822">
            <v>3582</v>
          </cell>
        </row>
        <row r="1823">
          <cell r="B1823">
            <v>3581</v>
          </cell>
          <cell r="C1823" t="str">
            <v>T167</v>
          </cell>
          <cell r="D1823"/>
          <cell r="E1823" t="str">
            <v>50Dx75D</v>
          </cell>
          <cell r="F1823" t="str">
            <v xml:space="preserve">T 100% </v>
          </cell>
          <cell r="G1823" t="str">
            <v>100% POLYESTER</v>
          </cell>
          <cell r="H1823" t="str">
            <v>57/58</v>
          </cell>
          <cell r="I1823">
            <v>88</v>
          </cell>
          <cell r="J1823">
            <v>1.33</v>
          </cell>
          <cell r="K1823">
            <v>1.48</v>
          </cell>
          <cell r="L1823">
            <v>1.35</v>
          </cell>
          <cell r="M1823">
            <v>1.56</v>
          </cell>
          <cell r="N1823">
            <v>1.4</v>
          </cell>
          <cell r="O1823">
            <v>1.6</v>
          </cell>
          <cell r="P1823"/>
          <cell r="Q1823"/>
          <cell r="R1823">
            <v>1.48</v>
          </cell>
          <cell r="S1823">
            <v>2.09</v>
          </cell>
          <cell r="T1823"/>
          <cell r="U1823"/>
          <cell r="V1823">
            <v>15</v>
          </cell>
          <cell r="W1823"/>
          <cell r="X1823" t="str">
            <v>TERESA</v>
          </cell>
          <cell r="Y1823" t="str">
            <v>TERESA 25-SEP</v>
          </cell>
          <cell r="Z1823" t="str">
            <v>TERESA'MAIL 5/10/17</v>
          </cell>
          <cell r="AA1823"/>
          <cell r="AB1823">
            <v>43013</v>
          </cell>
          <cell r="AC1823">
            <v>3581</v>
          </cell>
        </row>
        <row r="1824">
          <cell r="B1824">
            <v>3567</v>
          </cell>
          <cell r="C1824" t="str">
            <v>HLT4263</v>
          </cell>
          <cell r="D1824" t="str">
            <v>TAILORING</v>
          </cell>
          <cell r="E1824"/>
          <cell r="F1824" t="str">
            <v>T/V/S 70.5/28/1.5</v>
          </cell>
          <cell r="G1824" t="str">
            <v>70.5%POLYESTER 28%VISCOSE 1.5%SPANDEX</v>
          </cell>
          <cell r="H1824" t="str">
            <v>57/58</v>
          </cell>
          <cell r="I1824">
            <v>255</v>
          </cell>
          <cell r="J1824">
            <v>2.9472972972972968</v>
          </cell>
          <cell r="K1824"/>
          <cell r="L1824">
            <v>3.0472972972972969</v>
          </cell>
          <cell r="M1824"/>
          <cell r="N1824">
            <v>3.147297297297297</v>
          </cell>
          <cell r="O1824"/>
          <cell r="P1824"/>
          <cell r="Q1824"/>
          <cell r="R1824">
            <v>3.2472972972972971</v>
          </cell>
          <cell r="S1824"/>
          <cell r="T1824"/>
          <cell r="U1824"/>
          <cell r="V1824">
            <v>15</v>
          </cell>
          <cell r="W1824"/>
          <cell r="X1824" t="str">
            <v>CANDY</v>
          </cell>
          <cell r="Y1824" t="str">
            <v>CANDY 03-OCT</v>
          </cell>
          <cell r="Z1824" t="str">
            <v>LEI' MAIL 4/10/17</v>
          </cell>
          <cell r="AA1824"/>
          <cell r="AB1824">
            <v>43013</v>
          </cell>
          <cell r="AC1824">
            <v>3567</v>
          </cell>
        </row>
        <row r="1825">
          <cell r="B1825">
            <v>3566</v>
          </cell>
          <cell r="C1825" t="str">
            <v>HLT4724</v>
          </cell>
          <cell r="D1825" t="str">
            <v>TAILORING</v>
          </cell>
          <cell r="E1825" t="str">
            <v>50S/2x210D+32S</v>
          </cell>
          <cell r="F1825" t="str">
            <v>T/V 84/16</v>
          </cell>
          <cell r="G1825" t="str">
            <v>84%POLYESTER 16%VISCOSE</v>
          </cell>
          <cell r="H1825" t="str">
            <v>58/59</v>
          </cell>
          <cell r="I1825">
            <v>190</v>
          </cell>
          <cell r="J1825">
            <v>2.9506756756756753</v>
          </cell>
          <cell r="K1825"/>
          <cell r="L1825">
            <v>3.0506756756756754</v>
          </cell>
          <cell r="M1825"/>
          <cell r="N1825">
            <v>3.1506756756756755</v>
          </cell>
          <cell r="O1825"/>
          <cell r="P1825"/>
          <cell r="Q1825"/>
          <cell r="R1825">
            <v>3.2506756756756756</v>
          </cell>
          <cell r="S1825"/>
          <cell r="T1825"/>
          <cell r="U1825"/>
          <cell r="V1825">
            <v>15</v>
          </cell>
          <cell r="W1825"/>
          <cell r="X1825" t="str">
            <v>CANDY</v>
          </cell>
          <cell r="Y1825" t="str">
            <v>CANDY 03-OCT</v>
          </cell>
          <cell r="Z1825" t="str">
            <v>LEI' MAIL 4/10/17</v>
          </cell>
          <cell r="AA1825"/>
          <cell r="AB1825">
            <v>43013</v>
          </cell>
          <cell r="AC1825">
            <v>3566</v>
          </cell>
        </row>
        <row r="1826">
          <cell r="B1826">
            <v>3565</v>
          </cell>
          <cell r="C1826" t="str">
            <v>HLT4334</v>
          </cell>
          <cell r="D1826" t="str">
            <v>TAILORING</v>
          </cell>
          <cell r="E1826" t="str">
            <v>150D+32S+200D+100Dx150D+30S+40D+200D+100D+40</v>
          </cell>
          <cell r="F1826" t="str">
            <v>T/R/S 74/25/1</v>
          </cell>
          <cell r="G1826" t="str">
            <v>74%POLYESTER 25%RAYON 1%SPANDEX</v>
          </cell>
          <cell r="H1826" t="str">
            <v>56/57</v>
          </cell>
          <cell r="I1826">
            <v>340</v>
          </cell>
          <cell r="J1826">
            <v>3.4112612612612612</v>
          </cell>
          <cell r="K1826"/>
          <cell r="L1826">
            <v>3.5112612612612613</v>
          </cell>
          <cell r="M1826"/>
          <cell r="N1826">
            <v>3.6112612612612613</v>
          </cell>
          <cell r="O1826"/>
          <cell r="P1826"/>
          <cell r="Q1826"/>
          <cell r="R1826">
            <v>3.7112612612612614</v>
          </cell>
          <cell r="S1826"/>
          <cell r="T1826"/>
          <cell r="U1826"/>
          <cell r="V1826">
            <v>15</v>
          </cell>
          <cell r="W1826"/>
          <cell r="X1826" t="str">
            <v>CANDY</v>
          </cell>
          <cell r="Y1826" t="str">
            <v>CANDY 03-OCT</v>
          </cell>
          <cell r="Z1826" t="str">
            <v>LEI' MAIL 4/10/17</v>
          </cell>
          <cell r="AA1826"/>
          <cell r="AB1826">
            <v>43013</v>
          </cell>
          <cell r="AC1826">
            <v>3565</v>
          </cell>
        </row>
        <row r="1827">
          <cell r="B1827">
            <v>3564</v>
          </cell>
          <cell r="C1827" t="str">
            <v xml:space="preserve"> </v>
          </cell>
          <cell r="D1827" t="str">
            <v>TAILORING</v>
          </cell>
          <cell r="E1827" t="str">
            <v>40S/2+40Dx40S/2+40D</v>
          </cell>
          <cell r="F1827" t="str">
            <v>T/R/S 64/32/4</v>
          </cell>
          <cell r="G1827" t="str">
            <v>64%POLYESTER 32%RAYON 4%SPANDEX</v>
          </cell>
          <cell r="H1827" t="str">
            <v>57/58</v>
          </cell>
          <cell r="I1827">
            <v>280</v>
          </cell>
          <cell r="J1827">
            <v>2.8005791505791504</v>
          </cell>
          <cell r="K1827"/>
          <cell r="L1827">
            <v>2.9005791505791505</v>
          </cell>
          <cell r="M1827"/>
          <cell r="N1827">
            <v>3.0005791505791506</v>
          </cell>
          <cell r="O1827"/>
          <cell r="P1827"/>
          <cell r="Q1827"/>
          <cell r="R1827">
            <v>3.1005791505791507</v>
          </cell>
          <cell r="S1827"/>
          <cell r="T1827"/>
          <cell r="U1827"/>
          <cell r="V1827">
            <v>15</v>
          </cell>
          <cell r="W1827"/>
          <cell r="X1827" t="str">
            <v>CANDY</v>
          </cell>
          <cell r="Y1827" t="str">
            <v>CANDY 03-OCT</v>
          </cell>
          <cell r="Z1827" t="str">
            <v>LEI' MAIL 4/10/17</v>
          </cell>
          <cell r="AA1827"/>
          <cell r="AB1827">
            <v>43013</v>
          </cell>
          <cell r="AC1827">
            <v>3564</v>
          </cell>
        </row>
        <row r="1828">
          <cell r="B1828">
            <v>3563</v>
          </cell>
          <cell r="C1828" t="str">
            <v>HLT4273</v>
          </cell>
          <cell r="D1828" t="str">
            <v>TAILORING</v>
          </cell>
          <cell r="E1828" t="str">
            <v>100D+32S+150+200Dx100D+32S+40D</v>
          </cell>
          <cell r="F1828" t="str">
            <v>T/V/S 78.5/20/1.5</v>
          </cell>
          <cell r="G1828" t="str">
            <v>78.5%POLYESTER 20%VISCOSE 1.5%SPANDEX</v>
          </cell>
          <cell r="H1828" t="str">
            <v>57/58</v>
          </cell>
          <cell r="I1828">
            <v>270</v>
          </cell>
          <cell r="J1828">
            <v>3.1545045045045046</v>
          </cell>
          <cell r="K1828"/>
          <cell r="L1828">
            <v>3.2545045045045047</v>
          </cell>
          <cell r="M1828"/>
          <cell r="N1828">
            <v>3.3545045045045048</v>
          </cell>
          <cell r="O1828"/>
          <cell r="P1828"/>
          <cell r="Q1828"/>
          <cell r="R1828">
            <v>3.4545045045045049</v>
          </cell>
          <cell r="S1828"/>
          <cell r="T1828"/>
          <cell r="U1828"/>
          <cell r="V1828">
            <v>15</v>
          </cell>
          <cell r="W1828"/>
          <cell r="X1828" t="str">
            <v>CANDY</v>
          </cell>
          <cell r="Y1828" t="str">
            <v>CANDY 03-OCT</v>
          </cell>
          <cell r="Z1828" t="str">
            <v>LEI' MAIL 4/10/17</v>
          </cell>
          <cell r="AA1828"/>
          <cell r="AB1828">
            <v>43013</v>
          </cell>
          <cell r="AC1828">
            <v>3563</v>
          </cell>
        </row>
        <row r="1829">
          <cell r="B1829">
            <v>3562</v>
          </cell>
          <cell r="C1829" t="str">
            <v>HLTR17152</v>
          </cell>
          <cell r="D1829" t="str">
            <v>TAILORING</v>
          </cell>
          <cell r="E1829" t="str">
            <v>42S/2+100D+75D+50DxSAME</v>
          </cell>
          <cell r="F1829" t="str">
            <v>T/R 56/44</v>
          </cell>
          <cell r="G1829" t="str">
            <v>56% POLYESTER 44%RAYON</v>
          </cell>
          <cell r="H1829" t="str">
            <v>150CM</v>
          </cell>
          <cell r="I1829">
            <v>225</v>
          </cell>
          <cell r="J1829">
            <v>3.2716216216216214</v>
          </cell>
          <cell r="K1829"/>
          <cell r="L1829">
            <v>3.3716216216216215</v>
          </cell>
          <cell r="M1829"/>
          <cell r="N1829">
            <v>3.4716216216216216</v>
          </cell>
          <cell r="O1829"/>
          <cell r="P1829"/>
          <cell r="Q1829"/>
          <cell r="R1829">
            <v>3.5716216216216217</v>
          </cell>
          <cell r="S1829"/>
          <cell r="T1829"/>
          <cell r="U1829"/>
          <cell r="V1829">
            <v>15</v>
          </cell>
          <cell r="W1829"/>
          <cell r="X1829" t="str">
            <v>CANDY</v>
          </cell>
          <cell r="Y1829" t="str">
            <v>CANDY 03-OCT</v>
          </cell>
          <cell r="Z1829" t="str">
            <v>LEI' MAIL 4/10/17</v>
          </cell>
          <cell r="AA1829"/>
          <cell r="AB1829">
            <v>43013</v>
          </cell>
          <cell r="AC1829">
            <v>3562</v>
          </cell>
        </row>
        <row r="1830">
          <cell r="B1830">
            <v>3561</v>
          </cell>
          <cell r="C1830" t="str">
            <v>HLT4213</v>
          </cell>
          <cell r="D1830" t="str">
            <v>TAILORING</v>
          </cell>
          <cell r="E1830" t="str">
            <v>32S/2+32S/2x32S/2+40D</v>
          </cell>
          <cell r="F1830" t="str">
            <v>T/R/S 72/28/2</v>
          </cell>
          <cell r="G1830" t="str">
            <v>72%POLYESTER 28%RAYON 2%SPANDEX</v>
          </cell>
          <cell r="H1830" t="str">
            <v>57/58</v>
          </cell>
          <cell r="I1830">
            <v>235</v>
          </cell>
          <cell r="J1830">
            <v>2.6680180180180177</v>
          </cell>
          <cell r="K1830"/>
          <cell r="L1830">
            <v>2.7680180180180178</v>
          </cell>
          <cell r="M1830"/>
          <cell r="N1830">
            <v>2.8680180180180179</v>
          </cell>
          <cell r="O1830"/>
          <cell r="P1830"/>
          <cell r="Q1830"/>
          <cell r="R1830">
            <v>2.968018018018018</v>
          </cell>
          <cell r="S1830"/>
          <cell r="T1830"/>
          <cell r="U1830"/>
          <cell r="V1830">
            <v>15</v>
          </cell>
          <cell r="W1830"/>
          <cell r="X1830" t="str">
            <v>CANDY</v>
          </cell>
          <cell r="Y1830" t="str">
            <v>CANDY 03-OCT</v>
          </cell>
          <cell r="Z1830" t="str">
            <v>LEI' MAIL 4/10/17</v>
          </cell>
          <cell r="AA1830"/>
          <cell r="AB1830">
            <v>43013</v>
          </cell>
          <cell r="AC1830">
            <v>3561</v>
          </cell>
        </row>
        <row r="1831">
          <cell r="B1831">
            <v>3560</v>
          </cell>
          <cell r="C1831" t="str">
            <v>HLT4316</v>
          </cell>
          <cell r="D1831" t="str">
            <v>TAILORING</v>
          </cell>
          <cell r="E1831" t="str">
            <v>100D+32S+200D+150Dx100D+32S+40D</v>
          </cell>
          <cell r="F1831" t="str">
            <v>T/V/S 77/21/2</v>
          </cell>
          <cell r="G1831" t="str">
            <v>77%POLYESTER 21%VISCOSE 2%SPANDEX</v>
          </cell>
          <cell r="H1831" t="str">
            <v>57/58</v>
          </cell>
          <cell r="I1831">
            <v>265</v>
          </cell>
          <cell r="J1831">
            <v>3.1905405405405407</v>
          </cell>
          <cell r="K1831"/>
          <cell r="L1831">
            <v>3.2905405405405408</v>
          </cell>
          <cell r="M1831"/>
          <cell r="N1831">
            <v>3.3905405405405409</v>
          </cell>
          <cell r="O1831"/>
          <cell r="P1831"/>
          <cell r="Q1831"/>
          <cell r="R1831">
            <v>3.490540540540541</v>
          </cell>
          <cell r="S1831"/>
          <cell r="T1831"/>
          <cell r="U1831"/>
          <cell r="V1831">
            <v>15</v>
          </cell>
          <cell r="W1831"/>
          <cell r="X1831" t="str">
            <v>CANDY</v>
          </cell>
          <cell r="Y1831" t="str">
            <v>CANDY 03-OCT</v>
          </cell>
          <cell r="Z1831" t="str">
            <v>LEI' MAIL 4/10/17</v>
          </cell>
          <cell r="AA1831"/>
          <cell r="AB1831">
            <v>43013</v>
          </cell>
          <cell r="AC1831">
            <v>3560</v>
          </cell>
        </row>
        <row r="1832">
          <cell r="B1832">
            <v>3559</v>
          </cell>
          <cell r="C1832" t="str">
            <v>HLT4713</v>
          </cell>
          <cell r="D1832" t="str">
            <v>TAILORING</v>
          </cell>
          <cell r="E1832" t="str">
            <v>25Sx100D+75D+50D+42S/2</v>
          </cell>
          <cell r="F1832" t="str">
            <v>T/V 69/31</v>
          </cell>
          <cell r="G1832" t="str">
            <v>69%POLYESTER 31%VISCOSE</v>
          </cell>
          <cell r="H1832" t="str">
            <v>57/58</v>
          </cell>
          <cell r="I1832">
            <v>200</v>
          </cell>
          <cell r="J1832">
            <v>2.781756756756756</v>
          </cell>
          <cell r="K1832"/>
          <cell r="L1832">
            <v>2.8817567567567561</v>
          </cell>
          <cell r="M1832"/>
          <cell r="N1832">
            <v>2.9817567567567562</v>
          </cell>
          <cell r="O1832"/>
          <cell r="P1832"/>
          <cell r="Q1832"/>
          <cell r="R1832">
            <v>3.0817567567567563</v>
          </cell>
          <cell r="S1832"/>
          <cell r="T1832"/>
          <cell r="U1832"/>
          <cell r="V1832">
            <v>15</v>
          </cell>
          <cell r="W1832"/>
          <cell r="X1832" t="str">
            <v>CANDY</v>
          </cell>
          <cell r="Y1832" t="str">
            <v>CANDY 03-OCT</v>
          </cell>
          <cell r="Z1832" t="str">
            <v>LEI' MAIL 4/10/17</v>
          </cell>
          <cell r="AA1832"/>
          <cell r="AB1832">
            <v>43013</v>
          </cell>
          <cell r="AC1832">
            <v>3559</v>
          </cell>
        </row>
        <row r="1833">
          <cell r="B1833">
            <v>3558</v>
          </cell>
          <cell r="C1833" t="str">
            <v>HLT4323</v>
          </cell>
          <cell r="D1833" t="str">
            <v>TAILORING</v>
          </cell>
          <cell r="E1833" t="str">
            <v xml:space="preserve"> </v>
          </cell>
          <cell r="F1833" t="str">
            <v>T/R/S 78/17/5</v>
          </cell>
          <cell r="G1833" t="str">
            <v>78%POLYESTER 17%RAYON 5%SPANDEX</v>
          </cell>
          <cell r="H1833" t="str">
            <v>58/59</v>
          </cell>
          <cell r="I1833">
            <v>210</v>
          </cell>
          <cell r="J1833">
            <v>2.2638996138996137</v>
          </cell>
          <cell r="K1833"/>
          <cell r="L1833">
            <v>2.3638996138996138</v>
          </cell>
          <cell r="M1833"/>
          <cell r="N1833">
            <v>2.4638996138996139</v>
          </cell>
          <cell r="O1833"/>
          <cell r="P1833"/>
          <cell r="Q1833"/>
          <cell r="R1833">
            <v>2.563899613899614</v>
          </cell>
          <cell r="S1833"/>
          <cell r="T1833"/>
          <cell r="U1833"/>
          <cell r="V1833">
            <v>15</v>
          </cell>
          <cell r="W1833"/>
          <cell r="X1833" t="str">
            <v>CANDY</v>
          </cell>
          <cell r="Y1833" t="str">
            <v>CANDY 03-OCT</v>
          </cell>
          <cell r="Z1833" t="str">
            <v>LEI' MAIL 4/10/17</v>
          </cell>
          <cell r="AA1833"/>
          <cell r="AB1833">
            <v>43013</v>
          </cell>
          <cell r="AC1833">
            <v>3558</v>
          </cell>
        </row>
        <row r="1834">
          <cell r="B1834">
            <v>2471</v>
          </cell>
          <cell r="C1834" t="str">
            <v>LX447</v>
          </cell>
          <cell r="D1834" t="str">
            <v>PONTE ROMA</v>
          </cell>
          <cell r="E1834"/>
          <cell r="F1834" t="str">
            <v>R/N/S 52/40/8</v>
          </cell>
          <cell r="G1834" t="str">
            <v>52% RAYON 40% NYLON 8% SPANDEX</v>
          </cell>
          <cell r="H1834" t="str">
            <v>57/58</v>
          </cell>
          <cell r="I1834">
            <v>400</v>
          </cell>
          <cell r="J1834">
            <v>4.16</v>
          </cell>
          <cell r="K1834"/>
          <cell r="L1834">
            <v>4.2300000000000004</v>
          </cell>
          <cell r="M1834"/>
          <cell r="N1834">
            <v>4.3099999999999996</v>
          </cell>
          <cell r="O1834"/>
          <cell r="P1834"/>
          <cell r="Q1834"/>
          <cell r="R1834">
            <v>4.3600000000000003</v>
          </cell>
          <cell r="S1834"/>
          <cell r="T1834"/>
          <cell r="U1834"/>
          <cell r="V1834"/>
          <cell r="W1834"/>
          <cell r="X1834" t="str">
            <v>TINA</v>
          </cell>
          <cell r="Y1834" t="str">
            <v>TINA 3-OCT</v>
          </cell>
          <cell r="Z1834" t="str">
            <v>TINA' MAIL 5/10/17</v>
          </cell>
          <cell r="AA1834"/>
          <cell r="AB1834">
            <v>43013</v>
          </cell>
          <cell r="AC1834">
            <v>2471</v>
          </cell>
        </row>
        <row r="1835">
          <cell r="B1835">
            <v>2470</v>
          </cell>
          <cell r="C1835" t="str">
            <v>LX448</v>
          </cell>
          <cell r="D1835" t="str">
            <v>PONTE ROMA</v>
          </cell>
          <cell r="E1835"/>
          <cell r="F1835" t="str">
            <v>R/N/S 52/40/8</v>
          </cell>
          <cell r="G1835" t="str">
            <v>52% RAYON 40% NYLON 8% SPANDEX</v>
          </cell>
          <cell r="H1835" t="str">
            <v>57/58</v>
          </cell>
          <cell r="I1835">
            <v>320</v>
          </cell>
          <cell r="J1835">
            <v>3.25</v>
          </cell>
          <cell r="K1835"/>
          <cell r="L1835">
            <v>3.32</v>
          </cell>
          <cell r="M1835"/>
          <cell r="N1835">
            <v>3.4</v>
          </cell>
          <cell r="O1835"/>
          <cell r="P1835"/>
          <cell r="Q1835"/>
          <cell r="R1835">
            <v>3.45</v>
          </cell>
          <cell r="S1835"/>
          <cell r="T1835"/>
          <cell r="U1835"/>
          <cell r="V1835"/>
          <cell r="W1835"/>
          <cell r="X1835" t="str">
            <v>TINA</v>
          </cell>
          <cell r="Y1835" t="str">
            <v>TINA 3-OCT</v>
          </cell>
          <cell r="Z1835" t="str">
            <v>TINA' MAIL 5/10/17</v>
          </cell>
          <cell r="AA1835"/>
          <cell r="AB1835">
            <v>43013</v>
          </cell>
          <cell r="AC1835">
            <v>2470</v>
          </cell>
        </row>
        <row r="1836">
          <cell r="B1836">
            <v>2469</v>
          </cell>
          <cell r="C1836" t="str">
            <v>LX436</v>
          </cell>
          <cell r="D1836" t="str">
            <v>PONTE ROMA</v>
          </cell>
          <cell r="E1836"/>
          <cell r="F1836" t="str">
            <v>R/N/S 70/26/4</v>
          </cell>
          <cell r="G1836" t="str">
            <v>70% RAYON 26% NYLON 4% SPANDEX</v>
          </cell>
          <cell r="H1836" t="str">
            <v>57/58</v>
          </cell>
          <cell r="I1836">
            <v>430</v>
          </cell>
          <cell r="J1836">
            <v>4.05</v>
          </cell>
          <cell r="K1836"/>
          <cell r="L1836">
            <v>4.12</v>
          </cell>
          <cell r="M1836"/>
          <cell r="N1836">
            <v>4.2</v>
          </cell>
          <cell r="O1836"/>
          <cell r="P1836"/>
          <cell r="Q1836"/>
          <cell r="R1836">
            <v>4.25</v>
          </cell>
          <cell r="S1836"/>
          <cell r="T1836"/>
          <cell r="U1836"/>
          <cell r="V1836"/>
          <cell r="W1836"/>
          <cell r="X1836" t="str">
            <v>TINA</v>
          </cell>
          <cell r="Y1836" t="str">
            <v>TINA 3-OCT</v>
          </cell>
          <cell r="Z1836" t="str">
            <v>TINA' MAIL 5/10/17</v>
          </cell>
          <cell r="AA1836"/>
          <cell r="AB1836">
            <v>43013</v>
          </cell>
          <cell r="AC1836">
            <v>2469</v>
          </cell>
        </row>
        <row r="1837">
          <cell r="B1837"/>
          <cell r="C1837" t="str">
            <v>HLT4274</v>
          </cell>
          <cell r="D1837" t="str">
            <v>TAILORING</v>
          </cell>
          <cell r="E1837" t="str">
            <v>150D+150D+300Dx40S/2+40D</v>
          </cell>
          <cell r="F1837" t="str">
            <v>T/R/S 85/13/2</v>
          </cell>
          <cell r="G1837" t="str">
            <v>85%POLYESTER 13%RAYON 2%SPANDEX</v>
          </cell>
          <cell r="H1837" t="str">
            <v>57/58</v>
          </cell>
          <cell r="I1837">
            <v>225</v>
          </cell>
          <cell r="J1837">
            <v>2.5238738738738737</v>
          </cell>
          <cell r="K1837"/>
          <cell r="L1837">
            <v>2.6238738738738738</v>
          </cell>
          <cell r="M1837"/>
          <cell r="N1837">
            <v>2.7238738738738739</v>
          </cell>
          <cell r="O1837"/>
          <cell r="P1837"/>
          <cell r="Q1837"/>
          <cell r="R1837">
            <v>2.823873873873874</v>
          </cell>
          <cell r="S1837"/>
          <cell r="T1837"/>
          <cell r="U1837"/>
          <cell r="V1837">
            <v>15</v>
          </cell>
          <cell r="W1837"/>
          <cell r="X1837" t="str">
            <v>CANDY</v>
          </cell>
          <cell r="Y1837" t="str">
            <v>CANDY 03-OCT</v>
          </cell>
          <cell r="Z1837" t="str">
            <v>LEI' MAIL 4/10/17</v>
          </cell>
          <cell r="AA1837"/>
          <cell r="AB1837">
            <v>43013</v>
          </cell>
          <cell r="AC1837">
            <v>0</v>
          </cell>
        </row>
        <row r="1838">
          <cell r="B1838">
            <v>3546</v>
          </cell>
          <cell r="C1838" t="str">
            <v>WW-20567-10</v>
          </cell>
          <cell r="D1838"/>
          <cell r="E1838"/>
          <cell r="F1838" t="str">
            <v>T 100%</v>
          </cell>
          <cell r="G1838" t="str">
            <v>100% POLYESTER - 100D/72Fx2 - 40x32</v>
          </cell>
          <cell r="H1838" t="str">
            <v>57/58</v>
          </cell>
          <cell r="I1838">
            <v>70</v>
          </cell>
          <cell r="J1838">
            <v>0.9</v>
          </cell>
          <cell r="K1838">
            <v>1.2</v>
          </cell>
          <cell r="L1838">
            <v>0.9</v>
          </cell>
          <cell r="M1838">
            <v>1.2</v>
          </cell>
          <cell r="N1838">
            <v>0.9900000000000001</v>
          </cell>
          <cell r="O1838">
            <v>1.32</v>
          </cell>
          <cell r="P1838"/>
          <cell r="Q1838"/>
          <cell r="R1838">
            <v>1.0890000000000002</v>
          </cell>
          <cell r="S1838">
            <v>1.4520000000000002</v>
          </cell>
          <cell r="T1838"/>
          <cell r="U1838"/>
          <cell r="V1838"/>
          <cell r="W1838"/>
          <cell r="X1838" t="str">
            <v>PANI</v>
          </cell>
          <cell r="Y1838" t="str">
            <v>PANI 26-SEP</v>
          </cell>
          <cell r="Z1838" t="str">
            <v>AMY' MAIL 26/9/17</v>
          </cell>
          <cell r="AA1838"/>
          <cell r="AB1838">
            <v>43010</v>
          </cell>
          <cell r="AC1838">
            <v>3546</v>
          </cell>
        </row>
        <row r="1839">
          <cell r="B1839">
            <v>3545</v>
          </cell>
          <cell r="C1839" t="str">
            <v>WW-21946</v>
          </cell>
          <cell r="D1839"/>
          <cell r="E1839"/>
          <cell r="F1839" t="str">
            <v>V/R 55/45</v>
          </cell>
          <cell r="G1839" t="str">
            <v>55% VISCOSE 45% RAYON - 120Dx30s</v>
          </cell>
          <cell r="H1839" t="str">
            <v>130CM</v>
          </cell>
          <cell r="I1839">
            <v>130</v>
          </cell>
          <cell r="J1839">
            <v>2.2999999999999998</v>
          </cell>
          <cell r="K1839">
            <v>2.6</v>
          </cell>
          <cell r="L1839">
            <v>2.2999999999999998</v>
          </cell>
          <cell r="M1839">
            <v>2.6</v>
          </cell>
          <cell r="N1839">
            <v>2.5299999999999998</v>
          </cell>
          <cell r="O1839">
            <v>2.8600000000000003</v>
          </cell>
          <cell r="P1839"/>
          <cell r="Q1839"/>
          <cell r="R1839">
            <v>2.7829999999999999</v>
          </cell>
          <cell r="S1839">
            <v>3.1460000000000008</v>
          </cell>
          <cell r="T1839"/>
          <cell r="U1839"/>
          <cell r="V1839"/>
          <cell r="W1839"/>
          <cell r="X1839" t="str">
            <v>PANI</v>
          </cell>
          <cell r="Y1839" t="str">
            <v>PANI 26-SEP</v>
          </cell>
          <cell r="Z1839" t="str">
            <v>AMY' MAIL 26/9/17</v>
          </cell>
          <cell r="AA1839"/>
          <cell r="AB1839">
            <v>43010</v>
          </cell>
          <cell r="AC1839">
            <v>3545</v>
          </cell>
        </row>
        <row r="1840">
          <cell r="B1840">
            <v>3544</v>
          </cell>
          <cell r="C1840" t="str">
            <v>WK-22306-1</v>
          </cell>
          <cell r="D1840"/>
          <cell r="E1840"/>
          <cell r="F1840" t="str">
            <v>T/S 95/5</v>
          </cell>
          <cell r="G1840" t="str">
            <v>95% POLYESTER 5% SPANDEX</v>
          </cell>
          <cell r="H1840" t="str">
            <v>155CM</v>
          </cell>
          <cell r="I1840">
            <v>280</v>
          </cell>
          <cell r="J1840">
            <v>2.2000000000000002</v>
          </cell>
          <cell r="K1840">
            <v>2.5</v>
          </cell>
          <cell r="L1840">
            <v>2.2000000000000002</v>
          </cell>
          <cell r="M1840">
            <v>2.5</v>
          </cell>
          <cell r="N1840">
            <v>2.4200000000000004</v>
          </cell>
          <cell r="O1840">
            <v>2.75</v>
          </cell>
          <cell r="P1840"/>
          <cell r="Q1840"/>
          <cell r="R1840">
            <v>2.6620000000000008</v>
          </cell>
          <cell r="S1840">
            <v>3.0250000000000004</v>
          </cell>
          <cell r="T1840"/>
          <cell r="U1840"/>
          <cell r="V1840"/>
          <cell r="W1840"/>
          <cell r="X1840" t="str">
            <v>PANI</v>
          </cell>
          <cell r="Y1840" t="str">
            <v>PANI 26-SEP</v>
          </cell>
          <cell r="Z1840" t="str">
            <v>AMY' MAIL 26/9/17</v>
          </cell>
          <cell r="AA1840"/>
          <cell r="AB1840">
            <v>43010</v>
          </cell>
          <cell r="AC1840">
            <v>3544</v>
          </cell>
        </row>
        <row r="1841">
          <cell r="B1841">
            <v>3543</v>
          </cell>
          <cell r="C1841" t="str">
            <v>WW-21789-13</v>
          </cell>
          <cell r="D1841"/>
          <cell r="E1841"/>
          <cell r="F1841" t="str">
            <v>T/S 97/3</v>
          </cell>
          <cell r="G1841" t="str">
            <v>97% POLYESTER 3% SPANDEX - 75D+(75D+40D)</v>
          </cell>
          <cell r="H1841" t="str">
            <v>57/58</v>
          </cell>
          <cell r="I1841" t="str">
            <v>110-115</v>
          </cell>
          <cell r="J1841">
            <v>1.25</v>
          </cell>
          <cell r="K1841">
            <v>1.55</v>
          </cell>
          <cell r="L1841">
            <v>1.25</v>
          </cell>
          <cell r="M1841">
            <v>1.55</v>
          </cell>
          <cell r="N1841">
            <v>1.375</v>
          </cell>
          <cell r="O1841">
            <v>1.7050000000000003</v>
          </cell>
          <cell r="P1841"/>
          <cell r="Q1841"/>
          <cell r="R1841">
            <v>1.5125000000000002</v>
          </cell>
          <cell r="S1841">
            <v>1.8755000000000004</v>
          </cell>
          <cell r="T1841"/>
          <cell r="U1841"/>
          <cell r="V1841"/>
          <cell r="W1841"/>
          <cell r="X1841" t="str">
            <v>PANI</v>
          </cell>
          <cell r="Y1841" t="str">
            <v>PANI 26-SEP</v>
          </cell>
          <cell r="Z1841" t="str">
            <v>AMY' MAIL 26/9/17</v>
          </cell>
          <cell r="AA1841"/>
          <cell r="AB1841">
            <v>43010</v>
          </cell>
          <cell r="AC1841">
            <v>3543</v>
          </cell>
        </row>
        <row r="1842">
          <cell r="B1842">
            <v>3542</v>
          </cell>
          <cell r="C1842" t="str">
            <v>WW-21789-12</v>
          </cell>
          <cell r="D1842"/>
          <cell r="E1842"/>
          <cell r="F1842" t="str">
            <v>T/S 97/3</v>
          </cell>
          <cell r="G1842" t="str">
            <v>97% POLYESTER 3% SPANDEX - 75D+(75D+40D)</v>
          </cell>
          <cell r="H1842" t="str">
            <v>57/58</v>
          </cell>
          <cell r="I1842">
            <v>120</v>
          </cell>
          <cell r="J1842">
            <v>1.3</v>
          </cell>
          <cell r="K1842">
            <v>1.6</v>
          </cell>
          <cell r="L1842">
            <v>1.3</v>
          </cell>
          <cell r="M1842">
            <v>1.6</v>
          </cell>
          <cell r="N1842">
            <v>1.4300000000000002</v>
          </cell>
          <cell r="O1842">
            <v>1.7600000000000002</v>
          </cell>
          <cell r="P1842"/>
          <cell r="Q1842"/>
          <cell r="R1842">
            <v>1.5730000000000004</v>
          </cell>
          <cell r="S1842">
            <v>1.9360000000000004</v>
          </cell>
          <cell r="T1842"/>
          <cell r="U1842"/>
          <cell r="V1842"/>
          <cell r="W1842"/>
          <cell r="X1842" t="str">
            <v>PANI</v>
          </cell>
          <cell r="Y1842" t="str">
            <v>PANI 26-SEP</v>
          </cell>
          <cell r="Z1842" t="str">
            <v>AMY' MAIL 26/9/17</v>
          </cell>
          <cell r="AA1842"/>
          <cell r="AB1842">
            <v>43010</v>
          </cell>
          <cell r="AC1842">
            <v>3542</v>
          </cell>
        </row>
        <row r="1843">
          <cell r="B1843">
            <v>3541</v>
          </cell>
          <cell r="C1843" t="str">
            <v>MRN-40301</v>
          </cell>
          <cell r="D1843" t="str">
            <v>PONTE ROMA</v>
          </cell>
          <cell r="E1843"/>
          <cell r="F1843" t="str">
            <v>29.1N,4.2SP,66.7R</v>
          </cell>
          <cell r="G1843" t="str">
            <v>66.7% RAYON 29.1% NYLON 4.2% SPANDEX</v>
          </cell>
          <cell r="H1843">
            <v>330</v>
          </cell>
          <cell r="I1843" t="str">
            <v>63"</v>
          </cell>
          <cell r="J1843">
            <v>2.9200000000000004</v>
          </cell>
          <cell r="K1843"/>
          <cell r="L1843">
            <v>2.99</v>
          </cell>
          <cell r="M1843"/>
          <cell r="N1843">
            <v>2.99</v>
          </cell>
          <cell r="O1843"/>
          <cell r="P1843"/>
          <cell r="Q1843"/>
          <cell r="R1843">
            <v>2.99</v>
          </cell>
          <cell r="S1843"/>
          <cell r="T1843"/>
          <cell r="U1843"/>
          <cell r="V1843">
            <v>15</v>
          </cell>
          <cell r="W1843"/>
          <cell r="X1843" t="str">
            <v>FENG QIANG</v>
          </cell>
          <cell r="Y1843" t="str">
            <v>FENG QIANG 02-OCT</v>
          </cell>
          <cell r="Z1843" t="str">
            <v>HUYEN' MAIL 02/10/17</v>
          </cell>
          <cell r="AA1843"/>
          <cell r="AB1843">
            <v>43010</v>
          </cell>
          <cell r="AC1843">
            <v>3541</v>
          </cell>
        </row>
        <row r="1844">
          <cell r="B1844">
            <v>3540</v>
          </cell>
          <cell r="C1844" t="str">
            <v>MRN-41231</v>
          </cell>
          <cell r="D1844" t="str">
            <v>PONTE ROMA</v>
          </cell>
          <cell r="E1844"/>
          <cell r="F1844" t="str">
            <v>32.1/4.6/63.3 N/SP/R</v>
          </cell>
          <cell r="G1844" t="str">
            <v>63.3% RAYON 32.1% NYLON 4.6% SPANDEX</v>
          </cell>
          <cell r="H1844" t="str">
            <v>160CM</v>
          </cell>
          <cell r="I1844">
            <v>320</v>
          </cell>
          <cell r="J1844">
            <v>3.48</v>
          </cell>
          <cell r="K1844"/>
          <cell r="L1844">
            <v>3.55</v>
          </cell>
          <cell r="M1844"/>
          <cell r="N1844">
            <v>3.55</v>
          </cell>
          <cell r="O1844"/>
          <cell r="P1844"/>
          <cell r="Q1844"/>
          <cell r="R1844">
            <v>3.55</v>
          </cell>
          <cell r="S1844"/>
          <cell r="T1844"/>
          <cell r="U1844"/>
          <cell r="V1844">
            <v>15</v>
          </cell>
          <cell r="W1844"/>
          <cell r="X1844" t="str">
            <v>FENG QIANG</v>
          </cell>
          <cell r="Y1844" t="str">
            <v>FENG QIANG 02-OCT</v>
          </cell>
          <cell r="Z1844" t="str">
            <v>HUYEN' MAIL 02/10/17</v>
          </cell>
          <cell r="AA1844"/>
          <cell r="AB1844">
            <v>43010</v>
          </cell>
          <cell r="AC1844">
            <v>3540</v>
          </cell>
        </row>
        <row r="1845">
          <cell r="B1845">
            <v>3539</v>
          </cell>
          <cell r="C1845" t="str">
            <v>MRT-60801</v>
          </cell>
          <cell r="D1845" t="str">
            <v>PONTE ROMA</v>
          </cell>
          <cell r="E1845"/>
          <cell r="F1845" t="str">
            <v>65/31/4 R/T/SP</v>
          </cell>
          <cell r="G1845" t="str">
            <v>65% RAYON 31% POLY 4% SPANDEX</v>
          </cell>
          <cell r="H1845" t="str">
            <v>160CM</v>
          </cell>
          <cell r="I1845">
            <v>300</v>
          </cell>
          <cell r="J1845">
            <v>2.3800000000000003</v>
          </cell>
          <cell r="K1845"/>
          <cell r="L1845">
            <v>2.4500000000000002</v>
          </cell>
          <cell r="M1845"/>
          <cell r="N1845">
            <v>2.4500000000000002</v>
          </cell>
          <cell r="O1845"/>
          <cell r="P1845"/>
          <cell r="Q1845"/>
          <cell r="R1845">
            <v>2.4500000000000002</v>
          </cell>
          <cell r="S1845"/>
          <cell r="T1845"/>
          <cell r="U1845"/>
          <cell r="V1845">
            <v>15</v>
          </cell>
          <cell r="W1845"/>
          <cell r="X1845" t="str">
            <v>FENG QIANG</v>
          </cell>
          <cell r="Y1845" t="str">
            <v>FENG QIANG 02-OCT</v>
          </cell>
          <cell r="Z1845" t="str">
            <v>HUYEN' MAIL 02/10/17</v>
          </cell>
          <cell r="AA1845"/>
          <cell r="AB1845">
            <v>43010</v>
          </cell>
          <cell r="AC1845">
            <v>3539</v>
          </cell>
        </row>
        <row r="1846">
          <cell r="B1846">
            <v>3538</v>
          </cell>
          <cell r="C1846" t="str">
            <v>MRT-60725</v>
          </cell>
          <cell r="D1846" t="str">
            <v>PONTE ROMA</v>
          </cell>
          <cell r="E1846"/>
          <cell r="F1846" t="str">
            <v>70%R,25%T,5%SP</v>
          </cell>
          <cell r="G1846" t="str">
            <v>70% RAYON 25% POLYESTER 5%SPANDEX</v>
          </cell>
          <cell r="H1846" t="str">
            <v>160CM</v>
          </cell>
          <cell r="I1846">
            <v>280</v>
          </cell>
          <cell r="J1846">
            <v>2.58</v>
          </cell>
          <cell r="K1846"/>
          <cell r="L1846">
            <v>2.65</v>
          </cell>
          <cell r="M1846"/>
          <cell r="N1846">
            <v>2.65</v>
          </cell>
          <cell r="O1846"/>
          <cell r="P1846"/>
          <cell r="Q1846"/>
          <cell r="R1846">
            <v>2.65</v>
          </cell>
          <cell r="S1846"/>
          <cell r="T1846"/>
          <cell r="U1846"/>
          <cell r="V1846">
            <v>15</v>
          </cell>
          <cell r="W1846"/>
          <cell r="X1846" t="str">
            <v>FENG QIANG</v>
          </cell>
          <cell r="Y1846" t="str">
            <v>FENG QIANG 02-OCT</v>
          </cell>
          <cell r="Z1846" t="str">
            <v>HUYEN' MAIL 02/10/17</v>
          </cell>
          <cell r="AA1846"/>
          <cell r="AB1846">
            <v>43010</v>
          </cell>
          <cell r="AC1846">
            <v>3538</v>
          </cell>
        </row>
        <row r="1847">
          <cell r="B1847">
            <v>3537</v>
          </cell>
          <cell r="C1847" t="str">
            <v>MRN-50802</v>
          </cell>
          <cell r="D1847" t="str">
            <v>PONTE ROMA</v>
          </cell>
          <cell r="E1847"/>
          <cell r="F1847" t="str">
            <v>65R, 31N, 4SP</v>
          </cell>
          <cell r="G1847" t="str">
            <v>65% RAYON 31% NYLON  4% SPANDEX</v>
          </cell>
          <cell r="H1847" t="str">
            <v>160CM</v>
          </cell>
          <cell r="I1847" t="str">
            <v>340-350</v>
          </cell>
          <cell r="J1847">
            <v>3.0300000000000002</v>
          </cell>
          <cell r="K1847"/>
          <cell r="L1847">
            <v>3.1</v>
          </cell>
          <cell r="M1847"/>
          <cell r="N1847">
            <v>3.1</v>
          </cell>
          <cell r="O1847"/>
          <cell r="P1847"/>
          <cell r="Q1847"/>
          <cell r="R1847">
            <v>3.1</v>
          </cell>
          <cell r="S1847"/>
          <cell r="T1847"/>
          <cell r="U1847"/>
          <cell r="V1847">
            <v>15</v>
          </cell>
          <cell r="W1847"/>
          <cell r="X1847" t="str">
            <v>FENG QIANG</v>
          </cell>
          <cell r="Y1847" t="str">
            <v>FENG QIANG 02-OCT</v>
          </cell>
          <cell r="Z1847" t="str">
            <v>HUYEN' MAIL 02/10/17</v>
          </cell>
          <cell r="AA1847"/>
          <cell r="AB1847">
            <v>43010</v>
          </cell>
          <cell r="AC1847">
            <v>3537</v>
          </cell>
        </row>
        <row r="1848">
          <cell r="B1848">
            <v>3536</v>
          </cell>
          <cell r="C1848" t="str">
            <v>MRN-30518</v>
          </cell>
          <cell r="D1848" t="str">
            <v>PONTE ROMA</v>
          </cell>
          <cell r="E1848"/>
          <cell r="F1848" t="str">
            <v>R/N/S 61.7/33.5/4.8</v>
          </cell>
          <cell r="G1848" t="str">
            <v xml:space="preserve">61.7% RAYON 33.5% NYLON 4.8% SPANDEX </v>
          </cell>
          <cell r="H1848">
            <v>320</v>
          </cell>
          <cell r="I1848">
            <v>170</v>
          </cell>
          <cell r="J1848">
            <v>3.6372592592592596</v>
          </cell>
          <cell r="K1848"/>
          <cell r="L1848">
            <v>3.7072592592592595</v>
          </cell>
          <cell r="M1848"/>
          <cell r="N1848">
            <v>3.7072592592592595</v>
          </cell>
          <cell r="O1848"/>
          <cell r="P1848"/>
          <cell r="Q1848"/>
          <cell r="R1848">
            <v>3.7072592592592595</v>
          </cell>
          <cell r="S1848"/>
          <cell r="T1848"/>
          <cell r="U1848"/>
          <cell r="V1848">
            <v>15</v>
          </cell>
          <cell r="W1848"/>
          <cell r="X1848" t="str">
            <v>FENG QIANG</v>
          </cell>
          <cell r="Y1848" t="str">
            <v>FENG QIANG 02-OCT</v>
          </cell>
          <cell r="Z1848" t="str">
            <v>HUYEN' MAIL 02/10/17</v>
          </cell>
          <cell r="AA1848"/>
          <cell r="AB1848">
            <v>43010</v>
          </cell>
          <cell r="AC1848">
            <v>3536</v>
          </cell>
        </row>
        <row r="1849">
          <cell r="B1849">
            <v>3534</v>
          </cell>
          <cell r="C1849" t="str">
            <v>RP - 264</v>
          </cell>
          <cell r="D1849"/>
          <cell r="E1849"/>
          <cell r="F1849" t="str">
            <v>R 100%</v>
          </cell>
          <cell r="G1849" t="str">
            <v>100% RAYON - 32x32/ 106X66</v>
          </cell>
          <cell r="H1849" t="str">
            <v>55/56</v>
          </cell>
          <cell r="I1849">
            <v>165</v>
          </cell>
          <cell r="J1849">
            <v>2.1800000000000002</v>
          </cell>
          <cell r="K1849"/>
          <cell r="L1849">
            <v>2.23</v>
          </cell>
          <cell r="M1849"/>
          <cell r="N1849">
            <v>2.23</v>
          </cell>
          <cell r="O1849"/>
          <cell r="P1849"/>
          <cell r="Q1849"/>
          <cell r="R1849">
            <v>2.73</v>
          </cell>
          <cell r="S1849"/>
          <cell r="T1849"/>
          <cell r="U1849"/>
          <cell r="V1849">
            <v>15</v>
          </cell>
          <cell r="W1849"/>
          <cell r="X1849" t="str">
            <v>LIVALTEX</v>
          </cell>
          <cell r="Y1849" t="str">
            <v>LIVALTEX 25-SEP</v>
          </cell>
          <cell r="Z1849" t="str">
            <v>ROSE' MAIL 28/9/17</v>
          </cell>
          <cell r="AA1849"/>
          <cell r="AB1849">
            <v>43010</v>
          </cell>
          <cell r="AC1849">
            <v>3534</v>
          </cell>
        </row>
        <row r="1850">
          <cell r="B1850">
            <v>3533</v>
          </cell>
          <cell r="C1850" t="str">
            <v>TEN - 299</v>
          </cell>
          <cell r="D1850"/>
          <cell r="E1850"/>
          <cell r="F1850" t="str">
            <v>TEMEL 100%</v>
          </cell>
          <cell r="G1850" t="str">
            <v>100% TEMEL - 30x30/ 130X78</v>
          </cell>
          <cell r="H1850" t="str">
            <v>56/57</v>
          </cell>
          <cell r="I1850">
            <v>168</v>
          </cell>
          <cell r="J1850">
            <v>3.4</v>
          </cell>
          <cell r="K1850"/>
          <cell r="L1850">
            <v>3.44</v>
          </cell>
          <cell r="M1850"/>
          <cell r="N1850">
            <v>3.44</v>
          </cell>
          <cell r="O1850"/>
          <cell r="P1850"/>
          <cell r="Q1850"/>
          <cell r="R1850">
            <v>3.95</v>
          </cell>
          <cell r="S1850"/>
          <cell r="T1850"/>
          <cell r="U1850"/>
          <cell r="V1850">
            <v>15</v>
          </cell>
          <cell r="W1850" t="str">
            <v>WITH TEN-299 QUALITY IN SOLID PRICE</v>
          </cell>
          <cell r="X1850" t="str">
            <v>LIVALTEX</v>
          </cell>
          <cell r="Y1850" t="str">
            <v>LIVALTEX 25-SEP</v>
          </cell>
          <cell r="Z1850" t="str">
            <v>ROSE' MAIL 28/9/17</v>
          </cell>
          <cell r="AA1850"/>
          <cell r="AB1850">
            <v>43010</v>
          </cell>
          <cell r="AC1850">
            <v>3533</v>
          </cell>
        </row>
        <row r="1851">
          <cell r="B1851">
            <v>3532</v>
          </cell>
          <cell r="C1851" t="str">
            <v>SPB - 027</v>
          </cell>
          <cell r="D1851"/>
          <cell r="E1851" t="str">
            <v>15D+15Dx32R/250x105</v>
          </cell>
          <cell r="F1851" t="str">
            <v>T/R 65/35</v>
          </cell>
          <cell r="G1851" t="str">
            <v>65% POLYESTER 35% RAYON</v>
          </cell>
          <cell r="H1851" t="str">
            <v>57/58</v>
          </cell>
          <cell r="I1851">
            <v>140</v>
          </cell>
          <cell r="J1851"/>
          <cell r="K1851">
            <v>2.33</v>
          </cell>
          <cell r="L1851"/>
          <cell r="M1851">
            <v>2.38</v>
          </cell>
          <cell r="N1851"/>
          <cell r="O1851">
            <v>2.38</v>
          </cell>
          <cell r="P1851"/>
          <cell r="Q1851"/>
          <cell r="R1851"/>
          <cell r="S1851">
            <v>2.93</v>
          </cell>
          <cell r="T1851"/>
          <cell r="U1851"/>
          <cell r="V1851">
            <v>15</v>
          </cell>
          <cell r="W1851"/>
          <cell r="X1851" t="str">
            <v>LIVALTEX</v>
          </cell>
          <cell r="Y1851" t="str">
            <v>LIVALTEX 25-SEP</v>
          </cell>
          <cell r="Z1851" t="str">
            <v>ROSE' MAIL 28/9/17</v>
          </cell>
          <cell r="AA1851"/>
          <cell r="AB1851">
            <v>43010</v>
          </cell>
          <cell r="AC1851">
            <v>3532</v>
          </cell>
        </row>
        <row r="1852">
          <cell r="B1852">
            <v>3531</v>
          </cell>
          <cell r="C1852" t="str">
            <v>SP - 678</v>
          </cell>
          <cell r="D1852" t="str">
            <v>TWILL</v>
          </cell>
          <cell r="E1852" t="str">
            <v>30Dx10S</v>
          </cell>
          <cell r="F1852" t="str">
            <v>R/T 90/10</v>
          </cell>
          <cell r="G1852" t="str">
            <v>90% RAYON 10% POLYESTER</v>
          </cell>
          <cell r="H1852" t="str">
            <v>57/58</v>
          </cell>
          <cell r="I1852">
            <v>190</v>
          </cell>
          <cell r="J1852">
            <v>2.33</v>
          </cell>
          <cell r="K1852"/>
          <cell r="L1852">
            <v>2.38</v>
          </cell>
          <cell r="M1852"/>
          <cell r="N1852">
            <v>2.38</v>
          </cell>
          <cell r="O1852"/>
          <cell r="P1852"/>
          <cell r="Q1852"/>
          <cell r="R1852">
            <v>2.93</v>
          </cell>
          <cell r="S1852"/>
          <cell r="T1852"/>
          <cell r="U1852"/>
          <cell r="V1852">
            <v>15</v>
          </cell>
          <cell r="W1852"/>
          <cell r="X1852" t="str">
            <v>LIVALTEX</v>
          </cell>
          <cell r="Y1852" t="str">
            <v>LIVALTEX 25-SEP</v>
          </cell>
          <cell r="Z1852" t="str">
            <v>ROSE' MAIL 28/9/17</v>
          </cell>
          <cell r="AA1852"/>
          <cell r="AB1852">
            <v>43010</v>
          </cell>
          <cell r="AC1852">
            <v>3531</v>
          </cell>
        </row>
        <row r="1853">
          <cell r="B1853">
            <v>3530</v>
          </cell>
          <cell r="C1853" t="str">
            <v>CCPS - 364</v>
          </cell>
          <cell r="D1853"/>
          <cell r="E1853"/>
          <cell r="F1853" t="str">
            <v>C/S</v>
          </cell>
          <cell r="G1853" t="str">
            <v>COTTON /SPX</v>
          </cell>
          <cell r="H1853" t="str">
            <v>53/54</v>
          </cell>
          <cell r="I1853">
            <v>330</v>
          </cell>
          <cell r="J1853">
            <v>3.3</v>
          </cell>
          <cell r="K1853"/>
          <cell r="L1853">
            <v>3.34</v>
          </cell>
          <cell r="M1853"/>
          <cell r="N1853">
            <v>3.34</v>
          </cell>
          <cell r="O1853"/>
          <cell r="P1853"/>
          <cell r="Q1853"/>
          <cell r="R1853">
            <v>3.79</v>
          </cell>
          <cell r="S1853"/>
          <cell r="T1853"/>
          <cell r="U1853"/>
          <cell r="V1853">
            <v>15</v>
          </cell>
          <cell r="W1853"/>
          <cell r="X1853" t="str">
            <v>LIVALTEX</v>
          </cell>
          <cell r="Y1853" t="str">
            <v>LIVALTEX 25-SEP</v>
          </cell>
          <cell r="Z1853" t="str">
            <v>ROSE' MAIL 28/9/17</v>
          </cell>
          <cell r="AA1853"/>
          <cell r="AB1853">
            <v>43010</v>
          </cell>
          <cell r="AC1853">
            <v>3530</v>
          </cell>
        </row>
        <row r="1854">
          <cell r="B1854">
            <v>3529</v>
          </cell>
          <cell r="C1854" t="str">
            <v>CCPS - 363</v>
          </cell>
          <cell r="D1854"/>
          <cell r="E1854"/>
          <cell r="F1854" t="str">
            <v>C/S</v>
          </cell>
          <cell r="G1854" t="str">
            <v>COTTON/SPX</v>
          </cell>
          <cell r="H1854" t="str">
            <v>53/54</v>
          </cell>
          <cell r="I1854">
            <v>350</v>
          </cell>
          <cell r="J1854">
            <v>3.05</v>
          </cell>
          <cell r="K1854"/>
          <cell r="L1854">
            <v>3.1</v>
          </cell>
          <cell r="M1854"/>
          <cell r="N1854">
            <v>3.1</v>
          </cell>
          <cell r="O1854"/>
          <cell r="P1854"/>
          <cell r="Q1854"/>
          <cell r="R1854">
            <v>3.6</v>
          </cell>
          <cell r="S1854"/>
          <cell r="T1854"/>
          <cell r="U1854"/>
          <cell r="V1854">
            <v>15</v>
          </cell>
          <cell r="W1854"/>
          <cell r="X1854" t="str">
            <v>LIVALTEX</v>
          </cell>
          <cell r="Y1854" t="str">
            <v>LIVALTEX 25-SEP</v>
          </cell>
          <cell r="Z1854" t="str">
            <v>ROSE' MAIL 28/9/17</v>
          </cell>
          <cell r="AA1854"/>
          <cell r="AB1854">
            <v>43010</v>
          </cell>
          <cell r="AC1854">
            <v>3529</v>
          </cell>
        </row>
        <row r="1855">
          <cell r="B1855">
            <v>3528</v>
          </cell>
          <cell r="C1855" t="str">
            <v>T -2179</v>
          </cell>
          <cell r="D1855"/>
          <cell r="E1855"/>
          <cell r="F1855" t="str">
            <v>T100%</v>
          </cell>
          <cell r="G1855" t="str">
            <v>100% POLYESTER</v>
          </cell>
          <cell r="H1855" t="str">
            <v>57/58</v>
          </cell>
          <cell r="I1855">
            <v>190</v>
          </cell>
          <cell r="J1855">
            <v>2.4</v>
          </cell>
          <cell r="K1855"/>
          <cell r="L1855">
            <v>2.4500000000000002</v>
          </cell>
          <cell r="M1855"/>
          <cell r="N1855">
            <v>2.4500000000000002</v>
          </cell>
          <cell r="O1855"/>
          <cell r="P1855"/>
          <cell r="Q1855"/>
          <cell r="R1855">
            <v>2.9</v>
          </cell>
          <cell r="S1855"/>
          <cell r="T1855"/>
          <cell r="U1855"/>
          <cell r="V1855">
            <v>15</v>
          </cell>
          <cell r="W1855"/>
          <cell r="X1855" t="str">
            <v>LIVALTEX</v>
          </cell>
          <cell r="Y1855" t="str">
            <v>LIVALTEX 25-SEP</v>
          </cell>
          <cell r="Z1855" t="str">
            <v>ROSE' MAIL 28/9/17</v>
          </cell>
          <cell r="AA1855"/>
          <cell r="AB1855">
            <v>43010</v>
          </cell>
          <cell r="AC1855">
            <v>3528</v>
          </cell>
        </row>
        <row r="1856">
          <cell r="B1856">
            <v>3527</v>
          </cell>
          <cell r="C1856" t="str">
            <v>T - 2178</v>
          </cell>
          <cell r="D1856"/>
          <cell r="E1856"/>
          <cell r="F1856" t="str">
            <v>T100%</v>
          </cell>
          <cell r="G1856" t="str">
            <v>100% POLYESTER</v>
          </cell>
          <cell r="H1856" t="str">
            <v>57/58</v>
          </cell>
          <cell r="I1856">
            <v>190</v>
          </cell>
          <cell r="J1856">
            <v>2.4</v>
          </cell>
          <cell r="K1856"/>
          <cell r="L1856">
            <v>2.4500000000000002</v>
          </cell>
          <cell r="M1856"/>
          <cell r="N1856">
            <v>2.4500000000000002</v>
          </cell>
          <cell r="O1856"/>
          <cell r="P1856"/>
          <cell r="Q1856"/>
          <cell r="R1856">
            <v>2.9</v>
          </cell>
          <cell r="S1856"/>
          <cell r="T1856"/>
          <cell r="U1856"/>
          <cell r="V1856">
            <v>15</v>
          </cell>
          <cell r="W1856"/>
          <cell r="X1856" t="str">
            <v>LIVALTEX</v>
          </cell>
          <cell r="Y1856" t="str">
            <v>LIVALTEX 25-SEP</v>
          </cell>
          <cell r="Z1856" t="str">
            <v>ROSE' MAIL 28/9/17</v>
          </cell>
          <cell r="AA1856"/>
          <cell r="AB1856">
            <v>43010</v>
          </cell>
          <cell r="AC1856">
            <v>3527</v>
          </cell>
        </row>
        <row r="1857">
          <cell r="B1857">
            <v>3526</v>
          </cell>
          <cell r="C1857" t="str">
            <v>TP - 611</v>
          </cell>
          <cell r="D1857"/>
          <cell r="E1857" t="str">
            <v>30Dx30D</v>
          </cell>
          <cell r="F1857" t="str">
            <v>T100%</v>
          </cell>
          <cell r="G1857" t="str">
            <v>100% POLYESTER</v>
          </cell>
          <cell r="H1857" t="str">
            <v>57/58</v>
          </cell>
          <cell r="I1857"/>
          <cell r="J1857"/>
          <cell r="K1857">
            <v>1.74</v>
          </cell>
          <cell r="L1857"/>
          <cell r="M1857">
            <v>1.78</v>
          </cell>
          <cell r="N1857"/>
          <cell r="O1857">
            <v>1.78</v>
          </cell>
          <cell r="P1857"/>
          <cell r="Q1857"/>
          <cell r="R1857"/>
          <cell r="S1857">
            <v>2.33</v>
          </cell>
          <cell r="T1857"/>
          <cell r="U1857"/>
          <cell r="V1857">
            <v>15</v>
          </cell>
          <cell r="W1857" t="str">
            <v>THIS PRICE WITH CRINKLE</v>
          </cell>
          <cell r="X1857" t="str">
            <v>LIVALTEX</v>
          </cell>
          <cell r="Y1857" t="str">
            <v>LIVALTEX 25-SEP</v>
          </cell>
          <cell r="Z1857" t="str">
            <v>ROSE' MAIL 28/9/17</v>
          </cell>
          <cell r="AA1857"/>
          <cell r="AB1857">
            <v>43010</v>
          </cell>
          <cell r="AC1857">
            <v>3526</v>
          </cell>
        </row>
        <row r="1858">
          <cell r="B1858">
            <v>3525</v>
          </cell>
          <cell r="C1858" t="str">
            <v>T - 2177</v>
          </cell>
          <cell r="D1858"/>
          <cell r="E1858"/>
          <cell r="F1858" t="str">
            <v>T100%</v>
          </cell>
          <cell r="G1858" t="str">
            <v>100% POLYESTER</v>
          </cell>
          <cell r="H1858" t="str">
            <v>57/58</v>
          </cell>
          <cell r="I1858">
            <v>200</v>
          </cell>
          <cell r="J1858">
            <v>3</v>
          </cell>
          <cell r="K1858"/>
          <cell r="L1858">
            <v>3.05</v>
          </cell>
          <cell r="M1858"/>
          <cell r="N1858">
            <v>3.05</v>
          </cell>
          <cell r="O1858"/>
          <cell r="P1858"/>
          <cell r="Q1858"/>
          <cell r="R1858">
            <v>3.5</v>
          </cell>
          <cell r="S1858"/>
          <cell r="T1858"/>
          <cell r="U1858"/>
          <cell r="V1858">
            <v>15</v>
          </cell>
          <cell r="W1858"/>
          <cell r="X1858" t="str">
            <v>LIVALTEX</v>
          </cell>
          <cell r="Y1858" t="str">
            <v>LIVALTEX 25-SEP</v>
          </cell>
          <cell r="Z1858" t="str">
            <v>ROSE' MAIL 28/9/17</v>
          </cell>
          <cell r="AA1858"/>
          <cell r="AB1858">
            <v>43010</v>
          </cell>
          <cell r="AC1858">
            <v>3525</v>
          </cell>
        </row>
        <row r="1859">
          <cell r="B1859">
            <v>3516</v>
          </cell>
          <cell r="C1859" t="str">
            <v>XH-9036</v>
          </cell>
          <cell r="D1859" t="str">
            <v>PONTE ROMA</v>
          </cell>
          <cell r="E1859" t="str">
            <v>32S+75D+40D</v>
          </cell>
          <cell r="F1859" t="str">
            <v>T/R/S 89/6/5</v>
          </cell>
          <cell r="G1859" t="str">
            <v xml:space="preserve">89% POLY 6% RAYON 5% SPANDEX </v>
          </cell>
          <cell r="H1859" t="str">
            <v>58/60</v>
          </cell>
          <cell r="I1859">
            <v>270</v>
          </cell>
          <cell r="J1859">
            <v>1.9</v>
          </cell>
          <cell r="K1859"/>
          <cell r="L1859">
            <v>1.9</v>
          </cell>
          <cell r="M1859"/>
          <cell r="N1859">
            <v>2.09</v>
          </cell>
          <cell r="O1859"/>
          <cell r="P1859"/>
          <cell r="Q1859"/>
          <cell r="R1859">
            <v>2.2989999999999999</v>
          </cell>
          <cell r="S1859"/>
          <cell r="T1859"/>
          <cell r="U1859"/>
          <cell r="V1859"/>
          <cell r="W1859"/>
          <cell r="X1859" t="str">
            <v>PANI</v>
          </cell>
          <cell r="Y1859" t="str">
            <v>PANI 26-SEP</v>
          </cell>
          <cell r="Z1859" t="str">
            <v>AMY' MAIL 28/9/17</v>
          </cell>
          <cell r="AA1859"/>
          <cell r="AB1859">
            <v>43010</v>
          </cell>
          <cell r="AC1859">
            <v>3516</v>
          </cell>
        </row>
        <row r="1860">
          <cell r="B1860">
            <v>3008</v>
          </cell>
          <cell r="C1860" t="str">
            <v>UD-17040701/02</v>
          </cell>
          <cell r="D1860" t="str">
            <v>TC YARNDYED</v>
          </cell>
          <cell r="E1860" t="str">
            <v>45x45 / 100x70</v>
          </cell>
          <cell r="F1860" t="str">
            <v>T/C 65/35</v>
          </cell>
          <cell r="G1860" t="str">
            <v>65% POLYESTER 35% COTTON</v>
          </cell>
          <cell r="H1860" t="str">
            <v>58/60</v>
          </cell>
          <cell r="I1860">
            <v>100</v>
          </cell>
          <cell r="J1860">
            <v>1.43</v>
          </cell>
          <cell r="K1860"/>
          <cell r="L1860"/>
          <cell r="M1860"/>
          <cell r="N1860">
            <v>1.48</v>
          </cell>
          <cell r="O1860"/>
          <cell r="P1860"/>
          <cell r="Q1860"/>
          <cell r="R1860">
            <v>1.66</v>
          </cell>
          <cell r="S1860"/>
          <cell r="T1860"/>
          <cell r="U1860"/>
          <cell r="V1860">
            <v>15</v>
          </cell>
          <cell r="W1860"/>
          <cell r="X1860" t="str">
            <v>WANG HUA</v>
          </cell>
          <cell r="Y1860" t="str">
            <v>WANG HUA 02-OCT</v>
          </cell>
          <cell r="Z1860" t="str">
            <v>WANG HUA' MAIL 2/10/17</v>
          </cell>
          <cell r="AA1860"/>
          <cell r="AB1860">
            <v>43010</v>
          </cell>
          <cell r="AC1860">
            <v>3008</v>
          </cell>
        </row>
        <row r="1861">
          <cell r="B1861">
            <v>1481</v>
          </cell>
          <cell r="C1861" t="str">
            <v>BG2581</v>
          </cell>
          <cell r="D1861"/>
          <cell r="E1861"/>
          <cell r="F1861" t="str">
            <v>T 100%</v>
          </cell>
          <cell r="G1861" t="str">
            <v>100% POLYESTER</v>
          </cell>
          <cell r="H1861" t="str">
            <v>57/58</v>
          </cell>
          <cell r="I1861">
            <v>130</v>
          </cell>
          <cell r="J1861">
            <v>1.52</v>
          </cell>
          <cell r="K1861">
            <v>1.8</v>
          </cell>
          <cell r="L1861">
            <v>1.55</v>
          </cell>
          <cell r="M1861">
            <v>1.85</v>
          </cell>
          <cell r="N1861">
            <v>1.57</v>
          </cell>
          <cell r="O1861">
            <v>1.9</v>
          </cell>
          <cell r="P1861"/>
          <cell r="Q1861"/>
          <cell r="R1861">
            <v>1.85</v>
          </cell>
          <cell r="S1861">
            <v>2.2999999999999998</v>
          </cell>
          <cell r="T1861"/>
          <cell r="U1861"/>
          <cell r="V1861">
            <v>15</v>
          </cell>
          <cell r="W1861"/>
          <cell r="X1861" t="str">
            <v>EDWIN</v>
          </cell>
          <cell r="Y1861" t="str">
            <v>EDWIN 02-OCT</v>
          </cell>
          <cell r="Z1861" t="str">
            <v>EDWIN' MAIL 02/10/17</v>
          </cell>
          <cell r="AA1861"/>
          <cell r="AB1861">
            <v>43010</v>
          </cell>
          <cell r="AC1861">
            <v>1481</v>
          </cell>
        </row>
        <row r="1862">
          <cell r="B1862">
            <v>3523</v>
          </cell>
          <cell r="C1862" t="str">
            <v>ED1624-2</v>
          </cell>
          <cell r="D1862"/>
          <cell r="E1862"/>
          <cell r="F1862" t="str">
            <v>T/S 95/5</v>
          </cell>
          <cell r="G1862" t="str">
            <v>POLYESTER/ SPANDEX 95/5</v>
          </cell>
          <cell r="H1862" t="str">
            <v>64/66</v>
          </cell>
          <cell r="I1862">
            <v>215</v>
          </cell>
          <cell r="J1862">
            <v>1.7</v>
          </cell>
          <cell r="K1862">
            <v>2</v>
          </cell>
          <cell r="L1862">
            <v>1.7</v>
          </cell>
          <cell r="M1862">
            <v>2</v>
          </cell>
          <cell r="N1862">
            <v>1.87</v>
          </cell>
          <cell r="O1862">
            <v>2.2000000000000002</v>
          </cell>
          <cell r="P1862"/>
          <cell r="Q1862"/>
          <cell r="R1862">
            <v>2.0570000000000004</v>
          </cell>
          <cell r="S1862">
            <v>2.4200000000000004</v>
          </cell>
          <cell r="T1862"/>
          <cell r="U1862"/>
          <cell r="V1862">
            <v>15</v>
          </cell>
          <cell r="W1862"/>
          <cell r="X1862" t="str">
            <v>PANI</v>
          </cell>
          <cell r="Y1862" t="str">
            <v>PANI 28-SEP</v>
          </cell>
          <cell r="Z1862" t="str">
            <v>AMY' MAIL 28/9/17</v>
          </cell>
          <cell r="AA1862"/>
          <cell r="AB1862">
            <v>43006</v>
          </cell>
          <cell r="AC1862">
            <v>3523</v>
          </cell>
        </row>
        <row r="1863">
          <cell r="B1863">
            <v>3522</v>
          </cell>
          <cell r="C1863" t="str">
            <v>ED3186</v>
          </cell>
          <cell r="D1863"/>
          <cell r="E1863"/>
          <cell r="F1863" t="str">
            <v>T/S 95/5</v>
          </cell>
          <cell r="G1863" t="str">
            <v>POLYESTER/ SPANDEX 95/5</v>
          </cell>
          <cell r="H1863" t="str">
            <v>58/60</v>
          </cell>
          <cell r="I1863">
            <v>175</v>
          </cell>
          <cell r="J1863">
            <v>1.2</v>
          </cell>
          <cell r="K1863">
            <v>1.5</v>
          </cell>
          <cell r="L1863">
            <v>1.2</v>
          </cell>
          <cell r="M1863">
            <v>1.5</v>
          </cell>
          <cell r="N1863">
            <v>1.32</v>
          </cell>
          <cell r="O1863">
            <v>1.6500000000000001</v>
          </cell>
          <cell r="P1863"/>
          <cell r="Q1863"/>
          <cell r="R1863">
            <v>1.4520000000000002</v>
          </cell>
          <cell r="S1863">
            <v>1.8150000000000004</v>
          </cell>
          <cell r="T1863"/>
          <cell r="U1863"/>
          <cell r="V1863">
            <v>15</v>
          </cell>
          <cell r="W1863"/>
          <cell r="X1863" t="str">
            <v>PANI</v>
          </cell>
          <cell r="Y1863" t="str">
            <v>PANI 28-SEP</v>
          </cell>
          <cell r="Z1863" t="str">
            <v>AMY' MAIL 28/9/17</v>
          </cell>
          <cell r="AA1863"/>
          <cell r="AB1863">
            <v>43006</v>
          </cell>
          <cell r="AC1863">
            <v>3522</v>
          </cell>
        </row>
        <row r="1864">
          <cell r="B1864">
            <v>3521</v>
          </cell>
          <cell r="C1864" t="str">
            <v>ED1579</v>
          </cell>
          <cell r="D1864"/>
          <cell r="E1864"/>
          <cell r="F1864" t="str">
            <v>T/S 96/4</v>
          </cell>
          <cell r="G1864" t="str">
            <v>POLYESTER/ SPANDEX 96/4</v>
          </cell>
          <cell r="H1864" t="str">
            <v>58/60</v>
          </cell>
          <cell r="I1864">
            <v>180</v>
          </cell>
          <cell r="J1864">
            <v>1.25</v>
          </cell>
          <cell r="K1864">
            <v>1.55</v>
          </cell>
          <cell r="L1864">
            <v>1.25</v>
          </cell>
          <cell r="M1864">
            <v>1.55</v>
          </cell>
          <cell r="N1864">
            <v>1.375</v>
          </cell>
          <cell r="O1864">
            <v>1.7050000000000003</v>
          </cell>
          <cell r="P1864"/>
          <cell r="Q1864"/>
          <cell r="R1864">
            <v>1.5125000000000002</v>
          </cell>
          <cell r="S1864">
            <v>1.8755000000000004</v>
          </cell>
          <cell r="T1864"/>
          <cell r="U1864"/>
          <cell r="V1864">
            <v>15</v>
          </cell>
          <cell r="W1864"/>
          <cell r="X1864" t="str">
            <v>PANI</v>
          </cell>
          <cell r="Y1864" t="str">
            <v>PANI 28-SEP</v>
          </cell>
          <cell r="Z1864" t="str">
            <v>AMY' MAIL 28/9/17</v>
          </cell>
          <cell r="AA1864"/>
          <cell r="AB1864">
            <v>43006</v>
          </cell>
          <cell r="AC1864">
            <v>3521</v>
          </cell>
        </row>
        <row r="1865">
          <cell r="B1865" t="str">
            <v>1821H</v>
          </cell>
          <cell r="C1865" t="str">
            <v>R088-2</v>
          </cell>
          <cell r="D1865"/>
          <cell r="E1865"/>
          <cell r="F1865" t="str">
            <v>R 100%</v>
          </cell>
          <cell r="G1865" t="str">
            <v>100% RAYON</v>
          </cell>
          <cell r="H1865" t="str">
            <v>53/54</v>
          </cell>
          <cell r="I1865">
            <v>230</v>
          </cell>
          <cell r="J1865">
            <v>2.08</v>
          </cell>
          <cell r="K1865">
            <v>2.35</v>
          </cell>
          <cell r="L1865">
            <v>2.1</v>
          </cell>
          <cell r="M1865">
            <v>2.4300000000000002</v>
          </cell>
          <cell r="N1865">
            <v>2.12</v>
          </cell>
          <cell r="O1865">
            <v>2.4900000000000002</v>
          </cell>
          <cell r="P1865"/>
          <cell r="Q1865"/>
          <cell r="R1865">
            <v>2.21</v>
          </cell>
          <cell r="S1865">
            <v>2.99</v>
          </cell>
          <cell r="T1865"/>
          <cell r="U1865"/>
          <cell r="V1865">
            <v>15</v>
          </cell>
          <cell r="W1865"/>
          <cell r="X1865" t="str">
            <v>TERESA</v>
          </cell>
          <cell r="Y1865" t="str">
            <v>TERESA 25-SEP</v>
          </cell>
          <cell r="Z1865" t="str">
            <v>KHOI'MAIL 6/10/17</v>
          </cell>
          <cell r="AA1865"/>
          <cell r="AB1865">
            <v>43005</v>
          </cell>
          <cell r="AC1865" t="str">
            <v>1821H</v>
          </cell>
        </row>
        <row r="1866">
          <cell r="B1866">
            <v>3520</v>
          </cell>
          <cell r="C1866" t="str">
            <v>KC11005</v>
          </cell>
          <cell r="D1866"/>
          <cell r="E1866"/>
          <cell r="F1866" t="str">
            <v>T/V/S 80/15/5</v>
          </cell>
          <cell r="G1866" t="str">
            <v>80%POLYESTER/15%VISCOSE/5%ELASTANE</v>
          </cell>
          <cell r="H1866">
            <v>56</v>
          </cell>
          <cell r="I1866" t="str">
            <v>245GSM</v>
          </cell>
          <cell r="J1866">
            <v>2.0499999999999998</v>
          </cell>
          <cell r="K1866"/>
          <cell r="L1866">
            <v>2.1</v>
          </cell>
          <cell r="M1866"/>
          <cell r="N1866">
            <v>2.1</v>
          </cell>
          <cell r="O1866"/>
          <cell r="P1866"/>
          <cell r="Q1866"/>
          <cell r="R1866"/>
          <cell r="S1866"/>
          <cell r="T1866"/>
          <cell r="U1866"/>
          <cell r="V1866"/>
          <cell r="W1866" t="str">
            <v xml:space="preserve">* min : 3,000m per order ; 1,500m per colour - * if for regular dyed , the unit price will be 10 cents less than above reactive dyed </v>
          </cell>
          <cell r="X1866" t="str">
            <v>PANI</v>
          </cell>
          <cell r="Y1866" t="str">
            <v>PANI 23-SEP</v>
          </cell>
          <cell r="Z1866" t="str">
            <v>JAMES' MAIL 27/9/17</v>
          </cell>
          <cell r="AA1866"/>
          <cell r="AB1866">
            <v>43005</v>
          </cell>
          <cell r="AC1866">
            <v>3520</v>
          </cell>
        </row>
        <row r="1867">
          <cell r="B1867">
            <v>3519</v>
          </cell>
          <cell r="C1867" t="str">
            <v>KC11004</v>
          </cell>
          <cell r="D1867"/>
          <cell r="E1867"/>
          <cell r="F1867" t="str">
            <v>T/V/S 76/19/5</v>
          </cell>
          <cell r="G1867" t="str">
            <v>76%POLYESTER/19%VISCOSE/5%ELASTANE</v>
          </cell>
          <cell r="H1867">
            <v>56</v>
          </cell>
          <cell r="I1867" t="str">
            <v>210GSM</v>
          </cell>
          <cell r="J1867">
            <v>1.75</v>
          </cell>
          <cell r="K1867"/>
          <cell r="L1867">
            <v>1.8</v>
          </cell>
          <cell r="M1867"/>
          <cell r="N1867">
            <v>1.8</v>
          </cell>
          <cell r="O1867"/>
          <cell r="P1867"/>
          <cell r="Q1867"/>
          <cell r="R1867"/>
          <cell r="S1867"/>
          <cell r="T1867"/>
          <cell r="U1867"/>
          <cell r="V1867"/>
          <cell r="W1867" t="str">
            <v xml:space="preserve">* min : 3,000m per order ; 1,500m per colour - * if for regular dyed , the unit price will be 10 cents less than above reactive dyed </v>
          </cell>
          <cell r="X1867" t="str">
            <v>PANI</v>
          </cell>
          <cell r="Y1867" t="str">
            <v>PANI 23-SEP</v>
          </cell>
          <cell r="Z1867" t="str">
            <v>JAMES' MAIL 27/9/17</v>
          </cell>
          <cell r="AA1867"/>
          <cell r="AB1867">
            <v>43005</v>
          </cell>
          <cell r="AC1867">
            <v>3519</v>
          </cell>
        </row>
        <row r="1868">
          <cell r="B1868">
            <v>3518</v>
          </cell>
          <cell r="C1868" t="str">
            <v>KC11003</v>
          </cell>
          <cell r="D1868"/>
          <cell r="E1868"/>
          <cell r="F1868" t="str">
            <v>T/V/S 77/18/5</v>
          </cell>
          <cell r="G1868" t="str">
            <v>77%POLYESTER/18%VISCOSE/5%ELASTANE</v>
          </cell>
          <cell r="H1868">
            <v>56</v>
          </cell>
          <cell r="I1868" t="str">
            <v>200GSM</v>
          </cell>
          <cell r="J1868">
            <v>2</v>
          </cell>
          <cell r="K1868"/>
          <cell r="L1868">
            <v>2.0499999999999998</v>
          </cell>
          <cell r="M1868"/>
          <cell r="N1868">
            <v>2.0499999999999998</v>
          </cell>
          <cell r="O1868"/>
          <cell r="P1868"/>
          <cell r="Q1868"/>
          <cell r="R1868"/>
          <cell r="S1868"/>
          <cell r="T1868"/>
          <cell r="U1868"/>
          <cell r="V1868"/>
          <cell r="W1868" t="str">
            <v xml:space="preserve">* min : 3,000m per order ; 1,500m per colour - * if for regular dyed , the unit price will be 10 cents less than above reactive dyed </v>
          </cell>
          <cell r="X1868" t="str">
            <v>PANI</v>
          </cell>
          <cell r="Y1868" t="str">
            <v>PANI 23-SEP</v>
          </cell>
          <cell r="Z1868" t="str">
            <v>JAMES' MAIL 27/9/17</v>
          </cell>
          <cell r="AA1868"/>
          <cell r="AB1868">
            <v>43005</v>
          </cell>
          <cell r="AC1868">
            <v>3518</v>
          </cell>
        </row>
        <row r="1869">
          <cell r="B1869">
            <v>3073</v>
          </cell>
          <cell r="C1869" t="str">
            <v>OLP-1742022RBE</v>
          </cell>
          <cell r="D1869" t="str">
            <v>AIR FLOW QUALITY</v>
          </cell>
          <cell r="E1869"/>
          <cell r="F1869" t="str">
            <v>T 100%</v>
          </cell>
          <cell r="G1869" t="str">
            <v>100% POLYESTER</v>
          </cell>
          <cell r="H1869" t="str">
            <v>57/58</v>
          </cell>
          <cell r="I1869">
            <v>106</v>
          </cell>
          <cell r="J1869">
            <v>1.48</v>
          </cell>
          <cell r="K1869">
            <v>1.78</v>
          </cell>
          <cell r="L1869">
            <v>1.58</v>
          </cell>
          <cell r="M1869">
            <v>1.89</v>
          </cell>
          <cell r="N1869">
            <v>1.73</v>
          </cell>
          <cell r="O1869">
            <v>2.09</v>
          </cell>
          <cell r="P1869"/>
          <cell r="Q1869"/>
          <cell r="R1869">
            <v>1.91</v>
          </cell>
          <cell r="S1869">
            <v>2.57</v>
          </cell>
          <cell r="T1869"/>
          <cell r="U1869"/>
          <cell r="V1869">
            <v>15</v>
          </cell>
          <cell r="W1869" t="str">
            <v xml:space="preserve">with airflow </v>
          </cell>
          <cell r="X1869" t="str">
            <v>OWEN</v>
          </cell>
          <cell r="Y1869" t="str">
            <v>OWEN 26-SEP</v>
          </cell>
          <cell r="Z1869" t="str">
            <v>SANDY' MAIL 27/9/17</v>
          </cell>
          <cell r="AA1869"/>
          <cell r="AB1869">
            <v>43005</v>
          </cell>
          <cell r="AC1869">
            <v>3073</v>
          </cell>
        </row>
        <row r="1870">
          <cell r="B1870">
            <v>3073</v>
          </cell>
          <cell r="C1870" t="str">
            <v>OLP-1742022RBE</v>
          </cell>
          <cell r="D1870" t="str">
            <v>W/O AIR FLOW QUALITY</v>
          </cell>
          <cell r="E1870"/>
          <cell r="F1870" t="str">
            <v>T 100%</v>
          </cell>
          <cell r="G1870" t="str">
            <v>100% POLYESTER</v>
          </cell>
          <cell r="H1870" t="str">
            <v>57/58</v>
          </cell>
          <cell r="I1870">
            <v>106</v>
          </cell>
          <cell r="J1870">
            <v>1.51</v>
          </cell>
          <cell r="K1870">
            <v>1.81</v>
          </cell>
          <cell r="L1870">
            <v>1.61</v>
          </cell>
          <cell r="M1870">
            <v>1.92</v>
          </cell>
          <cell r="N1870">
            <v>1.76</v>
          </cell>
          <cell r="O1870">
            <v>2.12</v>
          </cell>
          <cell r="P1870"/>
          <cell r="Q1870"/>
          <cell r="R1870">
            <v>1.94</v>
          </cell>
          <cell r="S1870">
            <v>2.6</v>
          </cell>
          <cell r="T1870"/>
          <cell r="U1870"/>
          <cell r="V1870">
            <v>15</v>
          </cell>
          <cell r="W1870" t="str">
            <v xml:space="preserve">without air flow </v>
          </cell>
          <cell r="X1870" t="str">
            <v>OWEN</v>
          </cell>
          <cell r="Y1870" t="str">
            <v>OWEN 26-SEP</v>
          </cell>
          <cell r="Z1870" t="str">
            <v>SANDY' MAIL 27/9/17</v>
          </cell>
          <cell r="AA1870"/>
          <cell r="AB1870">
            <v>43005</v>
          </cell>
          <cell r="AC1870">
            <v>3073</v>
          </cell>
        </row>
        <row r="1871">
          <cell r="B1871">
            <v>2100</v>
          </cell>
          <cell r="C1871" t="str">
            <v>1139XS</v>
          </cell>
          <cell r="D1871"/>
          <cell r="E1871"/>
          <cell r="F1871" t="str">
            <v>T 100%</v>
          </cell>
          <cell r="G1871" t="str">
            <v>100% POLYESTER</v>
          </cell>
          <cell r="H1871" t="str">
            <v>57/58</v>
          </cell>
          <cell r="I1871">
            <v>110</v>
          </cell>
          <cell r="J1871">
            <v>2.08</v>
          </cell>
          <cell r="K1871">
            <v>2.4</v>
          </cell>
          <cell r="L1871">
            <v>2.13</v>
          </cell>
          <cell r="M1871">
            <v>2.4500000000000002</v>
          </cell>
          <cell r="N1871">
            <v>2.2000000000000002</v>
          </cell>
          <cell r="O1871">
            <v>2.6</v>
          </cell>
          <cell r="P1871"/>
          <cell r="Q1871"/>
          <cell r="R1871">
            <v>2.35</v>
          </cell>
          <cell r="S1871">
            <v>3.25</v>
          </cell>
          <cell r="T1871"/>
          <cell r="U1871"/>
          <cell r="V1871">
            <v>15</v>
          </cell>
          <cell r="W1871"/>
          <cell r="X1871" t="str">
            <v>OWEN</v>
          </cell>
          <cell r="Y1871" t="str">
            <v>OWEN 27-SEP</v>
          </cell>
          <cell r="Z1871" t="str">
            <v>SANDY' MAIL 27/9/17</v>
          </cell>
          <cell r="AA1871"/>
          <cell r="AB1871">
            <v>43005</v>
          </cell>
          <cell r="AC1871">
            <v>2100</v>
          </cell>
        </row>
        <row r="1872">
          <cell r="B1872">
            <v>1821</v>
          </cell>
          <cell r="C1872" t="str">
            <v>R088-1</v>
          </cell>
          <cell r="D1872"/>
          <cell r="E1872"/>
          <cell r="F1872" t="str">
            <v>R 100%</v>
          </cell>
          <cell r="G1872" t="str">
            <v>100% RAYON</v>
          </cell>
          <cell r="H1872" t="str">
            <v>53/54</v>
          </cell>
          <cell r="I1872">
            <v>190</v>
          </cell>
          <cell r="J1872">
            <v>2.0099999999999998</v>
          </cell>
          <cell r="K1872">
            <v>2.2799999999999998</v>
          </cell>
          <cell r="L1872">
            <v>1.98</v>
          </cell>
          <cell r="M1872">
            <v>2.31</v>
          </cell>
          <cell r="N1872">
            <v>2</v>
          </cell>
          <cell r="O1872">
            <v>2.37</v>
          </cell>
          <cell r="P1872"/>
          <cell r="Q1872"/>
          <cell r="R1872">
            <v>2.09</v>
          </cell>
          <cell r="S1872">
            <v>2.87</v>
          </cell>
          <cell r="T1872"/>
          <cell r="U1872"/>
          <cell r="V1872">
            <v>15</v>
          </cell>
          <cell r="W1872"/>
          <cell r="X1872" t="str">
            <v>TERESA</v>
          </cell>
          <cell r="Y1872" t="str">
            <v>TERESA 25-SEP</v>
          </cell>
          <cell r="Z1872" t="str">
            <v>KHOI'MAIL 6/10/17</v>
          </cell>
          <cell r="AA1872"/>
          <cell r="AB1872">
            <v>43005</v>
          </cell>
          <cell r="AC1872">
            <v>1821</v>
          </cell>
        </row>
        <row r="1873">
          <cell r="B1873"/>
          <cell r="C1873" t="str">
            <v>#9729</v>
          </cell>
          <cell r="D1873"/>
          <cell r="E1873" t="str">
            <v>21Sx32S+20D</v>
          </cell>
          <cell r="F1873" t="str">
            <v>R/N 93/7</v>
          </cell>
          <cell r="G1873" t="str">
            <v>93% RAYON 7% N YLON</v>
          </cell>
          <cell r="H1873" t="str">
            <v>56/57</v>
          </cell>
          <cell r="I1873">
            <v>130</v>
          </cell>
          <cell r="J1873">
            <v>1.71</v>
          </cell>
          <cell r="K1873">
            <v>1.86</v>
          </cell>
          <cell r="L1873">
            <v>1.73</v>
          </cell>
          <cell r="M1873">
            <v>1.94</v>
          </cell>
          <cell r="N1873">
            <v>1.78</v>
          </cell>
          <cell r="O1873">
            <v>1.98</v>
          </cell>
          <cell r="P1873"/>
          <cell r="Q1873"/>
          <cell r="R1873">
            <v>1.86</v>
          </cell>
          <cell r="S1873">
            <v>2.4700000000000002</v>
          </cell>
          <cell r="T1873"/>
          <cell r="U1873"/>
          <cell r="V1873">
            <v>15</v>
          </cell>
          <cell r="W1873"/>
          <cell r="X1873" t="str">
            <v>TERESA</v>
          </cell>
          <cell r="Y1873" t="str">
            <v>TERESA 25-SEP</v>
          </cell>
          <cell r="Z1873" t="str">
            <v>TERESA' MAIL 27/9/17</v>
          </cell>
          <cell r="AA1873"/>
          <cell r="AB1873">
            <v>43005</v>
          </cell>
          <cell r="AC1873">
            <v>0</v>
          </cell>
        </row>
        <row r="1874">
          <cell r="B1874"/>
          <cell r="C1874" t="str">
            <v>#9767</v>
          </cell>
          <cell r="D1874"/>
          <cell r="E1874" t="str">
            <v>70D+40Dx10S</v>
          </cell>
          <cell r="F1874" t="str">
            <v>R/N/S 72/24/4</v>
          </cell>
          <cell r="G1874" t="str">
            <v xml:space="preserve">72% RAYON 24% NYLON 4% SPANDEX </v>
          </cell>
          <cell r="H1874" t="str">
            <v>57/58</v>
          </cell>
          <cell r="I1874">
            <v>240</v>
          </cell>
          <cell r="J1874">
            <v>1.95</v>
          </cell>
          <cell r="K1874">
            <v>2.11</v>
          </cell>
          <cell r="L1874">
            <v>1.97</v>
          </cell>
          <cell r="M1874">
            <v>2.19</v>
          </cell>
          <cell r="N1874">
            <v>2.02</v>
          </cell>
          <cell r="O1874">
            <v>2.23</v>
          </cell>
          <cell r="P1874"/>
          <cell r="Q1874"/>
          <cell r="R1874">
            <v>2.1</v>
          </cell>
          <cell r="S1874">
            <v>2.72</v>
          </cell>
          <cell r="T1874"/>
          <cell r="U1874"/>
          <cell r="V1874">
            <v>15</v>
          </cell>
          <cell r="W1874"/>
          <cell r="X1874" t="str">
            <v>TERESA</v>
          </cell>
          <cell r="Y1874" t="str">
            <v>TERESA 25-SEP</v>
          </cell>
          <cell r="Z1874" t="str">
            <v>TERESA' MAIL 27/9/17</v>
          </cell>
          <cell r="AA1874"/>
          <cell r="AB1874">
            <v>43005</v>
          </cell>
          <cell r="AC1874">
            <v>0</v>
          </cell>
        </row>
        <row r="1875">
          <cell r="B1875">
            <v>3768</v>
          </cell>
          <cell r="C1875" t="str">
            <v>M-JZ007</v>
          </cell>
          <cell r="D1875" t="str">
            <v>TENCEL-TWILL</v>
          </cell>
          <cell r="E1875"/>
          <cell r="F1875" t="str">
            <v>TENCEL 100%</v>
          </cell>
          <cell r="G1875" t="str">
            <v>100% TENCEL</v>
          </cell>
          <cell r="H1875">
            <v>57</v>
          </cell>
          <cell r="I1875">
            <v>165</v>
          </cell>
          <cell r="J1875"/>
          <cell r="K1875"/>
          <cell r="L1875"/>
          <cell r="M1875"/>
          <cell r="N1875">
            <v>2.87</v>
          </cell>
          <cell r="O1875"/>
          <cell r="P1875"/>
          <cell r="Q1875"/>
          <cell r="R1875"/>
          <cell r="S1875"/>
          <cell r="T1875"/>
          <cell r="U1875"/>
          <cell r="V1875">
            <v>15</v>
          </cell>
          <cell r="W1875"/>
          <cell r="X1875" t="str">
            <v>M-TEX</v>
          </cell>
          <cell r="Y1875"/>
          <cell r="Z1875" t="str">
            <v>LINDA' MAIL 27/10/17</v>
          </cell>
          <cell r="AA1875"/>
          <cell r="AB1875">
            <v>43004</v>
          </cell>
          <cell r="AC1875">
            <v>3768</v>
          </cell>
        </row>
        <row r="1876">
          <cell r="B1876">
            <v>3767</v>
          </cell>
          <cell r="C1876" t="str">
            <v>M-JZ006</v>
          </cell>
          <cell r="D1876"/>
          <cell r="E1876"/>
          <cell r="F1876" t="str">
            <v>MODAL/T</v>
          </cell>
          <cell r="G1876" t="str">
            <v>MODAL POLY</v>
          </cell>
          <cell r="H1876">
            <v>57</v>
          </cell>
          <cell r="I1876">
            <v>110</v>
          </cell>
          <cell r="J1876"/>
          <cell r="K1876"/>
          <cell r="L1876"/>
          <cell r="M1876"/>
          <cell r="N1876">
            <v>3.3</v>
          </cell>
          <cell r="O1876"/>
          <cell r="P1876"/>
          <cell r="Q1876"/>
          <cell r="R1876"/>
          <cell r="S1876"/>
          <cell r="T1876"/>
          <cell r="U1876"/>
          <cell r="V1876">
            <v>15</v>
          </cell>
          <cell r="W1876"/>
          <cell r="X1876" t="str">
            <v>M-TEX</v>
          </cell>
          <cell r="Y1876"/>
          <cell r="Z1876" t="str">
            <v>LINDA' MAIL 27/10/17</v>
          </cell>
          <cell r="AA1876"/>
          <cell r="AB1876">
            <v>43004</v>
          </cell>
          <cell r="AC1876">
            <v>3767</v>
          </cell>
        </row>
        <row r="1877">
          <cell r="B1877">
            <v>3766</v>
          </cell>
          <cell r="C1877" t="str">
            <v>M-JZ005</v>
          </cell>
          <cell r="D1877"/>
          <cell r="E1877"/>
          <cell r="F1877" t="str">
            <v>CUPRO/V 60/40</v>
          </cell>
          <cell r="G1877" t="str">
            <v>60% CUPRO 40% VISCOSE</v>
          </cell>
          <cell r="H1877" t="str">
            <v>53x54</v>
          </cell>
          <cell r="I1877">
            <v>120</v>
          </cell>
          <cell r="J1877"/>
          <cell r="K1877"/>
          <cell r="L1877"/>
          <cell r="M1877"/>
          <cell r="N1877">
            <v>3.79</v>
          </cell>
          <cell r="O1877"/>
          <cell r="P1877"/>
          <cell r="Q1877"/>
          <cell r="R1877"/>
          <cell r="S1877"/>
          <cell r="T1877"/>
          <cell r="U1877"/>
          <cell r="V1877">
            <v>15</v>
          </cell>
          <cell r="W1877"/>
          <cell r="X1877" t="str">
            <v>M-TEX</v>
          </cell>
          <cell r="Y1877"/>
          <cell r="Z1877" t="str">
            <v>LINDA' MAIL 27/10/17</v>
          </cell>
          <cell r="AA1877"/>
          <cell r="AB1877">
            <v>43004</v>
          </cell>
          <cell r="AC1877">
            <v>3766</v>
          </cell>
        </row>
        <row r="1878">
          <cell r="B1878">
            <v>3764</v>
          </cell>
          <cell r="C1878" t="str">
            <v>M-JZ003</v>
          </cell>
          <cell r="D1878" t="str">
            <v>VISCOSE - JACQUARD</v>
          </cell>
          <cell r="E1878"/>
          <cell r="F1878" t="str">
            <v>V/R 62/38</v>
          </cell>
          <cell r="G1878" t="str">
            <v>62% VISCOSE 38% RAYON</v>
          </cell>
          <cell r="H1878">
            <v>57</v>
          </cell>
          <cell r="I1878">
            <v>148</v>
          </cell>
          <cell r="J1878"/>
          <cell r="K1878"/>
          <cell r="L1878"/>
          <cell r="M1878"/>
          <cell r="N1878">
            <v>2.95</v>
          </cell>
          <cell r="O1878"/>
          <cell r="P1878"/>
          <cell r="Q1878"/>
          <cell r="R1878"/>
          <cell r="S1878"/>
          <cell r="T1878"/>
          <cell r="U1878"/>
          <cell r="V1878">
            <v>15</v>
          </cell>
          <cell r="W1878"/>
          <cell r="X1878" t="str">
            <v>M-TEX</v>
          </cell>
          <cell r="Y1878"/>
          <cell r="Z1878" t="str">
            <v>LINDA' MAIL 27/10/17</v>
          </cell>
          <cell r="AA1878"/>
          <cell r="AB1878">
            <v>43004</v>
          </cell>
          <cell r="AC1878">
            <v>3764</v>
          </cell>
        </row>
        <row r="1879">
          <cell r="B1879">
            <v>3556</v>
          </cell>
          <cell r="C1879" t="str">
            <v>TS-387</v>
          </cell>
          <cell r="D1879"/>
          <cell r="E1879"/>
          <cell r="F1879" t="str">
            <v>T/S 96/4</v>
          </cell>
          <cell r="G1879" t="str">
            <v>96/4 POLY/SPANDEX JACQUARD</v>
          </cell>
          <cell r="H1879" t="str">
            <v>57/58</v>
          </cell>
          <cell r="I1879">
            <v>98</v>
          </cell>
          <cell r="J1879">
            <v>1.54</v>
          </cell>
          <cell r="K1879"/>
          <cell r="L1879">
            <v>1.56</v>
          </cell>
          <cell r="M1879"/>
          <cell r="N1879">
            <v>1.58</v>
          </cell>
          <cell r="O1879"/>
          <cell r="P1879"/>
          <cell r="Q1879"/>
          <cell r="R1879">
            <v>1.73</v>
          </cell>
          <cell r="S1879"/>
          <cell r="T1879"/>
          <cell r="U1879"/>
          <cell r="V1879">
            <v>15</v>
          </cell>
          <cell r="W1879"/>
          <cell r="X1879" t="str">
            <v>GAVIN</v>
          </cell>
          <cell r="Y1879" t="str">
            <v>GAVIN 26-SEP</v>
          </cell>
          <cell r="Z1879" t="str">
            <v>GAVIN' MAIL 26/9/17</v>
          </cell>
          <cell r="AA1879"/>
          <cell r="AB1879">
            <v>43004</v>
          </cell>
          <cell r="AC1879">
            <v>3556</v>
          </cell>
        </row>
        <row r="1880">
          <cell r="B1880">
            <v>3555</v>
          </cell>
          <cell r="C1880" t="str">
            <v>TS-386</v>
          </cell>
          <cell r="D1880"/>
          <cell r="E1880"/>
          <cell r="F1880" t="str">
            <v>T/S 96/4</v>
          </cell>
          <cell r="G1880" t="str">
            <v>96/4 POLY/SPANDEX JACQUARD</v>
          </cell>
          <cell r="H1880" t="str">
            <v>57/58</v>
          </cell>
          <cell r="I1880">
            <v>109</v>
          </cell>
          <cell r="J1880">
            <v>1.56</v>
          </cell>
          <cell r="K1880"/>
          <cell r="L1880">
            <v>1.58</v>
          </cell>
          <cell r="M1880"/>
          <cell r="N1880">
            <v>1.6</v>
          </cell>
          <cell r="O1880"/>
          <cell r="P1880"/>
          <cell r="Q1880"/>
          <cell r="R1880">
            <v>1.75</v>
          </cell>
          <cell r="S1880"/>
          <cell r="T1880"/>
          <cell r="U1880"/>
          <cell r="V1880">
            <v>15</v>
          </cell>
          <cell r="W1880"/>
          <cell r="X1880" t="str">
            <v>GAVIN</v>
          </cell>
          <cell r="Y1880" t="str">
            <v>GAVIN 26-SEP</v>
          </cell>
          <cell r="Z1880" t="str">
            <v>GAVIN' MAIL 26/9/17</v>
          </cell>
          <cell r="AA1880"/>
          <cell r="AB1880">
            <v>43004</v>
          </cell>
          <cell r="AC1880">
            <v>3555</v>
          </cell>
        </row>
        <row r="1881">
          <cell r="B1881">
            <v>3554</v>
          </cell>
          <cell r="C1881" t="str">
            <v>TS-385#2</v>
          </cell>
          <cell r="D1881"/>
          <cell r="E1881"/>
          <cell r="F1881" t="str">
            <v>T/S 96/4</v>
          </cell>
          <cell r="G1881" t="str">
            <v>96/4 POLY/SPANDEX JACQUARD</v>
          </cell>
          <cell r="H1881" t="str">
            <v>57/58</v>
          </cell>
          <cell r="I1881">
            <v>98</v>
          </cell>
          <cell r="J1881">
            <v>1.54</v>
          </cell>
          <cell r="K1881"/>
          <cell r="L1881">
            <v>1.56</v>
          </cell>
          <cell r="M1881"/>
          <cell r="N1881">
            <v>1.58</v>
          </cell>
          <cell r="O1881"/>
          <cell r="P1881"/>
          <cell r="Q1881"/>
          <cell r="R1881">
            <v>1.73</v>
          </cell>
          <cell r="S1881"/>
          <cell r="T1881"/>
          <cell r="U1881"/>
          <cell r="V1881">
            <v>15</v>
          </cell>
          <cell r="W1881"/>
          <cell r="X1881" t="str">
            <v>GAVIN</v>
          </cell>
          <cell r="Y1881" t="str">
            <v>GAVIN 26-SEP</v>
          </cell>
          <cell r="Z1881" t="str">
            <v>GAVIN' MAIL 26/9/17</v>
          </cell>
          <cell r="AA1881"/>
          <cell r="AB1881">
            <v>43004</v>
          </cell>
          <cell r="AC1881">
            <v>3554</v>
          </cell>
        </row>
        <row r="1882">
          <cell r="B1882">
            <v>3553</v>
          </cell>
          <cell r="C1882" t="str">
            <v>TS-385#1</v>
          </cell>
          <cell r="D1882"/>
          <cell r="E1882"/>
          <cell r="F1882" t="str">
            <v>T/S 96/4</v>
          </cell>
          <cell r="G1882" t="str">
            <v>96/4 POLY/SPANDEX JACQUARD</v>
          </cell>
          <cell r="H1882" t="str">
            <v>57/58</v>
          </cell>
          <cell r="I1882">
            <v>112</v>
          </cell>
          <cell r="J1882">
            <v>1.56</v>
          </cell>
          <cell r="K1882"/>
          <cell r="L1882">
            <v>1.58</v>
          </cell>
          <cell r="M1882"/>
          <cell r="N1882">
            <v>1.6</v>
          </cell>
          <cell r="O1882"/>
          <cell r="P1882"/>
          <cell r="Q1882"/>
          <cell r="R1882">
            <v>1.75</v>
          </cell>
          <cell r="S1882"/>
          <cell r="T1882"/>
          <cell r="U1882"/>
          <cell r="V1882">
            <v>15</v>
          </cell>
          <cell r="W1882"/>
          <cell r="X1882" t="str">
            <v>GAVIN</v>
          </cell>
          <cell r="Y1882" t="str">
            <v>GAVIN 26-SEP</v>
          </cell>
          <cell r="Z1882" t="str">
            <v>GAVIN' MAIL 26/9/17</v>
          </cell>
          <cell r="AA1882"/>
          <cell r="AB1882">
            <v>43004</v>
          </cell>
          <cell r="AC1882">
            <v>3553</v>
          </cell>
        </row>
        <row r="1883">
          <cell r="B1883">
            <v>3552</v>
          </cell>
          <cell r="C1883" t="str">
            <v>TS-383</v>
          </cell>
          <cell r="D1883"/>
          <cell r="E1883"/>
          <cell r="F1883" t="str">
            <v>L/R 55/45</v>
          </cell>
          <cell r="G1883" t="str">
            <v xml:space="preserve">55/45 LINEN/RAYON </v>
          </cell>
          <cell r="H1883" t="str">
            <v>53/54</v>
          </cell>
          <cell r="I1883">
            <v>145</v>
          </cell>
          <cell r="J1883">
            <v>2.11</v>
          </cell>
          <cell r="K1883">
            <v>2.29</v>
          </cell>
          <cell r="L1883">
            <v>2.13</v>
          </cell>
          <cell r="M1883">
            <v>2.3199999999999998</v>
          </cell>
          <cell r="N1883">
            <v>2.15</v>
          </cell>
          <cell r="O1883">
            <v>2.35</v>
          </cell>
          <cell r="P1883"/>
          <cell r="Q1883"/>
          <cell r="R1883">
            <v>2.2999999999999998</v>
          </cell>
          <cell r="S1883">
            <v>2.6</v>
          </cell>
          <cell r="T1883"/>
          <cell r="U1883"/>
          <cell r="V1883">
            <v>15</v>
          </cell>
          <cell r="W1883"/>
          <cell r="X1883" t="str">
            <v>GAVIN</v>
          </cell>
          <cell r="Y1883" t="str">
            <v>GAVIN 26-SEP</v>
          </cell>
          <cell r="Z1883" t="str">
            <v>GAVIN' MAIL 26/9/17</v>
          </cell>
          <cell r="AA1883"/>
          <cell r="AB1883">
            <v>43004</v>
          </cell>
          <cell r="AC1883">
            <v>3552</v>
          </cell>
        </row>
        <row r="1884">
          <cell r="B1884">
            <v>3551</v>
          </cell>
          <cell r="C1884" t="str">
            <v>TS-380</v>
          </cell>
          <cell r="D1884"/>
          <cell r="E1884"/>
          <cell r="F1884" t="str">
            <v>T/S 97/3</v>
          </cell>
          <cell r="G1884" t="str">
            <v>97% POLYESTER 3% SPANDEX</v>
          </cell>
          <cell r="H1884" t="str">
            <v>57/58</v>
          </cell>
          <cell r="I1884">
            <v>155</v>
          </cell>
          <cell r="J1884">
            <v>1.54</v>
          </cell>
          <cell r="K1884">
            <v>1.72</v>
          </cell>
          <cell r="L1884">
            <v>1.56</v>
          </cell>
          <cell r="M1884">
            <v>1.75</v>
          </cell>
          <cell r="N1884">
            <v>1.58</v>
          </cell>
          <cell r="O1884">
            <v>1.78</v>
          </cell>
          <cell r="P1884"/>
          <cell r="Q1884"/>
          <cell r="R1884">
            <v>1.73</v>
          </cell>
          <cell r="S1884">
            <v>2.0299999999999998</v>
          </cell>
          <cell r="T1884"/>
          <cell r="U1884"/>
          <cell r="V1884">
            <v>15</v>
          </cell>
          <cell r="W1884"/>
          <cell r="X1884" t="str">
            <v>GAVIN</v>
          </cell>
          <cell r="Y1884" t="str">
            <v>GAVIN 13-SEP</v>
          </cell>
          <cell r="Z1884" t="str">
            <v>GAVIN' MAIL 26/9/17</v>
          </cell>
          <cell r="AA1884"/>
          <cell r="AB1884">
            <v>43004</v>
          </cell>
          <cell r="AC1884">
            <v>3551</v>
          </cell>
        </row>
        <row r="1885">
          <cell r="B1885">
            <v>3550</v>
          </cell>
          <cell r="C1885" t="str">
            <v>TS-373</v>
          </cell>
          <cell r="D1885"/>
          <cell r="E1885"/>
          <cell r="F1885" t="str">
            <v>T/S 97/3</v>
          </cell>
          <cell r="G1885" t="str">
            <v>97% POLYESTER 3% SPANDEX</v>
          </cell>
          <cell r="H1885" t="str">
            <v>57/58</v>
          </cell>
          <cell r="I1885">
            <v>355</v>
          </cell>
          <cell r="J1885">
            <v>1.81</v>
          </cell>
          <cell r="K1885">
            <v>1.99</v>
          </cell>
          <cell r="L1885">
            <v>1.83</v>
          </cell>
          <cell r="M1885">
            <v>2.02</v>
          </cell>
          <cell r="N1885">
            <v>1.85</v>
          </cell>
          <cell r="O1885">
            <v>2.0499999999999998</v>
          </cell>
          <cell r="P1885"/>
          <cell r="Q1885"/>
          <cell r="R1885">
            <v>2</v>
          </cell>
          <cell r="S1885">
            <v>2.2999999999999998</v>
          </cell>
          <cell r="T1885"/>
          <cell r="U1885"/>
          <cell r="V1885">
            <v>15</v>
          </cell>
          <cell r="W1885"/>
          <cell r="X1885" t="str">
            <v>GAVIN</v>
          </cell>
          <cell r="Y1885" t="str">
            <v>GAVIN 13-SEP</v>
          </cell>
          <cell r="Z1885" t="str">
            <v>GAVIN' MAIL 26/9/17</v>
          </cell>
          <cell r="AA1885"/>
          <cell r="AB1885">
            <v>43004</v>
          </cell>
          <cell r="AC1885">
            <v>3550</v>
          </cell>
        </row>
        <row r="1886">
          <cell r="B1886">
            <v>3549</v>
          </cell>
          <cell r="C1886" t="str">
            <v>TS-372</v>
          </cell>
          <cell r="D1886"/>
          <cell r="E1886"/>
          <cell r="F1886" t="str">
            <v>T 100%</v>
          </cell>
          <cell r="G1886" t="str">
            <v>100% POLYESTER</v>
          </cell>
          <cell r="H1886" t="str">
            <v>57/58</v>
          </cell>
          <cell r="I1886">
            <v>215</v>
          </cell>
          <cell r="J1886">
            <v>1.56</v>
          </cell>
          <cell r="K1886">
            <v>1.74</v>
          </cell>
          <cell r="L1886">
            <v>1.58</v>
          </cell>
          <cell r="M1886">
            <v>1.77</v>
          </cell>
          <cell r="N1886">
            <v>1.6</v>
          </cell>
          <cell r="O1886">
            <v>1.8</v>
          </cell>
          <cell r="P1886"/>
          <cell r="Q1886"/>
          <cell r="R1886">
            <v>1.75</v>
          </cell>
          <cell r="S1886">
            <v>2.0499999999999998</v>
          </cell>
          <cell r="T1886"/>
          <cell r="U1886"/>
          <cell r="V1886">
            <v>15</v>
          </cell>
          <cell r="W1886"/>
          <cell r="X1886" t="str">
            <v>GAVIN</v>
          </cell>
          <cell r="Y1886" t="str">
            <v>GAVIN 13-SEP</v>
          </cell>
          <cell r="Z1886" t="str">
            <v>GAVIN' MAIL 26/9/17</v>
          </cell>
          <cell r="AA1886"/>
          <cell r="AB1886">
            <v>43004</v>
          </cell>
          <cell r="AC1886">
            <v>3549</v>
          </cell>
        </row>
        <row r="1887">
          <cell r="B1887">
            <v>3548</v>
          </cell>
          <cell r="C1887" t="str">
            <v>TS-371</v>
          </cell>
          <cell r="D1887"/>
          <cell r="E1887"/>
          <cell r="F1887" t="str">
            <v>T/S 97/3</v>
          </cell>
          <cell r="G1887" t="str">
            <v>97% POLYESTER 3% SPANDEX</v>
          </cell>
          <cell r="H1887" t="str">
            <v>57/58</v>
          </cell>
          <cell r="I1887">
            <v>130</v>
          </cell>
          <cell r="J1887">
            <v>1.1100000000000001</v>
          </cell>
          <cell r="K1887">
            <v>1.29</v>
          </cell>
          <cell r="L1887">
            <v>1.1299999999999999</v>
          </cell>
          <cell r="M1887">
            <v>1.32</v>
          </cell>
          <cell r="N1887">
            <v>1.1499999999999999</v>
          </cell>
          <cell r="O1887">
            <v>1.35</v>
          </cell>
          <cell r="P1887"/>
          <cell r="Q1887"/>
          <cell r="R1887">
            <v>1.3</v>
          </cell>
          <cell r="S1887">
            <v>1.6</v>
          </cell>
          <cell r="T1887"/>
          <cell r="U1887"/>
          <cell r="V1887">
            <v>15</v>
          </cell>
          <cell r="W1887"/>
          <cell r="X1887" t="str">
            <v>GAVIN</v>
          </cell>
          <cell r="Y1887" t="str">
            <v>GAVIN 13-SEP</v>
          </cell>
          <cell r="Z1887" t="str">
            <v>GAVIN' MAIL 26/9/17</v>
          </cell>
          <cell r="AA1887"/>
          <cell r="AB1887">
            <v>43004</v>
          </cell>
          <cell r="AC1887">
            <v>3548</v>
          </cell>
        </row>
        <row r="1888">
          <cell r="B1888">
            <v>3547</v>
          </cell>
          <cell r="C1888" t="str">
            <v>FX-PX002B</v>
          </cell>
          <cell r="D1888" t="str">
            <v>EMBROIDERY</v>
          </cell>
          <cell r="E1888"/>
          <cell r="F1888" t="str">
            <v>T 100%</v>
          </cell>
          <cell r="G1888" t="str">
            <v>100% POLY</v>
          </cell>
          <cell r="H1888" t="str">
            <v>50/52</v>
          </cell>
          <cell r="I1888"/>
          <cell r="J1888">
            <v>2.15</v>
          </cell>
          <cell r="K1888"/>
          <cell r="L1888">
            <v>2.25</v>
          </cell>
          <cell r="M1888"/>
          <cell r="N1888">
            <v>2.35</v>
          </cell>
          <cell r="O1888"/>
          <cell r="P1888"/>
          <cell r="Q1888"/>
          <cell r="R1888">
            <v>2.5</v>
          </cell>
          <cell r="S1888"/>
          <cell r="T1888"/>
          <cell r="U1888"/>
          <cell r="V1888"/>
          <cell r="W1888"/>
          <cell r="X1888" t="str">
            <v>PANI</v>
          </cell>
          <cell r="Y1888" t="str">
            <v>PANI 23-SEP (EMB)</v>
          </cell>
          <cell r="Z1888" t="str">
            <v>JAMES' MAIL 26/9/17</v>
          </cell>
          <cell r="AA1888"/>
          <cell r="AB1888">
            <v>43004</v>
          </cell>
          <cell r="AC1888">
            <v>3547</v>
          </cell>
        </row>
        <row r="1889">
          <cell r="B1889">
            <v>3524</v>
          </cell>
          <cell r="C1889" t="str">
            <v>WW-22653-2</v>
          </cell>
          <cell r="D1889"/>
          <cell r="E1889"/>
          <cell r="F1889" t="str">
            <v>T100%</v>
          </cell>
          <cell r="G1889" t="str">
            <v>100% POLY</v>
          </cell>
          <cell r="H1889" t="str">
            <v>57/58</v>
          </cell>
          <cell r="I1889" t="str">
            <v>135-140</v>
          </cell>
          <cell r="J1889">
            <v>1.35</v>
          </cell>
          <cell r="K1889"/>
          <cell r="L1889">
            <v>1.35</v>
          </cell>
          <cell r="M1889"/>
          <cell r="N1889">
            <v>1.4500000000000002</v>
          </cell>
          <cell r="O1889"/>
          <cell r="P1889"/>
          <cell r="Q1889"/>
          <cell r="R1889">
            <v>1.5950000000000004</v>
          </cell>
          <cell r="S1889"/>
          <cell r="T1889"/>
          <cell r="U1889"/>
          <cell r="V1889"/>
          <cell r="W1889"/>
          <cell r="X1889" t="str">
            <v>PANI</v>
          </cell>
          <cell r="Y1889" t="str">
            <v>PANI 23-SEP</v>
          </cell>
          <cell r="Z1889" t="str">
            <v>AMY' MAIL 26/9/17</v>
          </cell>
          <cell r="AA1889"/>
          <cell r="AB1889">
            <v>43004</v>
          </cell>
          <cell r="AC1889">
            <v>3524</v>
          </cell>
        </row>
        <row r="1890">
          <cell r="B1890">
            <v>3517</v>
          </cell>
          <cell r="C1890" t="str">
            <v>TS-384</v>
          </cell>
          <cell r="D1890"/>
          <cell r="E1890"/>
          <cell r="F1890" t="str">
            <v>CVC 80/20</v>
          </cell>
          <cell r="G1890" t="str">
            <v>80% COTTON 20% POLYESTER</v>
          </cell>
          <cell r="H1890" t="str">
            <v>155CM</v>
          </cell>
          <cell r="I1890">
            <v>220</v>
          </cell>
          <cell r="J1890">
            <v>2.0099999999999998</v>
          </cell>
          <cell r="K1890"/>
          <cell r="L1890">
            <v>2.0299999999999998</v>
          </cell>
          <cell r="M1890"/>
          <cell r="N1890">
            <v>2.0499999999999998</v>
          </cell>
          <cell r="O1890"/>
          <cell r="P1890"/>
          <cell r="Q1890"/>
          <cell r="R1890">
            <v>2.2000000000000002</v>
          </cell>
          <cell r="S1890"/>
          <cell r="T1890"/>
          <cell r="U1890"/>
          <cell r="V1890">
            <v>15</v>
          </cell>
          <cell r="W1890"/>
          <cell r="X1890" t="str">
            <v>GAVIN</v>
          </cell>
          <cell r="Y1890" t="str">
            <v>GAVIN 26-SEP</v>
          </cell>
          <cell r="Z1890" t="str">
            <v>GAVIN' MAIL 26/9/17</v>
          </cell>
          <cell r="AA1890"/>
          <cell r="AB1890">
            <v>43004</v>
          </cell>
          <cell r="AC1890">
            <v>3517</v>
          </cell>
        </row>
        <row r="1891">
          <cell r="B1891">
            <v>3516</v>
          </cell>
          <cell r="C1891" t="str">
            <v>XH-9036</v>
          </cell>
          <cell r="D1891" t="str">
            <v>PONTE ROMA</v>
          </cell>
          <cell r="E1891" t="str">
            <v>32S+75D+40D</v>
          </cell>
          <cell r="F1891" t="str">
            <v>T/R/S 89/6/5</v>
          </cell>
          <cell r="G1891" t="str">
            <v>89% POLYESTER 6% RAYON 5% SPANDEX</v>
          </cell>
          <cell r="H1891" t="str">
            <v>58/60</v>
          </cell>
          <cell r="I1891">
            <v>270</v>
          </cell>
          <cell r="J1891">
            <v>1.9</v>
          </cell>
          <cell r="K1891"/>
          <cell r="L1891">
            <v>1.9</v>
          </cell>
          <cell r="M1891"/>
          <cell r="N1891">
            <v>2</v>
          </cell>
          <cell r="O1891"/>
          <cell r="P1891"/>
          <cell r="Q1891"/>
          <cell r="R1891">
            <v>2.1</v>
          </cell>
          <cell r="S1891"/>
          <cell r="T1891"/>
          <cell r="U1891"/>
          <cell r="V1891">
            <v>15</v>
          </cell>
          <cell r="W1891"/>
          <cell r="X1891" t="str">
            <v>PANI</v>
          </cell>
          <cell r="Y1891" t="str">
            <v>WECHAT 26/9/17</v>
          </cell>
          <cell r="Z1891" t="str">
            <v>WECHAT GROUP 26/9/17</v>
          </cell>
          <cell r="AA1891"/>
          <cell r="AB1891">
            <v>43004</v>
          </cell>
          <cell r="AC1891">
            <v>3516</v>
          </cell>
        </row>
        <row r="1892">
          <cell r="B1892">
            <v>3515</v>
          </cell>
          <cell r="C1892" t="str">
            <v>D131001-1</v>
          </cell>
          <cell r="D1892"/>
          <cell r="E1892" t="str">
            <v>TC45xTC45 - 106x74</v>
          </cell>
          <cell r="F1892" t="str">
            <v>TC 65/35</v>
          </cell>
          <cell r="G1892" t="str">
            <v>65% POLYESTER 35% COTTON</v>
          </cell>
          <cell r="H1892" t="str">
            <v>57/58</v>
          </cell>
          <cell r="I1892">
            <v>95</v>
          </cell>
          <cell r="J1892">
            <v>1.5091863517060367</v>
          </cell>
          <cell r="K1892">
            <v>1.8044619422572177</v>
          </cell>
          <cell r="L1892">
            <v>1.5310586176727907</v>
          </cell>
          <cell r="M1892">
            <v>1.826334208223972</v>
          </cell>
          <cell r="N1892">
            <v>1.563867016622922</v>
          </cell>
          <cell r="O1892">
            <v>1.8591426071741033</v>
          </cell>
          <cell r="P1892"/>
          <cell r="Q1892"/>
          <cell r="R1892">
            <v>1.7497812773403325</v>
          </cell>
          <cell r="S1892">
            <v>2.2965879265091864</v>
          </cell>
          <cell r="T1892"/>
          <cell r="U1892"/>
          <cell r="V1892">
            <v>6</v>
          </cell>
          <cell r="W1892"/>
          <cell r="X1892" t="str">
            <v>DAVID</v>
          </cell>
          <cell r="Y1892" t="str">
            <v>DAVID 25-SEP</v>
          </cell>
          <cell r="Z1892" t="str">
            <v>DAVID 26/9/17</v>
          </cell>
          <cell r="AA1892"/>
          <cell r="AB1892">
            <v>43004</v>
          </cell>
          <cell r="AC1892">
            <v>3515</v>
          </cell>
        </row>
        <row r="1893">
          <cell r="B1893">
            <v>3514</v>
          </cell>
          <cell r="C1893" t="str">
            <v>D004-2</v>
          </cell>
          <cell r="D1893"/>
          <cell r="E1893" t="str">
            <v>50x50 - 144x80</v>
          </cell>
          <cell r="F1893" t="str">
            <v>C 100%</v>
          </cell>
          <cell r="G1893" t="str">
            <v>100% COTTON</v>
          </cell>
          <cell r="H1893" t="str">
            <v>57/58</v>
          </cell>
          <cell r="I1893">
            <v>105</v>
          </cell>
          <cell r="J1893">
            <v>1.8044619422572177</v>
          </cell>
          <cell r="K1893">
            <v>2.0669291338582676</v>
          </cell>
          <cell r="L1893">
            <v>1.848206474190726</v>
          </cell>
          <cell r="M1893">
            <v>2.1106736657917762</v>
          </cell>
          <cell r="N1893">
            <v>1.8810148731408574</v>
          </cell>
          <cell r="O1893">
            <v>2.1544181977252843</v>
          </cell>
          <cell r="P1893"/>
          <cell r="Q1893"/>
          <cell r="R1893">
            <v>2.0231846019247595</v>
          </cell>
          <cell r="S1893">
            <v>2.4934383202099735</v>
          </cell>
          <cell r="T1893"/>
          <cell r="U1893"/>
          <cell r="V1893">
            <v>5</v>
          </cell>
          <cell r="W1893" t="str">
            <v>`</v>
          </cell>
          <cell r="X1893" t="str">
            <v>DAVID</v>
          </cell>
          <cell r="Y1893" t="str">
            <v>DAVID 25-SEP</v>
          </cell>
          <cell r="Z1893" t="str">
            <v>DAVID 26/9/17</v>
          </cell>
          <cell r="AA1893"/>
          <cell r="AB1893">
            <v>43004</v>
          </cell>
          <cell r="AC1893">
            <v>3514</v>
          </cell>
        </row>
        <row r="1894">
          <cell r="B1894">
            <v>3513</v>
          </cell>
          <cell r="C1894" t="str">
            <v>HLT2923</v>
          </cell>
          <cell r="D1894"/>
          <cell r="E1894"/>
          <cell r="F1894" t="str">
            <v>C100%</v>
          </cell>
          <cell r="G1894" t="str">
            <v>POLY/RAYON/SPANDEX 65/30/5</v>
          </cell>
          <cell r="H1894" t="str">
            <v>57/58</v>
          </cell>
          <cell r="I1894">
            <v>215</v>
          </cell>
          <cell r="J1894">
            <v>2.2303326810176127</v>
          </cell>
          <cell r="K1894"/>
          <cell r="L1894">
            <v>2.3303326810176128</v>
          </cell>
          <cell r="M1894"/>
          <cell r="N1894">
            <v>2.4303326810176129</v>
          </cell>
          <cell r="O1894"/>
          <cell r="P1894"/>
          <cell r="Q1894"/>
          <cell r="R1894">
            <v>2.530332681017613</v>
          </cell>
          <cell r="S1894"/>
          <cell r="T1894"/>
          <cell r="U1894"/>
          <cell r="V1894">
            <v>15</v>
          </cell>
          <cell r="W1894"/>
          <cell r="X1894" t="str">
            <v>CANDY</v>
          </cell>
          <cell r="Y1894" t="str">
            <v>CANDY 18-SEP REVISE</v>
          </cell>
          <cell r="Z1894" t="str">
            <v>LEI' MAIL 22/9/17</v>
          </cell>
          <cell r="AA1894"/>
          <cell r="AB1894">
            <v>43004</v>
          </cell>
          <cell r="AC1894">
            <v>3513</v>
          </cell>
        </row>
        <row r="1895">
          <cell r="B1895">
            <v>3438</v>
          </cell>
          <cell r="C1895" t="str">
            <v>HLT4806</v>
          </cell>
          <cell r="D1895"/>
          <cell r="E1895"/>
          <cell r="F1895" t="str">
            <v>T/S 94/6</v>
          </cell>
          <cell r="G1895" t="str">
            <v>POLY/SPANDEX 94/6</v>
          </cell>
          <cell r="H1895" t="str">
            <v>150CM</v>
          </cell>
          <cell r="I1895">
            <v>280</v>
          </cell>
          <cell r="J1895">
            <v>2.2765114231112311</v>
          </cell>
          <cell r="K1895">
            <v>2.4307180196189622</v>
          </cell>
          <cell r="L1895">
            <v>2.3765114231112312</v>
          </cell>
          <cell r="M1895">
            <v>2.5307180196189623</v>
          </cell>
          <cell r="N1895">
            <v>2.4765114231112313</v>
          </cell>
          <cell r="O1895">
            <v>2.7307180196189624</v>
          </cell>
          <cell r="P1895"/>
          <cell r="Q1895"/>
          <cell r="R1895">
            <v>2.5765114231112314</v>
          </cell>
          <cell r="S1895">
            <v>2.9307180196189626</v>
          </cell>
          <cell r="T1895"/>
          <cell r="U1895"/>
          <cell r="V1895">
            <v>15</v>
          </cell>
          <cell r="W1895"/>
          <cell r="X1895" t="str">
            <v>CANDY</v>
          </cell>
          <cell r="Y1895" t="str">
            <v>CANDY 18-SEP REVISE</v>
          </cell>
          <cell r="Z1895" t="str">
            <v>LEI' MAIL 22/9/17</v>
          </cell>
          <cell r="AA1895"/>
          <cell r="AB1895">
            <v>43004</v>
          </cell>
          <cell r="AC1895">
            <v>3438</v>
          </cell>
        </row>
        <row r="1896">
          <cell r="B1896">
            <v>3434</v>
          </cell>
          <cell r="C1896" t="str">
            <v>HLT5953</v>
          </cell>
          <cell r="D1896"/>
          <cell r="E1896"/>
          <cell r="F1896" t="str">
            <v>T/R/S 62/33/5</v>
          </cell>
          <cell r="G1896" t="str">
            <v>POLY/RAYON/SPANDEX 62/33/5</v>
          </cell>
          <cell r="H1896" t="str">
            <v>57/58</v>
          </cell>
          <cell r="I1896">
            <v>300</v>
          </cell>
          <cell r="J1896">
            <v>3.0228962818003917</v>
          </cell>
          <cell r="K1896"/>
          <cell r="L1896">
            <v>3.1228962818003918</v>
          </cell>
          <cell r="M1896"/>
          <cell r="N1896">
            <v>3.2228962818003919</v>
          </cell>
          <cell r="O1896"/>
          <cell r="P1896"/>
          <cell r="Q1896"/>
          <cell r="R1896">
            <v>3.322896281800392</v>
          </cell>
          <cell r="S1896"/>
          <cell r="T1896"/>
          <cell r="U1896"/>
          <cell r="V1896">
            <v>15</v>
          </cell>
          <cell r="W1896"/>
          <cell r="X1896" t="str">
            <v>CANDY</v>
          </cell>
          <cell r="Y1896" t="str">
            <v>CANDY 18-SEP REVISE</v>
          </cell>
          <cell r="Z1896" t="str">
            <v>LEI' MAIL 22/9/17</v>
          </cell>
          <cell r="AA1896"/>
          <cell r="AB1896">
            <v>43004</v>
          </cell>
          <cell r="AC1896">
            <v>3434</v>
          </cell>
        </row>
        <row r="1897">
          <cell r="B1897">
            <v>3381</v>
          </cell>
          <cell r="C1897" t="str">
            <v>T004</v>
          </cell>
          <cell r="D1897" t="str">
            <v>POLY MOSS CREPE</v>
          </cell>
          <cell r="E1897" t="str">
            <v>75D*75D</v>
          </cell>
          <cell r="F1897" t="str">
            <v>T 100%</v>
          </cell>
          <cell r="G1897" t="str">
            <v>100%POLYESTER</v>
          </cell>
          <cell r="H1897" t="str">
            <v>57/58</v>
          </cell>
          <cell r="I1897">
            <v>120</v>
          </cell>
          <cell r="J1897">
            <v>1.23</v>
          </cell>
          <cell r="K1897">
            <v>1.46</v>
          </cell>
          <cell r="L1897">
            <v>1.25</v>
          </cell>
          <cell r="M1897">
            <v>1.53</v>
          </cell>
          <cell r="N1897">
            <v>1.26</v>
          </cell>
          <cell r="O1897">
            <v>1.58</v>
          </cell>
          <cell r="P1897"/>
          <cell r="Q1897"/>
          <cell r="R1897">
            <v>1.45</v>
          </cell>
          <cell r="S1897">
            <v>2.08</v>
          </cell>
          <cell r="T1897"/>
          <cell r="U1897"/>
          <cell r="V1897"/>
          <cell r="W1897"/>
          <cell r="X1897" t="str">
            <v>TERESA</v>
          </cell>
          <cell r="Y1897" t="str">
            <v>TERESA 25-SEP</v>
          </cell>
          <cell r="Z1897" t="str">
            <v>TERESA' MAIL 22/9/17</v>
          </cell>
          <cell r="AA1897"/>
          <cell r="AB1897">
            <v>43004</v>
          </cell>
          <cell r="AC1897">
            <v>3381</v>
          </cell>
        </row>
        <row r="1898">
          <cell r="B1898">
            <v>3380</v>
          </cell>
          <cell r="C1898" t="str">
            <v>T014</v>
          </cell>
          <cell r="D1898" t="str">
            <v>CDC</v>
          </cell>
          <cell r="E1898" t="str">
            <v>20+26D x 75D</v>
          </cell>
          <cell r="F1898" t="str">
            <v>T 100%</v>
          </cell>
          <cell r="G1898" t="str">
            <v>100%POLYESTER</v>
          </cell>
          <cell r="H1898" t="str">
            <v>57/58</v>
          </cell>
          <cell r="I1898">
            <v>70</v>
          </cell>
          <cell r="J1898">
            <v>1.1599999999999999</v>
          </cell>
          <cell r="K1898">
            <v>1.42</v>
          </cell>
          <cell r="L1898">
            <v>1.18</v>
          </cell>
          <cell r="M1898">
            <v>1.47</v>
          </cell>
          <cell r="N1898">
            <v>1.2</v>
          </cell>
          <cell r="O1898">
            <v>1.53</v>
          </cell>
          <cell r="P1898"/>
          <cell r="Q1898"/>
          <cell r="R1898">
            <v>1.28</v>
          </cell>
          <cell r="S1898">
            <v>1.99</v>
          </cell>
          <cell r="T1898"/>
          <cell r="U1898"/>
          <cell r="V1898"/>
          <cell r="W1898"/>
          <cell r="X1898" t="str">
            <v>TERESA</v>
          </cell>
          <cell r="Y1898" t="str">
            <v>TERESA 25-SEP</v>
          </cell>
          <cell r="Z1898" t="str">
            <v>TERESA' MAIL 22/9/17</v>
          </cell>
          <cell r="AA1898"/>
          <cell r="AB1898">
            <v>43004</v>
          </cell>
          <cell r="AC1898">
            <v>3380</v>
          </cell>
        </row>
        <row r="1899">
          <cell r="B1899">
            <v>2928</v>
          </cell>
          <cell r="C1899" t="str">
            <v>RF6120-193</v>
          </cell>
          <cell r="D1899"/>
          <cell r="E1899" t="str">
            <v>30x30 / 68x68</v>
          </cell>
          <cell r="F1899" t="str">
            <v>R 100%</v>
          </cell>
          <cell r="G1899" t="str">
            <v>100% RAYON</v>
          </cell>
          <cell r="H1899">
            <v>53</v>
          </cell>
          <cell r="I1899">
            <v>120</v>
          </cell>
          <cell r="J1899">
            <v>1.22</v>
          </cell>
          <cell r="K1899">
            <v>1.32</v>
          </cell>
          <cell r="L1899"/>
          <cell r="M1899"/>
          <cell r="N1899">
            <v>1.22</v>
          </cell>
          <cell r="O1899">
            <v>1.5</v>
          </cell>
          <cell r="P1899"/>
          <cell r="Q1899"/>
          <cell r="R1899">
            <v>1.32</v>
          </cell>
          <cell r="S1899">
            <v>1.99</v>
          </cell>
          <cell r="T1899"/>
          <cell r="U1899"/>
          <cell r="V1899">
            <v>15</v>
          </cell>
          <cell r="W1899"/>
          <cell r="X1899" t="str">
            <v>PANI</v>
          </cell>
          <cell r="Y1899" t="str">
            <v>PANI MAIL 26/9/17</v>
          </cell>
          <cell r="Z1899" t="str">
            <v>PANI' MAIL 26/9/17</v>
          </cell>
          <cell r="AA1899"/>
          <cell r="AB1899">
            <v>43004</v>
          </cell>
          <cell r="AC1899">
            <v>2928</v>
          </cell>
        </row>
        <row r="1900">
          <cell r="B1900">
            <v>2916</v>
          </cell>
          <cell r="C1900" t="str">
            <v>WW-22222</v>
          </cell>
          <cell r="D1900" t="str">
            <v>SATEEN</v>
          </cell>
          <cell r="E1900"/>
          <cell r="F1900" t="str">
            <v>T100%</v>
          </cell>
          <cell r="G1900" t="str">
            <v>100% POLY</v>
          </cell>
          <cell r="H1900" t="str">
            <v>57/58</v>
          </cell>
          <cell r="I1900">
            <v>135</v>
          </cell>
          <cell r="J1900">
            <v>1.75</v>
          </cell>
          <cell r="K1900"/>
          <cell r="L1900">
            <v>1.75</v>
          </cell>
          <cell r="M1900"/>
          <cell r="N1900">
            <v>1.85</v>
          </cell>
          <cell r="O1900"/>
          <cell r="P1900"/>
          <cell r="Q1900"/>
          <cell r="R1900">
            <v>2.0350000000000001</v>
          </cell>
          <cell r="S1900"/>
          <cell r="T1900"/>
          <cell r="U1900"/>
          <cell r="V1900"/>
          <cell r="W1900"/>
          <cell r="X1900" t="str">
            <v>PANI</v>
          </cell>
          <cell r="Y1900" t="str">
            <v>PANI 23-SEP</v>
          </cell>
          <cell r="Z1900" t="str">
            <v>AMY' MAIL 26/9/17</v>
          </cell>
          <cell r="AA1900"/>
          <cell r="AB1900">
            <v>43004</v>
          </cell>
          <cell r="AC1900">
            <v>2916</v>
          </cell>
        </row>
        <row r="1901">
          <cell r="B1901">
            <v>2915</v>
          </cell>
          <cell r="C1901" t="str">
            <v>WW-22223</v>
          </cell>
          <cell r="D1901" t="str">
            <v>SATEEN</v>
          </cell>
          <cell r="E1901"/>
          <cell r="F1901" t="str">
            <v>T100%</v>
          </cell>
          <cell r="G1901" t="str">
            <v>100% POLY</v>
          </cell>
          <cell r="H1901" t="str">
            <v>57/58</v>
          </cell>
          <cell r="I1901">
            <v>165</v>
          </cell>
          <cell r="J1901">
            <v>1.65</v>
          </cell>
          <cell r="K1901"/>
          <cell r="L1901">
            <v>1.65</v>
          </cell>
          <cell r="M1901"/>
          <cell r="N1901">
            <v>1.75</v>
          </cell>
          <cell r="O1901"/>
          <cell r="P1901"/>
          <cell r="Q1901"/>
          <cell r="R1901">
            <v>1.9250000000000003</v>
          </cell>
          <cell r="S1901"/>
          <cell r="T1901"/>
          <cell r="U1901"/>
          <cell r="V1901"/>
          <cell r="W1901"/>
          <cell r="X1901" t="str">
            <v>PANI</v>
          </cell>
          <cell r="Y1901" t="str">
            <v>PANI 23-SEP</v>
          </cell>
          <cell r="Z1901" t="str">
            <v>AMY' MAIL 26/9/17</v>
          </cell>
          <cell r="AA1901"/>
          <cell r="AB1901">
            <v>43004</v>
          </cell>
          <cell r="AC1901">
            <v>2915</v>
          </cell>
        </row>
        <row r="1902">
          <cell r="B1902"/>
          <cell r="C1902" t="str">
            <v>HLT004</v>
          </cell>
          <cell r="D1902"/>
          <cell r="E1902"/>
          <cell r="F1902" t="str">
            <v>T/S 97/3</v>
          </cell>
          <cell r="G1902" t="str">
            <v>POLY/SPANDEX 97/3</v>
          </cell>
          <cell r="H1902" t="str">
            <v>57/58</v>
          </cell>
          <cell r="I1902">
            <v>185</v>
          </cell>
          <cell r="J1902">
            <v>1.1200000000000001</v>
          </cell>
          <cell r="K1902">
            <v>1.2569863013698632</v>
          </cell>
          <cell r="L1902">
            <v>1.2200000000000002</v>
          </cell>
          <cell r="M1902">
            <v>1.3569863013698633</v>
          </cell>
          <cell r="N1902">
            <v>1.3200000000000003</v>
          </cell>
          <cell r="O1902">
            <v>1.4569863013698634</v>
          </cell>
          <cell r="P1902"/>
          <cell r="Q1902"/>
          <cell r="R1902">
            <v>1.4200000000000004</v>
          </cell>
          <cell r="S1902">
            <v>1.6569863013698634</v>
          </cell>
          <cell r="T1902"/>
          <cell r="U1902"/>
          <cell r="V1902"/>
          <cell r="W1902"/>
          <cell r="X1902" t="str">
            <v>CANDY</v>
          </cell>
          <cell r="Y1902" t="str">
            <v>CANDY 18-SEP REVISE</v>
          </cell>
          <cell r="Z1902" t="str">
            <v>LEI' MAIL 22/9/17</v>
          </cell>
          <cell r="AA1902"/>
          <cell r="AB1902">
            <v>43004</v>
          </cell>
          <cell r="AC1902">
            <v>0</v>
          </cell>
        </row>
        <row r="1903">
          <cell r="B1903"/>
          <cell r="C1903" t="str">
            <v>HLT003</v>
          </cell>
          <cell r="D1903"/>
          <cell r="E1903"/>
          <cell r="F1903" t="str">
            <v>T/S 95/5</v>
          </cell>
          <cell r="G1903" t="str">
            <v>POLY/SPANDEX 95/5</v>
          </cell>
          <cell r="H1903" t="str">
            <v>57/58</v>
          </cell>
          <cell r="I1903">
            <v>228</v>
          </cell>
          <cell r="J1903">
            <v>1.18</v>
          </cell>
          <cell r="K1903">
            <v>1.3169863013698628</v>
          </cell>
          <cell r="L1903">
            <v>1.28</v>
          </cell>
          <cell r="M1903">
            <v>1.4169863013698629</v>
          </cell>
          <cell r="N1903">
            <v>1.3800000000000001</v>
          </cell>
          <cell r="O1903">
            <v>1.516986301369863</v>
          </cell>
          <cell r="P1903"/>
          <cell r="Q1903"/>
          <cell r="R1903">
            <v>1.4800000000000002</v>
          </cell>
          <cell r="S1903">
            <v>1.716986301369863</v>
          </cell>
          <cell r="T1903"/>
          <cell r="U1903"/>
          <cell r="V1903"/>
          <cell r="W1903"/>
          <cell r="X1903" t="str">
            <v>CANDY</v>
          </cell>
          <cell r="Y1903" t="str">
            <v>CANDY 18-SEP REVISE</v>
          </cell>
          <cell r="Z1903" t="str">
            <v>LEI' MAIL 22/9/17</v>
          </cell>
          <cell r="AA1903"/>
          <cell r="AB1903">
            <v>43004</v>
          </cell>
          <cell r="AC1903">
            <v>0</v>
          </cell>
        </row>
        <row r="1904">
          <cell r="B1904"/>
          <cell r="C1904" t="str">
            <v>HLT043</v>
          </cell>
          <cell r="D1904"/>
          <cell r="E1904"/>
          <cell r="F1904" t="str">
            <v>T/S 98/2</v>
          </cell>
          <cell r="G1904" t="str">
            <v>POLY/SPANDEX 98/2</v>
          </cell>
          <cell r="H1904" t="str">
            <v>57/58</v>
          </cell>
          <cell r="I1904">
            <v>220</v>
          </cell>
          <cell r="J1904">
            <v>1.2</v>
          </cell>
          <cell r="K1904">
            <v>1.3369863013698629</v>
          </cell>
          <cell r="L1904">
            <v>1.3</v>
          </cell>
          <cell r="M1904">
            <v>1.4369863013698629</v>
          </cell>
          <cell r="N1904">
            <v>1.4000000000000001</v>
          </cell>
          <cell r="O1904">
            <v>1.536986301369863</v>
          </cell>
          <cell r="P1904"/>
          <cell r="Q1904"/>
          <cell r="R1904">
            <v>1.5000000000000002</v>
          </cell>
          <cell r="S1904">
            <v>1.736986301369863</v>
          </cell>
          <cell r="T1904"/>
          <cell r="U1904"/>
          <cell r="V1904"/>
          <cell r="W1904"/>
          <cell r="X1904" t="str">
            <v>CANDY</v>
          </cell>
          <cell r="Y1904" t="str">
            <v>CANDY 18-SEP REVISE</v>
          </cell>
          <cell r="Z1904" t="str">
            <v>LEI' MAIL 22/9/17</v>
          </cell>
          <cell r="AA1904"/>
          <cell r="AB1904">
            <v>43004</v>
          </cell>
          <cell r="AC1904">
            <v>0</v>
          </cell>
        </row>
        <row r="1905">
          <cell r="B1905"/>
          <cell r="C1905" t="str">
            <v>KPW-22800</v>
          </cell>
          <cell r="D1905"/>
          <cell r="E1905"/>
          <cell r="F1905" t="str">
            <v>T/C 90/10</v>
          </cell>
          <cell r="G1905" t="str">
            <v>T/C 90/10</v>
          </cell>
          <cell r="H1905" t="str">
            <v>57/58</v>
          </cell>
          <cell r="I1905">
            <v>105</v>
          </cell>
          <cell r="J1905"/>
          <cell r="K1905">
            <v>1.4</v>
          </cell>
          <cell r="L1905"/>
          <cell r="M1905">
            <v>1.4</v>
          </cell>
          <cell r="N1905"/>
          <cell r="O1905">
            <v>1.54</v>
          </cell>
          <cell r="P1905"/>
          <cell r="Q1905"/>
          <cell r="R1905"/>
          <cell r="S1905">
            <v>1.6940000000000002</v>
          </cell>
          <cell r="T1905"/>
          <cell r="U1905"/>
          <cell r="V1905"/>
          <cell r="W1905"/>
          <cell r="X1905" t="str">
            <v>PANI</v>
          </cell>
          <cell r="Y1905" t="str">
            <v>PANI 23-SEP</v>
          </cell>
          <cell r="Z1905" t="str">
            <v>AMY' MAIL 26/9/17</v>
          </cell>
          <cell r="AA1905"/>
          <cell r="AB1905">
            <v>43004</v>
          </cell>
          <cell r="AC1905">
            <v>0</v>
          </cell>
        </row>
        <row r="1906">
          <cell r="B1906"/>
          <cell r="C1906" t="str">
            <v>KPW-22928</v>
          </cell>
          <cell r="D1906"/>
          <cell r="E1906"/>
          <cell r="F1906" t="str">
            <v>R/N 70/30</v>
          </cell>
          <cell r="G1906" t="str">
            <v>R/N 70/30</v>
          </cell>
          <cell r="H1906" t="str">
            <v>144CM</v>
          </cell>
          <cell r="I1906">
            <v>50</v>
          </cell>
          <cell r="J1906"/>
          <cell r="K1906">
            <v>1.6</v>
          </cell>
          <cell r="L1906"/>
          <cell r="M1906">
            <v>1.6</v>
          </cell>
          <cell r="N1906"/>
          <cell r="O1906">
            <v>1.7600000000000002</v>
          </cell>
          <cell r="P1906"/>
          <cell r="Q1906"/>
          <cell r="R1906"/>
          <cell r="S1906">
            <v>1.9360000000000004</v>
          </cell>
          <cell r="T1906"/>
          <cell r="U1906"/>
          <cell r="V1906"/>
          <cell r="W1906"/>
          <cell r="X1906" t="str">
            <v>PANI</v>
          </cell>
          <cell r="Y1906" t="str">
            <v>PANI 23-SEP</v>
          </cell>
          <cell r="Z1906" t="str">
            <v>AMY' MAIL 26/9/17</v>
          </cell>
          <cell r="AA1906"/>
          <cell r="AB1906">
            <v>43004</v>
          </cell>
          <cell r="AC1906">
            <v>0</v>
          </cell>
        </row>
        <row r="1907">
          <cell r="B1907"/>
          <cell r="C1907" t="str">
            <v>HLT2143</v>
          </cell>
          <cell r="D1907"/>
          <cell r="E1907"/>
          <cell r="F1907" t="str">
            <v>T100%</v>
          </cell>
          <cell r="G1907" t="str">
            <v>100% POLYESTER</v>
          </cell>
          <cell r="H1907" t="str">
            <v>148CM</v>
          </cell>
          <cell r="I1907">
            <v>94</v>
          </cell>
          <cell r="J1907">
            <v>1.5447488584474887</v>
          </cell>
          <cell r="K1907">
            <v>1.6817351598173516</v>
          </cell>
          <cell r="L1907">
            <v>1.6447488584474887</v>
          </cell>
          <cell r="M1907">
            <v>1.7817351598173516</v>
          </cell>
          <cell r="N1907">
            <v>1.7447488584474888</v>
          </cell>
          <cell r="O1907">
            <v>1.8817351598173517</v>
          </cell>
          <cell r="P1907"/>
          <cell r="Q1907"/>
          <cell r="R1907">
            <v>1.8447488584474889</v>
          </cell>
          <cell r="S1907">
            <v>2.0817351598173519</v>
          </cell>
          <cell r="T1907"/>
          <cell r="U1907"/>
          <cell r="V1907"/>
          <cell r="W1907"/>
          <cell r="X1907" t="str">
            <v>CANDY</v>
          </cell>
          <cell r="Y1907" t="str">
            <v>CANDY 18-SEP REVISE</v>
          </cell>
          <cell r="Z1907" t="str">
            <v>LEI' MAIL 22/9/17</v>
          </cell>
          <cell r="AA1907"/>
          <cell r="AB1907">
            <v>43004</v>
          </cell>
          <cell r="AC1907">
            <v>0</v>
          </cell>
        </row>
        <row r="1908">
          <cell r="B1908"/>
          <cell r="C1908" t="str">
            <v>KPW-22812</v>
          </cell>
          <cell r="D1908"/>
          <cell r="E1908"/>
          <cell r="F1908" t="str">
            <v>T/C 75/25</v>
          </cell>
          <cell r="G1908" t="str">
            <v>TC 75/25</v>
          </cell>
          <cell r="H1908" t="str">
            <v>57/58</v>
          </cell>
          <cell r="I1908">
            <v>95</v>
          </cell>
          <cell r="J1908"/>
          <cell r="K1908">
            <v>1.8</v>
          </cell>
          <cell r="L1908"/>
          <cell r="M1908">
            <v>1.8</v>
          </cell>
          <cell r="N1908"/>
          <cell r="O1908">
            <v>1.9800000000000002</v>
          </cell>
          <cell r="P1908"/>
          <cell r="Q1908"/>
          <cell r="R1908"/>
          <cell r="S1908">
            <v>2.1780000000000004</v>
          </cell>
          <cell r="T1908"/>
          <cell r="U1908"/>
          <cell r="V1908"/>
          <cell r="W1908"/>
          <cell r="X1908" t="str">
            <v>PANI</v>
          </cell>
          <cell r="Y1908" t="str">
            <v>PANI 23-SEP</v>
          </cell>
          <cell r="Z1908" t="str">
            <v>AMY' MAIL 26/9/17</v>
          </cell>
          <cell r="AA1908"/>
          <cell r="AB1908">
            <v>43004</v>
          </cell>
          <cell r="AC1908">
            <v>0</v>
          </cell>
        </row>
        <row r="1909">
          <cell r="B1909"/>
          <cell r="C1909" t="str">
            <v>KPW-22820</v>
          </cell>
          <cell r="D1909"/>
          <cell r="E1909"/>
          <cell r="F1909" t="str">
            <v>T/C 75/25</v>
          </cell>
          <cell r="G1909" t="str">
            <v>TC 75/25</v>
          </cell>
          <cell r="H1909" t="str">
            <v>57/58</v>
          </cell>
          <cell r="I1909">
            <v>95</v>
          </cell>
          <cell r="J1909"/>
          <cell r="K1909">
            <v>1.8</v>
          </cell>
          <cell r="L1909"/>
          <cell r="M1909">
            <v>1.8</v>
          </cell>
          <cell r="N1909"/>
          <cell r="O1909">
            <v>1.9800000000000002</v>
          </cell>
          <cell r="P1909"/>
          <cell r="Q1909"/>
          <cell r="R1909"/>
          <cell r="S1909">
            <v>2.1780000000000004</v>
          </cell>
          <cell r="T1909"/>
          <cell r="U1909"/>
          <cell r="V1909"/>
          <cell r="W1909"/>
          <cell r="X1909" t="str">
            <v>PANI</v>
          </cell>
          <cell r="Y1909" t="str">
            <v>PANI 23-SEP</v>
          </cell>
          <cell r="Z1909" t="str">
            <v>AMY' MAIL 26/9/17</v>
          </cell>
          <cell r="AA1909"/>
          <cell r="AB1909">
            <v>43004</v>
          </cell>
          <cell r="AC1909">
            <v>0</v>
          </cell>
        </row>
        <row r="1910">
          <cell r="B1910"/>
          <cell r="C1910" t="str">
            <v>SH1466</v>
          </cell>
          <cell r="D1910"/>
          <cell r="E1910"/>
          <cell r="F1910" t="str">
            <v>T/C 94/6</v>
          </cell>
          <cell r="G1910" t="str">
            <v>T/C 94/6</v>
          </cell>
          <cell r="H1910" t="str">
            <v>145CM</v>
          </cell>
          <cell r="I1910">
            <v>105</v>
          </cell>
          <cell r="J1910"/>
          <cell r="K1910">
            <v>1.8</v>
          </cell>
          <cell r="L1910"/>
          <cell r="M1910">
            <v>1.8</v>
          </cell>
          <cell r="N1910"/>
          <cell r="O1910">
            <v>1.9800000000000002</v>
          </cell>
          <cell r="P1910"/>
          <cell r="Q1910"/>
          <cell r="R1910"/>
          <cell r="S1910">
            <v>2.1780000000000004</v>
          </cell>
          <cell r="T1910"/>
          <cell r="U1910"/>
          <cell r="V1910"/>
          <cell r="W1910"/>
          <cell r="X1910" t="str">
            <v>PANI</v>
          </cell>
          <cell r="Y1910" t="str">
            <v>PANI 23-SEP</v>
          </cell>
          <cell r="Z1910" t="str">
            <v>AMY' MAIL 26/9/17</v>
          </cell>
          <cell r="AA1910"/>
          <cell r="AB1910">
            <v>43004</v>
          </cell>
          <cell r="AC1910">
            <v>0</v>
          </cell>
        </row>
        <row r="1911">
          <cell r="B1911"/>
          <cell r="C1911" t="str">
            <v>HLT010</v>
          </cell>
          <cell r="D1911"/>
          <cell r="E1911"/>
          <cell r="F1911" t="str">
            <v>T/S 97/3</v>
          </cell>
          <cell r="G1911" t="str">
            <v>POLY/SPANDEX 97/3</v>
          </cell>
          <cell r="H1911" t="str">
            <v>57/58</v>
          </cell>
          <cell r="I1911">
            <v>228</v>
          </cell>
          <cell r="J1911">
            <v>1.69</v>
          </cell>
          <cell r="K1911">
            <v>1.8269863013698631</v>
          </cell>
          <cell r="L1911">
            <v>1.79</v>
          </cell>
          <cell r="M1911">
            <v>1.9269863013698632</v>
          </cell>
          <cell r="N1911">
            <v>1.8900000000000001</v>
          </cell>
          <cell r="O1911">
            <v>2.0269863013698632</v>
          </cell>
          <cell r="P1911"/>
          <cell r="Q1911"/>
          <cell r="R1911">
            <v>1.9900000000000002</v>
          </cell>
          <cell r="S1911">
            <v>2.2269863013698634</v>
          </cell>
          <cell r="T1911"/>
          <cell r="U1911"/>
          <cell r="V1911"/>
          <cell r="W1911"/>
          <cell r="X1911" t="str">
            <v>CANDY</v>
          </cell>
          <cell r="Y1911" t="str">
            <v>CANDY 18-SEP REVISE</v>
          </cell>
          <cell r="Z1911" t="str">
            <v>LEI' MAIL 22/9/17</v>
          </cell>
          <cell r="AA1911"/>
          <cell r="AB1911">
            <v>43004</v>
          </cell>
          <cell r="AC1911">
            <v>0</v>
          </cell>
        </row>
        <row r="1912">
          <cell r="B1912"/>
          <cell r="C1912" t="str">
            <v>HLT012</v>
          </cell>
          <cell r="D1912"/>
          <cell r="E1912"/>
          <cell r="F1912" t="str">
            <v>T/S 95/5</v>
          </cell>
          <cell r="G1912" t="str">
            <v>POLY/SPANDEX 95/5</v>
          </cell>
          <cell r="H1912" t="str">
            <v>57/58</v>
          </cell>
          <cell r="I1912">
            <v>175</v>
          </cell>
          <cell r="J1912">
            <v>1.7</v>
          </cell>
          <cell r="K1912">
            <v>1.8369863013698629</v>
          </cell>
          <cell r="L1912">
            <v>1.8</v>
          </cell>
          <cell r="M1912">
            <v>1.9369863013698629</v>
          </cell>
          <cell r="N1912">
            <v>1.9000000000000001</v>
          </cell>
          <cell r="O1912">
            <v>2.036986301369863</v>
          </cell>
          <cell r="P1912"/>
          <cell r="Q1912"/>
          <cell r="R1912">
            <v>2</v>
          </cell>
          <cell r="S1912">
            <v>2.2369863013698632</v>
          </cell>
          <cell r="T1912"/>
          <cell r="U1912"/>
          <cell r="V1912"/>
          <cell r="W1912"/>
          <cell r="X1912" t="str">
            <v>CANDY</v>
          </cell>
          <cell r="Y1912" t="str">
            <v>CANDY 18-SEP REVISE</v>
          </cell>
          <cell r="Z1912" t="str">
            <v>LEI' MAIL 22/9/17</v>
          </cell>
          <cell r="AA1912"/>
          <cell r="AB1912">
            <v>43004</v>
          </cell>
          <cell r="AC1912">
            <v>0</v>
          </cell>
        </row>
        <row r="1913">
          <cell r="B1913"/>
          <cell r="C1913" t="str">
            <v>KPW-22942</v>
          </cell>
          <cell r="D1913"/>
          <cell r="E1913"/>
          <cell r="F1913" t="str">
            <v>R/N 79/21</v>
          </cell>
          <cell r="G1913" t="str">
            <v>79% RAYON 21% NYLON</v>
          </cell>
          <cell r="H1913" t="str">
            <v>57/58</v>
          </cell>
          <cell r="I1913">
            <v>100</v>
          </cell>
          <cell r="J1913"/>
          <cell r="K1913">
            <v>2</v>
          </cell>
          <cell r="L1913"/>
          <cell r="M1913">
            <v>2</v>
          </cell>
          <cell r="N1913"/>
          <cell r="O1913">
            <v>2.2000000000000002</v>
          </cell>
          <cell r="P1913"/>
          <cell r="Q1913"/>
          <cell r="R1913"/>
          <cell r="S1913">
            <v>2.4200000000000004</v>
          </cell>
          <cell r="T1913"/>
          <cell r="U1913"/>
          <cell r="V1913"/>
          <cell r="W1913"/>
          <cell r="X1913" t="str">
            <v>PANI</v>
          </cell>
          <cell r="Y1913" t="str">
            <v>PANI 23-SEP</v>
          </cell>
          <cell r="Z1913" t="str">
            <v>AMY' MAIL 26/9/17</v>
          </cell>
          <cell r="AA1913"/>
          <cell r="AB1913">
            <v>43004</v>
          </cell>
          <cell r="AC1913">
            <v>0</v>
          </cell>
        </row>
        <row r="1914">
          <cell r="B1914"/>
          <cell r="C1914" t="str">
            <v>HLT007</v>
          </cell>
          <cell r="D1914"/>
          <cell r="E1914"/>
          <cell r="F1914" t="str">
            <v>T/S 97/3</v>
          </cell>
          <cell r="G1914" t="str">
            <v>POLY/SPANDEX 97/3</v>
          </cell>
          <cell r="H1914" t="str">
            <v>58/59</v>
          </cell>
          <cell r="I1914">
            <v>197</v>
          </cell>
          <cell r="J1914">
            <v>1.8780821917808221</v>
          </cell>
          <cell r="K1914">
            <v>2.015068493150685</v>
          </cell>
          <cell r="L1914">
            <v>1.9780821917808222</v>
          </cell>
          <cell r="M1914">
            <v>2.1150684931506851</v>
          </cell>
          <cell r="N1914">
            <v>2.0780821917808221</v>
          </cell>
          <cell r="O1914">
            <v>2.2150684931506852</v>
          </cell>
          <cell r="P1914"/>
          <cell r="Q1914"/>
          <cell r="R1914">
            <v>2.1780821917808222</v>
          </cell>
          <cell r="S1914">
            <v>2.4150684931506854</v>
          </cell>
          <cell r="T1914"/>
          <cell r="U1914"/>
          <cell r="V1914"/>
          <cell r="W1914"/>
          <cell r="X1914" t="str">
            <v>CANDY</v>
          </cell>
          <cell r="Y1914" t="str">
            <v>CANDY 18-SEP REVISE</v>
          </cell>
          <cell r="Z1914" t="str">
            <v>LEI' MAIL 22/9/17</v>
          </cell>
          <cell r="AA1914"/>
          <cell r="AB1914">
            <v>43004</v>
          </cell>
          <cell r="AC1914">
            <v>0</v>
          </cell>
        </row>
        <row r="1915">
          <cell r="B1915"/>
          <cell r="C1915" t="str">
            <v>EM-105179</v>
          </cell>
          <cell r="D1915"/>
          <cell r="E1915"/>
          <cell r="F1915" t="str">
            <v>T/C 80/20</v>
          </cell>
          <cell r="G1915" t="str">
            <v>TC 80/20</v>
          </cell>
          <cell r="H1915" t="str">
            <v>155CM</v>
          </cell>
          <cell r="I1915"/>
          <cell r="J1915"/>
          <cell r="K1915">
            <v>2.5</v>
          </cell>
          <cell r="L1915"/>
          <cell r="M1915">
            <v>2.5</v>
          </cell>
          <cell r="N1915"/>
          <cell r="O1915">
            <v>2.75</v>
          </cell>
          <cell r="P1915"/>
          <cell r="Q1915"/>
          <cell r="R1915"/>
          <cell r="S1915">
            <v>3.0250000000000004</v>
          </cell>
          <cell r="T1915"/>
          <cell r="U1915"/>
          <cell r="V1915"/>
          <cell r="W1915"/>
          <cell r="X1915" t="str">
            <v>PANI</v>
          </cell>
          <cell r="Y1915" t="str">
            <v>PANI 23-SEP</v>
          </cell>
          <cell r="Z1915" t="str">
            <v>AMY' MAIL 26/9/17</v>
          </cell>
          <cell r="AA1915"/>
          <cell r="AB1915">
            <v>43004</v>
          </cell>
          <cell r="AC1915">
            <v>0</v>
          </cell>
        </row>
        <row r="1916">
          <cell r="B1916"/>
          <cell r="C1916" t="str">
            <v>EM-105238</v>
          </cell>
          <cell r="D1916"/>
          <cell r="E1916"/>
          <cell r="F1916" t="str">
            <v>T/C 92/8</v>
          </cell>
          <cell r="G1916" t="str">
            <v>TC 92/8</v>
          </cell>
          <cell r="H1916" t="str">
            <v>57/58</v>
          </cell>
          <cell r="I1916"/>
          <cell r="J1916"/>
          <cell r="K1916">
            <v>2.6</v>
          </cell>
          <cell r="L1916"/>
          <cell r="M1916">
            <v>2.6</v>
          </cell>
          <cell r="N1916"/>
          <cell r="O1916">
            <v>2.8600000000000003</v>
          </cell>
          <cell r="P1916"/>
          <cell r="Q1916"/>
          <cell r="R1916"/>
          <cell r="S1916">
            <v>3.1460000000000008</v>
          </cell>
          <cell r="T1916"/>
          <cell r="U1916"/>
          <cell r="V1916"/>
          <cell r="W1916"/>
          <cell r="X1916" t="str">
            <v>PANI</v>
          </cell>
          <cell r="Y1916" t="str">
            <v>PANI 23-SEP</v>
          </cell>
          <cell r="Z1916" t="str">
            <v>AMY' MAIL 26/9/17</v>
          </cell>
          <cell r="AA1916"/>
          <cell r="AB1916">
            <v>43004</v>
          </cell>
          <cell r="AC1916">
            <v>0</v>
          </cell>
        </row>
        <row r="1917">
          <cell r="B1917"/>
          <cell r="C1917" t="str">
            <v>HLP17009</v>
          </cell>
          <cell r="D1917"/>
          <cell r="E1917"/>
          <cell r="F1917" t="str">
            <v>T/S 92/8</v>
          </cell>
          <cell r="G1917" t="str">
            <v>POLY/SPANDEX 92/8</v>
          </cell>
          <cell r="H1917" t="str">
            <v>150CM</v>
          </cell>
          <cell r="I1917">
            <v>270</v>
          </cell>
          <cell r="J1917">
            <v>2.6921722113502939</v>
          </cell>
          <cell r="K1917">
            <v>2.6099804305283758</v>
          </cell>
          <cell r="L1917">
            <v>2.792172211350294</v>
          </cell>
          <cell r="M1917">
            <v>2.7099804305283759</v>
          </cell>
          <cell r="N1917">
            <v>2.8921722113502941</v>
          </cell>
          <cell r="O1917">
            <v>2.9099804305283761</v>
          </cell>
          <cell r="P1917"/>
          <cell r="Q1917"/>
          <cell r="R1917">
            <v>2.9921722113502942</v>
          </cell>
          <cell r="S1917">
            <v>3.1099804305283762</v>
          </cell>
          <cell r="T1917"/>
          <cell r="U1917"/>
          <cell r="V1917">
            <v>15</v>
          </cell>
          <cell r="W1917"/>
          <cell r="X1917" t="str">
            <v>CANDY</v>
          </cell>
          <cell r="Y1917" t="str">
            <v>CANDY 18-SEP REVISE</v>
          </cell>
          <cell r="Z1917" t="str">
            <v>LEI' MAIL 22/9/17</v>
          </cell>
          <cell r="AA1917"/>
          <cell r="AB1917">
            <v>43004</v>
          </cell>
          <cell r="AC1917">
            <v>0</v>
          </cell>
        </row>
        <row r="1918">
          <cell r="B1918"/>
          <cell r="C1918" t="str">
            <v>SH1463</v>
          </cell>
          <cell r="D1918"/>
          <cell r="E1918"/>
          <cell r="F1918" t="str">
            <v>T/C 90/10</v>
          </cell>
          <cell r="G1918" t="str">
            <v>T/C 90/10</v>
          </cell>
          <cell r="H1918">
            <v>145</v>
          </cell>
          <cell r="I1918">
            <v>120</v>
          </cell>
          <cell r="J1918"/>
          <cell r="K1918">
            <v>2.85</v>
          </cell>
          <cell r="L1918"/>
          <cell r="M1918">
            <v>2.85</v>
          </cell>
          <cell r="N1918"/>
          <cell r="O1918">
            <v>3.1350000000000002</v>
          </cell>
          <cell r="P1918"/>
          <cell r="Q1918"/>
          <cell r="R1918"/>
          <cell r="S1918">
            <v>3.4485000000000006</v>
          </cell>
          <cell r="T1918"/>
          <cell r="U1918"/>
          <cell r="V1918"/>
          <cell r="W1918"/>
          <cell r="X1918" t="str">
            <v>PANI</v>
          </cell>
          <cell r="Y1918" t="str">
            <v>PANI 23-SEP</v>
          </cell>
          <cell r="Z1918" t="str">
            <v>AMY' MAIL 26/9/17</v>
          </cell>
          <cell r="AA1918"/>
          <cell r="AB1918">
            <v>43004</v>
          </cell>
          <cell r="AC1918">
            <v>0</v>
          </cell>
        </row>
        <row r="1919">
          <cell r="B1919"/>
          <cell r="C1919" t="str">
            <v>EM-105063</v>
          </cell>
          <cell r="D1919"/>
          <cell r="E1919"/>
          <cell r="F1919"/>
          <cell r="G1919"/>
          <cell r="H1919" t="str">
            <v>148CM</v>
          </cell>
          <cell r="I1919"/>
          <cell r="J1919"/>
          <cell r="K1919">
            <v>3</v>
          </cell>
          <cell r="L1919"/>
          <cell r="M1919">
            <v>3</v>
          </cell>
          <cell r="N1919"/>
          <cell r="O1919">
            <v>3.3000000000000003</v>
          </cell>
          <cell r="P1919"/>
          <cell r="Q1919"/>
          <cell r="R1919"/>
          <cell r="S1919">
            <v>3.6300000000000008</v>
          </cell>
          <cell r="T1919"/>
          <cell r="U1919"/>
          <cell r="V1919"/>
          <cell r="W1919"/>
          <cell r="X1919" t="str">
            <v>PANI</v>
          </cell>
          <cell r="Y1919" t="str">
            <v>PANI 23-SEP</v>
          </cell>
          <cell r="Z1919" t="str">
            <v>AMY' MAIL 26/9/17</v>
          </cell>
          <cell r="AA1919"/>
          <cell r="AB1919">
            <v>43004</v>
          </cell>
          <cell r="AC1919">
            <v>0</v>
          </cell>
        </row>
        <row r="1920">
          <cell r="B1920"/>
          <cell r="C1920" t="str">
            <v>EM-105171</v>
          </cell>
          <cell r="D1920"/>
          <cell r="E1920"/>
          <cell r="F1920" t="str">
            <v>T/C 80/20</v>
          </cell>
          <cell r="G1920" t="str">
            <v>T/C 80/20</v>
          </cell>
          <cell r="H1920" t="str">
            <v>146CM</v>
          </cell>
          <cell r="I1920"/>
          <cell r="J1920"/>
          <cell r="K1920">
            <v>3.2</v>
          </cell>
          <cell r="L1920"/>
          <cell r="M1920">
            <v>3.2</v>
          </cell>
          <cell r="N1920"/>
          <cell r="O1920">
            <v>3.5200000000000005</v>
          </cell>
          <cell r="P1920"/>
          <cell r="Q1920"/>
          <cell r="R1920"/>
          <cell r="S1920">
            <v>3.8720000000000008</v>
          </cell>
          <cell r="T1920"/>
          <cell r="U1920"/>
          <cell r="V1920"/>
          <cell r="W1920"/>
          <cell r="X1920" t="str">
            <v>PANI</v>
          </cell>
          <cell r="Y1920" t="str">
            <v>PANI 23-SEP</v>
          </cell>
          <cell r="Z1920" t="str">
            <v>AMY' MAIL 26/9/17</v>
          </cell>
          <cell r="AA1920"/>
          <cell r="AB1920">
            <v>43004</v>
          </cell>
          <cell r="AC1920">
            <v>0</v>
          </cell>
        </row>
        <row r="1921">
          <cell r="B1921"/>
          <cell r="C1921" t="str">
            <v>EM-105317</v>
          </cell>
          <cell r="D1921"/>
          <cell r="E1921"/>
          <cell r="F1921" t="str">
            <v>T/C</v>
          </cell>
          <cell r="G1921" t="str">
            <v>TC</v>
          </cell>
          <cell r="H1921" t="str">
            <v>148CM</v>
          </cell>
          <cell r="I1921"/>
          <cell r="J1921"/>
          <cell r="K1921">
            <v>3.2</v>
          </cell>
          <cell r="L1921"/>
          <cell r="M1921">
            <v>3.2</v>
          </cell>
          <cell r="N1921"/>
          <cell r="O1921">
            <v>3.5200000000000005</v>
          </cell>
          <cell r="P1921"/>
          <cell r="Q1921"/>
          <cell r="R1921"/>
          <cell r="S1921">
            <v>3.8720000000000008</v>
          </cell>
          <cell r="T1921"/>
          <cell r="U1921"/>
          <cell r="V1921"/>
          <cell r="W1921"/>
          <cell r="X1921" t="str">
            <v>PANI</v>
          </cell>
          <cell r="Y1921" t="str">
            <v>PANI 23-SEP</v>
          </cell>
          <cell r="Z1921" t="str">
            <v>AMY' MAIL 26/9/17</v>
          </cell>
          <cell r="AA1921"/>
          <cell r="AB1921">
            <v>43004</v>
          </cell>
          <cell r="AC1921">
            <v>0</v>
          </cell>
        </row>
        <row r="1922">
          <cell r="B1922"/>
          <cell r="C1922" t="str">
            <v>SH1596</v>
          </cell>
          <cell r="D1922"/>
          <cell r="E1922"/>
          <cell r="F1922" t="str">
            <v>C100% -BASE T100% -FACE</v>
          </cell>
          <cell r="G1922" t="str">
            <v>BASE 100% COTTON FACE 100% POLY</v>
          </cell>
          <cell r="H1922" t="str">
            <v>57/58</v>
          </cell>
          <cell r="I1922"/>
          <cell r="J1922"/>
          <cell r="K1922">
            <v>3.6</v>
          </cell>
          <cell r="L1922"/>
          <cell r="M1922">
            <v>3.6</v>
          </cell>
          <cell r="N1922"/>
          <cell r="O1922">
            <v>3.9600000000000004</v>
          </cell>
          <cell r="P1922"/>
          <cell r="Q1922"/>
          <cell r="R1922"/>
          <cell r="S1922">
            <v>4.3560000000000008</v>
          </cell>
          <cell r="T1922"/>
          <cell r="U1922"/>
          <cell r="V1922"/>
          <cell r="W1922"/>
          <cell r="X1922" t="str">
            <v>PANI</v>
          </cell>
          <cell r="Y1922" t="str">
            <v>PANI 23-SEP</v>
          </cell>
          <cell r="Z1922" t="str">
            <v>AMY' MAIL 26/9/17</v>
          </cell>
          <cell r="AA1922"/>
          <cell r="AB1922">
            <v>43004</v>
          </cell>
          <cell r="AC1922">
            <v>0</v>
          </cell>
        </row>
        <row r="1923">
          <cell r="B1923"/>
          <cell r="C1923" t="str">
            <v>SH1088</v>
          </cell>
          <cell r="D1923"/>
          <cell r="E1923"/>
          <cell r="F1923" t="str">
            <v>T/C</v>
          </cell>
          <cell r="G1923" t="str">
            <v>TC</v>
          </cell>
          <cell r="H1923" t="str">
            <v>130CM</v>
          </cell>
          <cell r="I1923"/>
          <cell r="J1923"/>
          <cell r="K1923">
            <v>3.9</v>
          </cell>
          <cell r="L1923"/>
          <cell r="M1923">
            <v>3.9</v>
          </cell>
          <cell r="N1923"/>
          <cell r="O1923">
            <v>4.29</v>
          </cell>
          <cell r="P1923"/>
          <cell r="Q1923"/>
          <cell r="R1923"/>
          <cell r="S1923">
            <v>4.7190000000000003</v>
          </cell>
          <cell r="T1923"/>
          <cell r="U1923"/>
          <cell r="V1923"/>
          <cell r="W1923"/>
          <cell r="X1923" t="str">
            <v>PANI</v>
          </cell>
          <cell r="Y1923" t="str">
            <v>PANI 23-SEP</v>
          </cell>
          <cell r="Z1923" t="str">
            <v>AMY' MAIL 26/9/17</v>
          </cell>
          <cell r="AA1923"/>
          <cell r="AB1923">
            <v>43004</v>
          </cell>
          <cell r="AC1923">
            <v>0</v>
          </cell>
        </row>
        <row r="1924">
          <cell r="B1924"/>
          <cell r="C1924" t="str">
            <v>EM-105287</v>
          </cell>
          <cell r="D1924"/>
          <cell r="E1924"/>
          <cell r="F1924" t="str">
            <v>C/T</v>
          </cell>
          <cell r="G1924" t="str">
            <v>COTTON/POLY</v>
          </cell>
          <cell r="H1924" t="str">
            <v>148CM</v>
          </cell>
          <cell r="I1924"/>
          <cell r="J1924"/>
          <cell r="K1924">
            <v>4.5</v>
          </cell>
          <cell r="L1924"/>
          <cell r="M1924">
            <v>4.5</v>
          </cell>
          <cell r="N1924"/>
          <cell r="O1924">
            <v>4.95</v>
          </cell>
          <cell r="P1924"/>
          <cell r="Q1924"/>
          <cell r="R1924"/>
          <cell r="S1924">
            <v>5.4450000000000003</v>
          </cell>
          <cell r="T1924"/>
          <cell r="U1924"/>
          <cell r="V1924"/>
          <cell r="W1924"/>
          <cell r="X1924" t="str">
            <v>PANI</v>
          </cell>
          <cell r="Y1924" t="str">
            <v>PANI 23-SEP</v>
          </cell>
          <cell r="Z1924" t="str">
            <v>AMY' MAIL 26/9/17</v>
          </cell>
          <cell r="AA1924"/>
          <cell r="AB1924">
            <v>43004</v>
          </cell>
          <cell r="AC1924">
            <v>0</v>
          </cell>
        </row>
        <row r="1925">
          <cell r="B1925"/>
          <cell r="C1925" t="str">
            <v>EM-105292</v>
          </cell>
          <cell r="D1925"/>
          <cell r="E1925"/>
          <cell r="F1925" t="str">
            <v>T/C</v>
          </cell>
          <cell r="G1925" t="str">
            <v>POLY/COTTON</v>
          </cell>
          <cell r="H1925" t="str">
            <v>146CM</v>
          </cell>
          <cell r="I1925"/>
          <cell r="J1925"/>
          <cell r="K1925">
            <v>5.85</v>
          </cell>
          <cell r="L1925"/>
          <cell r="M1925">
            <v>5.85</v>
          </cell>
          <cell r="N1925"/>
          <cell r="O1925">
            <v>6.4350000000000005</v>
          </cell>
          <cell r="P1925"/>
          <cell r="Q1925"/>
          <cell r="R1925"/>
          <cell r="S1925">
            <v>7.0785000000000009</v>
          </cell>
          <cell r="T1925"/>
          <cell r="U1925"/>
          <cell r="V1925"/>
          <cell r="W1925"/>
          <cell r="X1925" t="str">
            <v>PANI</v>
          </cell>
          <cell r="Y1925" t="str">
            <v>PANI 23-SEP</v>
          </cell>
          <cell r="Z1925" t="str">
            <v>AMY' MAIL 26/9/17</v>
          </cell>
          <cell r="AA1925"/>
          <cell r="AB1925">
            <v>43004</v>
          </cell>
          <cell r="AC1925">
            <v>0</v>
          </cell>
        </row>
        <row r="1926">
          <cell r="B1926"/>
          <cell r="C1926" t="str">
            <v>EM-105284</v>
          </cell>
          <cell r="D1926"/>
          <cell r="E1926"/>
          <cell r="F1926" t="str">
            <v>T/S 90/10</v>
          </cell>
          <cell r="G1926" t="str">
            <v>T/S 90/10</v>
          </cell>
          <cell r="H1926" t="str">
            <v>146CM</v>
          </cell>
          <cell r="I1926"/>
          <cell r="J1926"/>
          <cell r="K1926">
            <v>6.5</v>
          </cell>
          <cell r="L1926"/>
          <cell r="M1926">
            <v>6.5</v>
          </cell>
          <cell r="N1926"/>
          <cell r="O1926">
            <v>7.15</v>
          </cell>
          <cell r="P1926"/>
          <cell r="Q1926"/>
          <cell r="R1926"/>
          <cell r="S1926">
            <v>7.8650000000000011</v>
          </cell>
          <cell r="T1926"/>
          <cell r="U1926"/>
          <cell r="V1926"/>
          <cell r="W1926"/>
          <cell r="X1926" t="str">
            <v>PANI</v>
          </cell>
          <cell r="Y1926" t="str">
            <v>PANI 23-SEP</v>
          </cell>
          <cell r="Z1926" t="str">
            <v>AMY' MAIL 26/9/17</v>
          </cell>
          <cell r="AA1926"/>
          <cell r="AB1926">
            <v>43004</v>
          </cell>
          <cell r="AC1926">
            <v>0</v>
          </cell>
        </row>
        <row r="1927">
          <cell r="B1927"/>
          <cell r="C1927" t="str">
            <v>WW-22728</v>
          </cell>
          <cell r="D1927"/>
          <cell r="E1927"/>
          <cell r="F1927" t="str">
            <v>T/C 65/35</v>
          </cell>
          <cell r="G1927" t="str">
            <v>TC 65/35</v>
          </cell>
          <cell r="H1927" t="str">
            <v>57/58</v>
          </cell>
          <cell r="I1927">
            <v>108</v>
          </cell>
          <cell r="J1927">
            <v>1.6</v>
          </cell>
          <cell r="K1927"/>
          <cell r="L1927">
            <v>1.6</v>
          </cell>
          <cell r="M1927"/>
          <cell r="N1927">
            <v>1.7000000000000002</v>
          </cell>
          <cell r="O1927"/>
          <cell r="P1927"/>
          <cell r="Q1927"/>
          <cell r="R1927">
            <v>1.8700000000000003</v>
          </cell>
          <cell r="S1927"/>
          <cell r="T1927"/>
          <cell r="U1927"/>
          <cell r="V1927"/>
          <cell r="W1927"/>
          <cell r="X1927" t="str">
            <v>PANI</v>
          </cell>
          <cell r="Y1927" t="str">
            <v>PANI 23-SEP</v>
          </cell>
          <cell r="Z1927" t="str">
            <v>AMY' MAIL 26/9/17</v>
          </cell>
          <cell r="AA1927"/>
          <cell r="AB1927">
            <v>43004</v>
          </cell>
          <cell r="AC1927">
            <v>0</v>
          </cell>
        </row>
        <row r="1928">
          <cell r="B1928"/>
          <cell r="C1928" t="str">
            <v>WJ-1852</v>
          </cell>
          <cell r="D1928"/>
          <cell r="E1928"/>
          <cell r="F1928" t="str">
            <v>C100%</v>
          </cell>
          <cell r="G1928" t="str">
            <v>100% COTTON</v>
          </cell>
          <cell r="H1928" t="str">
            <v>146CM</v>
          </cell>
          <cell r="I1928">
            <v>80</v>
          </cell>
          <cell r="J1928">
            <v>2</v>
          </cell>
          <cell r="K1928"/>
          <cell r="L1928">
            <v>2</v>
          </cell>
          <cell r="M1928"/>
          <cell r="N1928">
            <v>2.1</v>
          </cell>
          <cell r="O1928"/>
          <cell r="P1928"/>
          <cell r="Q1928"/>
          <cell r="R1928">
            <v>2.3100000000000005</v>
          </cell>
          <cell r="S1928"/>
          <cell r="T1928"/>
          <cell r="U1928"/>
          <cell r="V1928"/>
          <cell r="W1928"/>
          <cell r="X1928" t="str">
            <v>PANI</v>
          </cell>
          <cell r="Y1928" t="str">
            <v>PANI 23-SEP</v>
          </cell>
          <cell r="Z1928" t="str">
            <v>AMY' MAIL 26/9/17</v>
          </cell>
          <cell r="AA1928"/>
          <cell r="AB1928">
            <v>43004</v>
          </cell>
          <cell r="AC1928">
            <v>0</v>
          </cell>
        </row>
        <row r="1929">
          <cell r="B1929"/>
          <cell r="C1929" t="str">
            <v>WJ-1862</v>
          </cell>
          <cell r="D1929"/>
          <cell r="E1929"/>
          <cell r="F1929" t="str">
            <v>C100%</v>
          </cell>
          <cell r="G1929" t="str">
            <v>100% COTTON</v>
          </cell>
          <cell r="H1929" t="str">
            <v>136CM</v>
          </cell>
          <cell r="I1929">
            <v>90</v>
          </cell>
          <cell r="J1929">
            <v>2.1</v>
          </cell>
          <cell r="K1929"/>
          <cell r="L1929">
            <v>2.1</v>
          </cell>
          <cell r="M1929"/>
          <cell r="N1929">
            <v>2.2000000000000002</v>
          </cell>
          <cell r="O1929"/>
          <cell r="P1929"/>
          <cell r="Q1929"/>
          <cell r="R1929">
            <v>2.4200000000000004</v>
          </cell>
          <cell r="S1929"/>
          <cell r="T1929"/>
          <cell r="U1929"/>
          <cell r="V1929"/>
          <cell r="W1929"/>
          <cell r="X1929" t="str">
            <v>PANI</v>
          </cell>
          <cell r="Y1929" t="str">
            <v>PANI 23-SEP</v>
          </cell>
          <cell r="Z1929" t="str">
            <v>AMY' MAIL 26/9/17</v>
          </cell>
          <cell r="AA1929"/>
          <cell r="AB1929">
            <v>43004</v>
          </cell>
          <cell r="AC1929">
            <v>0</v>
          </cell>
        </row>
        <row r="1930">
          <cell r="B1930"/>
          <cell r="C1930" t="str">
            <v>WW-23285</v>
          </cell>
          <cell r="D1930"/>
          <cell r="E1930"/>
          <cell r="F1930" t="str">
            <v>T/C 95/5</v>
          </cell>
          <cell r="G1930" t="str">
            <v>TC 95/5</v>
          </cell>
          <cell r="H1930" t="str">
            <v>55/56</v>
          </cell>
          <cell r="I1930">
            <v>90</v>
          </cell>
          <cell r="J1930">
            <v>1.05</v>
          </cell>
          <cell r="K1930"/>
          <cell r="L1930">
            <v>1.05</v>
          </cell>
          <cell r="M1930"/>
          <cell r="N1930">
            <v>1.1500000000000001</v>
          </cell>
          <cell r="O1930"/>
          <cell r="P1930"/>
          <cell r="Q1930"/>
          <cell r="R1930">
            <v>1.2650000000000003</v>
          </cell>
          <cell r="S1930"/>
          <cell r="T1930"/>
          <cell r="U1930"/>
          <cell r="V1930"/>
          <cell r="W1930"/>
          <cell r="X1930" t="str">
            <v>PANI</v>
          </cell>
          <cell r="Y1930" t="str">
            <v>PANI 23-SEP</v>
          </cell>
          <cell r="Z1930" t="str">
            <v>AMY' MAIL 26/9/17</v>
          </cell>
          <cell r="AA1930"/>
          <cell r="AB1930">
            <v>43004</v>
          </cell>
          <cell r="AC1930">
            <v>0</v>
          </cell>
        </row>
        <row r="1931">
          <cell r="B1931"/>
          <cell r="C1931" t="str">
            <v>WW-23547</v>
          </cell>
          <cell r="D1931"/>
          <cell r="E1931"/>
          <cell r="F1931" t="str">
            <v>T100%</v>
          </cell>
          <cell r="G1931" t="str">
            <v>100% POLY</v>
          </cell>
          <cell r="H1931" t="str">
            <v>57/58</v>
          </cell>
          <cell r="I1931">
            <v>100</v>
          </cell>
          <cell r="J1931">
            <v>1.05</v>
          </cell>
          <cell r="K1931"/>
          <cell r="L1931">
            <v>1.05</v>
          </cell>
          <cell r="M1931"/>
          <cell r="N1931">
            <v>1.1500000000000001</v>
          </cell>
          <cell r="O1931"/>
          <cell r="P1931"/>
          <cell r="Q1931"/>
          <cell r="R1931">
            <v>1.2650000000000003</v>
          </cell>
          <cell r="S1931"/>
          <cell r="T1931"/>
          <cell r="U1931"/>
          <cell r="V1931"/>
          <cell r="W1931"/>
          <cell r="X1931" t="str">
            <v>PANI</v>
          </cell>
          <cell r="Y1931" t="str">
            <v>PANI 23-SEP</v>
          </cell>
          <cell r="Z1931" t="str">
            <v>AMY' MAIL 26/9/17</v>
          </cell>
          <cell r="AA1931"/>
          <cell r="AB1931">
            <v>43004</v>
          </cell>
          <cell r="AC1931">
            <v>0</v>
          </cell>
        </row>
        <row r="1932">
          <cell r="B1932"/>
          <cell r="C1932" t="str">
            <v>WW-23549</v>
          </cell>
          <cell r="D1932"/>
          <cell r="E1932"/>
          <cell r="F1932" t="str">
            <v>T 100%</v>
          </cell>
          <cell r="G1932" t="str">
            <v>100% POLY</v>
          </cell>
          <cell r="H1932" t="str">
            <v>57/58</v>
          </cell>
          <cell r="I1932">
            <v>100</v>
          </cell>
          <cell r="J1932">
            <v>1.05</v>
          </cell>
          <cell r="K1932"/>
          <cell r="L1932">
            <v>1.05</v>
          </cell>
          <cell r="M1932"/>
          <cell r="N1932">
            <v>1.1500000000000001</v>
          </cell>
          <cell r="O1932"/>
          <cell r="P1932"/>
          <cell r="Q1932"/>
          <cell r="R1932">
            <v>1.2650000000000003</v>
          </cell>
          <cell r="S1932"/>
          <cell r="T1932"/>
          <cell r="U1932"/>
          <cell r="V1932"/>
          <cell r="W1932"/>
          <cell r="X1932" t="str">
            <v>PANI</v>
          </cell>
          <cell r="Y1932" t="str">
            <v>PANI 23-SEP</v>
          </cell>
          <cell r="Z1932" t="str">
            <v>AMY' MAIL 26/9/17</v>
          </cell>
          <cell r="AA1932"/>
          <cell r="AB1932">
            <v>43004</v>
          </cell>
          <cell r="AC1932">
            <v>0</v>
          </cell>
        </row>
        <row r="1933">
          <cell r="B1933"/>
          <cell r="C1933" t="str">
            <v>WW-23275</v>
          </cell>
          <cell r="D1933"/>
          <cell r="E1933"/>
          <cell r="F1933" t="str">
            <v>T/C 95/5</v>
          </cell>
          <cell r="G1933" t="str">
            <v>T/C 95/5</v>
          </cell>
          <cell r="H1933" t="str">
            <v>57/58</v>
          </cell>
          <cell r="I1933">
            <v>88</v>
          </cell>
          <cell r="J1933">
            <v>1.2</v>
          </cell>
          <cell r="K1933"/>
          <cell r="L1933">
            <v>1.2</v>
          </cell>
          <cell r="M1933"/>
          <cell r="N1933">
            <v>1.3</v>
          </cell>
          <cell r="O1933"/>
          <cell r="P1933"/>
          <cell r="Q1933"/>
          <cell r="R1933">
            <v>1.4300000000000002</v>
          </cell>
          <cell r="S1933"/>
          <cell r="T1933"/>
          <cell r="U1933"/>
          <cell r="V1933"/>
          <cell r="W1933"/>
          <cell r="X1933" t="str">
            <v>PANI</v>
          </cell>
          <cell r="Y1933" t="str">
            <v>PANI 23-SEP</v>
          </cell>
          <cell r="Z1933" t="str">
            <v>AMY' MAIL 26/9/17</v>
          </cell>
          <cell r="AA1933"/>
          <cell r="AB1933">
            <v>43004</v>
          </cell>
          <cell r="AC1933">
            <v>0</v>
          </cell>
        </row>
        <row r="1934">
          <cell r="B1934"/>
          <cell r="C1934" t="str">
            <v>WW-23277</v>
          </cell>
          <cell r="D1934"/>
          <cell r="E1934"/>
          <cell r="F1934" t="str">
            <v>T/C 95/5</v>
          </cell>
          <cell r="G1934" t="str">
            <v>T/C 95/5</v>
          </cell>
          <cell r="H1934" t="str">
            <v>57/58</v>
          </cell>
          <cell r="I1934">
            <v>85</v>
          </cell>
          <cell r="J1934">
            <v>1.2</v>
          </cell>
          <cell r="K1934"/>
          <cell r="L1934">
            <v>1.2</v>
          </cell>
          <cell r="M1934"/>
          <cell r="N1934">
            <v>1.3</v>
          </cell>
          <cell r="O1934"/>
          <cell r="P1934"/>
          <cell r="Q1934"/>
          <cell r="R1934">
            <v>1.4300000000000002</v>
          </cell>
          <cell r="S1934"/>
          <cell r="T1934"/>
          <cell r="U1934"/>
          <cell r="V1934"/>
          <cell r="W1934"/>
          <cell r="X1934" t="str">
            <v>PANI</v>
          </cell>
          <cell r="Y1934" t="str">
            <v>PANI 23-SEP</v>
          </cell>
          <cell r="Z1934" t="str">
            <v>AMY' MAIL 26/9/17</v>
          </cell>
          <cell r="AA1934"/>
          <cell r="AB1934">
            <v>43004</v>
          </cell>
          <cell r="AC1934">
            <v>0</v>
          </cell>
        </row>
        <row r="1935">
          <cell r="B1935"/>
          <cell r="C1935" t="str">
            <v>WW-23422</v>
          </cell>
          <cell r="D1935"/>
          <cell r="E1935"/>
          <cell r="F1935" t="str">
            <v>T/C 90/10</v>
          </cell>
          <cell r="G1935" t="str">
            <v>TC 90/10</v>
          </cell>
          <cell r="H1935" t="str">
            <v>57/58</v>
          </cell>
          <cell r="I1935" t="str">
            <v>85-90</v>
          </cell>
          <cell r="J1935">
            <v>1.2</v>
          </cell>
          <cell r="K1935"/>
          <cell r="L1935">
            <v>1.2</v>
          </cell>
          <cell r="M1935"/>
          <cell r="N1935">
            <v>1.3</v>
          </cell>
          <cell r="O1935"/>
          <cell r="P1935"/>
          <cell r="Q1935"/>
          <cell r="R1935">
            <v>1.4300000000000002</v>
          </cell>
          <cell r="S1935"/>
          <cell r="T1935"/>
          <cell r="U1935"/>
          <cell r="V1935"/>
          <cell r="W1935"/>
          <cell r="X1935" t="str">
            <v>PANI</v>
          </cell>
          <cell r="Y1935" t="str">
            <v>PANI 23-SEP</v>
          </cell>
          <cell r="Z1935" t="str">
            <v>AMY' MAIL 26/9/17</v>
          </cell>
          <cell r="AA1935"/>
          <cell r="AB1935">
            <v>43004</v>
          </cell>
          <cell r="AC1935">
            <v>0</v>
          </cell>
        </row>
        <row r="1936">
          <cell r="B1936"/>
          <cell r="C1936" t="str">
            <v>WW-21905</v>
          </cell>
          <cell r="D1936"/>
          <cell r="E1936"/>
          <cell r="F1936" t="str">
            <v>T100%</v>
          </cell>
          <cell r="G1936" t="str">
            <v>100% POLY</v>
          </cell>
          <cell r="H1936" t="str">
            <v>57/58</v>
          </cell>
          <cell r="I1936">
            <v>125</v>
          </cell>
          <cell r="J1936">
            <v>1.25</v>
          </cell>
          <cell r="K1936"/>
          <cell r="L1936">
            <v>1.25</v>
          </cell>
          <cell r="M1936"/>
          <cell r="N1936">
            <v>1.35</v>
          </cell>
          <cell r="O1936"/>
          <cell r="P1936"/>
          <cell r="Q1936"/>
          <cell r="R1936">
            <v>1.4850000000000003</v>
          </cell>
          <cell r="S1936"/>
          <cell r="T1936"/>
          <cell r="U1936"/>
          <cell r="V1936"/>
          <cell r="W1936"/>
          <cell r="X1936" t="str">
            <v>PANI</v>
          </cell>
          <cell r="Y1936" t="str">
            <v>PANI 23-SEP</v>
          </cell>
          <cell r="Z1936" t="str">
            <v>AMY' MAIL 26/9/17</v>
          </cell>
          <cell r="AA1936"/>
          <cell r="AB1936">
            <v>43004</v>
          </cell>
          <cell r="AC1936">
            <v>0</v>
          </cell>
        </row>
        <row r="1937">
          <cell r="B1937"/>
          <cell r="C1937" t="str">
            <v>WW-21181</v>
          </cell>
          <cell r="D1937"/>
          <cell r="E1937"/>
          <cell r="F1937" t="str">
            <v>T100%</v>
          </cell>
          <cell r="G1937" t="str">
            <v>100% POLY</v>
          </cell>
          <cell r="H1937" t="str">
            <v>57/58</v>
          </cell>
          <cell r="I1937">
            <v>88</v>
          </cell>
          <cell r="J1937">
            <v>1.3</v>
          </cell>
          <cell r="K1937"/>
          <cell r="L1937">
            <v>1.3</v>
          </cell>
          <cell r="M1937"/>
          <cell r="N1937">
            <v>1.4000000000000001</v>
          </cell>
          <cell r="O1937"/>
          <cell r="P1937"/>
          <cell r="Q1937"/>
          <cell r="R1937">
            <v>1.5400000000000003</v>
          </cell>
          <cell r="S1937"/>
          <cell r="T1937"/>
          <cell r="U1937"/>
          <cell r="V1937"/>
          <cell r="W1937"/>
          <cell r="X1937" t="str">
            <v>PANI</v>
          </cell>
          <cell r="Y1937" t="str">
            <v>PANI 23-SEP</v>
          </cell>
          <cell r="Z1937" t="str">
            <v>AMY' MAIL 26/9/17</v>
          </cell>
          <cell r="AA1937"/>
          <cell r="AB1937">
            <v>43004</v>
          </cell>
          <cell r="AC1937">
            <v>0</v>
          </cell>
        </row>
        <row r="1938">
          <cell r="B1938"/>
          <cell r="C1938" t="str">
            <v>WW-22122-1</v>
          </cell>
          <cell r="D1938"/>
          <cell r="E1938"/>
          <cell r="F1938" t="str">
            <v>T100%</v>
          </cell>
          <cell r="G1938" t="str">
            <v>100% POLY</v>
          </cell>
          <cell r="H1938" t="str">
            <v>57/58</v>
          </cell>
          <cell r="I1938">
            <v>125</v>
          </cell>
          <cell r="J1938">
            <v>1.35</v>
          </cell>
          <cell r="K1938"/>
          <cell r="L1938">
            <v>1.35</v>
          </cell>
          <cell r="M1938"/>
          <cell r="N1938">
            <v>1.4500000000000002</v>
          </cell>
          <cell r="O1938"/>
          <cell r="P1938"/>
          <cell r="Q1938"/>
          <cell r="R1938">
            <v>1.5950000000000004</v>
          </cell>
          <cell r="S1938"/>
          <cell r="T1938"/>
          <cell r="U1938"/>
          <cell r="V1938"/>
          <cell r="W1938"/>
          <cell r="X1938" t="str">
            <v>PANI</v>
          </cell>
          <cell r="Y1938" t="str">
            <v>PANI 23-SEP</v>
          </cell>
          <cell r="Z1938" t="str">
            <v>AMY' MAIL 26/9/17</v>
          </cell>
          <cell r="AA1938"/>
          <cell r="AB1938">
            <v>43004</v>
          </cell>
          <cell r="AC1938">
            <v>0</v>
          </cell>
        </row>
        <row r="1939">
          <cell r="B1939"/>
          <cell r="C1939" t="str">
            <v>WW-21666-1</v>
          </cell>
          <cell r="D1939"/>
          <cell r="E1939"/>
          <cell r="F1939" t="str">
            <v>T/S 95/5</v>
          </cell>
          <cell r="G1939" t="str">
            <v>T/S 95/5</v>
          </cell>
          <cell r="H1939" t="str">
            <v>57/58</v>
          </cell>
          <cell r="I1939">
            <v>125</v>
          </cell>
          <cell r="J1939">
            <v>1.6</v>
          </cell>
          <cell r="K1939"/>
          <cell r="L1939">
            <v>1.6</v>
          </cell>
          <cell r="M1939"/>
          <cell r="N1939">
            <v>1.7000000000000002</v>
          </cell>
          <cell r="O1939"/>
          <cell r="P1939"/>
          <cell r="Q1939"/>
          <cell r="R1939">
            <v>1.8700000000000003</v>
          </cell>
          <cell r="S1939"/>
          <cell r="T1939"/>
          <cell r="U1939"/>
          <cell r="V1939"/>
          <cell r="W1939"/>
          <cell r="X1939" t="str">
            <v>PANI</v>
          </cell>
          <cell r="Y1939" t="str">
            <v>PANI 23-SEP</v>
          </cell>
          <cell r="Z1939" t="str">
            <v>AMY' MAIL 26/9/17</v>
          </cell>
          <cell r="AA1939"/>
          <cell r="AB1939">
            <v>43004</v>
          </cell>
          <cell r="AC1939">
            <v>0</v>
          </cell>
        </row>
        <row r="1940">
          <cell r="B1940"/>
          <cell r="C1940" t="str">
            <v>WW-20879</v>
          </cell>
          <cell r="D1940"/>
          <cell r="E1940"/>
          <cell r="F1940" t="str">
            <v>T100%</v>
          </cell>
          <cell r="G1940" t="str">
            <v>100% POLY</v>
          </cell>
          <cell r="H1940" t="str">
            <v>57/58</v>
          </cell>
          <cell r="I1940">
            <v>105</v>
          </cell>
          <cell r="J1940">
            <v>1.45</v>
          </cell>
          <cell r="K1940"/>
          <cell r="L1940">
            <v>1.45</v>
          </cell>
          <cell r="M1940"/>
          <cell r="N1940">
            <v>1.55</v>
          </cell>
          <cell r="O1940"/>
          <cell r="P1940"/>
          <cell r="Q1940"/>
          <cell r="R1940">
            <v>1.7050000000000003</v>
          </cell>
          <cell r="S1940"/>
          <cell r="T1940"/>
          <cell r="U1940"/>
          <cell r="V1940"/>
          <cell r="W1940"/>
          <cell r="X1940" t="str">
            <v>PANI</v>
          </cell>
          <cell r="Y1940" t="str">
            <v>PANI 23-SEP</v>
          </cell>
          <cell r="Z1940" t="str">
            <v>AMY' MAIL 26/9/17</v>
          </cell>
          <cell r="AA1940"/>
          <cell r="AB1940">
            <v>43004</v>
          </cell>
          <cell r="AC1940">
            <v>0</v>
          </cell>
        </row>
        <row r="1941">
          <cell r="B1941"/>
          <cell r="C1941" t="str">
            <v>WW-23171</v>
          </cell>
          <cell r="D1941"/>
          <cell r="E1941"/>
          <cell r="F1941" t="str">
            <v>T100%</v>
          </cell>
          <cell r="G1941" t="str">
            <v>100% POLY</v>
          </cell>
          <cell r="H1941" t="str">
            <v>57/58</v>
          </cell>
          <cell r="I1941">
            <v>135</v>
          </cell>
          <cell r="J1941">
            <v>1.5</v>
          </cell>
          <cell r="K1941"/>
          <cell r="L1941">
            <v>1.5</v>
          </cell>
          <cell r="M1941"/>
          <cell r="N1941">
            <v>1.6</v>
          </cell>
          <cell r="O1941"/>
          <cell r="P1941"/>
          <cell r="Q1941"/>
          <cell r="R1941">
            <v>1.7600000000000002</v>
          </cell>
          <cell r="S1941"/>
          <cell r="T1941"/>
          <cell r="U1941"/>
          <cell r="V1941"/>
          <cell r="W1941"/>
          <cell r="X1941" t="str">
            <v>PANI</v>
          </cell>
          <cell r="Y1941" t="str">
            <v>PANI 23-SEP</v>
          </cell>
          <cell r="Z1941" t="str">
            <v>AMY' MAIL 26/9/17</v>
          </cell>
          <cell r="AA1941"/>
          <cell r="AB1941">
            <v>43004</v>
          </cell>
          <cell r="AC1941">
            <v>0</v>
          </cell>
        </row>
        <row r="1942">
          <cell r="B1942"/>
          <cell r="C1942" t="str">
            <v>WW-23305</v>
          </cell>
          <cell r="D1942"/>
          <cell r="E1942"/>
          <cell r="F1942" t="str">
            <v>T/C 83/17</v>
          </cell>
          <cell r="G1942" t="str">
            <v>TC 83/17</v>
          </cell>
          <cell r="H1942" t="str">
            <v>57/58</v>
          </cell>
          <cell r="I1942">
            <v>110</v>
          </cell>
          <cell r="J1942">
            <v>1.5</v>
          </cell>
          <cell r="K1942"/>
          <cell r="L1942">
            <v>1.5</v>
          </cell>
          <cell r="M1942"/>
          <cell r="N1942">
            <v>1.6</v>
          </cell>
          <cell r="O1942"/>
          <cell r="P1942"/>
          <cell r="Q1942"/>
          <cell r="R1942">
            <v>1.7600000000000002</v>
          </cell>
          <cell r="S1942"/>
          <cell r="T1942"/>
          <cell r="U1942"/>
          <cell r="V1942"/>
          <cell r="W1942"/>
          <cell r="X1942" t="str">
            <v>PANI</v>
          </cell>
          <cell r="Y1942" t="str">
            <v>PANI 23-SEP</v>
          </cell>
          <cell r="Z1942" t="str">
            <v>AMY' MAIL 26/9/17</v>
          </cell>
          <cell r="AA1942"/>
          <cell r="AB1942">
            <v>43004</v>
          </cell>
          <cell r="AC1942">
            <v>0</v>
          </cell>
        </row>
        <row r="1943">
          <cell r="B1943"/>
          <cell r="C1943" t="str">
            <v>WW-23309</v>
          </cell>
          <cell r="D1943"/>
          <cell r="E1943"/>
          <cell r="F1943" t="str">
            <v>T/C 68/32</v>
          </cell>
          <cell r="G1943" t="str">
            <v>TC 68/32</v>
          </cell>
          <cell r="H1943" t="str">
            <v>57/58</v>
          </cell>
          <cell r="I1943">
            <v>105</v>
          </cell>
          <cell r="J1943">
            <v>1.5</v>
          </cell>
          <cell r="K1943"/>
          <cell r="L1943">
            <v>1.5</v>
          </cell>
          <cell r="M1943"/>
          <cell r="N1943">
            <v>1.6</v>
          </cell>
          <cell r="O1943"/>
          <cell r="P1943"/>
          <cell r="Q1943"/>
          <cell r="R1943">
            <v>1.7600000000000002</v>
          </cell>
          <cell r="S1943"/>
          <cell r="T1943"/>
          <cell r="U1943"/>
          <cell r="V1943"/>
          <cell r="W1943"/>
          <cell r="X1943" t="str">
            <v>PANI</v>
          </cell>
          <cell r="Y1943" t="str">
            <v>PANI 23-SEP</v>
          </cell>
          <cell r="Z1943" t="str">
            <v>AMY' MAIL 26/9/17</v>
          </cell>
          <cell r="AA1943"/>
          <cell r="AB1943">
            <v>43004</v>
          </cell>
          <cell r="AC1943">
            <v>0</v>
          </cell>
        </row>
        <row r="1944">
          <cell r="B1944"/>
          <cell r="C1944" t="str">
            <v>WW-23311</v>
          </cell>
          <cell r="D1944"/>
          <cell r="E1944"/>
          <cell r="F1944" t="str">
            <v>T/C 68/32</v>
          </cell>
          <cell r="G1944" t="str">
            <v>TC 68/32</v>
          </cell>
          <cell r="H1944" t="str">
            <v>57/58</v>
          </cell>
          <cell r="I1944">
            <v>105</v>
          </cell>
          <cell r="J1944">
            <v>1.5</v>
          </cell>
          <cell r="K1944"/>
          <cell r="L1944">
            <v>1.5</v>
          </cell>
          <cell r="M1944"/>
          <cell r="N1944">
            <v>1.6</v>
          </cell>
          <cell r="O1944"/>
          <cell r="P1944"/>
          <cell r="Q1944"/>
          <cell r="R1944">
            <v>1.7600000000000002</v>
          </cell>
          <cell r="S1944"/>
          <cell r="T1944"/>
          <cell r="U1944"/>
          <cell r="V1944"/>
          <cell r="W1944"/>
          <cell r="X1944" t="str">
            <v>PANI</v>
          </cell>
          <cell r="Y1944" t="str">
            <v>PANI 23-SEP</v>
          </cell>
          <cell r="Z1944" t="str">
            <v>AMY' MAIL 26/9/17</v>
          </cell>
          <cell r="AA1944"/>
          <cell r="AB1944">
            <v>43004</v>
          </cell>
          <cell r="AC1944">
            <v>0</v>
          </cell>
        </row>
        <row r="1945">
          <cell r="B1945"/>
          <cell r="C1945" t="str">
            <v>WW-23550</v>
          </cell>
          <cell r="D1945"/>
          <cell r="E1945"/>
          <cell r="F1945" t="str">
            <v>T/C 68/32</v>
          </cell>
          <cell r="G1945" t="str">
            <v>TC 68/32</v>
          </cell>
          <cell r="H1945" t="str">
            <v>57/58</v>
          </cell>
          <cell r="I1945">
            <v>105</v>
          </cell>
          <cell r="J1945">
            <v>1.5</v>
          </cell>
          <cell r="K1945"/>
          <cell r="L1945">
            <v>1.5</v>
          </cell>
          <cell r="M1945"/>
          <cell r="N1945">
            <v>1.6</v>
          </cell>
          <cell r="O1945"/>
          <cell r="P1945"/>
          <cell r="Q1945"/>
          <cell r="R1945">
            <v>1.7600000000000002</v>
          </cell>
          <cell r="S1945"/>
          <cell r="T1945"/>
          <cell r="U1945"/>
          <cell r="V1945"/>
          <cell r="W1945"/>
          <cell r="X1945" t="str">
            <v>PANI</v>
          </cell>
          <cell r="Y1945" t="str">
            <v>PANI 23-SEP</v>
          </cell>
          <cell r="Z1945" t="str">
            <v>AMY' MAIL 26/9/17</v>
          </cell>
          <cell r="AA1945"/>
          <cell r="AB1945">
            <v>43004</v>
          </cell>
          <cell r="AC1945">
            <v>0</v>
          </cell>
        </row>
        <row r="1946">
          <cell r="B1946"/>
          <cell r="C1946" t="str">
            <v>SH1154</v>
          </cell>
          <cell r="D1946"/>
          <cell r="E1946"/>
          <cell r="F1946" t="str">
            <v>T/C</v>
          </cell>
          <cell r="G1946" t="str">
            <v xml:space="preserve">TC </v>
          </cell>
          <cell r="H1946" t="str">
            <v>150CM</v>
          </cell>
          <cell r="I1946">
            <v>95</v>
          </cell>
          <cell r="J1946">
            <v>1.55</v>
          </cell>
          <cell r="K1946"/>
          <cell r="L1946">
            <v>1.55</v>
          </cell>
          <cell r="M1946"/>
          <cell r="N1946">
            <v>1.6500000000000001</v>
          </cell>
          <cell r="O1946"/>
          <cell r="P1946"/>
          <cell r="Q1946"/>
          <cell r="R1946">
            <v>1.8150000000000004</v>
          </cell>
          <cell r="S1946"/>
          <cell r="T1946"/>
          <cell r="U1946"/>
          <cell r="V1946"/>
          <cell r="W1946"/>
          <cell r="X1946" t="str">
            <v>PANI</v>
          </cell>
          <cell r="Y1946" t="str">
            <v>PANI 23-SEP</v>
          </cell>
          <cell r="Z1946" t="str">
            <v>AMY' MAIL 26/9/17</v>
          </cell>
          <cell r="AA1946"/>
          <cell r="AB1946">
            <v>43004</v>
          </cell>
          <cell r="AC1946">
            <v>0</v>
          </cell>
        </row>
        <row r="1947">
          <cell r="B1947"/>
          <cell r="C1947" t="str">
            <v>SH1695</v>
          </cell>
          <cell r="D1947"/>
          <cell r="E1947"/>
          <cell r="F1947" t="str">
            <v>T100%</v>
          </cell>
          <cell r="G1947" t="str">
            <v>100% POLY</v>
          </cell>
          <cell r="H1947" t="str">
            <v>150CM</v>
          </cell>
          <cell r="I1947">
            <v>120</v>
          </cell>
          <cell r="J1947">
            <v>1.6</v>
          </cell>
          <cell r="K1947"/>
          <cell r="L1947">
            <v>1.6</v>
          </cell>
          <cell r="M1947"/>
          <cell r="N1947">
            <v>1.7000000000000002</v>
          </cell>
          <cell r="O1947"/>
          <cell r="P1947"/>
          <cell r="Q1947"/>
          <cell r="R1947">
            <v>1.8700000000000003</v>
          </cell>
          <cell r="S1947"/>
          <cell r="T1947"/>
          <cell r="U1947"/>
          <cell r="V1947"/>
          <cell r="W1947"/>
          <cell r="X1947" t="str">
            <v>PANI</v>
          </cell>
          <cell r="Y1947" t="str">
            <v>PANI 23-SEP</v>
          </cell>
          <cell r="Z1947" t="str">
            <v>AMY' MAIL 26/9/17</v>
          </cell>
          <cell r="AA1947"/>
          <cell r="AB1947">
            <v>43004</v>
          </cell>
          <cell r="AC1947">
            <v>0</v>
          </cell>
        </row>
        <row r="1948">
          <cell r="B1948"/>
          <cell r="C1948" t="str">
            <v>WW-22281</v>
          </cell>
          <cell r="D1948"/>
          <cell r="E1948"/>
          <cell r="F1948" t="str">
            <v>T100%</v>
          </cell>
          <cell r="G1948" t="str">
            <v>100% POLY</v>
          </cell>
          <cell r="H1948" t="str">
            <v>57/58</v>
          </cell>
          <cell r="I1948">
            <v>145</v>
          </cell>
          <cell r="J1948">
            <v>1.6</v>
          </cell>
          <cell r="K1948"/>
          <cell r="L1948">
            <v>1.6</v>
          </cell>
          <cell r="M1948"/>
          <cell r="N1948">
            <v>1.7000000000000002</v>
          </cell>
          <cell r="O1948"/>
          <cell r="P1948"/>
          <cell r="Q1948"/>
          <cell r="R1948">
            <v>1.8700000000000003</v>
          </cell>
          <cell r="S1948"/>
          <cell r="T1948"/>
          <cell r="U1948"/>
          <cell r="V1948"/>
          <cell r="W1948"/>
          <cell r="X1948" t="str">
            <v>PANI</v>
          </cell>
          <cell r="Y1948" t="str">
            <v>PANI 23-SEP</v>
          </cell>
          <cell r="Z1948" t="str">
            <v>AMY' MAIL 26/9/17</v>
          </cell>
          <cell r="AA1948"/>
          <cell r="AB1948">
            <v>43004</v>
          </cell>
          <cell r="AC1948">
            <v>0</v>
          </cell>
        </row>
        <row r="1949">
          <cell r="B1949"/>
          <cell r="C1949" t="str">
            <v>WW-23701</v>
          </cell>
          <cell r="D1949"/>
          <cell r="E1949"/>
          <cell r="F1949" t="str">
            <v>T/C 90/10</v>
          </cell>
          <cell r="G1949" t="str">
            <v>TC 90/10</v>
          </cell>
          <cell r="H1949" t="str">
            <v>146CM</v>
          </cell>
          <cell r="I1949">
            <v>105</v>
          </cell>
          <cell r="J1949">
            <v>1.6</v>
          </cell>
          <cell r="K1949"/>
          <cell r="L1949">
            <v>1.6</v>
          </cell>
          <cell r="M1949"/>
          <cell r="N1949">
            <v>1.7000000000000002</v>
          </cell>
          <cell r="O1949"/>
          <cell r="P1949"/>
          <cell r="Q1949"/>
          <cell r="R1949">
            <v>1.8700000000000003</v>
          </cell>
          <cell r="S1949"/>
          <cell r="T1949"/>
          <cell r="U1949"/>
          <cell r="V1949"/>
          <cell r="W1949"/>
          <cell r="X1949" t="str">
            <v>PANI</v>
          </cell>
          <cell r="Y1949" t="str">
            <v>PANI 23-SEP</v>
          </cell>
          <cell r="Z1949" t="str">
            <v>AMY' MAIL 26/9/17</v>
          </cell>
          <cell r="AA1949"/>
          <cell r="AB1949">
            <v>43004</v>
          </cell>
          <cell r="AC1949">
            <v>0</v>
          </cell>
        </row>
        <row r="1950">
          <cell r="B1950"/>
          <cell r="C1950" t="str">
            <v>WW-21909</v>
          </cell>
          <cell r="D1950"/>
          <cell r="E1950"/>
          <cell r="F1950" t="str">
            <v>R100%</v>
          </cell>
          <cell r="G1950" t="str">
            <v>100% RAYON</v>
          </cell>
          <cell r="H1950" t="str">
            <v>135CM</v>
          </cell>
          <cell r="I1950">
            <v>135</v>
          </cell>
          <cell r="J1950">
            <v>1.7</v>
          </cell>
          <cell r="K1950"/>
          <cell r="L1950">
            <v>1.7</v>
          </cell>
          <cell r="M1950"/>
          <cell r="N1950">
            <v>1.8</v>
          </cell>
          <cell r="O1950"/>
          <cell r="P1950"/>
          <cell r="Q1950"/>
          <cell r="R1950">
            <v>1.9800000000000002</v>
          </cell>
          <cell r="S1950"/>
          <cell r="T1950"/>
          <cell r="U1950"/>
          <cell r="V1950"/>
          <cell r="W1950"/>
          <cell r="X1950" t="str">
            <v>PANI</v>
          </cell>
          <cell r="Y1950" t="str">
            <v>PANI 23-SEP</v>
          </cell>
          <cell r="Z1950" t="str">
            <v>AMY' MAIL 26/9/17</v>
          </cell>
          <cell r="AA1950"/>
          <cell r="AB1950">
            <v>43004</v>
          </cell>
          <cell r="AC1950">
            <v>0</v>
          </cell>
        </row>
        <row r="1951">
          <cell r="B1951"/>
          <cell r="C1951" t="str">
            <v>WW-22434</v>
          </cell>
          <cell r="D1951"/>
          <cell r="E1951"/>
          <cell r="F1951" t="str">
            <v>R100%</v>
          </cell>
          <cell r="G1951" t="str">
            <v>100% RAYON</v>
          </cell>
          <cell r="H1951" t="str">
            <v>53/54</v>
          </cell>
          <cell r="I1951">
            <v>140</v>
          </cell>
          <cell r="J1951">
            <v>1.8</v>
          </cell>
          <cell r="K1951"/>
          <cell r="L1951">
            <v>1.8</v>
          </cell>
          <cell r="M1951"/>
          <cell r="N1951">
            <v>1.9000000000000001</v>
          </cell>
          <cell r="O1951"/>
          <cell r="P1951"/>
          <cell r="Q1951"/>
          <cell r="R1951">
            <v>2.0900000000000003</v>
          </cell>
          <cell r="S1951"/>
          <cell r="T1951"/>
          <cell r="U1951"/>
          <cell r="V1951"/>
          <cell r="W1951"/>
          <cell r="X1951" t="str">
            <v>PANI</v>
          </cell>
          <cell r="Y1951" t="str">
            <v>PANI 23-SEP</v>
          </cell>
          <cell r="Z1951" t="str">
            <v>AMY' MAIL 26/9/17</v>
          </cell>
          <cell r="AA1951"/>
          <cell r="AB1951">
            <v>43004</v>
          </cell>
          <cell r="AC1951">
            <v>0</v>
          </cell>
        </row>
        <row r="1952">
          <cell r="B1952"/>
          <cell r="C1952" t="str">
            <v>CK6053</v>
          </cell>
          <cell r="D1952"/>
          <cell r="E1952"/>
          <cell r="F1952" t="str">
            <v>R100%</v>
          </cell>
          <cell r="G1952" t="str">
            <v>100% RAYON</v>
          </cell>
          <cell r="H1952" t="str">
            <v>142CM</v>
          </cell>
          <cell r="I1952">
            <v>80</v>
          </cell>
          <cell r="J1952">
            <v>1.85</v>
          </cell>
          <cell r="K1952"/>
          <cell r="L1952">
            <v>1.85</v>
          </cell>
          <cell r="M1952"/>
          <cell r="N1952">
            <v>1.9500000000000002</v>
          </cell>
          <cell r="O1952"/>
          <cell r="P1952"/>
          <cell r="Q1952"/>
          <cell r="R1952">
            <v>2.1450000000000005</v>
          </cell>
          <cell r="S1952"/>
          <cell r="T1952"/>
          <cell r="U1952"/>
          <cell r="V1952"/>
          <cell r="W1952"/>
          <cell r="X1952" t="str">
            <v>PANI</v>
          </cell>
          <cell r="Y1952" t="str">
            <v>PANI 23-SEP</v>
          </cell>
          <cell r="Z1952" t="str">
            <v>AMY' MAIL 26/9/17</v>
          </cell>
          <cell r="AA1952"/>
          <cell r="AB1952">
            <v>43004</v>
          </cell>
          <cell r="AC1952">
            <v>0</v>
          </cell>
        </row>
        <row r="1953">
          <cell r="B1953"/>
          <cell r="C1953" t="str">
            <v>CK6055</v>
          </cell>
          <cell r="D1953"/>
          <cell r="E1953"/>
          <cell r="F1953" t="str">
            <v>R100%</v>
          </cell>
          <cell r="G1953" t="str">
            <v>100% RAYON</v>
          </cell>
          <cell r="H1953" t="str">
            <v>142CM</v>
          </cell>
          <cell r="I1953">
            <v>80</v>
          </cell>
          <cell r="J1953">
            <v>1.85</v>
          </cell>
          <cell r="K1953"/>
          <cell r="L1953">
            <v>1.85</v>
          </cell>
          <cell r="M1953"/>
          <cell r="N1953">
            <v>1.9500000000000002</v>
          </cell>
          <cell r="O1953"/>
          <cell r="P1953"/>
          <cell r="Q1953"/>
          <cell r="R1953">
            <v>2.1450000000000005</v>
          </cell>
          <cell r="S1953"/>
          <cell r="T1953"/>
          <cell r="U1953"/>
          <cell r="V1953"/>
          <cell r="W1953"/>
          <cell r="X1953" t="str">
            <v>PANI</v>
          </cell>
          <cell r="Y1953" t="str">
            <v>PANI 23-SEP</v>
          </cell>
          <cell r="Z1953" t="str">
            <v>AMY' MAIL 26/9/17</v>
          </cell>
          <cell r="AA1953"/>
          <cell r="AB1953">
            <v>43004</v>
          </cell>
          <cell r="AC1953">
            <v>0</v>
          </cell>
        </row>
        <row r="1954">
          <cell r="B1954"/>
          <cell r="C1954" t="str">
            <v>KPW-22908</v>
          </cell>
          <cell r="D1954"/>
          <cell r="E1954"/>
          <cell r="F1954" t="str">
            <v>T100%</v>
          </cell>
          <cell r="G1954" t="str">
            <v>100% POLY</v>
          </cell>
          <cell r="H1954" t="str">
            <v>150CM</v>
          </cell>
          <cell r="I1954">
            <v>75</v>
          </cell>
          <cell r="J1954">
            <v>1.85</v>
          </cell>
          <cell r="K1954"/>
          <cell r="L1954">
            <v>1.85</v>
          </cell>
          <cell r="M1954"/>
          <cell r="N1954">
            <v>1.9500000000000002</v>
          </cell>
          <cell r="O1954"/>
          <cell r="P1954"/>
          <cell r="Q1954"/>
          <cell r="R1954">
            <v>2.1450000000000005</v>
          </cell>
          <cell r="S1954"/>
          <cell r="T1954"/>
          <cell r="U1954"/>
          <cell r="V1954"/>
          <cell r="W1954"/>
          <cell r="X1954" t="str">
            <v>PANI</v>
          </cell>
          <cell r="Y1954" t="str">
            <v>PANI 23-SEP</v>
          </cell>
          <cell r="Z1954" t="str">
            <v>AMY' MAIL 26/9/17</v>
          </cell>
          <cell r="AA1954"/>
          <cell r="AB1954">
            <v>43004</v>
          </cell>
          <cell r="AC1954">
            <v>0</v>
          </cell>
        </row>
        <row r="1955">
          <cell r="B1955"/>
          <cell r="C1955" t="str">
            <v>WW-21943</v>
          </cell>
          <cell r="D1955"/>
          <cell r="E1955"/>
          <cell r="F1955" t="str">
            <v>R100%</v>
          </cell>
          <cell r="G1955" t="str">
            <v>100% RAYON</v>
          </cell>
          <cell r="H1955" t="str">
            <v>130CM</v>
          </cell>
          <cell r="I1955">
            <v>140</v>
          </cell>
          <cell r="J1955">
            <v>1.85</v>
          </cell>
          <cell r="K1955"/>
          <cell r="L1955">
            <v>1.85</v>
          </cell>
          <cell r="M1955"/>
          <cell r="N1955">
            <v>1.9500000000000002</v>
          </cell>
          <cell r="O1955"/>
          <cell r="P1955"/>
          <cell r="Q1955"/>
          <cell r="R1955">
            <v>2.1450000000000005</v>
          </cell>
          <cell r="S1955"/>
          <cell r="T1955"/>
          <cell r="U1955"/>
          <cell r="V1955"/>
          <cell r="W1955"/>
          <cell r="X1955" t="str">
            <v>PANI</v>
          </cell>
          <cell r="Y1955" t="str">
            <v>PANI 23-SEP</v>
          </cell>
          <cell r="Z1955" t="str">
            <v>AMY' MAIL 26/9/17</v>
          </cell>
          <cell r="AA1955"/>
          <cell r="AB1955">
            <v>43004</v>
          </cell>
          <cell r="AC1955">
            <v>0</v>
          </cell>
        </row>
        <row r="1956">
          <cell r="B1956"/>
          <cell r="C1956" t="str">
            <v>CK6059</v>
          </cell>
          <cell r="D1956"/>
          <cell r="E1956"/>
          <cell r="F1956" t="str">
            <v>R100%</v>
          </cell>
          <cell r="G1956" t="str">
            <v>100% RAYON</v>
          </cell>
          <cell r="H1956" t="str">
            <v>142CM</v>
          </cell>
          <cell r="I1956">
            <v>85</v>
          </cell>
          <cell r="J1956">
            <v>1.9</v>
          </cell>
          <cell r="K1956"/>
          <cell r="L1956">
            <v>1.9</v>
          </cell>
          <cell r="M1956"/>
          <cell r="N1956">
            <v>2</v>
          </cell>
          <cell r="O1956"/>
          <cell r="P1956"/>
          <cell r="Q1956"/>
          <cell r="R1956">
            <v>2.2000000000000002</v>
          </cell>
          <cell r="S1956"/>
          <cell r="T1956"/>
          <cell r="U1956"/>
          <cell r="V1956"/>
          <cell r="W1956"/>
          <cell r="X1956" t="str">
            <v>PANI</v>
          </cell>
          <cell r="Y1956" t="str">
            <v>PANI 23-SEP</v>
          </cell>
          <cell r="Z1956" t="str">
            <v>AMY' MAIL 26/9/17</v>
          </cell>
          <cell r="AA1956"/>
          <cell r="AB1956">
            <v>43004</v>
          </cell>
          <cell r="AC1956">
            <v>0</v>
          </cell>
        </row>
        <row r="1957">
          <cell r="B1957"/>
          <cell r="C1957" t="str">
            <v>WW-23688</v>
          </cell>
          <cell r="D1957"/>
          <cell r="E1957"/>
          <cell r="F1957" t="str">
            <v>T/C 54/46</v>
          </cell>
          <cell r="G1957" t="str">
            <v>TC 54/46</v>
          </cell>
          <cell r="H1957" t="str">
            <v>146CM</v>
          </cell>
          <cell r="I1957">
            <v>130</v>
          </cell>
          <cell r="J1957">
            <v>1.9</v>
          </cell>
          <cell r="K1957"/>
          <cell r="L1957">
            <v>1.9</v>
          </cell>
          <cell r="M1957"/>
          <cell r="N1957">
            <v>2</v>
          </cell>
          <cell r="O1957"/>
          <cell r="P1957"/>
          <cell r="Q1957"/>
          <cell r="R1957">
            <v>2.2000000000000002</v>
          </cell>
          <cell r="S1957"/>
          <cell r="T1957"/>
          <cell r="U1957"/>
          <cell r="V1957"/>
          <cell r="W1957"/>
          <cell r="X1957" t="str">
            <v>PANI</v>
          </cell>
          <cell r="Y1957" t="str">
            <v>PANI 23-SEP</v>
          </cell>
          <cell r="Z1957" t="str">
            <v>AMY' MAIL 26/9/17</v>
          </cell>
          <cell r="AA1957"/>
          <cell r="AB1957">
            <v>43004</v>
          </cell>
          <cell r="AC1957">
            <v>0</v>
          </cell>
        </row>
        <row r="1958">
          <cell r="B1958"/>
          <cell r="C1958" t="str">
            <v>CK6050</v>
          </cell>
          <cell r="D1958"/>
          <cell r="E1958"/>
          <cell r="F1958" t="str">
            <v>R100%</v>
          </cell>
          <cell r="G1958" t="str">
            <v>100% RAYON</v>
          </cell>
          <cell r="H1958" t="str">
            <v>142CM</v>
          </cell>
          <cell r="I1958">
            <v>82</v>
          </cell>
          <cell r="J1958">
            <v>1.95</v>
          </cell>
          <cell r="K1958"/>
          <cell r="L1958">
            <v>1.95</v>
          </cell>
          <cell r="M1958"/>
          <cell r="N1958">
            <v>2.0499999999999998</v>
          </cell>
          <cell r="O1958"/>
          <cell r="P1958"/>
          <cell r="Q1958"/>
          <cell r="R1958">
            <v>2.2549999999999999</v>
          </cell>
          <cell r="S1958"/>
          <cell r="T1958"/>
          <cell r="U1958"/>
          <cell r="V1958"/>
          <cell r="W1958"/>
          <cell r="X1958" t="str">
            <v>PANI</v>
          </cell>
          <cell r="Y1958" t="str">
            <v>PANI 23-SEP</v>
          </cell>
          <cell r="Z1958" t="str">
            <v>AMY' MAIL 26/9/17</v>
          </cell>
          <cell r="AA1958"/>
          <cell r="AB1958">
            <v>43004</v>
          </cell>
          <cell r="AC1958">
            <v>0</v>
          </cell>
        </row>
        <row r="1959">
          <cell r="B1959"/>
          <cell r="C1959" t="str">
            <v>CK6056</v>
          </cell>
          <cell r="D1959"/>
          <cell r="E1959"/>
          <cell r="F1959" t="str">
            <v>R100%</v>
          </cell>
          <cell r="G1959" t="str">
            <v>100% RAYON</v>
          </cell>
          <cell r="H1959" t="str">
            <v>142CM</v>
          </cell>
          <cell r="I1959">
            <v>85</v>
          </cell>
          <cell r="J1959">
            <v>1.95</v>
          </cell>
          <cell r="K1959"/>
          <cell r="L1959">
            <v>1.95</v>
          </cell>
          <cell r="M1959"/>
          <cell r="N1959">
            <v>2.0499999999999998</v>
          </cell>
          <cell r="O1959"/>
          <cell r="P1959"/>
          <cell r="Q1959"/>
          <cell r="R1959">
            <v>2.2549999999999999</v>
          </cell>
          <cell r="S1959"/>
          <cell r="T1959"/>
          <cell r="U1959"/>
          <cell r="V1959"/>
          <cell r="W1959"/>
          <cell r="X1959" t="str">
            <v>PANI</v>
          </cell>
          <cell r="Y1959" t="str">
            <v>PANI 23-SEP</v>
          </cell>
          <cell r="Z1959" t="str">
            <v>AMY' MAIL 26/9/17</v>
          </cell>
          <cell r="AA1959"/>
          <cell r="AB1959">
            <v>43004</v>
          </cell>
          <cell r="AC1959">
            <v>0</v>
          </cell>
        </row>
        <row r="1960">
          <cell r="B1960"/>
          <cell r="C1960" t="str">
            <v>CK6068</v>
          </cell>
          <cell r="D1960"/>
          <cell r="E1960"/>
          <cell r="F1960" t="str">
            <v>R100%</v>
          </cell>
          <cell r="G1960" t="str">
            <v>100% RAYON</v>
          </cell>
          <cell r="H1960">
            <v>142</v>
          </cell>
          <cell r="I1960">
            <v>78</v>
          </cell>
          <cell r="J1960">
            <v>1.95</v>
          </cell>
          <cell r="K1960"/>
          <cell r="L1960">
            <v>1.95</v>
          </cell>
          <cell r="M1960"/>
          <cell r="N1960">
            <v>2.0499999999999998</v>
          </cell>
          <cell r="O1960"/>
          <cell r="P1960"/>
          <cell r="Q1960"/>
          <cell r="R1960">
            <v>2.2549999999999999</v>
          </cell>
          <cell r="S1960"/>
          <cell r="T1960"/>
          <cell r="U1960"/>
          <cell r="V1960"/>
          <cell r="W1960"/>
          <cell r="X1960" t="str">
            <v>PANI</v>
          </cell>
          <cell r="Y1960" t="str">
            <v>PANI 23-SEP</v>
          </cell>
          <cell r="Z1960" t="str">
            <v>AMY' MAIL 26/9/17</v>
          </cell>
          <cell r="AA1960"/>
          <cell r="AB1960">
            <v>43004</v>
          </cell>
          <cell r="AC1960">
            <v>0</v>
          </cell>
        </row>
        <row r="1961">
          <cell r="B1961"/>
          <cell r="C1961" t="str">
            <v>WW-23191</v>
          </cell>
          <cell r="D1961"/>
          <cell r="E1961"/>
          <cell r="F1961" t="str">
            <v>R/N 88/12</v>
          </cell>
          <cell r="G1961" t="str">
            <v>R/N 88/12</v>
          </cell>
          <cell r="H1961" t="str">
            <v>57/58</v>
          </cell>
          <cell r="I1961">
            <v>125</v>
          </cell>
          <cell r="J1961">
            <v>1.95</v>
          </cell>
          <cell r="K1961"/>
          <cell r="L1961">
            <v>1.95</v>
          </cell>
          <cell r="M1961"/>
          <cell r="N1961">
            <v>2.0499999999999998</v>
          </cell>
          <cell r="O1961"/>
          <cell r="P1961"/>
          <cell r="Q1961"/>
          <cell r="R1961">
            <v>2.2549999999999999</v>
          </cell>
          <cell r="S1961"/>
          <cell r="T1961"/>
          <cell r="U1961"/>
          <cell r="V1961"/>
          <cell r="W1961"/>
          <cell r="X1961" t="str">
            <v>PANI</v>
          </cell>
          <cell r="Y1961" t="str">
            <v>PANI 23-SEP</v>
          </cell>
          <cell r="Z1961" t="str">
            <v>AMY' MAIL 26/9/17</v>
          </cell>
          <cell r="AA1961"/>
          <cell r="AB1961">
            <v>43004</v>
          </cell>
          <cell r="AC1961">
            <v>0</v>
          </cell>
        </row>
        <row r="1962">
          <cell r="B1962"/>
          <cell r="C1962" t="str">
            <v>WW-21560</v>
          </cell>
          <cell r="D1962"/>
          <cell r="E1962"/>
          <cell r="F1962" t="str">
            <v>R/S 95/5</v>
          </cell>
          <cell r="G1962" t="str">
            <v>R/S 95/5</v>
          </cell>
          <cell r="H1962" t="str">
            <v>51/52</v>
          </cell>
          <cell r="I1962">
            <v>95</v>
          </cell>
          <cell r="J1962">
            <v>2</v>
          </cell>
          <cell r="K1962"/>
          <cell r="L1962">
            <v>2</v>
          </cell>
          <cell r="M1962"/>
          <cell r="N1962">
            <v>2.1</v>
          </cell>
          <cell r="O1962"/>
          <cell r="P1962"/>
          <cell r="Q1962"/>
          <cell r="R1962">
            <v>2.3100000000000005</v>
          </cell>
          <cell r="S1962"/>
          <cell r="T1962"/>
          <cell r="U1962"/>
          <cell r="V1962"/>
          <cell r="W1962"/>
          <cell r="X1962" t="str">
            <v>PANI</v>
          </cell>
          <cell r="Y1962" t="str">
            <v>PANI 23-SEP</v>
          </cell>
          <cell r="Z1962" t="str">
            <v>AMY' MAIL 26/9/17</v>
          </cell>
          <cell r="AA1962"/>
          <cell r="AB1962">
            <v>43004</v>
          </cell>
          <cell r="AC1962">
            <v>0</v>
          </cell>
        </row>
        <row r="1963">
          <cell r="B1963"/>
          <cell r="C1963" t="str">
            <v>WW-23403</v>
          </cell>
          <cell r="D1963"/>
          <cell r="E1963"/>
          <cell r="F1963" t="str">
            <v>T100%</v>
          </cell>
          <cell r="G1963" t="str">
            <v>100% POLY</v>
          </cell>
          <cell r="H1963" t="str">
            <v>57/58</v>
          </cell>
          <cell r="I1963">
            <v>124</v>
          </cell>
          <cell r="J1963">
            <v>2</v>
          </cell>
          <cell r="K1963"/>
          <cell r="L1963">
            <v>2</v>
          </cell>
          <cell r="M1963"/>
          <cell r="N1963">
            <v>2.1</v>
          </cell>
          <cell r="O1963"/>
          <cell r="P1963"/>
          <cell r="Q1963"/>
          <cell r="R1963">
            <v>2.3100000000000005</v>
          </cell>
          <cell r="S1963"/>
          <cell r="T1963"/>
          <cell r="U1963"/>
          <cell r="V1963"/>
          <cell r="W1963"/>
          <cell r="X1963" t="str">
            <v>PANI</v>
          </cell>
          <cell r="Y1963" t="str">
            <v>PANI 23-SEP</v>
          </cell>
          <cell r="Z1963" t="str">
            <v>AMY' MAIL 26/9/17</v>
          </cell>
          <cell r="AA1963"/>
          <cell r="AB1963">
            <v>43004</v>
          </cell>
          <cell r="AC1963">
            <v>0</v>
          </cell>
        </row>
        <row r="1964">
          <cell r="B1964"/>
          <cell r="C1964" t="str">
            <v>WW-23583</v>
          </cell>
          <cell r="D1964"/>
          <cell r="E1964"/>
          <cell r="F1964" t="str">
            <v>T100%</v>
          </cell>
          <cell r="G1964" t="str">
            <v>100% POLY</v>
          </cell>
          <cell r="H1964" t="str">
            <v>57/58</v>
          </cell>
          <cell r="I1964">
            <v>115</v>
          </cell>
          <cell r="J1964">
            <v>2.15</v>
          </cell>
          <cell r="K1964"/>
          <cell r="L1964">
            <v>2.15</v>
          </cell>
          <cell r="M1964"/>
          <cell r="N1964">
            <v>2.25</v>
          </cell>
          <cell r="O1964"/>
          <cell r="P1964"/>
          <cell r="Q1964"/>
          <cell r="R1964">
            <v>2.4750000000000001</v>
          </cell>
          <cell r="S1964"/>
          <cell r="T1964"/>
          <cell r="U1964"/>
          <cell r="V1964"/>
          <cell r="W1964"/>
          <cell r="X1964" t="str">
            <v>PANI</v>
          </cell>
          <cell r="Y1964" t="str">
            <v>PANI 23-SEP</v>
          </cell>
          <cell r="Z1964" t="str">
            <v>AMY' MAIL 26/9/17</v>
          </cell>
          <cell r="AA1964"/>
          <cell r="AB1964">
            <v>43004</v>
          </cell>
          <cell r="AC1964">
            <v>0</v>
          </cell>
        </row>
        <row r="1965">
          <cell r="B1965"/>
          <cell r="C1965" t="str">
            <v>CK6063</v>
          </cell>
          <cell r="D1965"/>
          <cell r="E1965"/>
          <cell r="F1965" t="str">
            <v>R100%</v>
          </cell>
          <cell r="G1965" t="str">
            <v>100% RAYON</v>
          </cell>
          <cell r="H1965" t="str">
            <v>143CM</v>
          </cell>
          <cell r="I1965">
            <v>100</v>
          </cell>
          <cell r="J1965">
            <v>2.25</v>
          </cell>
          <cell r="K1965"/>
          <cell r="L1965">
            <v>2.25</v>
          </cell>
          <cell r="M1965"/>
          <cell r="N1965">
            <v>2.35</v>
          </cell>
          <cell r="O1965"/>
          <cell r="P1965"/>
          <cell r="Q1965"/>
          <cell r="R1965">
            <v>2.5850000000000004</v>
          </cell>
          <cell r="S1965"/>
          <cell r="T1965"/>
          <cell r="U1965"/>
          <cell r="V1965"/>
          <cell r="W1965"/>
          <cell r="X1965" t="str">
            <v>PANI</v>
          </cell>
          <cell r="Y1965" t="str">
            <v>PANI 23-SEP</v>
          </cell>
          <cell r="Z1965" t="str">
            <v>AMY' MAIL 26/9/17</v>
          </cell>
          <cell r="AA1965"/>
          <cell r="AB1965">
            <v>43004</v>
          </cell>
          <cell r="AC1965">
            <v>0</v>
          </cell>
        </row>
        <row r="1966">
          <cell r="B1966"/>
          <cell r="C1966" t="str">
            <v>WJ-1868</v>
          </cell>
          <cell r="D1966"/>
          <cell r="E1966"/>
          <cell r="F1966" t="str">
            <v>R100%</v>
          </cell>
          <cell r="G1966" t="str">
            <v>100% RAYON</v>
          </cell>
          <cell r="H1966" t="str">
            <v>143CM</v>
          </cell>
          <cell r="I1966">
            <v>135</v>
          </cell>
          <cell r="J1966">
            <v>2.25</v>
          </cell>
          <cell r="K1966"/>
          <cell r="L1966">
            <v>2.25</v>
          </cell>
          <cell r="M1966"/>
          <cell r="N1966">
            <v>2.35</v>
          </cell>
          <cell r="O1966"/>
          <cell r="P1966"/>
          <cell r="Q1966"/>
          <cell r="R1966">
            <v>2.5850000000000004</v>
          </cell>
          <cell r="S1966"/>
          <cell r="T1966"/>
          <cell r="U1966"/>
          <cell r="V1966"/>
          <cell r="W1966"/>
          <cell r="X1966" t="str">
            <v>PANI</v>
          </cell>
          <cell r="Y1966" t="str">
            <v>PANI 23-SEP</v>
          </cell>
          <cell r="Z1966" t="str">
            <v>AMY' MAIL 26/9/17</v>
          </cell>
          <cell r="AA1966"/>
          <cell r="AB1966">
            <v>43004</v>
          </cell>
          <cell r="AC1966">
            <v>0</v>
          </cell>
        </row>
        <row r="1967">
          <cell r="B1967"/>
          <cell r="C1967" t="str">
            <v>WW-23682</v>
          </cell>
          <cell r="D1967"/>
          <cell r="E1967"/>
          <cell r="F1967" t="str">
            <v>R/N 78/22</v>
          </cell>
          <cell r="G1967" t="str">
            <v>R/N 78/22</v>
          </cell>
          <cell r="H1967" t="str">
            <v>140CM</v>
          </cell>
          <cell r="I1967">
            <v>100</v>
          </cell>
          <cell r="J1967">
            <v>2.85</v>
          </cell>
          <cell r="K1967"/>
          <cell r="L1967">
            <v>2.85</v>
          </cell>
          <cell r="M1967"/>
          <cell r="N1967">
            <v>2.95</v>
          </cell>
          <cell r="O1967"/>
          <cell r="P1967"/>
          <cell r="Q1967"/>
          <cell r="R1967">
            <v>3.2450000000000006</v>
          </cell>
          <cell r="S1967"/>
          <cell r="T1967"/>
          <cell r="U1967"/>
          <cell r="V1967"/>
          <cell r="W1967"/>
          <cell r="X1967" t="str">
            <v>PANI</v>
          </cell>
          <cell r="Y1967" t="str">
            <v>PANI 23-SEP</v>
          </cell>
          <cell r="Z1967" t="str">
            <v>AMY' MAIL 26/9/17</v>
          </cell>
          <cell r="AA1967"/>
          <cell r="AB1967">
            <v>43004</v>
          </cell>
          <cell r="AC1967">
            <v>0</v>
          </cell>
        </row>
        <row r="1968">
          <cell r="B1968"/>
          <cell r="C1968" t="str">
            <v>KPW-22904</v>
          </cell>
          <cell r="D1968"/>
          <cell r="E1968"/>
          <cell r="F1968" t="str">
            <v>T100%</v>
          </cell>
          <cell r="G1968" t="str">
            <v>100% POLY</v>
          </cell>
          <cell r="H1968" t="str">
            <v>140CM</v>
          </cell>
          <cell r="I1968">
            <v>115</v>
          </cell>
          <cell r="J1968">
            <v>3.35</v>
          </cell>
          <cell r="K1968"/>
          <cell r="L1968">
            <v>3.35</v>
          </cell>
          <cell r="M1968"/>
          <cell r="N1968">
            <v>3.45</v>
          </cell>
          <cell r="O1968"/>
          <cell r="P1968"/>
          <cell r="Q1968"/>
          <cell r="R1968">
            <v>3.7950000000000004</v>
          </cell>
          <cell r="S1968"/>
          <cell r="T1968"/>
          <cell r="U1968"/>
          <cell r="V1968"/>
          <cell r="W1968"/>
          <cell r="X1968" t="str">
            <v>PANI</v>
          </cell>
          <cell r="Y1968" t="str">
            <v>PANI 23-SEP</v>
          </cell>
          <cell r="Z1968" t="str">
            <v>AMY' MAIL 26/9/17</v>
          </cell>
          <cell r="AA1968"/>
          <cell r="AB1968">
            <v>43004</v>
          </cell>
          <cell r="AC1968">
            <v>0</v>
          </cell>
        </row>
        <row r="1969">
          <cell r="B1969"/>
          <cell r="C1969" t="str">
            <v>WW-21946</v>
          </cell>
          <cell r="D1969"/>
          <cell r="E1969"/>
          <cell r="F1969" t="str">
            <v>V/R 55/45</v>
          </cell>
          <cell r="G1969" t="str">
            <v>V/R 55/45</v>
          </cell>
          <cell r="H1969" t="str">
            <v>130CM</v>
          </cell>
          <cell r="I1969">
            <v>130</v>
          </cell>
          <cell r="J1969">
            <v>3.4</v>
          </cell>
          <cell r="K1969"/>
          <cell r="L1969">
            <v>3.4</v>
          </cell>
          <cell r="M1969"/>
          <cell r="N1969">
            <v>3.5</v>
          </cell>
          <cell r="O1969"/>
          <cell r="P1969"/>
          <cell r="Q1969"/>
          <cell r="R1969">
            <v>3.8500000000000005</v>
          </cell>
          <cell r="S1969"/>
          <cell r="T1969"/>
          <cell r="U1969"/>
          <cell r="V1969"/>
          <cell r="W1969"/>
          <cell r="X1969" t="str">
            <v>PANI</v>
          </cell>
          <cell r="Y1969" t="str">
            <v>PANI 23-SEP</v>
          </cell>
          <cell r="Z1969" t="str">
            <v>AMY' MAIL 26/9/17</v>
          </cell>
          <cell r="AA1969"/>
          <cell r="AB1969">
            <v>43004</v>
          </cell>
          <cell r="AC1969">
            <v>0</v>
          </cell>
        </row>
        <row r="1970">
          <cell r="B1970"/>
          <cell r="C1970" t="str">
            <v>HLT5744</v>
          </cell>
          <cell r="D1970"/>
          <cell r="E1970"/>
          <cell r="F1970" t="str">
            <v>T/S 92/8</v>
          </cell>
          <cell r="G1970" t="str">
            <v>POLY/SPANDEX 92/8</v>
          </cell>
          <cell r="H1970" t="str">
            <v>145CM</v>
          </cell>
          <cell r="I1970">
            <v>350</v>
          </cell>
          <cell r="J1970">
            <v>4.0410958904109586</v>
          </cell>
          <cell r="K1970"/>
          <cell r="L1970">
            <v>4.1410958904109583</v>
          </cell>
          <cell r="M1970"/>
          <cell r="N1970">
            <v>4.2410958904109579</v>
          </cell>
          <cell r="O1970"/>
          <cell r="P1970"/>
          <cell r="Q1970"/>
          <cell r="R1970">
            <v>4.3410958904109576</v>
          </cell>
          <cell r="S1970"/>
          <cell r="T1970"/>
          <cell r="U1970"/>
          <cell r="V1970">
            <v>15</v>
          </cell>
          <cell r="W1970"/>
          <cell r="X1970" t="str">
            <v>CANDY</v>
          </cell>
          <cell r="Y1970" t="str">
            <v>CANDY 18-SEP REVISE</v>
          </cell>
          <cell r="Z1970" t="str">
            <v>LEI' MAIL 22/9/17</v>
          </cell>
          <cell r="AA1970"/>
          <cell r="AB1970">
            <v>43004</v>
          </cell>
          <cell r="AC1970">
            <v>0</v>
          </cell>
        </row>
        <row r="1971">
          <cell r="B1971"/>
          <cell r="C1971" t="str">
            <v>HLT1138</v>
          </cell>
          <cell r="D1971"/>
          <cell r="E1971"/>
          <cell r="F1971" t="str">
            <v>T/R/S 63/32/5</v>
          </cell>
          <cell r="G1971" t="str">
            <v>POLY/RAYON/SPANDEX 63/32/5</v>
          </cell>
          <cell r="H1971" t="str">
            <v>57/58</v>
          </cell>
          <cell r="I1971">
            <v>255</v>
          </cell>
          <cell r="J1971">
            <v>2.5571428571428574</v>
          </cell>
          <cell r="K1971"/>
          <cell r="L1971">
            <v>2.6571428571428575</v>
          </cell>
          <cell r="M1971"/>
          <cell r="N1971">
            <v>2.7571428571428576</v>
          </cell>
          <cell r="O1971"/>
          <cell r="P1971"/>
          <cell r="Q1971"/>
          <cell r="R1971">
            <v>2.8571428571428577</v>
          </cell>
          <cell r="S1971"/>
          <cell r="T1971"/>
          <cell r="U1971"/>
          <cell r="V1971">
            <v>15</v>
          </cell>
          <cell r="W1971"/>
          <cell r="X1971" t="str">
            <v>CANDY</v>
          </cell>
          <cell r="Y1971" t="str">
            <v>CANDY 18-SEP REVISE</v>
          </cell>
          <cell r="Z1971" t="str">
            <v>LEI' MAIL 22/9/17</v>
          </cell>
          <cell r="AA1971"/>
          <cell r="AB1971">
            <v>43004</v>
          </cell>
          <cell r="AC1971">
            <v>0</v>
          </cell>
        </row>
        <row r="1972">
          <cell r="B1972"/>
          <cell r="C1972" t="str">
            <v>HLT2978</v>
          </cell>
          <cell r="D1972"/>
          <cell r="E1972"/>
          <cell r="F1972" t="str">
            <v>T/R/S 70.5/27/2.5</v>
          </cell>
          <cell r="G1972" t="str">
            <v>POLY/RAYON/SPANDEX 70.5/27/2.5</v>
          </cell>
          <cell r="H1972" t="str">
            <v>58/59</v>
          </cell>
          <cell r="I1972">
            <v>280</v>
          </cell>
          <cell r="J1972">
            <v>2.9054794520547942</v>
          </cell>
          <cell r="K1972"/>
          <cell r="L1972">
            <v>3.0054794520547943</v>
          </cell>
          <cell r="M1972"/>
          <cell r="N1972">
            <v>3.1054794520547944</v>
          </cell>
          <cell r="O1972"/>
          <cell r="P1972"/>
          <cell r="Q1972"/>
          <cell r="R1972">
            <v>3.2054794520547945</v>
          </cell>
          <cell r="S1972"/>
          <cell r="T1972"/>
          <cell r="U1972"/>
          <cell r="V1972">
            <v>15</v>
          </cell>
          <cell r="W1972"/>
          <cell r="X1972" t="str">
            <v>CANDY</v>
          </cell>
          <cell r="Y1972" t="str">
            <v>CANDY 18-SEP REVISE</v>
          </cell>
          <cell r="Z1972" t="str">
            <v>LEI' MAIL 22/9/17</v>
          </cell>
          <cell r="AA1972"/>
          <cell r="AB1972">
            <v>43004</v>
          </cell>
          <cell r="AC1972">
            <v>0</v>
          </cell>
        </row>
        <row r="1973">
          <cell r="B1973"/>
          <cell r="C1973" t="str">
            <v>HLT595</v>
          </cell>
          <cell r="D1973"/>
          <cell r="E1973"/>
          <cell r="F1973" t="str">
            <v>T/R/S 66/32/2</v>
          </cell>
          <cell r="G1973" t="str">
            <v>POLY/RAYON/SPANDEX 66/32/2</v>
          </cell>
          <cell r="H1973"/>
          <cell r="I1973">
            <v>300</v>
          </cell>
          <cell r="J1973">
            <v>2.9568493150684931</v>
          </cell>
          <cell r="K1973"/>
          <cell r="L1973">
            <v>3.0568493150684932</v>
          </cell>
          <cell r="M1973"/>
          <cell r="N1973">
            <v>3.1568493150684933</v>
          </cell>
          <cell r="O1973"/>
          <cell r="P1973"/>
          <cell r="Q1973"/>
          <cell r="R1973">
            <v>3.2568493150684934</v>
          </cell>
          <cell r="S1973"/>
          <cell r="T1973"/>
          <cell r="U1973"/>
          <cell r="V1973">
            <v>15</v>
          </cell>
          <cell r="W1973"/>
          <cell r="X1973" t="str">
            <v>CANDY</v>
          </cell>
          <cell r="Y1973" t="str">
            <v>CANDY 18-SEP REVISE</v>
          </cell>
          <cell r="Z1973" t="str">
            <v>LEI' MAIL 22/9/17</v>
          </cell>
          <cell r="AA1973"/>
          <cell r="AB1973">
            <v>43004</v>
          </cell>
          <cell r="AC1973">
            <v>0</v>
          </cell>
        </row>
        <row r="1974">
          <cell r="B1974"/>
          <cell r="C1974" t="str">
            <v>WJ-1843</v>
          </cell>
          <cell r="D1974"/>
          <cell r="E1974"/>
          <cell r="F1974" t="str">
            <v>C100%</v>
          </cell>
          <cell r="G1974" t="str">
            <v>100% COTTON</v>
          </cell>
          <cell r="H1974" t="str">
            <v>144CM</v>
          </cell>
          <cell r="I1974">
            <v>105</v>
          </cell>
          <cell r="J1974">
            <v>2.35</v>
          </cell>
          <cell r="K1974"/>
          <cell r="L1974">
            <v>2.35</v>
          </cell>
          <cell r="M1974"/>
          <cell r="N1974">
            <v>2.4500000000000002</v>
          </cell>
          <cell r="O1974"/>
          <cell r="P1974"/>
          <cell r="Q1974"/>
          <cell r="R1974">
            <v>2.6950000000000003</v>
          </cell>
          <cell r="S1974"/>
          <cell r="T1974"/>
          <cell r="U1974"/>
          <cell r="V1974"/>
          <cell r="W1974"/>
          <cell r="X1974" t="str">
            <v>PANI</v>
          </cell>
          <cell r="Y1974" t="str">
            <v>PANI 23-SEP</v>
          </cell>
          <cell r="Z1974" t="str">
            <v>AMY' MAIL 26/9/17</v>
          </cell>
          <cell r="AA1974"/>
          <cell r="AB1974">
            <v>43004</v>
          </cell>
          <cell r="AC1974">
            <v>0</v>
          </cell>
        </row>
        <row r="1975">
          <cell r="B1975"/>
          <cell r="C1975" t="str">
            <v>WW-23677</v>
          </cell>
          <cell r="D1975"/>
          <cell r="E1975"/>
          <cell r="F1975" t="str">
            <v>C100%</v>
          </cell>
          <cell r="G1975" t="str">
            <v>100% COTTON</v>
          </cell>
          <cell r="H1975" t="str">
            <v>127CM</v>
          </cell>
          <cell r="I1975">
            <v>105</v>
          </cell>
          <cell r="J1975">
            <v>2.65</v>
          </cell>
          <cell r="K1975"/>
          <cell r="L1975">
            <v>2.65</v>
          </cell>
          <cell r="M1975"/>
          <cell r="N1975">
            <v>2.75</v>
          </cell>
          <cell r="O1975"/>
          <cell r="P1975"/>
          <cell r="Q1975"/>
          <cell r="R1975">
            <v>3.0250000000000004</v>
          </cell>
          <cell r="S1975"/>
          <cell r="T1975"/>
          <cell r="U1975"/>
          <cell r="V1975"/>
          <cell r="W1975"/>
          <cell r="X1975" t="str">
            <v>PANI</v>
          </cell>
          <cell r="Y1975" t="str">
            <v>PANI 23-SEP</v>
          </cell>
          <cell r="Z1975" t="str">
            <v>AMY' MAIL 26/9/17</v>
          </cell>
          <cell r="AA1975"/>
          <cell r="AB1975">
            <v>43004</v>
          </cell>
          <cell r="AC1975">
            <v>0</v>
          </cell>
        </row>
        <row r="1976">
          <cell r="B1976">
            <v>3512</v>
          </cell>
          <cell r="C1976" t="str">
            <v>HLP17068</v>
          </cell>
          <cell r="D1976"/>
          <cell r="E1976"/>
          <cell r="F1976" t="str">
            <v>T100%</v>
          </cell>
          <cell r="G1976" t="str">
            <v>100% POLYESTER  - 75D+150D</v>
          </cell>
          <cell r="H1976" t="str">
            <v>57/58</v>
          </cell>
          <cell r="I1976">
            <v>170</v>
          </cell>
          <cell r="J1976">
            <v>1.7136986301369863</v>
          </cell>
          <cell r="K1976">
            <v>1.7821917808219179</v>
          </cell>
          <cell r="L1976">
            <v>1.8136986301369864</v>
          </cell>
          <cell r="M1976">
            <v>1.882191780821918</v>
          </cell>
          <cell r="N1976">
            <v>1.9136986301369865</v>
          </cell>
          <cell r="O1976">
            <v>2.0821917808219181</v>
          </cell>
          <cell r="P1976"/>
          <cell r="Q1976"/>
          <cell r="R1976">
            <v>2.0136986301369864</v>
          </cell>
          <cell r="S1976">
            <v>2.2821917808219183</v>
          </cell>
          <cell r="T1976"/>
          <cell r="U1976"/>
          <cell r="V1976">
            <v>15</v>
          </cell>
          <cell r="W1976"/>
          <cell r="X1976" t="str">
            <v>CANDY</v>
          </cell>
          <cell r="Y1976" t="str">
            <v>CANDY 14-SEP REVISE</v>
          </cell>
          <cell r="Z1976" t="str">
            <v>LEI' MAIL 22/9/17</v>
          </cell>
          <cell r="AA1976"/>
          <cell r="AB1976">
            <v>43000</v>
          </cell>
          <cell r="AC1976">
            <v>3512</v>
          </cell>
        </row>
        <row r="1977">
          <cell r="B1977">
            <v>3511</v>
          </cell>
          <cell r="C1977" t="str">
            <v>HLKO17063</v>
          </cell>
          <cell r="D1977"/>
          <cell r="E1977"/>
          <cell r="F1977" t="str">
            <v>T/S 96/4</v>
          </cell>
          <cell r="G1977" t="str">
            <v>T/S 96/4 - 150D+40D</v>
          </cell>
          <cell r="H1977" t="str">
            <v>134CM</v>
          </cell>
          <cell r="I1977">
            <v>236</v>
          </cell>
          <cell r="J1977">
            <v>1.5399441524618989</v>
          </cell>
          <cell r="K1977">
            <v>1.8315924069912843</v>
          </cell>
          <cell r="L1977">
            <v>1.639944152461899</v>
          </cell>
          <cell r="M1977">
            <v>1.9315924069912844</v>
          </cell>
          <cell r="N1977">
            <v>1.739944152461899</v>
          </cell>
          <cell r="O1977">
            <v>2.1315924069912846</v>
          </cell>
          <cell r="P1977"/>
          <cell r="Q1977"/>
          <cell r="R1977">
            <v>1.8399441524618991</v>
          </cell>
          <cell r="S1977">
            <v>2.3315924069912848</v>
          </cell>
          <cell r="T1977"/>
          <cell r="U1977"/>
          <cell r="V1977">
            <v>15</v>
          </cell>
          <cell r="W1977"/>
          <cell r="X1977" t="str">
            <v>CANDY</v>
          </cell>
          <cell r="Y1977" t="str">
            <v>CANDY 14-SEP REVISE</v>
          </cell>
          <cell r="Z1977" t="str">
            <v>LEI' MAIL 22/9/17</v>
          </cell>
          <cell r="AA1977"/>
          <cell r="AB1977">
            <v>43000</v>
          </cell>
          <cell r="AC1977">
            <v>3511</v>
          </cell>
        </row>
        <row r="1978">
          <cell r="B1978">
            <v>3510</v>
          </cell>
          <cell r="C1978" t="str">
            <v>HLTR17098</v>
          </cell>
          <cell r="D1978"/>
          <cell r="E1978"/>
          <cell r="F1978" t="str">
            <v>T/R/S 76/21/3</v>
          </cell>
          <cell r="G1978" t="str">
            <v>76% POLYESTER 21% RAYON 3% SPANDEX - 32S TR x 150D + 40D</v>
          </cell>
          <cell r="H1978" t="str">
            <v>57/58</v>
          </cell>
          <cell r="I1978">
            <v>200</v>
          </cell>
          <cell r="J1978">
            <v>2.3369863013698629</v>
          </cell>
          <cell r="K1978"/>
          <cell r="L1978">
            <v>2.4369863013698629</v>
          </cell>
          <cell r="M1978"/>
          <cell r="N1978">
            <v>2.536986301369863</v>
          </cell>
          <cell r="O1978"/>
          <cell r="P1978"/>
          <cell r="Q1978"/>
          <cell r="R1978">
            <v>2.6369863013698631</v>
          </cell>
          <cell r="S1978"/>
          <cell r="T1978"/>
          <cell r="U1978"/>
          <cell r="V1978">
            <v>15</v>
          </cell>
          <cell r="W1978"/>
          <cell r="X1978" t="str">
            <v>CANDY</v>
          </cell>
          <cell r="Y1978" t="str">
            <v>CANDY 14-SEP REVISE</v>
          </cell>
          <cell r="Z1978" t="str">
            <v>LEI' MAIL 22/9/17</v>
          </cell>
          <cell r="AA1978"/>
          <cell r="AB1978">
            <v>43000</v>
          </cell>
          <cell r="AC1978">
            <v>3510</v>
          </cell>
        </row>
        <row r="1979">
          <cell r="B1979">
            <v>3509</v>
          </cell>
          <cell r="C1979" t="str">
            <v>HLTR17137</v>
          </cell>
          <cell r="D1979"/>
          <cell r="E1979"/>
          <cell r="F1979" t="str">
            <v>T/R/S 66/32/2</v>
          </cell>
          <cell r="G1979" t="str">
            <v>T/R/S 66/32/S - 40S/2 TR x 40S/2 CD/R +40D</v>
          </cell>
          <cell r="H1979" t="str">
            <v>57/58</v>
          </cell>
          <cell r="I1979">
            <v>230</v>
          </cell>
          <cell r="J1979">
            <v>2.4602739726027401</v>
          </cell>
          <cell r="K1979"/>
          <cell r="L1979">
            <v>2.5602739726027401</v>
          </cell>
          <cell r="M1979"/>
          <cell r="N1979">
            <v>2.6602739726027402</v>
          </cell>
          <cell r="O1979"/>
          <cell r="P1979"/>
          <cell r="Q1979"/>
          <cell r="R1979">
            <v>2.7602739726027403</v>
          </cell>
          <cell r="S1979"/>
          <cell r="T1979"/>
          <cell r="U1979"/>
          <cell r="V1979">
            <v>15</v>
          </cell>
          <cell r="W1979"/>
          <cell r="X1979" t="str">
            <v>CANDY</v>
          </cell>
          <cell r="Y1979" t="str">
            <v>CANDY 14-SEP REVISE</v>
          </cell>
          <cell r="Z1979" t="str">
            <v>LEI' MAIL 22/9/17</v>
          </cell>
          <cell r="AA1979"/>
          <cell r="AB1979">
            <v>43000</v>
          </cell>
          <cell r="AC1979">
            <v>3509</v>
          </cell>
        </row>
        <row r="1980">
          <cell r="B1980">
            <v>3508</v>
          </cell>
          <cell r="C1980" t="str">
            <v>HLTR17060</v>
          </cell>
          <cell r="D1980"/>
          <cell r="E1980"/>
          <cell r="F1980" t="str">
            <v>T/R/S 82/16/2</v>
          </cell>
          <cell r="G1980" t="str">
            <v>82% POLYESTER 16% RAYON 2% SPANDEX</v>
          </cell>
          <cell r="H1980" t="str">
            <v>57/58</v>
          </cell>
          <cell r="I1980">
            <v>335</v>
          </cell>
          <cell r="J1980">
            <v>3.4499999999999997</v>
          </cell>
          <cell r="K1980"/>
          <cell r="L1980">
            <v>3.55</v>
          </cell>
          <cell r="M1980"/>
          <cell r="N1980">
            <v>3.65</v>
          </cell>
          <cell r="O1980"/>
          <cell r="P1980"/>
          <cell r="Q1980"/>
          <cell r="R1980">
            <v>3.75</v>
          </cell>
          <cell r="S1980"/>
          <cell r="T1980"/>
          <cell r="U1980"/>
          <cell r="V1980">
            <v>15</v>
          </cell>
          <cell r="W1980"/>
          <cell r="X1980" t="str">
            <v>CANDY</v>
          </cell>
          <cell r="Y1980" t="str">
            <v>CANDY 14-SEP REVISE</v>
          </cell>
          <cell r="Z1980" t="str">
            <v>LEI' MAIL 22/9/17</v>
          </cell>
          <cell r="AA1980"/>
          <cell r="AB1980">
            <v>43000</v>
          </cell>
          <cell r="AC1980">
            <v>3508</v>
          </cell>
        </row>
        <row r="1981">
          <cell r="B1981">
            <v>3507</v>
          </cell>
          <cell r="C1981" t="str">
            <v>HLTR17034</v>
          </cell>
          <cell r="D1981"/>
          <cell r="E1981"/>
          <cell r="F1981" t="str">
            <v>T/R/S 65/33/2</v>
          </cell>
          <cell r="G1981" t="str">
            <v>T/R/S 65/33/2 - 32S/2x21S+75D+40D</v>
          </cell>
          <cell r="H1981" t="str">
            <v>57/58</v>
          </cell>
          <cell r="I1981">
            <v>225</v>
          </cell>
          <cell r="J1981">
            <v>2.4431506849315072</v>
          </cell>
          <cell r="K1981"/>
          <cell r="L1981">
            <v>2.5431506849315073</v>
          </cell>
          <cell r="M1981"/>
          <cell r="N1981">
            <v>2.6431506849315074</v>
          </cell>
          <cell r="O1981"/>
          <cell r="P1981"/>
          <cell r="Q1981"/>
          <cell r="R1981">
            <v>2.7431506849315075</v>
          </cell>
          <cell r="S1981"/>
          <cell r="T1981"/>
          <cell r="U1981"/>
          <cell r="V1981">
            <v>15</v>
          </cell>
          <cell r="W1981"/>
          <cell r="X1981" t="str">
            <v>CANDY</v>
          </cell>
          <cell r="Y1981" t="str">
            <v>CANDY 14-SEP REVISE</v>
          </cell>
          <cell r="Z1981" t="str">
            <v>LEI' MAIL 22/9/17</v>
          </cell>
          <cell r="AA1981"/>
          <cell r="AB1981">
            <v>43000</v>
          </cell>
          <cell r="AC1981">
            <v>3507</v>
          </cell>
        </row>
        <row r="1982">
          <cell r="B1982">
            <v>3506</v>
          </cell>
          <cell r="C1982" t="str">
            <v>HLTR17081</v>
          </cell>
          <cell r="D1982"/>
          <cell r="E1982"/>
          <cell r="F1982" t="str">
            <v>T/R/S 63/33/4</v>
          </cell>
          <cell r="G1982" t="str">
            <v>63% POLYESTER 33% RAYON 4% SPANDEX - 32S/2 TR +40D x 2</v>
          </cell>
          <cell r="H1982" t="str">
            <v>57/58</v>
          </cell>
          <cell r="I1982">
            <v>335</v>
          </cell>
          <cell r="J1982">
            <v>2.9583170254403135</v>
          </cell>
          <cell r="K1982"/>
          <cell r="L1982">
            <v>3.0583170254403136</v>
          </cell>
          <cell r="M1982"/>
          <cell r="N1982">
            <v>3.1583170254403137</v>
          </cell>
          <cell r="O1982"/>
          <cell r="P1982"/>
          <cell r="Q1982"/>
          <cell r="R1982">
            <v>3.2583170254403138</v>
          </cell>
          <cell r="S1982"/>
          <cell r="T1982"/>
          <cell r="U1982"/>
          <cell r="V1982">
            <v>15</v>
          </cell>
          <cell r="W1982"/>
          <cell r="X1982" t="str">
            <v>CANDY</v>
          </cell>
          <cell r="Y1982" t="str">
            <v>CANDY 14-SEP REVISE</v>
          </cell>
          <cell r="Z1982" t="str">
            <v>LEI' MAIL 22/9/17</v>
          </cell>
          <cell r="AA1982"/>
          <cell r="AB1982">
            <v>43000</v>
          </cell>
          <cell r="AC1982">
            <v>3506</v>
          </cell>
        </row>
        <row r="1983">
          <cell r="B1983">
            <v>3505</v>
          </cell>
          <cell r="C1983" t="str">
            <v>HLKO17043</v>
          </cell>
          <cell r="D1983"/>
          <cell r="E1983"/>
          <cell r="F1983" t="str">
            <v>T/S 92/8</v>
          </cell>
          <cell r="G1983" t="str">
            <v>92% POLYESTER 8 % SPANDEX</v>
          </cell>
          <cell r="H1983" t="str">
            <v>155CM</v>
          </cell>
          <cell r="I1983">
            <v>295</v>
          </cell>
          <cell r="J1983">
            <v>2.8219178082191783</v>
          </cell>
          <cell r="K1983"/>
          <cell r="L1983">
            <v>2.9219178082191783</v>
          </cell>
          <cell r="M1983"/>
          <cell r="N1983">
            <v>3.0219178082191784</v>
          </cell>
          <cell r="O1983"/>
          <cell r="P1983"/>
          <cell r="Q1983"/>
          <cell r="R1983">
            <v>3.1219178082191785</v>
          </cell>
          <cell r="S1983"/>
          <cell r="T1983"/>
          <cell r="U1983"/>
          <cell r="V1983">
            <v>15</v>
          </cell>
          <cell r="W1983"/>
          <cell r="X1983" t="str">
            <v>CANDY</v>
          </cell>
          <cell r="Y1983" t="str">
            <v>CANDY 14-SEP REVISE</v>
          </cell>
          <cell r="Z1983" t="str">
            <v>LEI' MAIL 22/9/17</v>
          </cell>
          <cell r="AA1983"/>
          <cell r="AB1983">
            <v>43000</v>
          </cell>
          <cell r="AC1983">
            <v>3505</v>
          </cell>
        </row>
        <row r="1984">
          <cell r="B1984">
            <v>3504</v>
          </cell>
          <cell r="C1984" t="str">
            <v>HLTR17059</v>
          </cell>
          <cell r="D1984"/>
          <cell r="E1984"/>
          <cell r="F1984" t="str">
            <v>T/R/S 66/33/4</v>
          </cell>
          <cell r="G1984" t="str">
            <v>T/R/S 66/33/4 - 40S/2 TR + 40D x 40S/S TR + 40D</v>
          </cell>
          <cell r="H1984" t="str">
            <v>57/58</v>
          </cell>
          <cell r="I1984">
            <v>295</v>
          </cell>
          <cell r="J1984">
            <v>2.6902152641878669</v>
          </cell>
          <cell r="K1984"/>
          <cell r="L1984">
            <v>2.790215264187867</v>
          </cell>
          <cell r="M1984"/>
          <cell r="N1984">
            <v>2.8902152641878671</v>
          </cell>
          <cell r="O1984"/>
          <cell r="P1984"/>
          <cell r="Q1984"/>
          <cell r="R1984">
            <v>2.9902152641878672</v>
          </cell>
          <cell r="S1984"/>
          <cell r="T1984"/>
          <cell r="U1984"/>
          <cell r="V1984">
            <v>15</v>
          </cell>
          <cell r="W1984"/>
          <cell r="X1984" t="str">
            <v>CANDY</v>
          </cell>
          <cell r="Y1984" t="str">
            <v>CANDY 14-SEP REVISE</v>
          </cell>
          <cell r="Z1984" t="str">
            <v>LEI' MAIL 22/9/17</v>
          </cell>
          <cell r="AA1984"/>
          <cell r="AB1984">
            <v>43000</v>
          </cell>
          <cell r="AC1984">
            <v>3504</v>
          </cell>
        </row>
        <row r="1985">
          <cell r="B1985">
            <v>3502</v>
          </cell>
          <cell r="C1985" t="str">
            <v>HLTR17111</v>
          </cell>
          <cell r="D1985"/>
          <cell r="E1985"/>
          <cell r="F1985" t="str">
            <v>T/R/S 64/34/2</v>
          </cell>
          <cell r="G1985" t="str">
            <v>T/R/S 64/34/2 - 32S/2 TR x 32S/2 TR + 40D</v>
          </cell>
          <cell r="H1985" t="str">
            <v>57/58</v>
          </cell>
          <cell r="I1985">
            <v>255</v>
          </cell>
          <cell r="J1985">
            <v>2.6452054794520548</v>
          </cell>
          <cell r="K1985"/>
          <cell r="L1985">
            <v>2.7452054794520548</v>
          </cell>
          <cell r="M1985"/>
          <cell r="N1985">
            <v>2.8452054794520549</v>
          </cell>
          <cell r="O1985"/>
          <cell r="P1985"/>
          <cell r="Q1985"/>
          <cell r="R1985">
            <v>2.945205479452055</v>
          </cell>
          <cell r="S1985"/>
          <cell r="T1985"/>
          <cell r="U1985"/>
          <cell r="V1985">
            <v>15</v>
          </cell>
          <cell r="W1985"/>
          <cell r="X1985" t="str">
            <v>CANDY</v>
          </cell>
          <cell r="Y1985" t="str">
            <v>CANDY 14-SEP REVISE</v>
          </cell>
          <cell r="Z1985" t="str">
            <v>LEI' MAIL 22/9/17</v>
          </cell>
          <cell r="AA1985"/>
          <cell r="AB1985">
            <v>43000</v>
          </cell>
          <cell r="AC1985">
            <v>3502</v>
          </cell>
        </row>
        <row r="1986">
          <cell r="B1986">
            <v>3501</v>
          </cell>
          <cell r="C1986" t="str">
            <v>HLTR17112</v>
          </cell>
          <cell r="D1986"/>
          <cell r="E1986"/>
          <cell r="F1986" t="str">
            <v>T/R/S 64/34/2</v>
          </cell>
          <cell r="G1986" t="str">
            <v>64% POLYESTER 34% RAYON 2% SPANDEX - 50S/2 TR x 50S/2 TR+ 40D</v>
          </cell>
          <cell r="H1986" t="str">
            <v>57/58</v>
          </cell>
          <cell r="I1986">
            <v>210</v>
          </cell>
          <cell r="J1986">
            <v>2.6315068493150688</v>
          </cell>
          <cell r="K1986"/>
          <cell r="L1986">
            <v>2.7315068493150689</v>
          </cell>
          <cell r="M1986"/>
          <cell r="N1986">
            <v>2.831506849315069</v>
          </cell>
          <cell r="O1986"/>
          <cell r="P1986"/>
          <cell r="Q1986"/>
          <cell r="R1986">
            <v>2.9315068493150691</v>
          </cell>
          <cell r="S1986"/>
          <cell r="T1986"/>
          <cell r="U1986"/>
          <cell r="V1986">
            <v>15</v>
          </cell>
          <cell r="W1986"/>
          <cell r="X1986" t="str">
            <v>CANDY</v>
          </cell>
          <cell r="Y1986" t="str">
            <v>CANDY 14-SEP REVISE</v>
          </cell>
          <cell r="Z1986" t="str">
            <v>LEI' MAIL 22/9/17</v>
          </cell>
          <cell r="AA1986"/>
          <cell r="AB1986">
            <v>43000</v>
          </cell>
          <cell r="AC1986">
            <v>3501</v>
          </cell>
        </row>
        <row r="1987">
          <cell r="B1987">
            <v>3500</v>
          </cell>
          <cell r="C1987" t="str">
            <v>HLTR17089</v>
          </cell>
          <cell r="D1987"/>
          <cell r="E1987"/>
          <cell r="F1987" t="str">
            <v>T/R/S 64/34/2</v>
          </cell>
          <cell r="G1987" t="str">
            <v>64% POLYESTER 34% RAYON 2% SPANDEX - 32S/2 TR x 32S/2 TR + 40D</v>
          </cell>
          <cell r="H1987" t="str">
            <v>57/58</v>
          </cell>
          <cell r="I1987">
            <v>235</v>
          </cell>
          <cell r="J1987">
            <v>2.5253424657534249</v>
          </cell>
          <cell r="K1987"/>
          <cell r="L1987">
            <v>2.625342465753425</v>
          </cell>
          <cell r="M1987"/>
          <cell r="N1987">
            <v>2.7253424657534251</v>
          </cell>
          <cell r="O1987"/>
          <cell r="P1987"/>
          <cell r="Q1987"/>
          <cell r="R1987">
            <v>2.8253424657534252</v>
          </cell>
          <cell r="S1987"/>
          <cell r="T1987"/>
          <cell r="U1987"/>
          <cell r="V1987">
            <v>15</v>
          </cell>
          <cell r="W1987"/>
          <cell r="X1987" t="str">
            <v>CANDY</v>
          </cell>
          <cell r="Y1987" t="str">
            <v>CANDY 14-SEP REVISE</v>
          </cell>
          <cell r="Z1987" t="str">
            <v>LEI' MAIL 22/9/17</v>
          </cell>
          <cell r="AA1987"/>
          <cell r="AB1987">
            <v>43000</v>
          </cell>
          <cell r="AC1987">
            <v>3500</v>
          </cell>
        </row>
        <row r="1988">
          <cell r="B1988">
            <v>3499</v>
          </cell>
          <cell r="C1988" t="str">
            <v>HLTR17121</v>
          </cell>
          <cell r="D1988"/>
          <cell r="E1988"/>
          <cell r="F1988" t="str">
            <v>T/R/S 63/33/4 - 32S TR + 40D x 32S TR + 40D</v>
          </cell>
          <cell r="G1988" t="str">
            <v>POLYESTER/RAYON/SPANDEX 63/33/4 - 32S TR + 40D x 32S TR + 40D</v>
          </cell>
          <cell r="H1988" t="str">
            <v>57/58</v>
          </cell>
          <cell r="I1988">
            <v>260</v>
          </cell>
          <cell r="J1988">
            <v>2.5180039138943249</v>
          </cell>
          <cell r="K1988"/>
          <cell r="L1988">
            <v>2.618003913894325</v>
          </cell>
          <cell r="M1988"/>
          <cell r="N1988">
            <v>2.7180039138943251</v>
          </cell>
          <cell r="O1988"/>
          <cell r="P1988"/>
          <cell r="Q1988"/>
          <cell r="R1988">
            <v>2.8180039138943251</v>
          </cell>
          <cell r="S1988"/>
          <cell r="T1988"/>
          <cell r="U1988"/>
          <cell r="V1988">
            <v>15</v>
          </cell>
          <cell r="W1988"/>
          <cell r="X1988" t="str">
            <v>CANDY</v>
          </cell>
          <cell r="Y1988" t="str">
            <v>CANDY 14-SEP REVISE</v>
          </cell>
          <cell r="Z1988" t="str">
            <v>LEI' MAIL 22/9/17</v>
          </cell>
          <cell r="AA1988"/>
          <cell r="AB1988">
            <v>43000</v>
          </cell>
          <cell r="AC1988">
            <v>3499</v>
          </cell>
        </row>
        <row r="1989">
          <cell r="B1989">
            <v>3498</v>
          </cell>
          <cell r="C1989" t="str">
            <v>HLTR17032</v>
          </cell>
          <cell r="D1989"/>
          <cell r="E1989"/>
          <cell r="F1989" t="str">
            <v>T/R/S 64/34/2 - 40S/2x40S/2+40D</v>
          </cell>
          <cell r="G1989" t="str">
            <v>POLYESTER/RAYON/SPANDEX 64/34/2 - 40S/2x40S/2+40D</v>
          </cell>
          <cell r="H1989" t="str">
            <v>57/58</v>
          </cell>
          <cell r="I1989">
            <v>230</v>
          </cell>
          <cell r="J1989">
            <v>2.4945205479452053</v>
          </cell>
          <cell r="K1989"/>
          <cell r="L1989">
            <v>2.5945205479452054</v>
          </cell>
          <cell r="M1989"/>
          <cell r="N1989">
            <v>2.6945205479452055</v>
          </cell>
          <cell r="O1989"/>
          <cell r="P1989"/>
          <cell r="Q1989"/>
          <cell r="R1989">
            <v>2.7945205479452055</v>
          </cell>
          <cell r="S1989"/>
          <cell r="T1989"/>
          <cell r="U1989"/>
          <cell r="V1989">
            <v>15</v>
          </cell>
          <cell r="W1989"/>
          <cell r="X1989" t="str">
            <v>CANDY</v>
          </cell>
          <cell r="Y1989" t="str">
            <v>CANDY 14-SEP REVISE</v>
          </cell>
          <cell r="Z1989" t="str">
            <v>LEI' MAIL 22/9/17</v>
          </cell>
          <cell r="AA1989"/>
          <cell r="AB1989">
            <v>43000</v>
          </cell>
          <cell r="AC1989">
            <v>3498</v>
          </cell>
        </row>
        <row r="1990">
          <cell r="B1990">
            <v>3497</v>
          </cell>
          <cell r="C1990" t="str">
            <v>HLTR17050</v>
          </cell>
          <cell r="D1990"/>
          <cell r="E1990"/>
          <cell r="F1990" t="str">
            <v>T/R/S62/32/6</v>
          </cell>
          <cell r="G1990" t="str">
            <v>T/R/S 62/32/6 - 32S + 40D x 32S +40D</v>
          </cell>
          <cell r="H1990" t="str">
            <v>57/58</v>
          </cell>
          <cell r="I1990">
            <v>285</v>
          </cell>
          <cell r="J1990">
            <v>3.0542074363992175</v>
          </cell>
          <cell r="K1990"/>
          <cell r="L1990">
            <v>3.1542074363992176</v>
          </cell>
          <cell r="M1990"/>
          <cell r="N1990">
            <v>3.2542074363992177</v>
          </cell>
          <cell r="O1990"/>
          <cell r="P1990"/>
          <cell r="Q1990"/>
          <cell r="R1990">
            <v>3.3542074363992178</v>
          </cell>
          <cell r="S1990"/>
          <cell r="T1990"/>
          <cell r="U1990"/>
          <cell r="V1990">
            <v>15</v>
          </cell>
          <cell r="W1990"/>
          <cell r="X1990" t="str">
            <v>CANDY</v>
          </cell>
          <cell r="Y1990" t="str">
            <v>CANDY 14-SEP REVISE</v>
          </cell>
          <cell r="Z1990" t="str">
            <v>LEI' MAIL 22/9/17</v>
          </cell>
          <cell r="AA1990"/>
          <cell r="AB1990">
            <v>43000</v>
          </cell>
          <cell r="AC1990">
            <v>3497</v>
          </cell>
        </row>
        <row r="1991">
          <cell r="B1991">
            <v>3496</v>
          </cell>
          <cell r="C1991" t="str">
            <v>HLTR17065</v>
          </cell>
          <cell r="D1991"/>
          <cell r="E1991"/>
          <cell r="F1991" t="str">
            <v>T/R/S 63/32/5 - 30S TR+40Dx25S TR + 40D</v>
          </cell>
          <cell r="G1991" t="str">
            <v>POLYESTER/RAYON/SPANDEX 63/32/5 - 30S TR+40Dx25S TR + 40D</v>
          </cell>
          <cell r="H1991" t="str">
            <v>57/58</v>
          </cell>
          <cell r="I1991">
            <v>340</v>
          </cell>
          <cell r="J1991">
            <v>3.3771037181996086</v>
          </cell>
          <cell r="K1991"/>
          <cell r="L1991">
            <v>3.4771037181996087</v>
          </cell>
          <cell r="M1991"/>
          <cell r="N1991">
            <v>3.5771037181996088</v>
          </cell>
          <cell r="O1991"/>
          <cell r="P1991"/>
          <cell r="Q1991"/>
          <cell r="R1991">
            <v>3.6771037181996089</v>
          </cell>
          <cell r="S1991"/>
          <cell r="T1991"/>
          <cell r="U1991"/>
          <cell r="V1991">
            <v>15</v>
          </cell>
          <cell r="W1991"/>
          <cell r="X1991" t="str">
            <v>CANDY</v>
          </cell>
          <cell r="Y1991" t="str">
            <v>CANDY 14-SEP REVISE</v>
          </cell>
          <cell r="Z1991" t="str">
            <v>LEI' MAIL 22/9/17</v>
          </cell>
          <cell r="AA1991"/>
          <cell r="AB1991">
            <v>43000</v>
          </cell>
          <cell r="AC1991">
            <v>3496</v>
          </cell>
        </row>
        <row r="1992">
          <cell r="B1992">
            <v>3495</v>
          </cell>
          <cell r="C1992" t="str">
            <v>HLT2171</v>
          </cell>
          <cell r="D1992"/>
          <cell r="E1992"/>
          <cell r="F1992" t="str">
            <v>70% VISCOSE 25% POLYAMIDE 5% ELASTANE - 40S+70D+40D</v>
          </cell>
          <cell r="G1992" t="str">
            <v>70% VISCOSE 25% POLYAMIDE 5% ELASTANE - 40S+70D+40D</v>
          </cell>
          <cell r="H1992" t="str">
            <v>152CM</v>
          </cell>
          <cell r="I1992">
            <v>410</v>
          </cell>
          <cell r="J1992">
            <v>3.9999418317191635</v>
          </cell>
          <cell r="K1992"/>
          <cell r="L1992">
            <v>4.0999418317191632</v>
          </cell>
          <cell r="M1992"/>
          <cell r="N1992">
            <v>4.1999418317191628</v>
          </cell>
          <cell r="O1992"/>
          <cell r="P1992"/>
          <cell r="Q1992"/>
          <cell r="R1992">
            <v>4.2999418317191624</v>
          </cell>
          <cell r="S1992"/>
          <cell r="T1992"/>
          <cell r="U1992"/>
          <cell r="V1992">
            <v>15</v>
          </cell>
          <cell r="W1992"/>
          <cell r="X1992" t="str">
            <v>CANDY</v>
          </cell>
          <cell r="Y1992" t="str">
            <v>CANDY 14-SEP REVISE</v>
          </cell>
          <cell r="Z1992" t="str">
            <v>LEI' MAIL 22/9/17</v>
          </cell>
          <cell r="AA1992"/>
          <cell r="AB1992">
            <v>43000</v>
          </cell>
          <cell r="AC1992">
            <v>3495</v>
          </cell>
        </row>
        <row r="1993">
          <cell r="B1993">
            <v>3494</v>
          </cell>
          <cell r="C1993" t="str">
            <v>HLTR17119</v>
          </cell>
          <cell r="D1993"/>
          <cell r="E1993"/>
          <cell r="F1993" t="str">
            <v>T/R/S 63/33/4 21S TR+40D x 21S TR + 40D</v>
          </cell>
          <cell r="G1993" t="str">
            <v>T/R/S 63/33/4 21S TR+40D x 21S TR + 40D</v>
          </cell>
          <cell r="H1993" t="str">
            <v>57/58</v>
          </cell>
          <cell r="I1993">
            <v>240</v>
          </cell>
          <cell r="J1993">
            <v>2.5238747553816046</v>
          </cell>
          <cell r="K1993"/>
          <cell r="L1993">
            <v>2.6238747553816046</v>
          </cell>
          <cell r="M1993"/>
          <cell r="N1993">
            <v>2.7238747553816047</v>
          </cell>
          <cell r="O1993"/>
          <cell r="P1993"/>
          <cell r="Q1993"/>
          <cell r="R1993">
            <v>2.8238747553816048</v>
          </cell>
          <cell r="S1993"/>
          <cell r="T1993"/>
          <cell r="U1993"/>
          <cell r="V1993">
            <v>15</v>
          </cell>
          <cell r="W1993"/>
          <cell r="X1993" t="str">
            <v>CANDY</v>
          </cell>
          <cell r="Y1993" t="str">
            <v>CANDY 14-SEP REVISE</v>
          </cell>
          <cell r="Z1993" t="str">
            <v>LEI' MAIL 22/9/17</v>
          </cell>
          <cell r="AA1993"/>
          <cell r="AB1993">
            <v>43000</v>
          </cell>
          <cell r="AC1993">
            <v>3494</v>
          </cell>
        </row>
        <row r="1994">
          <cell r="B1994">
            <v>3486</v>
          </cell>
          <cell r="C1994" t="str">
            <v>HLTR17114</v>
          </cell>
          <cell r="D1994" t="str">
            <v>TAILORING</v>
          </cell>
          <cell r="E1994"/>
          <cell r="F1994" t="str">
            <v>86% POLYESTER 10% RAYON 4% SPANDEX</v>
          </cell>
          <cell r="G1994" t="str">
            <v>86% POLYESTER 10% RAYON 4% SPANDEX</v>
          </cell>
          <cell r="H1994" t="str">
            <v>57/58</v>
          </cell>
          <cell r="I1994">
            <v>270</v>
          </cell>
          <cell r="J1994">
            <v>2.486692759295499</v>
          </cell>
          <cell r="K1994"/>
          <cell r="L1994">
            <v>2.5866927592954991</v>
          </cell>
          <cell r="M1994"/>
          <cell r="N1994">
            <v>2.6866927592954992</v>
          </cell>
          <cell r="O1994"/>
          <cell r="P1994"/>
          <cell r="Q1994"/>
          <cell r="R1994">
            <v>2.7866927592954993</v>
          </cell>
          <cell r="S1994"/>
          <cell r="T1994"/>
          <cell r="U1994"/>
          <cell r="V1994">
            <v>15</v>
          </cell>
          <cell r="W1994"/>
          <cell r="X1994" t="str">
            <v>CANDY</v>
          </cell>
          <cell r="Y1994" t="str">
            <v>CANDY 14-SEP REVISE</v>
          </cell>
          <cell r="Z1994" t="str">
            <v>LEI' MAIL 22/9/17</v>
          </cell>
          <cell r="AA1994"/>
          <cell r="AB1994">
            <v>43000</v>
          </cell>
          <cell r="AC1994">
            <v>3486</v>
          </cell>
        </row>
        <row r="1995">
          <cell r="B1995">
            <v>3485</v>
          </cell>
          <cell r="C1995" t="str">
            <v>HLTR17109</v>
          </cell>
          <cell r="D1995" t="str">
            <v>TAILORING</v>
          </cell>
          <cell r="E1995"/>
          <cell r="F1995" t="str">
            <v>T/R/S 78/18/4</v>
          </cell>
          <cell r="G1995" t="str">
            <v>T/R/S 78/18/4</v>
          </cell>
          <cell r="H1995" t="str">
            <v>57/58</v>
          </cell>
          <cell r="I1995">
            <v>240</v>
          </cell>
          <cell r="J1995">
            <v>2.5825831702544031</v>
          </cell>
          <cell r="K1995"/>
          <cell r="L1995">
            <v>2.6825831702544032</v>
          </cell>
          <cell r="M1995"/>
          <cell r="N1995">
            <v>2.7825831702544033</v>
          </cell>
          <cell r="O1995"/>
          <cell r="P1995"/>
          <cell r="Q1995"/>
          <cell r="R1995">
            <v>2.8825831702544034</v>
          </cell>
          <cell r="S1995"/>
          <cell r="T1995"/>
          <cell r="U1995"/>
          <cell r="V1995">
            <v>15</v>
          </cell>
          <cell r="W1995"/>
          <cell r="X1995" t="str">
            <v>CANDY</v>
          </cell>
          <cell r="Y1995" t="str">
            <v>CANDY 14-SEP REVISE</v>
          </cell>
          <cell r="Z1995" t="str">
            <v>LEI' MAIL 22/9/17</v>
          </cell>
          <cell r="AA1995"/>
          <cell r="AB1995">
            <v>43000</v>
          </cell>
          <cell r="AC1995">
            <v>3485</v>
          </cell>
        </row>
        <row r="1996">
          <cell r="B1996">
            <v>3484</v>
          </cell>
          <cell r="C1996" t="str">
            <v>HLTR17013</v>
          </cell>
          <cell r="D1996" t="str">
            <v>TAILORING</v>
          </cell>
          <cell r="E1996"/>
          <cell r="F1996" t="str">
            <v>T/R/S 81/17/2 - 25S/2 +400D x 300D+40D</v>
          </cell>
          <cell r="G1996" t="str">
            <v>POLYESTER/RAYON/SPANDEX 81/17/2 - 25S/2 +400D x 300D+40D</v>
          </cell>
          <cell r="H1996" t="str">
            <v>57/58</v>
          </cell>
          <cell r="I1996">
            <v>320</v>
          </cell>
          <cell r="J1996">
            <v>2.6623287671232876</v>
          </cell>
          <cell r="K1996"/>
          <cell r="L1996">
            <v>2.7623287671232877</v>
          </cell>
          <cell r="M1996"/>
          <cell r="N1996">
            <v>2.8623287671232878</v>
          </cell>
          <cell r="O1996"/>
          <cell r="P1996"/>
          <cell r="Q1996"/>
          <cell r="R1996">
            <v>2.9623287671232879</v>
          </cell>
          <cell r="S1996"/>
          <cell r="T1996"/>
          <cell r="U1996"/>
          <cell r="V1996">
            <v>15</v>
          </cell>
          <cell r="W1996"/>
          <cell r="X1996" t="str">
            <v>CANDY</v>
          </cell>
          <cell r="Y1996" t="str">
            <v>CANDY 14-SEP REVISE</v>
          </cell>
          <cell r="Z1996" t="str">
            <v>LEI' MAIL 22/9/17</v>
          </cell>
          <cell r="AA1996"/>
          <cell r="AB1996">
            <v>43000</v>
          </cell>
          <cell r="AC1996">
            <v>3484</v>
          </cell>
        </row>
        <row r="1997">
          <cell r="B1997">
            <v>3483</v>
          </cell>
          <cell r="C1997" t="str">
            <v>HLTR17092</v>
          </cell>
          <cell r="D1997" t="str">
            <v>TAILORING</v>
          </cell>
          <cell r="E1997"/>
          <cell r="F1997" t="str">
            <v xml:space="preserve">T/R/S 70/28/2 </v>
          </cell>
          <cell r="G1997" t="str">
            <v xml:space="preserve">POLYESTER/RAYON/SPANDEX 70/28/2 </v>
          </cell>
          <cell r="H1997" t="str">
            <v>57/58</v>
          </cell>
          <cell r="I1997">
            <v>315</v>
          </cell>
          <cell r="J1997">
            <v>2.8506849315068492</v>
          </cell>
          <cell r="K1997"/>
          <cell r="L1997">
            <v>2.9506849315068493</v>
          </cell>
          <cell r="M1997"/>
          <cell r="N1997">
            <v>3.0506849315068494</v>
          </cell>
          <cell r="O1997"/>
          <cell r="P1997"/>
          <cell r="Q1997"/>
          <cell r="R1997">
            <v>3.1506849315068495</v>
          </cell>
          <cell r="S1997"/>
          <cell r="T1997"/>
          <cell r="U1997"/>
          <cell r="V1997">
            <v>15</v>
          </cell>
          <cell r="W1997"/>
          <cell r="X1997" t="str">
            <v>CANDY</v>
          </cell>
          <cell r="Y1997" t="str">
            <v>CANDY 14-SEP REVISE</v>
          </cell>
          <cell r="Z1997" t="str">
            <v>LEI' MAIL 22/9/17</v>
          </cell>
          <cell r="AA1997"/>
          <cell r="AB1997">
            <v>43000</v>
          </cell>
          <cell r="AC1997">
            <v>3483</v>
          </cell>
        </row>
        <row r="1998">
          <cell r="B1998">
            <v>3482</v>
          </cell>
          <cell r="C1998" t="str">
            <v>HLTR17110</v>
          </cell>
          <cell r="D1998" t="str">
            <v>TAILORING</v>
          </cell>
          <cell r="E1998"/>
          <cell r="F1998" t="str">
            <v xml:space="preserve">T/R/S 64/34/2  </v>
          </cell>
          <cell r="G1998" t="str">
            <v xml:space="preserve">POLYESTER/RAYON/SPANDEX 64/34/2  </v>
          </cell>
          <cell r="H1998" t="str">
            <v>57/58</v>
          </cell>
          <cell r="I1998">
            <v>320</v>
          </cell>
          <cell r="J1998">
            <v>3.076712328767123</v>
          </cell>
          <cell r="K1998"/>
          <cell r="L1998">
            <v>3.1767123287671231</v>
          </cell>
          <cell r="M1998"/>
          <cell r="N1998">
            <v>3.2767123287671232</v>
          </cell>
          <cell r="O1998"/>
          <cell r="P1998"/>
          <cell r="Q1998"/>
          <cell r="R1998">
            <v>3.3767123287671232</v>
          </cell>
          <cell r="S1998"/>
          <cell r="T1998"/>
          <cell r="U1998"/>
          <cell r="V1998">
            <v>15</v>
          </cell>
          <cell r="W1998"/>
          <cell r="X1998" t="str">
            <v>CANDY</v>
          </cell>
          <cell r="Y1998" t="str">
            <v>CANDY 14-SEP REVISE</v>
          </cell>
          <cell r="Z1998" t="str">
            <v>LEI' MAIL 22/9/17</v>
          </cell>
          <cell r="AA1998"/>
          <cell r="AB1998">
            <v>43000</v>
          </cell>
          <cell r="AC1998">
            <v>3482</v>
          </cell>
        </row>
        <row r="1999">
          <cell r="B1999">
            <v>3481</v>
          </cell>
          <cell r="C1999" t="str">
            <v>HLTR17074</v>
          </cell>
          <cell r="D1999" t="str">
            <v>TAILORING</v>
          </cell>
          <cell r="E1999"/>
          <cell r="F1999" t="str">
            <v>T/R/S 67/28/5 - 32S CD/R + 40D, 150D+40D x 32S CD/R + 40D</v>
          </cell>
          <cell r="G1999" t="str">
            <v>POLYESTER/RAYON/SPANDEX 67/28/5 - 32S CD/R + 40D, 150D+40D x 32S CD/R + 40D</v>
          </cell>
          <cell r="H1999" t="str">
            <v>57/58</v>
          </cell>
          <cell r="I1999">
            <v>225</v>
          </cell>
          <cell r="J1999">
            <v>2.6804305283757341</v>
          </cell>
          <cell r="K1999"/>
          <cell r="L1999">
            <v>2.7804305283757342</v>
          </cell>
          <cell r="M1999"/>
          <cell r="N1999">
            <v>2.8804305283757343</v>
          </cell>
          <cell r="O1999"/>
          <cell r="P1999"/>
          <cell r="Q1999"/>
          <cell r="R1999">
            <v>2.9804305283757344</v>
          </cell>
          <cell r="S1999"/>
          <cell r="T1999"/>
          <cell r="U1999"/>
          <cell r="V1999">
            <v>15</v>
          </cell>
          <cell r="W1999"/>
          <cell r="X1999" t="str">
            <v>CANDY</v>
          </cell>
          <cell r="Y1999" t="str">
            <v>CANDY 14-SEP REVISE</v>
          </cell>
          <cell r="Z1999" t="str">
            <v>LEI' MAIL 22/9/17</v>
          </cell>
          <cell r="AA1999"/>
          <cell r="AB1999">
            <v>43000</v>
          </cell>
          <cell r="AC1999">
            <v>3481</v>
          </cell>
        </row>
        <row r="2000">
          <cell r="B2000">
            <v>3480</v>
          </cell>
          <cell r="C2000" t="str">
            <v>HLP17073</v>
          </cell>
          <cell r="D2000"/>
          <cell r="E2000"/>
          <cell r="F2000" t="str">
            <v>T/S 96/4</v>
          </cell>
          <cell r="G2000" t="str">
            <v>98% POLYESTER 2% SPANDEX - 100D+75D+40D</v>
          </cell>
          <cell r="H2000" t="str">
            <v>57/58</v>
          </cell>
          <cell r="I2000">
            <v>210</v>
          </cell>
          <cell r="J2000">
            <v>2.1246575342465754</v>
          </cell>
          <cell r="K2000">
            <v>2.1794520547945204</v>
          </cell>
          <cell r="L2000">
            <v>2.2246575342465755</v>
          </cell>
          <cell r="M2000">
            <v>2.2794520547945205</v>
          </cell>
          <cell r="N2000">
            <v>2.3246575342465756</v>
          </cell>
          <cell r="O2000">
            <v>2.4794520547945207</v>
          </cell>
          <cell r="P2000"/>
          <cell r="Q2000"/>
          <cell r="R2000">
            <v>2.4246575342465757</v>
          </cell>
          <cell r="S2000">
            <v>2.6794520547945209</v>
          </cell>
          <cell r="T2000"/>
          <cell r="U2000"/>
          <cell r="V2000">
            <v>15</v>
          </cell>
          <cell r="W2000"/>
          <cell r="X2000" t="str">
            <v>CANDY</v>
          </cell>
          <cell r="Y2000" t="str">
            <v>CANDY 14-SEP REVISE</v>
          </cell>
          <cell r="Z2000" t="str">
            <v>LEI' MAIL 22/9/17</v>
          </cell>
          <cell r="AA2000"/>
          <cell r="AB2000">
            <v>43000</v>
          </cell>
          <cell r="AC2000">
            <v>3480</v>
          </cell>
        </row>
        <row r="2001">
          <cell r="B2001">
            <v>3434</v>
          </cell>
          <cell r="C2001" t="str">
            <v>HLT5953</v>
          </cell>
          <cell r="D2001"/>
          <cell r="E2001"/>
          <cell r="F2001" t="str">
            <v>T/R/S 62/33/5</v>
          </cell>
          <cell r="G2001" t="str">
            <v>T/R/S 62/33/5 - 30S+40D x 30S+40D</v>
          </cell>
          <cell r="H2001" t="str">
            <v>57/58</v>
          </cell>
          <cell r="I2001">
            <v>300</v>
          </cell>
          <cell r="J2001">
            <v>2.9837573385518592</v>
          </cell>
          <cell r="K2001"/>
          <cell r="L2001">
            <v>3.0837573385518593</v>
          </cell>
          <cell r="M2001"/>
          <cell r="N2001">
            <v>3.1837573385518594</v>
          </cell>
          <cell r="O2001"/>
          <cell r="P2001"/>
          <cell r="Q2001"/>
          <cell r="R2001">
            <v>3.2837573385518595</v>
          </cell>
          <cell r="S2001"/>
          <cell r="T2001"/>
          <cell r="U2001"/>
          <cell r="V2001">
            <v>15</v>
          </cell>
          <cell r="W2001"/>
          <cell r="X2001" t="str">
            <v>CANDY</v>
          </cell>
          <cell r="Y2001" t="str">
            <v>CANDY 14-SEP REVISE</v>
          </cell>
          <cell r="Z2001" t="str">
            <v>LEI' MAIL 22/9/17</v>
          </cell>
          <cell r="AA2001"/>
          <cell r="AB2001">
            <v>43000</v>
          </cell>
          <cell r="AC2001">
            <v>3434</v>
          </cell>
        </row>
        <row r="2002">
          <cell r="B2002">
            <v>3352</v>
          </cell>
          <cell r="C2002" t="str">
            <v>TS-369</v>
          </cell>
          <cell r="D2002" t="str">
            <v>SINGLE JERSEY</v>
          </cell>
          <cell r="E2002"/>
          <cell r="F2002" t="str">
            <v>R/S 96/4</v>
          </cell>
          <cell r="G2002" t="str">
            <v>96% RAYON 4% SPANDEX</v>
          </cell>
          <cell r="H2002" t="str">
            <v>61/62</v>
          </cell>
          <cell r="I2002">
            <v>180</v>
          </cell>
          <cell r="J2002">
            <v>1.61</v>
          </cell>
          <cell r="K2002">
            <v>1.89</v>
          </cell>
          <cell r="L2002">
            <v>1.63</v>
          </cell>
          <cell r="M2002">
            <v>1.92</v>
          </cell>
          <cell r="N2002">
            <v>1.65</v>
          </cell>
          <cell r="O2002">
            <v>1.95</v>
          </cell>
          <cell r="P2002"/>
          <cell r="Q2002"/>
          <cell r="R2002">
            <v>1.8</v>
          </cell>
          <cell r="S2002">
            <v>2.2000000000000002</v>
          </cell>
          <cell r="T2002"/>
          <cell r="U2002"/>
          <cell r="V2002">
            <v>15</v>
          </cell>
          <cell r="W2002"/>
          <cell r="X2002" t="str">
            <v>GAVIN</v>
          </cell>
          <cell r="Y2002" t="str">
            <v>GAVIN 22-SEP</v>
          </cell>
          <cell r="Z2002" t="str">
            <v>GAVIN' MAIL 22/9/17</v>
          </cell>
          <cell r="AA2002"/>
          <cell r="AB2002">
            <v>43000</v>
          </cell>
          <cell r="AC2002">
            <v>3352</v>
          </cell>
        </row>
        <row r="2003">
          <cell r="B2003">
            <v>3333</v>
          </cell>
          <cell r="C2003" t="str">
            <v>TS-028C</v>
          </cell>
          <cell r="D2003" t="str">
            <v>POLY CREPE CHEAP PRICE</v>
          </cell>
          <cell r="E2003"/>
          <cell r="F2003" t="str">
            <v>T 100%</v>
          </cell>
          <cell r="G2003" t="str">
            <v>100% POLYESTER</v>
          </cell>
          <cell r="H2003" t="str">
            <v>57/58</v>
          </cell>
          <cell r="I2003">
            <v>116</v>
          </cell>
          <cell r="J2003">
            <v>1.08</v>
          </cell>
          <cell r="K2003">
            <v>1.28</v>
          </cell>
          <cell r="L2003">
            <v>1.1000000000000001</v>
          </cell>
          <cell r="M2003">
            <v>1.3</v>
          </cell>
          <cell r="N2003">
            <v>1.1200000000000001</v>
          </cell>
          <cell r="O2003">
            <v>1.34</v>
          </cell>
          <cell r="P2003"/>
          <cell r="Q2003"/>
          <cell r="R2003">
            <v>1.23</v>
          </cell>
          <cell r="S2003">
            <v>1.59</v>
          </cell>
          <cell r="T2003"/>
          <cell r="U2003"/>
          <cell r="V2003">
            <v>15</v>
          </cell>
          <cell r="W2003"/>
          <cell r="X2003" t="str">
            <v>GAVIN</v>
          </cell>
          <cell r="Y2003" t="str">
            <v>GAVIN 22-SEP</v>
          </cell>
          <cell r="Z2003" t="str">
            <v>GAVIN' MAIL 22/9/17</v>
          </cell>
          <cell r="AA2003"/>
          <cell r="AB2003">
            <v>43000</v>
          </cell>
          <cell r="AC2003">
            <v>3333</v>
          </cell>
        </row>
        <row r="2004">
          <cell r="B2004">
            <v>3287</v>
          </cell>
          <cell r="C2004" t="str">
            <v>TS-346</v>
          </cell>
          <cell r="D2004" t="str">
            <v xml:space="preserve">75D+150DX75D </v>
          </cell>
          <cell r="E2004"/>
          <cell r="F2004" t="str">
            <v>T 100%</v>
          </cell>
          <cell r="G2004" t="str">
            <v>100% POLYESTER</v>
          </cell>
          <cell r="H2004" t="str">
            <v>57/58</v>
          </cell>
          <cell r="I2004">
            <v>89</v>
          </cell>
          <cell r="J2004">
            <v>0.94</v>
          </cell>
          <cell r="K2004">
            <v>1.1200000000000001</v>
          </cell>
          <cell r="L2004">
            <v>0.96</v>
          </cell>
          <cell r="M2004">
            <v>1.1499999999999999</v>
          </cell>
          <cell r="N2004">
            <v>0.98</v>
          </cell>
          <cell r="O2004">
            <v>1.18</v>
          </cell>
          <cell r="P2004"/>
          <cell r="Q2004"/>
          <cell r="R2004">
            <v>1.1299999999999999</v>
          </cell>
          <cell r="S2004">
            <v>1.43</v>
          </cell>
          <cell r="T2004"/>
          <cell r="U2004"/>
          <cell r="V2004">
            <v>15</v>
          </cell>
          <cell r="W2004"/>
          <cell r="X2004" t="str">
            <v>GAVIN</v>
          </cell>
          <cell r="Y2004" t="str">
            <v>GAVIN 22-SEP</v>
          </cell>
          <cell r="Z2004" t="str">
            <v>GAVIN' MAIL 22/9/17</v>
          </cell>
          <cell r="AA2004"/>
          <cell r="AB2004">
            <v>43000</v>
          </cell>
          <cell r="AC2004">
            <v>3287</v>
          </cell>
        </row>
        <row r="2005">
          <cell r="B2005">
            <v>3173</v>
          </cell>
          <cell r="C2005" t="str">
            <v>HLT5631</v>
          </cell>
          <cell r="D2005" t="str">
            <v>TWO LAYER (DOUBLE LAYER)</v>
          </cell>
          <cell r="E2005" t="str">
            <v>32s/1+40Dsp*100D+40D</v>
          </cell>
          <cell r="F2005" t="str">
            <v>T/R/S 73/23/4 - 32S TR + 40D x 100D +40D</v>
          </cell>
          <cell r="G2005" t="str">
            <v>73% POLYESTER 23% RAYON 4% SPANDEX</v>
          </cell>
          <cell r="H2005" t="str">
            <v>57/58</v>
          </cell>
          <cell r="I2005">
            <v>300</v>
          </cell>
          <cell r="J2005">
            <v>3.1990215264187873</v>
          </cell>
          <cell r="K2005"/>
          <cell r="L2005">
            <v>3.2990215264187874</v>
          </cell>
          <cell r="M2005"/>
          <cell r="N2005">
            <v>3.3990215264187875</v>
          </cell>
          <cell r="O2005"/>
          <cell r="P2005"/>
          <cell r="Q2005"/>
          <cell r="R2005">
            <v>3.4990215264187876</v>
          </cell>
          <cell r="S2005"/>
          <cell r="T2005"/>
          <cell r="U2005"/>
          <cell r="V2005">
            <v>15</v>
          </cell>
          <cell r="W2005"/>
          <cell r="X2005" t="str">
            <v>CANDY</v>
          </cell>
          <cell r="Y2005" t="str">
            <v>CANDY 14-SEP REVISE</v>
          </cell>
          <cell r="Z2005" t="str">
            <v>LEI' MAIL 22/9/17</v>
          </cell>
          <cell r="AA2005"/>
          <cell r="AB2005">
            <v>43000</v>
          </cell>
          <cell r="AC2005">
            <v>3173</v>
          </cell>
        </row>
        <row r="2006">
          <cell r="B2006">
            <v>2986</v>
          </cell>
          <cell r="C2006" t="str">
            <v>TS-335</v>
          </cell>
          <cell r="D2006" t="str">
            <v>CRINKLE POLY YORYU</v>
          </cell>
          <cell r="E2006"/>
          <cell r="F2006" t="str">
            <v>T 100%</v>
          </cell>
          <cell r="G2006" t="str">
            <v xml:space="preserve">100% POLYESTER </v>
          </cell>
          <cell r="H2006" t="str">
            <v>57/58</v>
          </cell>
          <cell r="I2006">
            <v>127</v>
          </cell>
          <cell r="J2006">
            <v>1.1399999999999999</v>
          </cell>
          <cell r="K2006">
            <v>1.32</v>
          </cell>
          <cell r="L2006">
            <v>1.1599999999999999</v>
          </cell>
          <cell r="M2006">
            <v>1.35</v>
          </cell>
          <cell r="N2006">
            <v>1.18</v>
          </cell>
          <cell r="O2006">
            <v>1.38</v>
          </cell>
          <cell r="P2006"/>
          <cell r="Q2006"/>
          <cell r="R2006">
            <v>1.33</v>
          </cell>
          <cell r="S2006">
            <v>1.65</v>
          </cell>
          <cell r="T2006"/>
          <cell r="U2006"/>
          <cell r="V2006">
            <v>15</v>
          </cell>
          <cell r="W2006"/>
          <cell r="X2006" t="str">
            <v>GAVIN</v>
          </cell>
          <cell r="Y2006" t="str">
            <v>GAVIN 22-SEP</v>
          </cell>
          <cell r="Z2006" t="str">
            <v>GAVIN' MAIL 22/9/17</v>
          </cell>
          <cell r="AA2006"/>
          <cell r="AB2006">
            <v>43000</v>
          </cell>
          <cell r="AC2006">
            <v>2986</v>
          </cell>
        </row>
        <row r="2007">
          <cell r="B2007">
            <v>2140</v>
          </cell>
          <cell r="C2007" t="str">
            <v>BG-3440</v>
          </cell>
          <cell r="D2007" t="str">
            <v>POLY JACQUARD</v>
          </cell>
          <cell r="E2007"/>
          <cell r="F2007" t="str">
            <v>T 100%</v>
          </cell>
          <cell r="G2007" t="str">
            <v>100% POLYESTER</v>
          </cell>
          <cell r="H2007" t="str">
            <v>57/58</v>
          </cell>
          <cell r="I2007">
            <v>125</v>
          </cell>
          <cell r="J2007">
            <v>1.75</v>
          </cell>
          <cell r="K2007">
            <v>2</v>
          </cell>
          <cell r="L2007">
            <v>1.78</v>
          </cell>
          <cell r="M2007">
            <v>2.0499999999999998</v>
          </cell>
          <cell r="N2007">
            <v>1.8</v>
          </cell>
          <cell r="O2007">
            <v>2.1</v>
          </cell>
          <cell r="P2007"/>
          <cell r="Q2007"/>
          <cell r="R2007">
            <v>1.9</v>
          </cell>
          <cell r="S2007">
            <v>2.4</v>
          </cell>
          <cell r="T2007"/>
          <cell r="U2007"/>
          <cell r="V2007">
            <v>15</v>
          </cell>
          <cell r="W2007"/>
          <cell r="X2007" t="str">
            <v>EDWIN</v>
          </cell>
          <cell r="Y2007" t="str">
            <v>EDWIN 22-SEP</v>
          </cell>
          <cell r="Z2007" t="str">
            <v>EDWIN' MAIL 22/9/17</v>
          </cell>
          <cell r="AA2007"/>
          <cell r="AB2007">
            <v>43000</v>
          </cell>
          <cell r="AC2007">
            <v>2140</v>
          </cell>
        </row>
        <row r="2008">
          <cell r="B2008">
            <v>1942</v>
          </cell>
          <cell r="C2008" t="str">
            <v>BG2573</v>
          </cell>
          <cell r="D2008" t="str">
            <v>SINGLE JERSEY - ITY</v>
          </cell>
          <cell r="E2008"/>
          <cell r="F2008" t="str">
            <v>T/S 95/5</v>
          </cell>
          <cell r="G2008" t="str">
            <v>95%POLYESTER 5%SPAN</v>
          </cell>
          <cell r="H2008" t="str">
            <v>58/60</v>
          </cell>
          <cell r="I2008">
            <v>210</v>
          </cell>
          <cell r="J2008">
            <v>1.52</v>
          </cell>
          <cell r="K2008">
            <v>1.75</v>
          </cell>
          <cell r="L2008">
            <v>1.55</v>
          </cell>
          <cell r="M2008">
            <v>1.8</v>
          </cell>
          <cell r="N2008">
            <v>1.57</v>
          </cell>
          <cell r="O2008">
            <v>1.85</v>
          </cell>
          <cell r="P2008"/>
          <cell r="Q2008"/>
          <cell r="R2008">
            <v>1.67</v>
          </cell>
          <cell r="S2008">
            <v>2.2000000000000002</v>
          </cell>
          <cell r="T2008"/>
          <cell r="U2008"/>
          <cell r="V2008">
            <v>15</v>
          </cell>
          <cell r="W2008"/>
          <cell r="X2008" t="str">
            <v>EDWIN</v>
          </cell>
          <cell r="Y2008" t="str">
            <v>EDWIN 22-SEP</v>
          </cell>
          <cell r="Z2008" t="str">
            <v>EDWIN' MAIL 22/9/17</v>
          </cell>
          <cell r="AA2008"/>
          <cell r="AB2008">
            <v>43000</v>
          </cell>
          <cell r="AC2008">
            <v>1942</v>
          </cell>
        </row>
        <row r="2009">
          <cell r="B2009">
            <v>1896</v>
          </cell>
          <cell r="C2009" t="str">
            <v>BG1732</v>
          </cell>
          <cell r="D2009" t="str">
            <v>SINGLE JERSEY</v>
          </cell>
          <cell r="E2009"/>
          <cell r="F2009" t="str">
            <v>R/S 97/3</v>
          </cell>
          <cell r="G2009" t="str">
            <v>97%RAYON 3%SPAN</v>
          </cell>
          <cell r="H2009" t="str">
            <v>58/60</v>
          </cell>
          <cell r="I2009">
            <v>155</v>
          </cell>
          <cell r="J2009">
            <v>1.55</v>
          </cell>
          <cell r="K2009">
            <v>1.8</v>
          </cell>
          <cell r="L2009">
            <v>1.58</v>
          </cell>
          <cell r="M2009">
            <v>1.85</v>
          </cell>
          <cell r="N2009">
            <v>1.6</v>
          </cell>
          <cell r="O2009">
            <v>1.9</v>
          </cell>
          <cell r="P2009"/>
          <cell r="Q2009"/>
          <cell r="R2009">
            <v>1.7</v>
          </cell>
          <cell r="S2009">
            <v>2.2999999999999998</v>
          </cell>
          <cell r="T2009"/>
          <cell r="U2009"/>
          <cell r="V2009">
            <v>15</v>
          </cell>
          <cell r="W2009"/>
          <cell r="X2009" t="str">
            <v>EDWIN</v>
          </cell>
          <cell r="Y2009" t="str">
            <v>EDWIN 22-SEP</v>
          </cell>
          <cell r="Z2009" t="str">
            <v>EDWIN' MAIL 22/9/17</v>
          </cell>
          <cell r="AA2009"/>
          <cell r="AB2009">
            <v>43000</v>
          </cell>
          <cell r="AC2009">
            <v>1896</v>
          </cell>
        </row>
        <row r="2010">
          <cell r="B2010">
            <v>1578</v>
          </cell>
          <cell r="C2010" t="str">
            <v>BG2183-2</v>
          </cell>
          <cell r="D2010"/>
          <cell r="E2010"/>
          <cell r="F2010" t="str">
            <v xml:space="preserve">T 100% </v>
          </cell>
          <cell r="G2010" t="str">
            <v>100% POLYESTER</v>
          </cell>
          <cell r="H2010" t="str">
            <v>57/58</v>
          </cell>
          <cell r="I2010">
            <v>260</v>
          </cell>
          <cell r="J2010">
            <v>3</v>
          </cell>
          <cell r="K2010">
            <v>3.3</v>
          </cell>
          <cell r="L2010">
            <v>3.05</v>
          </cell>
          <cell r="M2010">
            <v>3.35</v>
          </cell>
          <cell r="N2010">
            <v>3.1</v>
          </cell>
          <cell r="O2010">
            <v>3.4</v>
          </cell>
          <cell r="P2010"/>
          <cell r="Q2010"/>
          <cell r="R2010">
            <v>3.3</v>
          </cell>
          <cell r="S2010">
            <v>3.7</v>
          </cell>
          <cell r="T2010"/>
          <cell r="U2010"/>
          <cell r="V2010">
            <v>15</v>
          </cell>
          <cell r="W2010"/>
          <cell r="X2010" t="str">
            <v>EDWIN</v>
          </cell>
          <cell r="Y2010" t="str">
            <v>EDWIN 19-SEP</v>
          </cell>
          <cell r="Z2010" t="str">
            <v>KHOI' MAIL 6/10/17</v>
          </cell>
          <cell r="AA2010"/>
          <cell r="AB2010">
            <v>43000</v>
          </cell>
          <cell r="AC2010">
            <v>1578</v>
          </cell>
        </row>
        <row r="2011">
          <cell r="B2011">
            <v>137</v>
          </cell>
          <cell r="C2011" t="str">
            <v>TS-044B</v>
          </cell>
          <cell r="D2011" t="str">
            <v>CDC</v>
          </cell>
          <cell r="E2011"/>
          <cell r="F2011" t="str">
            <v>T 100%</v>
          </cell>
          <cell r="G2011" t="str">
            <v>100% POLYESTER</v>
          </cell>
          <cell r="H2011" t="str">
            <v>57/58</v>
          </cell>
          <cell r="I2011">
            <v>85</v>
          </cell>
          <cell r="J2011">
            <v>0.99</v>
          </cell>
          <cell r="K2011">
            <v>1.1399999999999999</v>
          </cell>
          <cell r="L2011">
            <v>1.01</v>
          </cell>
          <cell r="M2011">
            <v>1.17</v>
          </cell>
          <cell r="N2011">
            <v>1.03</v>
          </cell>
          <cell r="O2011">
            <v>1.2</v>
          </cell>
          <cell r="P2011"/>
          <cell r="Q2011"/>
          <cell r="R2011">
            <v>1.18</v>
          </cell>
          <cell r="S2011">
            <v>1.45</v>
          </cell>
          <cell r="T2011"/>
          <cell r="U2011"/>
          <cell r="V2011">
            <v>15</v>
          </cell>
          <cell r="W2011"/>
          <cell r="X2011" t="str">
            <v>GAVIN</v>
          </cell>
          <cell r="Y2011" t="str">
            <v>GAVIN 22-SEP</v>
          </cell>
          <cell r="Z2011" t="str">
            <v>GAVIN' MAIL 22/9/17</v>
          </cell>
          <cell r="AA2011"/>
          <cell r="AB2011">
            <v>43000</v>
          </cell>
          <cell r="AC2011">
            <v>137</v>
          </cell>
        </row>
        <row r="2012">
          <cell r="B2012">
            <v>3494</v>
          </cell>
          <cell r="C2012" t="str">
            <v>HLTR17119</v>
          </cell>
          <cell r="D2012"/>
          <cell r="E2012"/>
          <cell r="F2012" t="str">
            <v>T/R/S 63/33/4 21S TR+40D x 21S TR + 40D</v>
          </cell>
          <cell r="G2012" t="str">
            <v>POLY/RAYON/SPANDEX 63/33/4</v>
          </cell>
          <cell r="H2012" t="str">
            <v>57/58</v>
          </cell>
          <cell r="I2012">
            <v>240</v>
          </cell>
          <cell r="J2012">
            <v>2.5238747553816046</v>
          </cell>
          <cell r="K2012"/>
          <cell r="L2012">
            <v>2.6238747553816046</v>
          </cell>
          <cell r="M2012"/>
          <cell r="N2012">
            <v>2.7238747553816047</v>
          </cell>
          <cell r="O2012"/>
          <cell r="P2012"/>
          <cell r="Q2012"/>
          <cell r="R2012">
            <v>2.8238747553816048</v>
          </cell>
          <cell r="S2012"/>
          <cell r="T2012"/>
          <cell r="U2012"/>
          <cell r="V2012">
            <v>15</v>
          </cell>
          <cell r="W2012"/>
          <cell r="X2012" t="str">
            <v>CANDY</v>
          </cell>
          <cell r="Y2012" t="str">
            <v>CANDY 14-SEP</v>
          </cell>
          <cell r="Z2012" t="str">
            <v>LEI' MAIL 18/9/17</v>
          </cell>
          <cell r="AA2012"/>
          <cell r="AB2012">
            <v>42999</v>
          </cell>
          <cell r="AC2012">
            <v>3494</v>
          </cell>
        </row>
        <row r="2013">
          <cell r="B2013">
            <v>3493</v>
          </cell>
          <cell r="C2013" t="str">
            <v>HLTR17030</v>
          </cell>
          <cell r="D2013"/>
          <cell r="E2013"/>
          <cell r="F2013" t="str">
            <v>75% POLYESTER 20% RAYON 5% SPANDEX - 32S+40D x 150D+40D</v>
          </cell>
          <cell r="G2013" t="str">
            <v>75% POLYESTER 20% RAYON 5% SPANDEX - 32S+40D x 150D+40D</v>
          </cell>
          <cell r="H2013" t="str">
            <v>57/58</v>
          </cell>
          <cell r="I2013">
            <v>265</v>
          </cell>
          <cell r="J2013">
            <v>2.7606653620352253</v>
          </cell>
          <cell r="K2013"/>
          <cell r="L2013">
            <v>2.8606653620352254</v>
          </cell>
          <cell r="M2013"/>
          <cell r="N2013">
            <v>2.9606653620352255</v>
          </cell>
          <cell r="O2013"/>
          <cell r="P2013"/>
          <cell r="Q2013"/>
          <cell r="R2013">
            <v>3.0606653620352255</v>
          </cell>
          <cell r="S2013"/>
          <cell r="T2013"/>
          <cell r="U2013"/>
          <cell r="V2013">
            <v>15</v>
          </cell>
          <cell r="W2013"/>
          <cell r="X2013" t="str">
            <v>CANDY</v>
          </cell>
          <cell r="Y2013" t="str">
            <v>CANDY 14-SEP</v>
          </cell>
          <cell r="Z2013" t="str">
            <v>LEI' MAIL 18/9/17</v>
          </cell>
          <cell r="AA2013"/>
          <cell r="AB2013">
            <v>42999</v>
          </cell>
          <cell r="AC2013">
            <v>3493</v>
          </cell>
        </row>
        <row r="2014">
          <cell r="B2014">
            <v>3492</v>
          </cell>
          <cell r="C2014" t="str">
            <v>HLTR17062</v>
          </cell>
          <cell r="D2014"/>
          <cell r="E2014"/>
          <cell r="F2014" t="str">
            <v>T/R/S 70/23/7 - 32S TR + 40D x 75D+ 40D</v>
          </cell>
          <cell r="G2014" t="str">
            <v>POLY/RAYON/SPANDEX 70/23/7</v>
          </cell>
          <cell r="H2014" t="str">
            <v>57/58</v>
          </cell>
          <cell r="I2014">
            <v>283</v>
          </cell>
          <cell r="J2014">
            <v>3.4064579256360084</v>
          </cell>
          <cell r="K2014"/>
          <cell r="L2014">
            <v>3.5064579256360084</v>
          </cell>
          <cell r="M2014"/>
          <cell r="N2014">
            <v>3.6064579256360085</v>
          </cell>
          <cell r="O2014"/>
          <cell r="P2014"/>
          <cell r="Q2014"/>
          <cell r="R2014">
            <v>3.7064579256360086</v>
          </cell>
          <cell r="S2014"/>
          <cell r="T2014"/>
          <cell r="U2014"/>
          <cell r="V2014">
            <v>15</v>
          </cell>
          <cell r="W2014"/>
          <cell r="X2014" t="str">
            <v>CANDY</v>
          </cell>
          <cell r="Y2014" t="str">
            <v>CANDY 14-SEP</v>
          </cell>
          <cell r="Z2014" t="str">
            <v>LEI' MAIL 18/9/17</v>
          </cell>
          <cell r="AA2014"/>
          <cell r="AB2014">
            <v>42999</v>
          </cell>
          <cell r="AC2014">
            <v>3492</v>
          </cell>
        </row>
        <row r="2015">
          <cell r="B2015">
            <v>3491</v>
          </cell>
          <cell r="C2015" t="str">
            <v>HLTR17066</v>
          </cell>
          <cell r="D2015"/>
          <cell r="E2015"/>
          <cell r="F2015" t="str">
            <v>T/R/S 63/33/4 - 50S/2 TR + 40D , 100D x 100D +40D</v>
          </cell>
          <cell r="G2015" t="str">
            <v>POLY/RAYON/SPANDEX 63/33/4</v>
          </cell>
          <cell r="H2015" t="str">
            <v>57/58</v>
          </cell>
          <cell r="I2015">
            <v>300</v>
          </cell>
          <cell r="J2015">
            <v>3.4142857142857146</v>
          </cell>
          <cell r="K2015"/>
          <cell r="L2015">
            <v>3.5142857142857147</v>
          </cell>
          <cell r="M2015"/>
          <cell r="N2015">
            <v>3.6142857142857148</v>
          </cell>
          <cell r="O2015"/>
          <cell r="P2015"/>
          <cell r="Q2015"/>
          <cell r="R2015">
            <v>3.7142857142857149</v>
          </cell>
          <cell r="S2015"/>
          <cell r="T2015"/>
          <cell r="U2015"/>
          <cell r="V2015">
            <v>15</v>
          </cell>
          <cell r="W2015"/>
          <cell r="X2015" t="str">
            <v>CANDY</v>
          </cell>
          <cell r="Y2015" t="str">
            <v>CANDY 14-SEP</v>
          </cell>
          <cell r="Z2015" t="str">
            <v>LEI' MAIL 18/9/17</v>
          </cell>
          <cell r="AA2015"/>
          <cell r="AB2015">
            <v>42999</v>
          </cell>
          <cell r="AC2015">
            <v>3491</v>
          </cell>
        </row>
        <row r="2016">
          <cell r="B2016">
            <v>3490</v>
          </cell>
          <cell r="C2016" t="str">
            <v>KPK-22352</v>
          </cell>
          <cell r="D2016"/>
          <cell r="E2016"/>
          <cell r="F2016" t="str">
            <v>T/S 95/5</v>
          </cell>
          <cell r="G2016" t="str">
            <v>POLY/SPANDEX 95/5</v>
          </cell>
          <cell r="H2016" t="str">
            <v>163CM</v>
          </cell>
          <cell r="I2016">
            <v>250</v>
          </cell>
          <cell r="J2016"/>
          <cell r="K2016">
            <v>2.2999999999999998</v>
          </cell>
          <cell r="L2016"/>
          <cell r="M2016">
            <v>2.2999999999999998</v>
          </cell>
          <cell r="N2016"/>
          <cell r="O2016">
            <v>2.4</v>
          </cell>
          <cell r="P2016"/>
          <cell r="Q2016"/>
          <cell r="R2016"/>
          <cell r="S2016">
            <v>2.5</v>
          </cell>
          <cell r="T2016"/>
          <cell r="U2016"/>
          <cell r="V2016">
            <v>15</v>
          </cell>
          <cell r="W2016"/>
          <cell r="X2016" t="str">
            <v>PANI</v>
          </cell>
          <cell r="Y2016" t="str">
            <v>PANI 14-SEP</v>
          </cell>
          <cell r="Z2016" t="str">
            <v>PANI' MAIL 18/9/17</v>
          </cell>
          <cell r="AA2016"/>
          <cell r="AB2016">
            <v>42999</v>
          </cell>
          <cell r="AC2016">
            <v>3490</v>
          </cell>
        </row>
        <row r="2017">
          <cell r="B2017">
            <v>3489</v>
          </cell>
          <cell r="C2017" t="str">
            <v>KPK-22475</v>
          </cell>
          <cell r="D2017"/>
          <cell r="E2017"/>
          <cell r="F2017" t="str">
            <v>T/R/S 52/43/5</v>
          </cell>
          <cell r="G2017" t="str">
            <v>POLY/RAYON/SPANDEX 52/43/5</v>
          </cell>
          <cell r="H2017" t="str">
            <v>150CM</v>
          </cell>
          <cell r="I2017">
            <v>285</v>
          </cell>
          <cell r="J2017"/>
          <cell r="K2017">
            <v>2.6</v>
          </cell>
          <cell r="L2017"/>
          <cell r="M2017">
            <v>2.6</v>
          </cell>
          <cell r="N2017"/>
          <cell r="O2017">
            <v>2.7</v>
          </cell>
          <cell r="P2017"/>
          <cell r="Q2017"/>
          <cell r="R2017"/>
          <cell r="S2017">
            <v>2.8000000000000003</v>
          </cell>
          <cell r="T2017"/>
          <cell r="U2017"/>
          <cell r="V2017">
            <v>15</v>
          </cell>
          <cell r="W2017"/>
          <cell r="X2017" t="str">
            <v>PANI</v>
          </cell>
          <cell r="Y2017" t="str">
            <v>PANI 14-SEP</v>
          </cell>
          <cell r="Z2017" t="str">
            <v>PANI' MAIL 18/9/17</v>
          </cell>
          <cell r="AA2017"/>
          <cell r="AB2017">
            <v>42999</v>
          </cell>
          <cell r="AC2017">
            <v>3489</v>
          </cell>
        </row>
        <row r="2018">
          <cell r="B2018">
            <v>3488</v>
          </cell>
          <cell r="C2018" t="str">
            <v>KPK-22474</v>
          </cell>
          <cell r="D2018"/>
          <cell r="E2018"/>
          <cell r="F2018" t="str">
            <v>T/R/S 52/43/5</v>
          </cell>
          <cell r="G2018" t="str">
            <v>POLY/RAYON/SPANDEX 52/43/5</v>
          </cell>
          <cell r="H2018" t="str">
            <v>150CM</v>
          </cell>
          <cell r="I2018">
            <v>285</v>
          </cell>
          <cell r="J2018"/>
          <cell r="K2018">
            <v>2.6</v>
          </cell>
          <cell r="L2018"/>
          <cell r="M2018">
            <v>2.6</v>
          </cell>
          <cell r="N2018"/>
          <cell r="O2018">
            <v>2.7</v>
          </cell>
          <cell r="P2018"/>
          <cell r="Q2018"/>
          <cell r="R2018"/>
          <cell r="S2018">
            <v>2.8000000000000003</v>
          </cell>
          <cell r="T2018"/>
          <cell r="U2018"/>
          <cell r="V2018">
            <v>15</v>
          </cell>
          <cell r="W2018"/>
          <cell r="X2018" t="str">
            <v>PANI</v>
          </cell>
          <cell r="Y2018" t="str">
            <v>PANI 14-SEP</v>
          </cell>
          <cell r="Z2018" t="str">
            <v>PANI' MAIL 18/9/17</v>
          </cell>
          <cell r="AA2018"/>
          <cell r="AB2018">
            <v>42999</v>
          </cell>
          <cell r="AC2018">
            <v>3488</v>
          </cell>
        </row>
        <row r="2019">
          <cell r="B2019">
            <v>3487</v>
          </cell>
          <cell r="C2019" t="str">
            <v>KPK-22473</v>
          </cell>
          <cell r="D2019"/>
          <cell r="E2019"/>
          <cell r="F2019" t="str">
            <v>T/S 96/4</v>
          </cell>
          <cell r="G2019" t="str">
            <v>POLY/SPANDEX 96/4</v>
          </cell>
          <cell r="H2019" t="str">
            <v>152CM</v>
          </cell>
          <cell r="I2019">
            <v>300</v>
          </cell>
          <cell r="J2019"/>
          <cell r="K2019">
            <v>2.7</v>
          </cell>
          <cell r="L2019"/>
          <cell r="M2019">
            <v>2.7</v>
          </cell>
          <cell r="N2019"/>
          <cell r="O2019">
            <v>2.8000000000000003</v>
          </cell>
          <cell r="P2019"/>
          <cell r="Q2019"/>
          <cell r="R2019"/>
          <cell r="S2019">
            <v>2.9000000000000004</v>
          </cell>
          <cell r="T2019"/>
          <cell r="U2019"/>
          <cell r="V2019">
            <v>15</v>
          </cell>
          <cell r="W2019"/>
          <cell r="X2019" t="str">
            <v>PANI</v>
          </cell>
          <cell r="Y2019" t="str">
            <v>PANI 14-SEP</v>
          </cell>
          <cell r="Z2019" t="str">
            <v>PANI' MAIL 18/9/17</v>
          </cell>
          <cell r="AA2019"/>
          <cell r="AB2019">
            <v>42999</v>
          </cell>
          <cell r="AC2019">
            <v>3487</v>
          </cell>
        </row>
        <row r="2020">
          <cell r="B2020">
            <v>2067</v>
          </cell>
          <cell r="C2020" t="str">
            <v>16727YSD</v>
          </cell>
          <cell r="D2020"/>
          <cell r="E2020"/>
          <cell r="F2020" t="str">
            <v>C/N/S</v>
          </cell>
          <cell r="G2020" t="str">
            <v>COTTON /NYLON /SPANDEX</v>
          </cell>
          <cell r="H2020" t="str">
            <v>57/58</v>
          </cell>
          <cell r="I2020">
            <v>250</v>
          </cell>
          <cell r="J2020">
            <v>4.05</v>
          </cell>
          <cell r="K2020"/>
          <cell r="L2020">
            <v>4.0999999999999996</v>
          </cell>
          <cell r="M2020"/>
          <cell r="N2020">
            <v>4.2</v>
          </cell>
          <cell r="O2020"/>
          <cell r="P2020"/>
          <cell r="Q2020"/>
          <cell r="R2020">
            <v>4.45</v>
          </cell>
          <cell r="S2020"/>
          <cell r="T2020"/>
          <cell r="U2020"/>
          <cell r="V2020"/>
          <cell r="W2020"/>
          <cell r="X2020" t="str">
            <v>OWEN</v>
          </cell>
          <cell r="Y2020" t="str">
            <v>OWEN 21-SEP</v>
          </cell>
          <cell r="Z2020" t="str">
            <v>SANDY' MAIL 21/9/17</v>
          </cell>
          <cell r="AA2020"/>
          <cell r="AB2020">
            <v>42999</v>
          </cell>
          <cell r="AC2020">
            <v>2067</v>
          </cell>
        </row>
        <row r="2021">
          <cell r="B2021">
            <v>3580</v>
          </cell>
          <cell r="C2021" t="str">
            <v>TP-604</v>
          </cell>
          <cell r="D2021"/>
          <cell r="E2021"/>
          <cell r="F2021" t="str">
            <v>T100%</v>
          </cell>
          <cell r="G2021" t="str">
            <v>100% POLYESTER</v>
          </cell>
          <cell r="H2021" t="str">
            <v>57/58</v>
          </cell>
          <cell r="I2021">
            <v>70</v>
          </cell>
          <cell r="J2021">
            <v>2.2999999999999998</v>
          </cell>
          <cell r="K2021"/>
          <cell r="L2021">
            <v>2.35</v>
          </cell>
          <cell r="M2021"/>
          <cell r="N2021">
            <v>2.35</v>
          </cell>
          <cell r="O2021"/>
          <cell r="P2021"/>
          <cell r="Q2021"/>
          <cell r="R2021">
            <v>2.95</v>
          </cell>
          <cell r="S2021"/>
          <cell r="T2021"/>
          <cell r="U2021"/>
          <cell r="V2021">
            <v>15</v>
          </cell>
          <cell r="W2021"/>
          <cell r="X2021" t="str">
            <v>LIVALTEX</v>
          </cell>
          <cell r="Y2021" t="str">
            <v>LIVALTEX 7-SEP</v>
          </cell>
          <cell r="Z2021" t="str">
            <v>ROSE' MAIL 18/9/17</v>
          </cell>
          <cell r="AA2021"/>
          <cell r="AB2021">
            <v>42998</v>
          </cell>
          <cell r="AC2021">
            <v>3580</v>
          </cell>
        </row>
        <row r="2022">
          <cell r="B2022">
            <v>3579</v>
          </cell>
          <cell r="C2022" t="str">
            <v>TP-601</v>
          </cell>
          <cell r="D2022"/>
          <cell r="E2022"/>
          <cell r="F2022" t="str">
            <v>T/LUREX 95/5</v>
          </cell>
          <cell r="G2022" t="str">
            <v>95% POLYESTER 5% LUREX</v>
          </cell>
          <cell r="H2022" t="str">
            <v>57/58</v>
          </cell>
          <cell r="I2022">
            <v>100</v>
          </cell>
          <cell r="J2022">
            <v>2.95</v>
          </cell>
          <cell r="K2022"/>
          <cell r="L2022">
            <v>3</v>
          </cell>
          <cell r="M2022"/>
          <cell r="N2022">
            <v>3</v>
          </cell>
          <cell r="O2022"/>
          <cell r="P2022"/>
          <cell r="Q2022"/>
          <cell r="R2022">
            <v>3.6</v>
          </cell>
          <cell r="S2022"/>
          <cell r="T2022"/>
          <cell r="U2022"/>
          <cell r="V2022">
            <v>15</v>
          </cell>
          <cell r="W2022"/>
          <cell r="X2022" t="str">
            <v>LIVALTEX</v>
          </cell>
          <cell r="Y2022" t="str">
            <v>LIVALTEX 7-SEP</v>
          </cell>
          <cell r="Z2022" t="str">
            <v>ROSE' MAIL 18/9/17</v>
          </cell>
          <cell r="AA2022"/>
          <cell r="AB2022">
            <v>42998</v>
          </cell>
          <cell r="AC2022">
            <v>3579</v>
          </cell>
        </row>
        <row r="2023">
          <cell r="B2023">
            <v>3578</v>
          </cell>
          <cell r="C2023" t="str">
            <v>TS-513</v>
          </cell>
          <cell r="D2023"/>
          <cell r="E2023" t="str">
            <v>50D+50D x 150D+40D</v>
          </cell>
          <cell r="F2023" t="str">
            <v>T/S 97/3</v>
          </cell>
          <cell r="G2023" t="str">
            <v>97% POLYESTER 3% SPANDEX</v>
          </cell>
          <cell r="H2023" t="str">
            <v>57/58</v>
          </cell>
          <cell r="I2023">
            <v>212</v>
          </cell>
          <cell r="J2023">
            <v>2.65</v>
          </cell>
          <cell r="K2023"/>
          <cell r="L2023">
            <v>2.7</v>
          </cell>
          <cell r="M2023"/>
          <cell r="N2023">
            <v>2.7</v>
          </cell>
          <cell r="O2023"/>
          <cell r="P2023"/>
          <cell r="Q2023"/>
          <cell r="R2023">
            <v>3.3</v>
          </cell>
          <cell r="S2023"/>
          <cell r="T2023"/>
          <cell r="U2023"/>
          <cell r="V2023">
            <v>15</v>
          </cell>
          <cell r="W2023"/>
          <cell r="X2023" t="str">
            <v>LIVALTEX</v>
          </cell>
          <cell r="Y2023" t="str">
            <v>LIVALTEX 7-SEP</v>
          </cell>
          <cell r="Z2023" t="str">
            <v>ROSE' MAIL 18/9/17</v>
          </cell>
          <cell r="AA2023"/>
          <cell r="AB2023">
            <v>42998</v>
          </cell>
          <cell r="AC2023">
            <v>3578</v>
          </cell>
        </row>
        <row r="2024">
          <cell r="B2024">
            <v>3577</v>
          </cell>
          <cell r="C2024" t="str">
            <v>TS-550</v>
          </cell>
          <cell r="D2024"/>
          <cell r="E2024" t="str">
            <v>75D+40D x 75D+40D</v>
          </cell>
          <cell r="F2024" t="str">
            <v>T/S 97/3</v>
          </cell>
          <cell r="G2024" t="str">
            <v>97% POLYESTER 3% SPANDEX</v>
          </cell>
          <cell r="H2024" t="str">
            <v>57/58</v>
          </cell>
          <cell r="I2024">
            <v>140</v>
          </cell>
          <cell r="J2024">
            <v>2.5</v>
          </cell>
          <cell r="K2024"/>
          <cell r="L2024">
            <v>2.5499999999999998</v>
          </cell>
          <cell r="M2024"/>
          <cell r="N2024">
            <v>2.5499999999999998</v>
          </cell>
          <cell r="O2024"/>
          <cell r="P2024"/>
          <cell r="Q2024"/>
          <cell r="R2024">
            <v>3.1</v>
          </cell>
          <cell r="S2024"/>
          <cell r="T2024"/>
          <cell r="U2024"/>
          <cell r="V2024">
            <v>15</v>
          </cell>
          <cell r="W2024"/>
          <cell r="X2024" t="str">
            <v>LIVALTEX</v>
          </cell>
          <cell r="Y2024" t="str">
            <v>LIVALTEX 7-SEP</v>
          </cell>
          <cell r="Z2024" t="str">
            <v>ROSE' MAIL 18/9/17</v>
          </cell>
          <cell r="AA2024"/>
          <cell r="AB2024">
            <v>42998</v>
          </cell>
          <cell r="AC2024">
            <v>3577</v>
          </cell>
        </row>
        <row r="2025">
          <cell r="B2025">
            <v>3576</v>
          </cell>
          <cell r="C2025" t="str">
            <v>TS-564</v>
          </cell>
          <cell r="D2025"/>
          <cell r="E2025" t="str">
            <v>75D+40D x 75D+40D</v>
          </cell>
          <cell r="F2025" t="str">
            <v>T/S 93/7</v>
          </cell>
          <cell r="G2025" t="str">
            <v>93% POLYESTER 7% SPANDEX</v>
          </cell>
          <cell r="H2025" t="str">
            <v>57/58</v>
          </cell>
          <cell r="I2025">
            <v>220</v>
          </cell>
          <cell r="J2025">
            <v>2.5499999999999998</v>
          </cell>
          <cell r="K2025"/>
          <cell r="L2025">
            <v>2.6</v>
          </cell>
          <cell r="M2025"/>
          <cell r="N2025">
            <v>2.6</v>
          </cell>
          <cell r="O2025"/>
          <cell r="P2025"/>
          <cell r="Q2025"/>
          <cell r="R2025">
            <v>3.15</v>
          </cell>
          <cell r="S2025"/>
          <cell r="T2025"/>
          <cell r="U2025"/>
          <cell r="V2025">
            <v>15</v>
          </cell>
          <cell r="W2025"/>
          <cell r="X2025" t="str">
            <v>LIVALTEX</v>
          </cell>
          <cell r="Y2025" t="str">
            <v>LIVALTEX 7-SEP</v>
          </cell>
          <cell r="Z2025" t="str">
            <v>ROSE' MAIL 18/9/17</v>
          </cell>
          <cell r="AA2025"/>
          <cell r="AB2025">
            <v>42998</v>
          </cell>
          <cell r="AC2025">
            <v>3576</v>
          </cell>
        </row>
        <row r="2026">
          <cell r="B2026">
            <v>3575</v>
          </cell>
          <cell r="C2026" t="str">
            <v>RP-300</v>
          </cell>
          <cell r="D2026" t="str">
            <v>TWILL</v>
          </cell>
          <cell r="E2026" t="str">
            <v>20D x 10s</v>
          </cell>
          <cell r="F2026" t="str">
            <v>R/T 90/10</v>
          </cell>
          <cell r="G2026" t="str">
            <v>90% RAYON 10% POLYESTER</v>
          </cell>
          <cell r="H2026" t="str">
            <v>57/58</v>
          </cell>
          <cell r="I2026">
            <v>183</v>
          </cell>
          <cell r="J2026">
            <v>2.5</v>
          </cell>
          <cell r="K2026"/>
          <cell r="L2026">
            <v>2.5499999999999998</v>
          </cell>
          <cell r="M2026"/>
          <cell r="N2026">
            <v>2.5499999999999998</v>
          </cell>
          <cell r="O2026"/>
          <cell r="P2026"/>
          <cell r="Q2026"/>
          <cell r="R2026">
            <v>3.1</v>
          </cell>
          <cell r="S2026"/>
          <cell r="T2026"/>
          <cell r="U2026"/>
          <cell r="V2026">
            <v>15</v>
          </cell>
          <cell r="W2026"/>
          <cell r="X2026" t="str">
            <v>LIVALTEX</v>
          </cell>
          <cell r="Y2026" t="str">
            <v>LIVALTEX 7-SEP</v>
          </cell>
          <cell r="Z2026" t="str">
            <v>ROSE' MAIL 18/9/17</v>
          </cell>
          <cell r="AA2026"/>
          <cell r="AB2026">
            <v>42998</v>
          </cell>
          <cell r="AC2026">
            <v>3575</v>
          </cell>
        </row>
        <row r="2027">
          <cell r="B2027">
            <v>3574</v>
          </cell>
          <cell r="C2027" t="str">
            <v>RP-298</v>
          </cell>
          <cell r="D2027" t="str">
            <v>TWILL</v>
          </cell>
          <cell r="E2027" t="str">
            <v>30D x 32s/2</v>
          </cell>
          <cell r="F2027" t="str">
            <v>R/T 94/6</v>
          </cell>
          <cell r="G2027" t="str">
            <v>94% RAYON 6% POLYESTER</v>
          </cell>
          <cell r="H2027" t="str">
            <v>52/53</v>
          </cell>
          <cell r="I2027">
            <v>170</v>
          </cell>
          <cell r="J2027">
            <v>2.85</v>
          </cell>
          <cell r="K2027"/>
          <cell r="L2027">
            <v>2.9</v>
          </cell>
          <cell r="M2027"/>
          <cell r="N2027">
            <v>2.9</v>
          </cell>
          <cell r="O2027"/>
          <cell r="P2027"/>
          <cell r="Q2027"/>
          <cell r="R2027">
            <v>3.45</v>
          </cell>
          <cell r="S2027"/>
          <cell r="T2027"/>
          <cell r="U2027"/>
          <cell r="V2027">
            <v>15</v>
          </cell>
          <cell r="W2027"/>
          <cell r="X2027" t="str">
            <v>LIVALTEX</v>
          </cell>
          <cell r="Y2027" t="str">
            <v>LIVALTEX 7-SEP</v>
          </cell>
          <cell r="Z2027" t="str">
            <v>ROSE' MAIL 18/9/17</v>
          </cell>
          <cell r="AA2027"/>
          <cell r="AB2027">
            <v>42998</v>
          </cell>
          <cell r="AC2027">
            <v>3574</v>
          </cell>
        </row>
        <row r="2028">
          <cell r="B2028">
            <v>3573</v>
          </cell>
          <cell r="C2028" t="str">
            <v>T-1969</v>
          </cell>
          <cell r="D2028"/>
          <cell r="E2028" t="str">
            <v>68D x 50D</v>
          </cell>
          <cell r="F2028" t="str">
            <v>T100%</v>
          </cell>
          <cell r="G2028" t="str">
            <v>100% POLYESTER</v>
          </cell>
          <cell r="H2028" t="str">
            <v>57/58</v>
          </cell>
          <cell r="I2028">
            <v>240</v>
          </cell>
          <cell r="J2028">
            <v>2.65</v>
          </cell>
          <cell r="K2028"/>
          <cell r="L2028">
            <v>2.7</v>
          </cell>
          <cell r="M2028"/>
          <cell r="N2028">
            <v>2.7</v>
          </cell>
          <cell r="O2028"/>
          <cell r="P2028"/>
          <cell r="Q2028"/>
          <cell r="R2028">
            <v>3.2</v>
          </cell>
          <cell r="S2028"/>
          <cell r="T2028"/>
          <cell r="U2028"/>
          <cell r="V2028">
            <v>15</v>
          </cell>
          <cell r="W2028"/>
          <cell r="X2028" t="str">
            <v>LIVALTEX</v>
          </cell>
          <cell r="Y2028" t="str">
            <v>LIVALTEX 7-SEP</v>
          </cell>
          <cell r="Z2028" t="str">
            <v>ROSE' MAIL 18/9/17</v>
          </cell>
          <cell r="AA2028"/>
          <cell r="AB2028">
            <v>42998</v>
          </cell>
          <cell r="AC2028">
            <v>3573</v>
          </cell>
        </row>
        <row r="2029">
          <cell r="B2029">
            <v>3572</v>
          </cell>
          <cell r="C2029" t="str">
            <v>T-1869</v>
          </cell>
          <cell r="D2029"/>
          <cell r="E2029" t="str">
            <v>150D x 150D</v>
          </cell>
          <cell r="F2029" t="str">
            <v>T100%</v>
          </cell>
          <cell r="G2029" t="str">
            <v>100% POLYESTER</v>
          </cell>
          <cell r="H2029" t="str">
            <v>57/58</v>
          </cell>
          <cell r="I2029">
            <v>145</v>
          </cell>
          <cell r="J2029">
            <v>2.4</v>
          </cell>
          <cell r="K2029"/>
          <cell r="L2029">
            <v>2.4500000000000002</v>
          </cell>
          <cell r="M2029"/>
          <cell r="N2029">
            <v>2.4500000000000002</v>
          </cell>
          <cell r="O2029"/>
          <cell r="P2029"/>
          <cell r="Q2029"/>
          <cell r="R2029">
            <v>2.9</v>
          </cell>
          <cell r="S2029"/>
          <cell r="T2029"/>
          <cell r="U2029"/>
          <cell r="V2029">
            <v>15</v>
          </cell>
          <cell r="W2029"/>
          <cell r="X2029" t="str">
            <v>LIVALTEX</v>
          </cell>
          <cell r="Y2029" t="str">
            <v>LIVALTEX 7-SEP</v>
          </cell>
          <cell r="Z2029" t="str">
            <v>ROSE' MAIL 18/9/17</v>
          </cell>
          <cell r="AA2029"/>
          <cell r="AB2029">
            <v>42998</v>
          </cell>
          <cell r="AC2029">
            <v>3572</v>
          </cell>
        </row>
        <row r="2030">
          <cell r="B2030">
            <v>3571</v>
          </cell>
          <cell r="C2030" t="str">
            <v>T-1948</v>
          </cell>
          <cell r="D2030"/>
          <cell r="E2030" t="str">
            <v>130x116</v>
          </cell>
          <cell r="F2030" t="str">
            <v>T100%</v>
          </cell>
          <cell r="G2030" t="str">
            <v>100% POLYESTER</v>
          </cell>
          <cell r="H2030" t="str">
            <v>55/56</v>
          </cell>
          <cell r="I2030">
            <v>157</v>
          </cell>
          <cell r="J2030">
            <v>3.65</v>
          </cell>
          <cell r="K2030"/>
          <cell r="L2030">
            <v>3.7</v>
          </cell>
          <cell r="M2030"/>
          <cell r="N2030">
            <v>3.7</v>
          </cell>
          <cell r="O2030"/>
          <cell r="P2030"/>
          <cell r="Q2030"/>
          <cell r="R2030">
            <v>4.25</v>
          </cell>
          <cell r="S2030"/>
          <cell r="T2030"/>
          <cell r="U2030"/>
          <cell r="V2030">
            <v>15</v>
          </cell>
          <cell r="W2030"/>
          <cell r="X2030" t="str">
            <v>LIVALTEX</v>
          </cell>
          <cell r="Y2030" t="str">
            <v>LIVALTEX 7-SEP</v>
          </cell>
          <cell r="Z2030" t="str">
            <v>ROSE' MAIL 18/9/17</v>
          </cell>
          <cell r="AA2030"/>
          <cell r="AB2030">
            <v>42998</v>
          </cell>
          <cell r="AC2030">
            <v>3571</v>
          </cell>
        </row>
        <row r="2031">
          <cell r="B2031">
            <v>3570</v>
          </cell>
          <cell r="C2031" t="str">
            <v>TS-534</v>
          </cell>
          <cell r="D2031"/>
          <cell r="E2031"/>
          <cell r="F2031" t="str">
            <v>T/S 97/3</v>
          </cell>
          <cell r="G2031" t="str">
            <v>97% POLYESTER 3% SPANDEX</v>
          </cell>
          <cell r="H2031" t="str">
            <v>57/58</v>
          </cell>
          <cell r="I2031">
            <v>234</v>
          </cell>
          <cell r="J2031">
            <v>2.25</v>
          </cell>
          <cell r="K2031"/>
          <cell r="L2031">
            <v>2.2999999999999998</v>
          </cell>
          <cell r="M2031"/>
          <cell r="N2031">
            <v>2.2999999999999998</v>
          </cell>
          <cell r="O2031"/>
          <cell r="P2031"/>
          <cell r="Q2031"/>
          <cell r="R2031">
            <v>2.85</v>
          </cell>
          <cell r="S2031"/>
          <cell r="T2031"/>
          <cell r="U2031"/>
          <cell r="V2031">
            <v>15</v>
          </cell>
          <cell r="W2031"/>
          <cell r="X2031" t="str">
            <v>LIVALTEX</v>
          </cell>
          <cell r="Y2031" t="str">
            <v>LIVALTEX 7-SEP</v>
          </cell>
          <cell r="Z2031" t="str">
            <v>ROSE' MAIL 18/9/17</v>
          </cell>
          <cell r="AA2031"/>
          <cell r="AB2031">
            <v>42998</v>
          </cell>
          <cell r="AC2031">
            <v>3570</v>
          </cell>
        </row>
        <row r="2032">
          <cell r="B2032">
            <v>3569</v>
          </cell>
          <cell r="C2032" t="str">
            <v>T-1946</v>
          </cell>
          <cell r="D2032"/>
          <cell r="E2032" t="str">
            <v>147x100</v>
          </cell>
          <cell r="F2032" t="str">
            <v>T100%</v>
          </cell>
          <cell r="G2032" t="str">
            <v>100% POLYESTER</v>
          </cell>
          <cell r="H2032" t="str">
            <v>57/58</v>
          </cell>
          <cell r="I2032">
            <v>186</v>
          </cell>
          <cell r="J2032">
            <v>3.05</v>
          </cell>
          <cell r="K2032"/>
          <cell r="L2032">
            <v>3.1</v>
          </cell>
          <cell r="M2032"/>
          <cell r="N2032">
            <v>3.1</v>
          </cell>
          <cell r="O2032"/>
          <cell r="P2032"/>
          <cell r="Q2032"/>
          <cell r="R2032">
            <v>3.65</v>
          </cell>
          <cell r="S2032"/>
          <cell r="T2032"/>
          <cell r="U2032"/>
          <cell r="V2032">
            <v>15</v>
          </cell>
          <cell r="W2032"/>
          <cell r="X2032" t="str">
            <v>LIVALTEX</v>
          </cell>
          <cell r="Y2032" t="str">
            <v>LIVALTEX 7-SEP</v>
          </cell>
          <cell r="Z2032" t="str">
            <v>ROSE' MAIL 18/9/17</v>
          </cell>
          <cell r="AA2032"/>
          <cell r="AB2032">
            <v>42998</v>
          </cell>
          <cell r="AC2032">
            <v>3569</v>
          </cell>
        </row>
        <row r="2033">
          <cell r="B2033">
            <v>3512</v>
          </cell>
          <cell r="C2033" t="str">
            <v>HLP17068</v>
          </cell>
          <cell r="D2033"/>
          <cell r="E2033"/>
          <cell r="F2033" t="str">
            <v>T100%</v>
          </cell>
          <cell r="G2033" t="str">
            <v>100% POLYESTER  - 75D+150D</v>
          </cell>
          <cell r="H2033" t="str">
            <v>57/58</v>
          </cell>
          <cell r="I2033">
            <v>170</v>
          </cell>
          <cell r="J2033">
            <v>1.7136986301369863</v>
          </cell>
          <cell r="K2033"/>
          <cell r="L2033">
            <v>1.8136986301369864</v>
          </cell>
          <cell r="M2033"/>
          <cell r="N2033">
            <v>1.9136986301369865</v>
          </cell>
          <cell r="O2033"/>
          <cell r="P2033"/>
          <cell r="Q2033"/>
          <cell r="R2033">
            <v>2.0136986301369864</v>
          </cell>
          <cell r="S2033"/>
          <cell r="T2033"/>
          <cell r="U2033"/>
          <cell r="V2033">
            <v>15</v>
          </cell>
          <cell r="W2033"/>
          <cell r="X2033" t="str">
            <v>CANDY</v>
          </cell>
          <cell r="Y2033" t="str">
            <v>CANDY 14-SEP</v>
          </cell>
          <cell r="Z2033" t="str">
            <v>LEI' MAIL 18/9/17</v>
          </cell>
          <cell r="AA2033"/>
          <cell r="AB2033">
            <v>42998</v>
          </cell>
          <cell r="AC2033">
            <v>3512</v>
          </cell>
        </row>
        <row r="2034">
          <cell r="B2034">
            <v>3511</v>
          </cell>
          <cell r="C2034" t="str">
            <v>HLKO17063</v>
          </cell>
          <cell r="D2034"/>
          <cell r="E2034"/>
          <cell r="F2034" t="str">
            <v>T/S 96/4</v>
          </cell>
          <cell r="G2034" t="str">
            <v>T/S 96/4 - 150D+40D</v>
          </cell>
          <cell r="H2034" t="str">
            <v>134CM</v>
          </cell>
          <cell r="I2034">
            <v>236</v>
          </cell>
          <cell r="J2034">
            <v>1.5399441524618989</v>
          </cell>
          <cell r="K2034"/>
          <cell r="L2034">
            <v>1.639944152461899</v>
          </cell>
          <cell r="M2034"/>
          <cell r="N2034">
            <v>1.739944152461899</v>
          </cell>
          <cell r="O2034"/>
          <cell r="P2034"/>
          <cell r="Q2034"/>
          <cell r="R2034">
            <v>1.8399441524618991</v>
          </cell>
          <cell r="S2034"/>
          <cell r="T2034"/>
          <cell r="U2034"/>
          <cell r="V2034">
            <v>15</v>
          </cell>
          <cell r="W2034"/>
          <cell r="X2034" t="str">
            <v>CANDY</v>
          </cell>
          <cell r="Y2034" t="str">
            <v>CANDY 14-SEP</v>
          </cell>
          <cell r="Z2034" t="str">
            <v>LEI' MAIL 18/9/17</v>
          </cell>
          <cell r="AA2034"/>
          <cell r="AB2034">
            <v>42998</v>
          </cell>
          <cell r="AC2034">
            <v>3511</v>
          </cell>
        </row>
        <row r="2035">
          <cell r="B2035">
            <v>3510</v>
          </cell>
          <cell r="C2035" t="str">
            <v>HLTR17098</v>
          </cell>
          <cell r="D2035"/>
          <cell r="E2035"/>
          <cell r="F2035" t="str">
            <v>T/R/S 76/21/3</v>
          </cell>
          <cell r="G2035" t="str">
            <v>76% POLYESTER 21% RAYON 3% SPANDEX - 32S TR x 150D + 40D</v>
          </cell>
          <cell r="H2035" t="str">
            <v>57/58</v>
          </cell>
          <cell r="I2035">
            <v>200</v>
          </cell>
          <cell r="J2035">
            <v>2.3369863013698629</v>
          </cell>
          <cell r="K2035"/>
          <cell r="L2035">
            <v>2.4369863013698629</v>
          </cell>
          <cell r="M2035"/>
          <cell r="N2035">
            <v>2.536986301369863</v>
          </cell>
          <cell r="O2035"/>
          <cell r="P2035"/>
          <cell r="Q2035"/>
          <cell r="R2035">
            <v>2.6369863013698631</v>
          </cell>
          <cell r="S2035"/>
          <cell r="T2035"/>
          <cell r="U2035"/>
          <cell r="V2035">
            <v>15</v>
          </cell>
          <cell r="W2035"/>
          <cell r="X2035" t="str">
            <v>CANDY</v>
          </cell>
          <cell r="Y2035" t="str">
            <v>CANDY 14-SEP</v>
          </cell>
          <cell r="Z2035" t="str">
            <v>LEI' MAIL 18/9/17</v>
          </cell>
          <cell r="AA2035"/>
          <cell r="AB2035">
            <v>42998</v>
          </cell>
          <cell r="AC2035">
            <v>3510</v>
          </cell>
        </row>
        <row r="2036">
          <cell r="B2036">
            <v>3509</v>
          </cell>
          <cell r="C2036" t="str">
            <v>HLTR17137</v>
          </cell>
          <cell r="D2036"/>
          <cell r="E2036"/>
          <cell r="F2036" t="str">
            <v>T/R/S 66/32/S - 40S/2 TR x 40S/2 CD/R +40D</v>
          </cell>
          <cell r="G2036" t="str">
            <v>POLYESTER/RAYON/SPANDEX 66/32/S - 40S/2 TR x 40S/2 CD/R +40D</v>
          </cell>
          <cell r="H2036" t="str">
            <v>57/58</v>
          </cell>
          <cell r="I2036">
            <v>230</v>
          </cell>
          <cell r="J2036">
            <v>2.4602739726027401</v>
          </cell>
          <cell r="K2036"/>
          <cell r="L2036">
            <v>2.5602739726027401</v>
          </cell>
          <cell r="M2036"/>
          <cell r="N2036">
            <v>2.6602739726027402</v>
          </cell>
          <cell r="O2036"/>
          <cell r="P2036"/>
          <cell r="Q2036"/>
          <cell r="R2036">
            <v>2.7602739726027403</v>
          </cell>
          <cell r="S2036"/>
          <cell r="T2036"/>
          <cell r="U2036"/>
          <cell r="V2036">
            <v>15</v>
          </cell>
          <cell r="W2036"/>
          <cell r="X2036" t="str">
            <v>CANDY</v>
          </cell>
          <cell r="Y2036" t="str">
            <v>CANDY 14-SEP</v>
          </cell>
          <cell r="Z2036" t="str">
            <v>LEI' MAIL 18/9/17</v>
          </cell>
          <cell r="AA2036"/>
          <cell r="AB2036">
            <v>42998</v>
          </cell>
          <cell r="AC2036">
            <v>3509</v>
          </cell>
        </row>
        <row r="2037">
          <cell r="B2037">
            <v>3508</v>
          </cell>
          <cell r="C2037" t="str">
            <v>HLTR17060</v>
          </cell>
          <cell r="D2037"/>
          <cell r="E2037"/>
          <cell r="F2037" t="str">
            <v>82% POLYESTER 16% RAYON 2% SPANDEX</v>
          </cell>
          <cell r="G2037" t="str">
            <v>82% POLYESTER 16% RAYON 2% SPANDEX</v>
          </cell>
          <cell r="H2037" t="str">
            <v>57/58</v>
          </cell>
          <cell r="I2037">
            <v>335</v>
          </cell>
          <cell r="J2037">
            <v>3.4499999999999997</v>
          </cell>
          <cell r="K2037"/>
          <cell r="L2037">
            <v>3.55</v>
          </cell>
          <cell r="M2037"/>
          <cell r="N2037">
            <v>3.65</v>
          </cell>
          <cell r="O2037"/>
          <cell r="P2037"/>
          <cell r="Q2037"/>
          <cell r="R2037">
            <v>3.75</v>
          </cell>
          <cell r="S2037"/>
          <cell r="T2037"/>
          <cell r="U2037"/>
          <cell r="V2037">
            <v>15</v>
          </cell>
          <cell r="W2037"/>
          <cell r="X2037" t="str">
            <v>CANDY</v>
          </cell>
          <cell r="Y2037" t="str">
            <v>CANDY 14-SEP</v>
          </cell>
          <cell r="Z2037" t="str">
            <v>LEI' MAIL 18/9/17</v>
          </cell>
          <cell r="AA2037"/>
          <cell r="AB2037">
            <v>42998</v>
          </cell>
          <cell r="AC2037">
            <v>3508</v>
          </cell>
        </row>
        <row r="2038">
          <cell r="B2038">
            <v>3507</v>
          </cell>
          <cell r="C2038" t="str">
            <v>HLTR17034</v>
          </cell>
          <cell r="D2038"/>
          <cell r="E2038"/>
          <cell r="F2038" t="str">
            <v>T/R/S 65/33/2 - 32S/2x21S+75D+40D</v>
          </cell>
          <cell r="G2038" t="str">
            <v>POLYESTER/RAYON/SPANDEX 65/33/2 - 32S/2x21S+75D+40D</v>
          </cell>
          <cell r="H2038" t="str">
            <v>57/58</v>
          </cell>
          <cell r="I2038">
            <v>225</v>
          </cell>
          <cell r="J2038">
            <v>2.4431506849315072</v>
          </cell>
          <cell r="K2038"/>
          <cell r="L2038">
            <v>2.5431506849315073</v>
          </cell>
          <cell r="M2038"/>
          <cell r="N2038">
            <v>2.6431506849315074</v>
          </cell>
          <cell r="O2038"/>
          <cell r="P2038"/>
          <cell r="Q2038"/>
          <cell r="R2038">
            <v>2.7431506849315075</v>
          </cell>
          <cell r="S2038"/>
          <cell r="T2038"/>
          <cell r="U2038"/>
          <cell r="V2038">
            <v>15</v>
          </cell>
          <cell r="W2038"/>
          <cell r="X2038" t="str">
            <v>CANDY</v>
          </cell>
          <cell r="Y2038" t="str">
            <v>CANDY 14-SEP</v>
          </cell>
          <cell r="Z2038" t="str">
            <v>LEI' MAIL 18/9/17</v>
          </cell>
          <cell r="AA2038"/>
          <cell r="AB2038">
            <v>42998</v>
          </cell>
          <cell r="AC2038">
            <v>3507</v>
          </cell>
        </row>
        <row r="2039">
          <cell r="B2039">
            <v>3506</v>
          </cell>
          <cell r="C2039" t="str">
            <v>HLTR17081</v>
          </cell>
          <cell r="D2039"/>
          <cell r="E2039"/>
          <cell r="F2039" t="str">
            <v>63% POLYESTER 33% RAYON 4% SPANDEX - 32S/2 TR +40D x 2</v>
          </cell>
          <cell r="G2039" t="str">
            <v>63% POLYESTER 33% RAYON 4% SPANDEX - 32S/2 TR +40D x 2</v>
          </cell>
          <cell r="H2039" t="str">
            <v>57/58</v>
          </cell>
          <cell r="I2039">
            <v>335</v>
          </cell>
          <cell r="J2039">
            <v>2.9583170254403135</v>
          </cell>
          <cell r="K2039"/>
          <cell r="L2039">
            <v>3.0583170254403136</v>
          </cell>
          <cell r="M2039"/>
          <cell r="N2039">
            <v>3.1583170254403137</v>
          </cell>
          <cell r="O2039"/>
          <cell r="P2039"/>
          <cell r="Q2039"/>
          <cell r="R2039">
            <v>3.2583170254403138</v>
          </cell>
          <cell r="S2039"/>
          <cell r="T2039"/>
          <cell r="U2039"/>
          <cell r="V2039">
            <v>15</v>
          </cell>
          <cell r="W2039"/>
          <cell r="X2039" t="str">
            <v>CANDY</v>
          </cell>
          <cell r="Y2039" t="str">
            <v>CANDY 14-SEP</v>
          </cell>
          <cell r="Z2039" t="str">
            <v>LEI' MAIL 18/9/17</v>
          </cell>
          <cell r="AA2039"/>
          <cell r="AB2039">
            <v>42998</v>
          </cell>
          <cell r="AC2039">
            <v>3506</v>
          </cell>
        </row>
        <row r="2040">
          <cell r="B2040">
            <v>3505</v>
          </cell>
          <cell r="C2040" t="str">
            <v>HLKO17043</v>
          </cell>
          <cell r="D2040"/>
          <cell r="E2040"/>
          <cell r="F2040" t="str">
            <v>92% POLYESTER 8 % SPANDEX</v>
          </cell>
          <cell r="G2040" t="str">
            <v>92% POLYESTER 8 % SPANDEX</v>
          </cell>
          <cell r="H2040" t="str">
            <v>155CM</v>
          </cell>
          <cell r="I2040">
            <v>295</v>
          </cell>
          <cell r="J2040">
            <v>2.8219178082191783</v>
          </cell>
          <cell r="K2040"/>
          <cell r="L2040">
            <v>2.9219178082191783</v>
          </cell>
          <cell r="M2040"/>
          <cell r="N2040">
            <v>3.0219178082191784</v>
          </cell>
          <cell r="O2040"/>
          <cell r="P2040"/>
          <cell r="Q2040"/>
          <cell r="R2040">
            <v>3.1219178082191785</v>
          </cell>
          <cell r="S2040"/>
          <cell r="T2040"/>
          <cell r="U2040"/>
          <cell r="V2040">
            <v>15</v>
          </cell>
          <cell r="W2040"/>
          <cell r="X2040" t="str">
            <v>CANDY</v>
          </cell>
          <cell r="Y2040" t="str">
            <v>CANDY 14-SEP</v>
          </cell>
          <cell r="Z2040" t="str">
            <v>LEI' MAIL 18/9/17</v>
          </cell>
          <cell r="AA2040"/>
          <cell r="AB2040">
            <v>42998</v>
          </cell>
          <cell r="AC2040">
            <v>3505</v>
          </cell>
        </row>
        <row r="2041">
          <cell r="B2041">
            <v>3504</v>
          </cell>
          <cell r="C2041" t="str">
            <v>HLTR17059</v>
          </cell>
          <cell r="D2041"/>
          <cell r="E2041"/>
          <cell r="F2041" t="str">
            <v>T/R/S 66/33/4 - 40S/2 TR + 40D x 40S/S TR + 40D</v>
          </cell>
          <cell r="G2041" t="str">
            <v>POLYESTER/RAYON/SPANDEX 66/33/4 - 40S/2 TR + 40D x 40S/S TR + 40D</v>
          </cell>
          <cell r="H2041" t="str">
            <v>57/58</v>
          </cell>
          <cell r="I2041">
            <v>295</v>
          </cell>
          <cell r="J2041">
            <v>2.6902152641878669</v>
          </cell>
          <cell r="K2041"/>
          <cell r="L2041">
            <v>2.790215264187867</v>
          </cell>
          <cell r="M2041"/>
          <cell r="N2041">
            <v>2.8902152641878671</v>
          </cell>
          <cell r="O2041"/>
          <cell r="P2041"/>
          <cell r="Q2041"/>
          <cell r="R2041">
            <v>2.9902152641878672</v>
          </cell>
          <cell r="S2041"/>
          <cell r="T2041"/>
          <cell r="U2041"/>
          <cell r="V2041">
            <v>15</v>
          </cell>
          <cell r="W2041"/>
          <cell r="X2041" t="str">
            <v>CANDY</v>
          </cell>
          <cell r="Y2041" t="str">
            <v>CANDY 14-SEP</v>
          </cell>
          <cell r="Z2041" t="str">
            <v>LEI' MAIL 18/9/17</v>
          </cell>
          <cell r="AA2041"/>
          <cell r="AB2041">
            <v>42998</v>
          </cell>
          <cell r="AC2041">
            <v>3504</v>
          </cell>
        </row>
        <row r="2042">
          <cell r="B2042">
            <v>3503</v>
          </cell>
          <cell r="C2042" t="str">
            <v>HLTR17095</v>
          </cell>
          <cell r="D2042"/>
          <cell r="E2042"/>
          <cell r="F2042" t="str">
            <v>63% POLYESTER 33% RAYON 4% SPANDEX</v>
          </cell>
          <cell r="G2042" t="str">
            <v>63% POLYESTER 33% RAYON 4% SPANDEX</v>
          </cell>
          <cell r="H2042" t="str">
            <v>57/58</v>
          </cell>
          <cell r="I2042">
            <v>270</v>
          </cell>
          <cell r="J2042">
            <v>2.6823874755381611</v>
          </cell>
          <cell r="K2042"/>
          <cell r="L2042">
            <v>2.7823874755381612</v>
          </cell>
          <cell r="M2042"/>
          <cell r="N2042">
            <v>2.8823874755381613</v>
          </cell>
          <cell r="O2042"/>
          <cell r="P2042"/>
          <cell r="Q2042"/>
          <cell r="R2042">
            <v>2.9823874755381614</v>
          </cell>
          <cell r="S2042"/>
          <cell r="T2042"/>
          <cell r="U2042"/>
          <cell r="V2042">
            <v>15</v>
          </cell>
          <cell r="W2042"/>
          <cell r="X2042" t="str">
            <v>CANDY</v>
          </cell>
          <cell r="Y2042" t="str">
            <v>CANDY 14-SEP</v>
          </cell>
          <cell r="Z2042" t="str">
            <v>LEI' MAIL 18/9/17</v>
          </cell>
          <cell r="AA2042"/>
          <cell r="AB2042">
            <v>42998</v>
          </cell>
          <cell r="AC2042">
            <v>3503</v>
          </cell>
        </row>
        <row r="2043">
          <cell r="B2043">
            <v>3502</v>
          </cell>
          <cell r="C2043" t="str">
            <v>HLTR17111</v>
          </cell>
          <cell r="D2043"/>
          <cell r="E2043"/>
          <cell r="F2043" t="str">
            <v>T/R/S 64/34/2 - 32S/2 TR x 32S/2 TR + 40D</v>
          </cell>
          <cell r="G2043" t="str">
            <v>POLYESTER/RAYON/SPANDEX 64/34/2 - 32S/2 TR x 32S/2 TR + 40D</v>
          </cell>
          <cell r="H2043" t="str">
            <v>57/58</v>
          </cell>
          <cell r="I2043">
            <v>255</v>
          </cell>
          <cell r="J2043">
            <v>2.6452054794520548</v>
          </cell>
          <cell r="K2043"/>
          <cell r="L2043">
            <v>2.7452054794520548</v>
          </cell>
          <cell r="M2043"/>
          <cell r="N2043">
            <v>2.8452054794520549</v>
          </cell>
          <cell r="O2043"/>
          <cell r="P2043"/>
          <cell r="Q2043"/>
          <cell r="R2043">
            <v>2.945205479452055</v>
          </cell>
          <cell r="S2043"/>
          <cell r="T2043"/>
          <cell r="U2043"/>
          <cell r="V2043">
            <v>15</v>
          </cell>
          <cell r="W2043"/>
          <cell r="X2043" t="str">
            <v>CANDY</v>
          </cell>
          <cell r="Y2043" t="str">
            <v>CANDY 14-SEP</v>
          </cell>
          <cell r="Z2043" t="str">
            <v>LEI' MAIL 18/9/17</v>
          </cell>
          <cell r="AA2043"/>
          <cell r="AB2043">
            <v>42998</v>
          </cell>
          <cell r="AC2043">
            <v>3502</v>
          </cell>
        </row>
        <row r="2044">
          <cell r="B2044">
            <v>3501</v>
          </cell>
          <cell r="C2044" t="str">
            <v>HLTR17112</v>
          </cell>
          <cell r="D2044"/>
          <cell r="E2044"/>
          <cell r="F2044" t="str">
            <v>64% POLYESTER 34% RAYON 2% SPANDEX - 50S/2 TR x 50S/2 TR+ 40D</v>
          </cell>
          <cell r="G2044" t="str">
            <v>64% POLYESTER 34% RAYON 2% SPANDEX - 50S/2 TR x 50S/2 TR+ 40D</v>
          </cell>
          <cell r="H2044" t="str">
            <v>57/58</v>
          </cell>
          <cell r="I2044">
            <v>210</v>
          </cell>
          <cell r="J2044">
            <v>2.6315068493150688</v>
          </cell>
          <cell r="K2044"/>
          <cell r="L2044">
            <v>2.7315068493150689</v>
          </cell>
          <cell r="M2044"/>
          <cell r="N2044">
            <v>2.831506849315069</v>
          </cell>
          <cell r="O2044"/>
          <cell r="P2044"/>
          <cell r="Q2044"/>
          <cell r="R2044">
            <v>2.9315068493150691</v>
          </cell>
          <cell r="S2044"/>
          <cell r="T2044"/>
          <cell r="U2044"/>
          <cell r="V2044">
            <v>15</v>
          </cell>
          <cell r="W2044"/>
          <cell r="X2044" t="str">
            <v>CANDY</v>
          </cell>
          <cell r="Y2044" t="str">
            <v>CANDY 14-SEP</v>
          </cell>
          <cell r="Z2044" t="str">
            <v>LEI' MAIL 18/9/17</v>
          </cell>
          <cell r="AA2044"/>
          <cell r="AB2044">
            <v>42998</v>
          </cell>
          <cell r="AC2044">
            <v>3501</v>
          </cell>
        </row>
        <row r="2045">
          <cell r="B2045">
            <v>3500</v>
          </cell>
          <cell r="C2045" t="str">
            <v>HLTR17089</v>
          </cell>
          <cell r="D2045"/>
          <cell r="E2045"/>
          <cell r="F2045" t="str">
            <v>64% POLYESTER 34% RAYON 2% SPANDEX - 32S/2 TR x 32S/2 TR + 40D</v>
          </cell>
          <cell r="G2045" t="str">
            <v>64% POLYESTER 34% RAYON 2% SPANDEX - 32S/2 TR x 32S/2 TR + 40D</v>
          </cell>
          <cell r="H2045" t="str">
            <v>57/58</v>
          </cell>
          <cell r="I2045">
            <v>235</v>
          </cell>
          <cell r="J2045">
            <v>2.5253424657534249</v>
          </cell>
          <cell r="K2045"/>
          <cell r="L2045">
            <v>2.625342465753425</v>
          </cell>
          <cell r="M2045"/>
          <cell r="N2045">
            <v>2.7253424657534251</v>
          </cell>
          <cell r="O2045"/>
          <cell r="P2045"/>
          <cell r="Q2045"/>
          <cell r="R2045">
            <v>2.8253424657534252</v>
          </cell>
          <cell r="S2045"/>
          <cell r="T2045"/>
          <cell r="U2045"/>
          <cell r="V2045">
            <v>15</v>
          </cell>
          <cell r="W2045"/>
          <cell r="X2045" t="str">
            <v>CANDY</v>
          </cell>
          <cell r="Y2045" t="str">
            <v>CANDY 14-SEP</v>
          </cell>
          <cell r="Z2045" t="str">
            <v>LEI' MAIL 18/9/17</v>
          </cell>
          <cell r="AA2045"/>
          <cell r="AB2045">
            <v>42998</v>
          </cell>
          <cell r="AC2045">
            <v>3500</v>
          </cell>
        </row>
        <row r="2046">
          <cell r="B2046">
            <v>3499</v>
          </cell>
          <cell r="C2046" t="str">
            <v>HLTR17121</v>
          </cell>
          <cell r="D2046"/>
          <cell r="E2046"/>
          <cell r="F2046" t="str">
            <v>T/R/S 63/33/4 - 32S TR + 40D x 32S TR + 40D</v>
          </cell>
          <cell r="G2046" t="str">
            <v>POLYESTER/RAYON/SPANDEX 63/33/4 - 32S TR + 40D x 32S TR + 40D</v>
          </cell>
          <cell r="H2046" t="str">
            <v>57/58</v>
          </cell>
          <cell r="I2046">
            <v>260</v>
          </cell>
          <cell r="J2046">
            <v>2.5180039138943249</v>
          </cell>
          <cell r="K2046"/>
          <cell r="L2046">
            <v>2.618003913894325</v>
          </cell>
          <cell r="M2046"/>
          <cell r="N2046">
            <v>2.7180039138943251</v>
          </cell>
          <cell r="O2046"/>
          <cell r="P2046"/>
          <cell r="Q2046"/>
          <cell r="R2046">
            <v>2.8180039138943251</v>
          </cell>
          <cell r="S2046"/>
          <cell r="T2046"/>
          <cell r="U2046"/>
          <cell r="V2046">
            <v>15</v>
          </cell>
          <cell r="W2046"/>
          <cell r="X2046" t="str">
            <v>CANDY</v>
          </cell>
          <cell r="Y2046" t="str">
            <v>CANDY 14-SEP</v>
          </cell>
          <cell r="Z2046" t="str">
            <v>LEI' MAIL 18/9/17</v>
          </cell>
          <cell r="AA2046"/>
          <cell r="AB2046">
            <v>42998</v>
          </cell>
          <cell r="AC2046">
            <v>3499</v>
          </cell>
        </row>
        <row r="2047">
          <cell r="B2047">
            <v>3498</v>
          </cell>
          <cell r="C2047" t="str">
            <v>HLTR17032</v>
          </cell>
          <cell r="D2047"/>
          <cell r="E2047"/>
          <cell r="F2047" t="str">
            <v>T/R/S 64/34/2 - 40S/2x40S/2+40D</v>
          </cell>
          <cell r="G2047" t="str">
            <v>POLYESTER/RAYON/SPANDEX 64/34/2 - 40S/2x40S/2+40D</v>
          </cell>
          <cell r="H2047" t="str">
            <v>57/58</v>
          </cell>
          <cell r="I2047">
            <v>230</v>
          </cell>
          <cell r="J2047">
            <v>2.4945205479452053</v>
          </cell>
          <cell r="K2047"/>
          <cell r="L2047">
            <v>2.5945205479452054</v>
          </cell>
          <cell r="M2047"/>
          <cell r="N2047">
            <v>2.6945205479452055</v>
          </cell>
          <cell r="O2047"/>
          <cell r="P2047"/>
          <cell r="Q2047"/>
          <cell r="R2047">
            <v>2.7945205479452055</v>
          </cell>
          <cell r="S2047"/>
          <cell r="T2047"/>
          <cell r="U2047"/>
          <cell r="V2047">
            <v>15</v>
          </cell>
          <cell r="W2047"/>
          <cell r="X2047" t="str">
            <v>CANDY</v>
          </cell>
          <cell r="Y2047" t="str">
            <v>CANDY 14-SEP</v>
          </cell>
          <cell r="Z2047" t="str">
            <v>LEI' MAIL 18/9/17</v>
          </cell>
          <cell r="AA2047"/>
          <cell r="AB2047">
            <v>42998</v>
          </cell>
          <cell r="AC2047">
            <v>3498</v>
          </cell>
        </row>
        <row r="2048">
          <cell r="B2048">
            <v>3497</v>
          </cell>
          <cell r="C2048" t="str">
            <v>HLTR17050</v>
          </cell>
          <cell r="D2048"/>
          <cell r="E2048"/>
          <cell r="F2048" t="str">
            <v>T/R/S 62/32/6 - 32S + 40D x 32S +40D</v>
          </cell>
          <cell r="G2048" t="str">
            <v>POLYESTER/RAYON/SPANDEX 62/32/6 - 32S + 40D x 32S +40D</v>
          </cell>
          <cell r="H2048" t="str">
            <v>57/58</v>
          </cell>
          <cell r="I2048">
            <v>285</v>
          </cell>
          <cell r="J2048">
            <v>3.0542074363992175</v>
          </cell>
          <cell r="K2048"/>
          <cell r="L2048">
            <v>3.1542074363992176</v>
          </cell>
          <cell r="M2048"/>
          <cell r="N2048">
            <v>3.2542074363992177</v>
          </cell>
          <cell r="O2048"/>
          <cell r="P2048"/>
          <cell r="Q2048"/>
          <cell r="R2048">
            <v>3.3542074363992178</v>
          </cell>
          <cell r="S2048"/>
          <cell r="T2048"/>
          <cell r="U2048"/>
          <cell r="V2048">
            <v>15</v>
          </cell>
          <cell r="W2048"/>
          <cell r="X2048" t="str">
            <v>CANDY</v>
          </cell>
          <cell r="Y2048" t="str">
            <v>CANDY 14-SEP</v>
          </cell>
          <cell r="Z2048" t="str">
            <v>LEI' MAIL 18/9/17</v>
          </cell>
          <cell r="AA2048"/>
          <cell r="AB2048">
            <v>42998</v>
          </cell>
          <cell r="AC2048">
            <v>3497</v>
          </cell>
        </row>
        <row r="2049">
          <cell r="B2049">
            <v>3496</v>
          </cell>
          <cell r="C2049" t="str">
            <v>HLTR17065</v>
          </cell>
          <cell r="D2049"/>
          <cell r="E2049"/>
          <cell r="F2049" t="str">
            <v>T/R/S 63/32/5 - 30S TR+40Dx25S TR + 40D</v>
          </cell>
          <cell r="G2049" t="str">
            <v>POLYESTER/RAYON/SPANDEX 63/32/5 - 30S TR+40Dx25S TR + 40D</v>
          </cell>
          <cell r="H2049" t="str">
            <v>57/58</v>
          </cell>
          <cell r="I2049">
            <v>340</v>
          </cell>
          <cell r="J2049">
            <v>3.3771037181996086</v>
          </cell>
          <cell r="K2049"/>
          <cell r="L2049">
            <v>3.4771037181996087</v>
          </cell>
          <cell r="M2049"/>
          <cell r="N2049">
            <v>3.5771037181996088</v>
          </cell>
          <cell r="O2049"/>
          <cell r="P2049"/>
          <cell r="Q2049"/>
          <cell r="R2049">
            <v>3.6771037181996089</v>
          </cell>
          <cell r="S2049"/>
          <cell r="T2049"/>
          <cell r="U2049"/>
          <cell r="V2049">
            <v>15</v>
          </cell>
          <cell r="W2049"/>
          <cell r="X2049" t="str">
            <v>CANDY</v>
          </cell>
          <cell r="Y2049" t="str">
            <v>CANDY 14-SEP</v>
          </cell>
          <cell r="Z2049" t="str">
            <v>LEI' MAIL 18/9/17</v>
          </cell>
          <cell r="AA2049"/>
          <cell r="AB2049">
            <v>42998</v>
          </cell>
          <cell r="AC2049">
            <v>3496</v>
          </cell>
        </row>
        <row r="2050">
          <cell r="B2050">
            <v>3495</v>
          </cell>
          <cell r="C2050" t="str">
            <v>HLT2171</v>
          </cell>
          <cell r="D2050"/>
          <cell r="E2050"/>
          <cell r="F2050" t="str">
            <v>70% VISCOSE 25% POLYAMIDE 5% ELASTANE - 40S+70D+40D</v>
          </cell>
          <cell r="G2050" t="str">
            <v>70% VISCOSE 25% POLYAMIDE 5% ELASTANE - 40S+70D+40D</v>
          </cell>
          <cell r="H2050" t="str">
            <v>152CM</v>
          </cell>
          <cell r="I2050">
            <v>410</v>
          </cell>
          <cell r="J2050">
            <v>3.9999418317191635</v>
          </cell>
          <cell r="K2050"/>
          <cell r="L2050">
            <v>4.0999418317191632</v>
          </cell>
          <cell r="M2050"/>
          <cell r="N2050">
            <v>4.1999418317191628</v>
          </cell>
          <cell r="O2050"/>
          <cell r="P2050"/>
          <cell r="Q2050"/>
          <cell r="R2050">
            <v>4.2999418317191624</v>
          </cell>
          <cell r="S2050"/>
          <cell r="T2050"/>
          <cell r="U2050"/>
          <cell r="V2050">
            <v>15</v>
          </cell>
          <cell r="W2050"/>
          <cell r="X2050" t="str">
            <v>CANDY</v>
          </cell>
          <cell r="Y2050" t="str">
            <v>CANDY 14-SEP</v>
          </cell>
          <cell r="Z2050" t="str">
            <v>LEI' MAIL 18/9/17</v>
          </cell>
          <cell r="AA2050"/>
          <cell r="AB2050">
            <v>42998</v>
          </cell>
          <cell r="AC2050">
            <v>3495</v>
          </cell>
        </row>
        <row r="2051">
          <cell r="B2051">
            <v>3494</v>
          </cell>
          <cell r="C2051" t="str">
            <v>HLTR17119</v>
          </cell>
          <cell r="D2051"/>
          <cell r="E2051"/>
          <cell r="F2051" t="str">
            <v>T/R/S 63/33/4 21S TR+40D x 21S TR + 40D</v>
          </cell>
          <cell r="G2051" t="str">
            <v>POLYESTER/RAYON/SPANDEX 63/33/4 21S TR+40D x 21S TR + 40D</v>
          </cell>
          <cell r="H2051" t="str">
            <v>57/58</v>
          </cell>
          <cell r="I2051">
            <v>240</v>
          </cell>
          <cell r="J2051">
            <v>2.5238747553816046</v>
          </cell>
          <cell r="K2051"/>
          <cell r="L2051">
            <v>2.6238747553816046</v>
          </cell>
          <cell r="M2051"/>
          <cell r="N2051">
            <v>2.7238747553816047</v>
          </cell>
          <cell r="O2051"/>
          <cell r="P2051"/>
          <cell r="Q2051"/>
          <cell r="R2051">
            <v>2.8238747553816048</v>
          </cell>
          <cell r="S2051"/>
          <cell r="T2051"/>
          <cell r="U2051"/>
          <cell r="V2051">
            <v>15</v>
          </cell>
          <cell r="W2051"/>
          <cell r="X2051" t="str">
            <v>CANDY</v>
          </cell>
          <cell r="Y2051" t="str">
            <v>CANDY 14-SEP</v>
          </cell>
          <cell r="Z2051" t="str">
            <v>LEI' MAIL 18/9/17</v>
          </cell>
          <cell r="AA2051"/>
          <cell r="AB2051">
            <v>42998</v>
          </cell>
          <cell r="AC2051">
            <v>3494</v>
          </cell>
        </row>
        <row r="2052">
          <cell r="B2052">
            <v>3493</v>
          </cell>
          <cell r="C2052" t="str">
            <v>HLTR17030</v>
          </cell>
          <cell r="D2052"/>
          <cell r="E2052"/>
          <cell r="F2052" t="str">
            <v>75% POLYESTER 20% RAYON 5% SPANDEX - 32S+40D x 150D+40D</v>
          </cell>
          <cell r="G2052" t="str">
            <v>75% POLYESTER 20% RAYON 5% SPANDEX - 32S+40D x 150D+40D</v>
          </cell>
          <cell r="H2052" t="str">
            <v>57/58</v>
          </cell>
          <cell r="I2052">
            <v>265</v>
          </cell>
          <cell r="J2052">
            <v>2.7606653620352253</v>
          </cell>
          <cell r="K2052"/>
          <cell r="L2052">
            <v>2.8606653620352254</v>
          </cell>
          <cell r="M2052"/>
          <cell r="N2052">
            <v>2.9606653620352255</v>
          </cell>
          <cell r="O2052"/>
          <cell r="P2052"/>
          <cell r="Q2052"/>
          <cell r="R2052">
            <v>3.0606653620352255</v>
          </cell>
          <cell r="S2052"/>
          <cell r="T2052"/>
          <cell r="U2052"/>
          <cell r="V2052">
            <v>15</v>
          </cell>
          <cell r="W2052"/>
          <cell r="X2052" t="str">
            <v>CANDY</v>
          </cell>
          <cell r="Y2052" t="str">
            <v>CANDY 14-SEP</v>
          </cell>
          <cell r="Z2052" t="str">
            <v>LEI' MAIL 18/9/17</v>
          </cell>
          <cell r="AA2052"/>
          <cell r="AB2052">
            <v>42998</v>
          </cell>
          <cell r="AC2052">
            <v>3493</v>
          </cell>
        </row>
        <row r="2053">
          <cell r="B2053">
            <v>3492</v>
          </cell>
          <cell r="C2053" t="str">
            <v>HLTR17062</v>
          </cell>
          <cell r="D2053"/>
          <cell r="E2053"/>
          <cell r="F2053" t="str">
            <v>T/R/S 70/23/7 - 32S TR + 40D x 75D+ 40D</v>
          </cell>
          <cell r="G2053" t="str">
            <v>POLYESTER/RAYON/SPANDEX 70/23/7 - 32S TR + 40D x 75D+ 40D</v>
          </cell>
          <cell r="H2053" t="str">
            <v>57/58</v>
          </cell>
          <cell r="I2053">
            <v>283</v>
          </cell>
          <cell r="J2053">
            <v>3.4064579256360084</v>
          </cell>
          <cell r="K2053"/>
          <cell r="L2053">
            <v>3.5064579256360084</v>
          </cell>
          <cell r="M2053"/>
          <cell r="N2053">
            <v>3.6064579256360085</v>
          </cell>
          <cell r="O2053"/>
          <cell r="P2053"/>
          <cell r="Q2053"/>
          <cell r="R2053">
            <v>3.7064579256360086</v>
          </cell>
          <cell r="S2053"/>
          <cell r="T2053"/>
          <cell r="U2053"/>
          <cell r="V2053">
            <v>15</v>
          </cell>
          <cell r="W2053"/>
          <cell r="X2053" t="str">
            <v>CANDY</v>
          </cell>
          <cell r="Y2053" t="str">
            <v>CANDY 14-SEP</v>
          </cell>
          <cell r="Z2053" t="str">
            <v>LEI' MAIL 18/9/17</v>
          </cell>
          <cell r="AA2053"/>
          <cell r="AB2053">
            <v>42998</v>
          </cell>
          <cell r="AC2053">
            <v>3492</v>
          </cell>
        </row>
        <row r="2054">
          <cell r="B2054">
            <v>3491</v>
          </cell>
          <cell r="C2054" t="str">
            <v>HLTR17066</v>
          </cell>
          <cell r="D2054"/>
          <cell r="E2054"/>
          <cell r="F2054" t="str">
            <v>T/R/S 63/33/4 - 50S/2 TR + 40D , 100D x 100D +40D</v>
          </cell>
          <cell r="G2054" t="str">
            <v>POLYESTER/RAYON/SPANDEX 63/33/4 - 50S/2 TR + 40D , 100D x 100D +40D</v>
          </cell>
          <cell r="H2054" t="str">
            <v>57/58</v>
          </cell>
          <cell r="I2054">
            <v>300</v>
          </cell>
          <cell r="J2054">
            <v>3.4142857142857146</v>
          </cell>
          <cell r="K2054"/>
          <cell r="L2054">
            <v>3.5142857142857147</v>
          </cell>
          <cell r="M2054"/>
          <cell r="N2054">
            <v>3.6142857142857148</v>
          </cell>
          <cell r="O2054"/>
          <cell r="P2054"/>
          <cell r="Q2054"/>
          <cell r="R2054">
            <v>3.7142857142857149</v>
          </cell>
          <cell r="S2054"/>
          <cell r="T2054"/>
          <cell r="U2054"/>
          <cell r="V2054">
            <v>15</v>
          </cell>
          <cell r="W2054"/>
          <cell r="X2054" t="str">
            <v>CANDY</v>
          </cell>
          <cell r="Y2054" t="str">
            <v>CANDY 14-SEP</v>
          </cell>
          <cell r="Z2054" t="str">
            <v>LEI' MAIL 18/9/17</v>
          </cell>
          <cell r="AA2054"/>
          <cell r="AB2054">
            <v>42998</v>
          </cell>
          <cell r="AC2054">
            <v>3491</v>
          </cell>
        </row>
        <row r="2055">
          <cell r="B2055">
            <v>3486</v>
          </cell>
          <cell r="C2055" t="str">
            <v>HLTR17114</v>
          </cell>
          <cell r="D2055" t="str">
            <v>TAILORING</v>
          </cell>
          <cell r="E2055"/>
          <cell r="F2055" t="str">
            <v>86% POLYESTER 10% RAYON 4% SPANDEX</v>
          </cell>
          <cell r="G2055" t="str">
            <v>86% POLYESTER 10% RAYON 4% SPANDEX</v>
          </cell>
          <cell r="H2055" t="str">
            <v>57/58</v>
          </cell>
          <cell r="I2055">
            <v>270</v>
          </cell>
          <cell r="J2055">
            <v>2.486692759295499</v>
          </cell>
          <cell r="K2055"/>
          <cell r="L2055">
            <v>2.5866927592954991</v>
          </cell>
          <cell r="M2055"/>
          <cell r="N2055">
            <v>2.6866927592954992</v>
          </cell>
          <cell r="O2055"/>
          <cell r="P2055"/>
          <cell r="Q2055"/>
          <cell r="R2055">
            <v>2.7866927592954993</v>
          </cell>
          <cell r="S2055"/>
          <cell r="T2055"/>
          <cell r="U2055"/>
          <cell r="V2055">
            <v>15</v>
          </cell>
          <cell r="W2055"/>
          <cell r="X2055" t="str">
            <v>CANDY</v>
          </cell>
          <cell r="Y2055" t="str">
            <v>CANDY 14-SEP</v>
          </cell>
          <cell r="Z2055" t="str">
            <v>LEI' MAIL 18/9/17</v>
          </cell>
          <cell r="AA2055"/>
          <cell r="AB2055">
            <v>42998</v>
          </cell>
          <cell r="AC2055">
            <v>3486</v>
          </cell>
        </row>
        <row r="2056">
          <cell r="B2056">
            <v>3485</v>
          </cell>
          <cell r="C2056" t="str">
            <v>HLTR17109</v>
          </cell>
          <cell r="D2056" t="str">
            <v>TAILORING</v>
          </cell>
          <cell r="E2056"/>
          <cell r="F2056" t="str">
            <v>T/R/S 78/18/4</v>
          </cell>
          <cell r="G2056" t="str">
            <v>POLYESTER/RAYON/SPANDEX 78/18/4</v>
          </cell>
          <cell r="H2056" t="str">
            <v>57/58</v>
          </cell>
          <cell r="I2056">
            <v>240</v>
          </cell>
          <cell r="J2056">
            <v>2.5825831702544031</v>
          </cell>
          <cell r="K2056"/>
          <cell r="L2056">
            <v>2.6825831702544032</v>
          </cell>
          <cell r="M2056"/>
          <cell r="N2056">
            <v>2.7825831702544033</v>
          </cell>
          <cell r="O2056"/>
          <cell r="P2056"/>
          <cell r="Q2056"/>
          <cell r="R2056">
            <v>2.8825831702544034</v>
          </cell>
          <cell r="S2056"/>
          <cell r="T2056"/>
          <cell r="U2056"/>
          <cell r="V2056">
            <v>15</v>
          </cell>
          <cell r="W2056"/>
          <cell r="X2056" t="str">
            <v>CANDY</v>
          </cell>
          <cell r="Y2056" t="str">
            <v>CANDY 14-SEP</v>
          </cell>
          <cell r="Z2056" t="str">
            <v>LEI' MAIL 18/9/17</v>
          </cell>
          <cell r="AA2056"/>
          <cell r="AB2056">
            <v>42998</v>
          </cell>
          <cell r="AC2056">
            <v>3485</v>
          </cell>
        </row>
        <row r="2057">
          <cell r="B2057">
            <v>3484</v>
          </cell>
          <cell r="C2057" t="str">
            <v>HLTR17013</v>
          </cell>
          <cell r="D2057" t="str">
            <v>TAILORING</v>
          </cell>
          <cell r="E2057"/>
          <cell r="F2057" t="str">
            <v>T/R/S 81/17/2 - 25S/2 +400D x 300D+40D</v>
          </cell>
          <cell r="G2057" t="str">
            <v>POLYESTER/RAYON/SPANDEX 81/17/2 - 25S/2 +400D x 300D+40D</v>
          </cell>
          <cell r="H2057" t="str">
            <v>57/58</v>
          </cell>
          <cell r="I2057">
            <v>320</v>
          </cell>
          <cell r="J2057">
            <v>2.6623287671232876</v>
          </cell>
          <cell r="K2057"/>
          <cell r="L2057">
            <v>2.7623287671232877</v>
          </cell>
          <cell r="M2057"/>
          <cell r="N2057">
            <v>2.8623287671232878</v>
          </cell>
          <cell r="O2057"/>
          <cell r="P2057"/>
          <cell r="Q2057"/>
          <cell r="R2057">
            <v>2.9623287671232879</v>
          </cell>
          <cell r="S2057"/>
          <cell r="T2057"/>
          <cell r="U2057"/>
          <cell r="V2057">
            <v>15</v>
          </cell>
          <cell r="W2057"/>
          <cell r="X2057" t="str">
            <v>CANDY</v>
          </cell>
          <cell r="Y2057" t="str">
            <v>CANDY 14-SEP</v>
          </cell>
          <cell r="Z2057" t="str">
            <v>LEI' MAIL 18/9/17</v>
          </cell>
          <cell r="AA2057"/>
          <cell r="AB2057">
            <v>42998</v>
          </cell>
          <cell r="AC2057">
            <v>3484</v>
          </cell>
        </row>
        <row r="2058">
          <cell r="B2058">
            <v>3483</v>
          </cell>
          <cell r="C2058" t="str">
            <v>HLTR17092</v>
          </cell>
          <cell r="D2058" t="str">
            <v>TAILORING</v>
          </cell>
          <cell r="E2058"/>
          <cell r="F2058" t="str">
            <v xml:space="preserve">T/R/S 70/28/2 </v>
          </cell>
          <cell r="G2058" t="str">
            <v xml:space="preserve">POLYESTER/RAYON/SPANDEX 70/28/2 </v>
          </cell>
          <cell r="H2058" t="str">
            <v>57/58</v>
          </cell>
          <cell r="I2058">
            <v>315</v>
          </cell>
          <cell r="J2058">
            <v>2.8506849315068492</v>
          </cell>
          <cell r="K2058"/>
          <cell r="L2058">
            <v>2.9506849315068493</v>
          </cell>
          <cell r="M2058"/>
          <cell r="N2058">
            <v>3.0506849315068494</v>
          </cell>
          <cell r="O2058"/>
          <cell r="P2058"/>
          <cell r="Q2058"/>
          <cell r="R2058">
            <v>3.1506849315068495</v>
          </cell>
          <cell r="S2058"/>
          <cell r="T2058"/>
          <cell r="U2058"/>
          <cell r="V2058">
            <v>15</v>
          </cell>
          <cell r="W2058"/>
          <cell r="X2058" t="str">
            <v>CANDY</v>
          </cell>
          <cell r="Y2058" t="str">
            <v>CANDY 14-SEP</v>
          </cell>
          <cell r="Z2058" t="str">
            <v>LEI' MAIL 18/9/17</v>
          </cell>
          <cell r="AA2058"/>
          <cell r="AB2058">
            <v>42998</v>
          </cell>
          <cell r="AC2058">
            <v>3483</v>
          </cell>
        </row>
        <row r="2059">
          <cell r="B2059">
            <v>3482</v>
          </cell>
          <cell r="C2059" t="str">
            <v>HLTR17110</v>
          </cell>
          <cell r="D2059" t="str">
            <v>TAILORING</v>
          </cell>
          <cell r="E2059"/>
          <cell r="F2059" t="str">
            <v xml:space="preserve">T/R/S 64/34/2  </v>
          </cell>
          <cell r="G2059" t="str">
            <v xml:space="preserve">POLYESTER/RAYON/SPANDEX 64/34/2  </v>
          </cell>
          <cell r="H2059" t="str">
            <v>57/58</v>
          </cell>
          <cell r="I2059">
            <v>320</v>
          </cell>
          <cell r="J2059">
            <v>3.076712328767123</v>
          </cell>
          <cell r="K2059"/>
          <cell r="L2059">
            <v>3.1767123287671231</v>
          </cell>
          <cell r="M2059"/>
          <cell r="N2059">
            <v>3.2767123287671232</v>
          </cell>
          <cell r="O2059"/>
          <cell r="P2059"/>
          <cell r="Q2059"/>
          <cell r="R2059">
            <v>3.3767123287671232</v>
          </cell>
          <cell r="S2059"/>
          <cell r="T2059"/>
          <cell r="U2059"/>
          <cell r="V2059">
            <v>15</v>
          </cell>
          <cell r="W2059"/>
          <cell r="X2059" t="str">
            <v>CANDY</v>
          </cell>
          <cell r="Y2059" t="str">
            <v>CANDY 14-SEP</v>
          </cell>
          <cell r="Z2059" t="str">
            <v>LEI' MAIL 18/9/17</v>
          </cell>
          <cell r="AA2059"/>
          <cell r="AB2059">
            <v>42998</v>
          </cell>
          <cell r="AC2059">
            <v>3482</v>
          </cell>
        </row>
        <row r="2060">
          <cell r="B2060">
            <v>3481</v>
          </cell>
          <cell r="C2060" t="str">
            <v>HLTR17074</v>
          </cell>
          <cell r="D2060" t="str">
            <v>TAILORING</v>
          </cell>
          <cell r="E2060"/>
          <cell r="F2060" t="str">
            <v>T/R/S 67/28/5 - 32S CD/R + 40D, 150D+40D x 32S CD/R + 40D</v>
          </cell>
          <cell r="G2060" t="str">
            <v>POLYESTER/RAYON/SPANDEX 67/28/5 - 32S CD/R + 40D, 150D+40D x 32S CD/R + 40D</v>
          </cell>
          <cell r="H2060" t="str">
            <v>57/58</v>
          </cell>
          <cell r="I2060">
            <v>225</v>
          </cell>
          <cell r="J2060">
            <v>2.6804305283757341</v>
          </cell>
          <cell r="K2060"/>
          <cell r="L2060">
            <v>2.7804305283757342</v>
          </cell>
          <cell r="M2060"/>
          <cell r="N2060">
            <v>2.8804305283757343</v>
          </cell>
          <cell r="O2060"/>
          <cell r="P2060"/>
          <cell r="Q2060"/>
          <cell r="R2060">
            <v>2.9804305283757344</v>
          </cell>
          <cell r="S2060"/>
          <cell r="T2060"/>
          <cell r="U2060"/>
          <cell r="V2060">
            <v>15</v>
          </cell>
          <cell r="W2060"/>
          <cell r="X2060" t="str">
            <v>CANDY</v>
          </cell>
          <cell r="Y2060" t="str">
            <v>CANDY 14-SEP</v>
          </cell>
          <cell r="Z2060" t="str">
            <v>LEI' MAIL 18/9/17</v>
          </cell>
          <cell r="AA2060"/>
          <cell r="AB2060">
            <v>42998</v>
          </cell>
          <cell r="AC2060">
            <v>3481</v>
          </cell>
        </row>
        <row r="2061">
          <cell r="B2061">
            <v>3480</v>
          </cell>
          <cell r="C2061" t="str">
            <v>HLP17073</v>
          </cell>
          <cell r="D2061"/>
          <cell r="E2061"/>
          <cell r="F2061" t="str">
            <v>T/S 98/2</v>
          </cell>
          <cell r="G2061" t="str">
            <v>98% POLYESTER 2% SPANDEX - 100D+75D+40D</v>
          </cell>
          <cell r="H2061" t="str">
            <v>57/58</v>
          </cell>
          <cell r="I2061">
            <v>210</v>
          </cell>
          <cell r="J2061">
            <v>2.1246575342465754</v>
          </cell>
          <cell r="K2061">
            <v>2.1794520547945204</v>
          </cell>
          <cell r="L2061">
            <v>2.2246575342465755</v>
          </cell>
          <cell r="M2061">
            <v>2.2794520547945205</v>
          </cell>
          <cell r="N2061">
            <v>2.3246575342465756</v>
          </cell>
          <cell r="O2061">
            <v>2.4794520547945207</v>
          </cell>
          <cell r="P2061"/>
          <cell r="Q2061"/>
          <cell r="R2061">
            <v>2.4246575342465757</v>
          </cell>
          <cell r="S2061">
            <v>2.6794520547945209</v>
          </cell>
          <cell r="T2061"/>
          <cell r="U2061"/>
          <cell r="V2061">
            <v>15</v>
          </cell>
          <cell r="W2061"/>
          <cell r="X2061" t="str">
            <v>CANDY</v>
          </cell>
          <cell r="Y2061" t="str">
            <v>CANDY 14-SEP</v>
          </cell>
          <cell r="Z2061" t="str">
            <v>LEI' MAIL 18/9/17</v>
          </cell>
          <cell r="AA2061"/>
          <cell r="AB2061">
            <v>42998</v>
          </cell>
          <cell r="AC2061">
            <v>3480</v>
          </cell>
        </row>
        <row r="2062">
          <cell r="B2062">
            <v>3479</v>
          </cell>
          <cell r="C2062" t="str">
            <v>T-1815</v>
          </cell>
          <cell r="D2062"/>
          <cell r="E2062" t="str">
            <v>350D+300D x 350D+300D / 56x48</v>
          </cell>
          <cell r="F2062" t="str">
            <v>T100%</v>
          </cell>
          <cell r="G2062" t="str">
            <v>100% POLYESTER</v>
          </cell>
          <cell r="H2062" t="str">
            <v>58/60</v>
          </cell>
          <cell r="I2062">
            <v>175</v>
          </cell>
          <cell r="J2062">
            <v>2.1</v>
          </cell>
          <cell r="K2062"/>
          <cell r="L2062">
            <v>2.15</v>
          </cell>
          <cell r="M2062"/>
          <cell r="N2062">
            <v>2.15</v>
          </cell>
          <cell r="O2062"/>
          <cell r="P2062"/>
          <cell r="Q2062"/>
          <cell r="R2062">
            <v>2.7</v>
          </cell>
          <cell r="S2062"/>
          <cell r="T2062"/>
          <cell r="U2062"/>
          <cell r="V2062">
            <v>15</v>
          </cell>
          <cell r="W2062"/>
          <cell r="X2062" t="str">
            <v>LIVALTEX</v>
          </cell>
          <cell r="Y2062" t="str">
            <v>LIVALTEX 7-SEP</v>
          </cell>
          <cell r="Z2062" t="str">
            <v>ROSE' MAIL 18/9/17</v>
          </cell>
          <cell r="AA2062"/>
          <cell r="AB2062">
            <v>42998</v>
          </cell>
          <cell r="AC2062">
            <v>3479</v>
          </cell>
        </row>
        <row r="2063">
          <cell r="B2063">
            <v>3478</v>
          </cell>
          <cell r="C2063" t="str">
            <v>NPSJ-029</v>
          </cell>
          <cell r="D2063" t="str">
            <v>TAILORING</v>
          </cell>
          <cell r="E2063" t="str">
            <v>70D+40D x 10s+300D</v>
          </cell>
          <cell r="F2063" t="str">
            <v>NYLON/RAYON/POLYESTER/SPANDEX 20/65/10/5</v>
          </cell>
          <cell r="G2063" t="str">
            <v>NYLON/RAYON/POLYESTER/SPANDEX 20/65/10/5 - 70D+40D x 10s+300D</v>
          </cell>
          <cell r="H2063" t="str">
            <v>55/56</v>
          </cell>
          <cell r="I2063">
            <v>266</v>
          </cell>
          <cell r="J2063">
            <v>3.31</v>
          </cell>
          <cell r="K2063"/>
          <cell r="L2063">
            <v>3.36</v>
          </cell>
          <cell r="M2063"/>
          <cell r="N2063">
            <v>3.36</v>
          </cell>
          <cell r="O2063"/>
          <cell r="P2063"/>
          <cell r="Q2063"/>
          <cell r="R2063">
            <v>3.81</v>
          </cell>
          <cell r="S2063"/>
          <cell r="T2063"/>
          <cell r="U2063"/>
          <cell r="V2063">
            <v>15</v>
          </cell>
          <cell r="W2063"/>
          <cell r="X2063" t="str">
            <v>LIVALTEX</v>
          </cell>
          <cell r="Y2063" t="str">
            <v>LIVALTEX 14-SEP</v>
          </cell>
          <cell r="Z2063" t="str">
            <v>ROSE' MAIL 15-9/17</v>
          </cell>
          <cell r="AA2063"/>
          <cell r="AB2063">
            <v>42998</v>
          </cell>
          <cell r="AC2063">
            <v>3478</v>
          </cell>
        </row>
        <row r="2064">
          <cell r="B2064">
            <v>3477</v>
          </cell>
          <cell r="C2064" t="str">
            <v>KB-346</v>
          </cell>
          <cell r="D2064"/>
          <cell r="E2064"/>
          <cell r="F2064" t="str">
            <v>POLY/COTTON/LUREX 70/20/10</v>
          </cell>
          <cell r="G2064" t="str">
            <v>POLY/COTTON/LUREX 70/20/10</v>
          </cell>
          <cell r="H2064" t="str">
            <v>57/58</v>
          </cell>
          <cell r="I2064">
            <v>198</v>
          </cell>
          <cell r="J2064">
            <v>2.4500000000000002</v>
          </cell>
          <cell r="K2064"/>
          <cell r="L2064">
            <v>2.5</v>
          </cell>
          <cell r="M2064"/>
          <cell r="N2064">
            <v>2.5</v>
          </cell>
          <cell r="O2064"/>
          <cell r="P2064"/>
          <cell r="Q2064"/>
          <cell r="R2064">
            <v>3.05</v>
          </cell>
          <cell r="S2064"/>
          <cell r="T2064"/>
          <cell r="U2064"/>
          <cell r="V2064">
            <v>15</v>
          </cell>
          <cell r="W2064"/>
          <cell r="X2064" t="str">
            <v>LIVALTEX</v>
          </cell>
          <cell r="Y2064" t="str">
            <v>LIVALTEX 14-SEP</v>
          </cell>
          <cell r="Z2064" t="str">
            <v>ROSE' MAIL 15-9/17</v>
          </cell>
          <cell r="AA2064"/>
          <cell r="AB2064">
            <v>42998</v>
          </cell>
          <cell r="AC2064">
            <v>3477</v>
          </cell>
        </row>
        <row r="2065">
          <cell r="B2065">
            <v>3476</v>
          </cell>
          <cell r="C2065" t="str">
            <v>TCYSJ-034</v>
          </cell>
          <cell r="D2065"/>
          <cell r="E2065" t="str">
            <v>100D+100Dx150D+40D+21s+40D</v>
          </cell>
          <cell r="F2065" t="str">
            <v>POLY/COTTON/SPANDEX 65/33/2</v>
          </cell>
          <cell r="G2065" t="str">
            <v>POLY/COTTON/SPANDEX 65/33/2 - 100D+100Dx150D+40D+21s+40D</v>
          </cell>
          <cell r="H2065" t="str">
            <v>57/58</v>
          </cell>
          <cell r="I2065">
            <v>217</v>
          </cell>
          <cell r="J2065">
            <v>3.58</v>
          </cell>
          <cell r="K2065"/>
          <cell r="L2065">
            <v>3.63</v>
          </cell>
          <cell r="M2065"/>
          <cell r="N2065">
            <v>3.63</v>
          </cell>
          <cell r="O2065"/>
          <cell r="P2065"/>
          <cell r="Q2065"/>
          <cell r="R2065">
            <v>4.08</v>
          </cell>
          <cell r="S2065"/>
          <cell r="T2065"/>
          <cell r="U2065"/>
          <cell r="V2065">
            <v>15</v>
          </cell>
          <cell r="W2065"/>
          <cell r="X2065" t="str">
            <v>LIVALTEX</v>
          </cell>
          <cell r="Y2065" t="str">
            <v>LIVALTEX 14-SEP</v>
          </cell>
          <cell r="Z2065" t="str">
            <v>ROSE' MAIL 15-9/17</v>
          </cell>
          <cell r="AA2065"/>
          <cell r="AB2065">
            <v>42998</v>
          </cell>
          <cell r="AC2065">
            <v>3476</v>
          </cell>
        </row>
        <row r="2066">
          <cell r="B2066">
            <v>3475</v>
          </cell>
          <cell r="C2066" t="str">
            <v>SP-683</v>
          </cell>
          <cell r="D2066"/>
          <cell r="E2066"/>
          <cell r="F2066" t="str">
            <v>POLY/RAYON - 56x49</v>
          </cell>
          <cell r="G2066" t="str">
            <v>POLY/RAYON - 56x49</v>
          </cell>
          <cell r="H2066">
            <v>57</v>
          </cell>
          <cell r="I2066">
            <v>296</v>
          </cell>
          <cell r="J2066">
            <v>3.5900000000000003</v>
          </cell>
          <cell r="K2066"/>
          <cell r="L2066">
            <v>3.64</v>
          </cell>
          <cell r="M2066"/>
          <cell r="N2066">
            <v>3.64</v>
          </cell>
          <cell r="O2066"/>
          <cell r="P2066"/>
          <cell r="Q2066"/>
          <cell r="R2066">
            <v>4.09</v>
          </cell>
          <cell r="S2066"/>
          <cell r="T2066"/>
          <cell r="U2066"/>
          <cell r="V2066">
            <v>15</v>
          </cell>
          <cell r="W2066"/>
          <cell r="X2066" t="str">
            <v>LIVALTEX</v>
          </cell>
          <cell r="Y2066" t="str">
            <v>LIVALTEX 14-SEP</v>
          </cell>
          <cell r="Z2066" t="str">
            <v>ROSE' MAIL 15-9/17</v>
          </cell>
          <cell r="AA2066"/>
          <cell r="AB2066">
            <v>42998</v>
          </cell>
          <cell r="AC2066">
            <v>3475</v>
          </cell>
        </row>
        <row r="2067">
          <cell r="B2067">
            <v>3474</v>
          </cell>
          <cell r="C2067" t="str">
            <v>SP-629</v>
          </cell>
          <cell r="D2067"/>
          <cell r="E2067"/>
          <cell r="F2067" t="str">
            <v>POLY/RAYON 94/6</v>
          </cell>
          <cell r="G2067" t="str">
            <v>POLY/RAYON 94/6</v>
          </cell>
          <cell r="H2067" t="str">
            <v>56/57</v>
          </cell>
          <cell r="I2067">
            <v>235</v>
          </cell>
          <cell r="J2067">
            <v>3.0500000000000003</v>
          </cell>
          <cell r="K2067"/>
          <cell r="L2067">
            <v>3.1</v>
          </cell>
          <cell r="M2067"/>
          <cell r="N2067">
            <v>3.1</v>
          </cell>
          <cell r="O2067"/>
          <cell r="P2067"/>
          <cell r="Q2067"/>
          <cell r="R2067">
            <v>3.5500000000000003</v>
          </cell>
          <cell r="S2067"/>
          <cell r="T2067"/>
          <cell r="U2067"/>
          <cell r="V2067">
            <v>15</v>
          </cell>
          <cell r="W2067"/>
          <cell r="X2067" t="str">
            <v>LIVALTEX</v>
          </cell>
          <cell r="Y2067" t="str">
            <v>LIVALTEX 14-SEP</v>
          </cell>
          <cell r="Z2067" t="str">
            <v>ROSE' MAIL 15-9/17</v>
          </cell>
          <cell r="AA2067"/>
          <cell r="AB2067">
            <v>42998</v>
          </cell>
          <cell r="AC2067">
            <v>3474</v>
          </cell>
        </row>
        <row r="2068">
          <cell r="B2068">
            <v>3473</v>
          </cell>
          <cell r="C2068" t="str">
            <v>SP-626</v>
          </cell>
          <cell r="D2068"/>
          <cell r="E2068"/>
          <cell r="F2068" t="str">
            <v>POLY/RAYON 93/7</v>
          </cell>
          <cell r="G2068" t="str">
            <v>POLY/RAYON 93/7</v>
          </cell>
          <cell r="H2068" t="str">
            <v>58/60</v>
          </cell>
          <cell r="I2068">
            <v>356</v>
          </cell>
          <cell r="J2068">
            <v>3.4000000000000004</v>
          </cell>
          <cell r="K2068"/>
          <cell r="L2068">
            <v>3.45</v>
          </cell>
          <cell r="M2068"/>
          <cell r="N2068">
            <v>3.45</v>
          </cell>
          <cell r="O2068"/>
          <cell r="P2068"/>
          <cell r="Q2068"/>
          <cell r="R2068">
            <v>3.9000000000000004</v>
          </cell>
          <cell r="S2068"/>
          <cell r="T2068"/>
          <cell r="U2068"/>
          <cell r="V2068">
            <v>15</v>
          </cell>
          <cell r="W2068"/>
          <cell r="X2068" t="str">
            <v>LIVALTEX</v>
          </cell>
          <cell r="Y2068" t="str">
            <v>LIVALTEX 14-SEP</v>
          </cell>
          <cell r="Z2068" t="str">
            <v>ROSE' MAIL 15-9/17</v>
          </cell>
          <cell r="AA2068"/>
          <cell r="AB2068">
            <v>42998</v>
          </cell>
          <cell r="AC2068">
            <v>3473</v>
          </cell>
        </row>
        <row r="2069">
          <cell r="B2069">
            <v>3472</v>
          </cell>
          <cell r="C2069" t="str">
            <v>SP-621</v>
          </cell>
          <cell r="D2069"/>
          <cell r="E2069"/>
          <cell r="F2069" t="str">
            <v xml:space="preserve">POLY/RAYON  </v>
          </cell>
          <cell r="G2069" t="str">
            <v xml:space="preserve">POLY/RAYON  </v>
          </cell>
          <cell r="H2069">
            <v>58</v>
          </cell>
          <cell r="I2069">
            <v>255</v>
          </cell>
          <cell r="J2069">
            <v>2.9000000000000004</v>
          </cell>
          <cell r="K2069"/>
          <cell r="L2069">
            <v>2.95</v>
          </cell>
          <cell r="M2069"/>
          <cell r="N2069">
            <v>2.95</v>
          </cell>
          <cell r="O2069"/>
          <cell r="P2069"/>
          <cell r="Q2069"/>
          <cell r="R2069">
            <v>3.4000000000000004</v>
          </cell>
          <cell r="S2069"/>
          <cell r="T2069"/>
          <cell r="U2069"/>
          <cell r="V2069">
            <v>15</v>
          </cell>
          <cell r="W2069"/>
          <cell r="X2069" t="str">
            <v>LIVALTEX</v>
          </cell>
          <cell r="Y2069" t="str">
            <v>LIVALTEX 14-SEP</v>
          </cell>
          <cell r="Z2069" t="str">
            <v>ROSE' MAIL 15-9/17</v>
          </cell>
          <cell r="AA2069"/>
          <cell r="AB2069">
            <v>42998</v>
          </cell>
          <cell r="AC2069">
            <v>3472</v>
          </cell>
        </row>
        <row r="2070">
          <cell r="B2070">
            <v>3471</v>
          </cell>
          <cell r="C2070" t="str">
            <v>T-1944 (T-1906)</v>
          </cell>
          <cell r="D2070"/>
          <cell r="E2070"/>
          <cell r="F2070" t="str">
            <v>100% POLYESTER - 71x42</v>
          </cell>
          <cell r="G2070" t="str">
            <v>100% POLYESTER - 71x42</v>
          </cell>
          <cell r="H2070">
            <v>57</v>
          </cell>
          <cell r="I2070">
            <v>303</v>
          </cell>
          <cell r="J2070">
            <v>2.72</v>
          </cell>
          <cell r="K2070"/>
          <cell r="L2070">
            <v>2.77</v>
          </cell>
          <cell r="M2070"/>
          <cell r="N2070">
            <v>2.77</v>
          </cell>
          <cell r="O2070"/>
          <cell r="P2070"/>
          <cell r="Q2070"/>
          <cell r="R2070">
            <v>3.22</v>
          </cell>
          <cell r="S2070"/>
          <cell r="T2070"/>
          <cell r="U2070"/>
          <cell r="V2070">
            <v>15</v>
          </cell>
          <cell r="W2070"/>
          <cell r="X2070" t="str">
            <v>LIVALTEX</v>
          </cell>
          <cell r="Y2070" t="str">
            <v>LIVALTEX 14-SEP</v>
          </cell>
          <cell r="Z2070" t="str">
            <v>ROSE' MAIL 15-9/17</v>
          </cell>
          <cell r="AA2070"/>
          <cell r="AB2070">
            <v>42998</v>
          </cell>
          <cell r="AC2070">
            <v>3471</v>
          </cell>
        </row>
        <row r="2071">
          <cell r="B2071">
            <v>3470</v>
          </cell>
          <cell r="C2071" t="str">
            <v>T-2143</v>
          </cell>
          <cell r="D2071"/>
          <cell r="E2071"/>
          <cell r="F2071" t="str">
            <v>100% POLYESTER -54X44</v>
          </cell>
          <cell r="G2071" t="str">
            <v>100% POLYESTER -54X44</v>
          </cell>
          <cell r="H2071">
            <v>59</v>
          </cell>
          <cell r="I2071">
            <v>298</v>
          </cell>
          <cell r="J2071">
            <v>3.35</v>
          </cell>
          <cell r="K2071"/>
          <cell r="L2071">
            <v>3.4</v>
          </cell>
          <cell r="M2071"/>
          <cell r="N2071">
            <v>3.4</v>
          </cell>
          <cell r="O2071"/>
          <cell r="P2071"/>
          <cell r="Q2071"/>
          <cell r="R2071">
            <v>3.85</v>
          </cell>
          <cell r="S2071"/>
          <cell r="T2071"/>
          <cell r="U2071"/>
          <cell r="V2071">
            <v>15</v>
          </cell>
          <cell r="W2071"/>
          <cell r="X2071" t="str">
            <v>LIVALTEX</v>
          </cell>
          <cell r="Y2071" t="str">
            <v>LIVALTEX 14-SEP</v>
          </cell>
          <cell r="Z2071" t="str">
            <v>ROSE' MAIL 15-9/17</v>
          </cell>
          <cell r="AA2071"/>
          <cell r="AB2071">
            <v>42998</v>
          </cell>
          <cell r="AC2071">
            <v>3470</v>
          </cell>
        </row>
        <row r="2072">
          <cell r="B2072">
            <v>3469</v>
          </cell>
          <cell r="C2072" t="str">
            <v>T-2144</v>
          </cell>
          <cell r="D2072"/>
          <cell r="E2072"/>
          <cell r="F2072" t="str">
            <v>100% POLYESTER - 58x46</v>
          </cell>
          <cell r="G2072" t="str">
            <v>100% POLYESTER - 58x46</v>
          </cell>
          <cell r="H2072">
            <v>59</v>
          </cell>
          <cell r="I2072">
            <v>325</v>
          </cell>
          <cell r="J2072">
            <v>3.21</v>
          </cell>
          <cell r="K2072"/>
          <cell r="L2072">
            <v>3.26</v>
          </cell>
          <cell r="M2072"/>
          <cell r="N2072">
            <v>3.26</v>
          </cell>
          <cell r="O2072"/>
          <cell r="P2072"/>
          <cell r="Q2072"/>
          <cell r="R2072">
            <v>3.71</v>
          </cell>
          <cell r="S2072"/>
          <cell r="T2072"/>
          <cell r="U2072"/>
          <cell r="V2072">
            <v>15</v>
          </cell>
          <cell r="W2072"/>
          <cell r="X2072" t="str">
            <v>LIVALTEX</v>
          </cell>
          <cell r="Y2072" t="str">
            <v>LIVALTEX 14-SEP</v>
          </cell>
          <cell r="Z2072" t="str">
            <v>ROSE' MAIL 15-9/17</v>
          </cell>
          <cell r="AA2072"/>
          <cell r="AB2072">
            <v>42998</v>
          </cell>
          <cell r="AC2072">
            <v>3469</v>
          </cell>
        </row>
        <row r="2073">
          <cell r="B2073">
            <v>3468</v>
          </cell>
          <cell r="C2073" t="str">
            <v>SP-623</v>
          </cell>
          <cell r="D2073" t="str">
            <v>TAILORING</v>
          </cell>
          <cell r="E2073"/>
          <cell r="F2073" t="str">
            <v>T/R 92/8</v>
          </cell>
          <cell r="G2073" t="str">
            <v>POLY/RAYON 92/8</v>
          </cell>
          <cell r="H2073" t="str">
            <v>57/59</v>
          </cell>
          <cell r="I2073">
            <v>200</v>
          </cell>
          <cell r="J2073">
            <v>2.5500000000000003</v>
          </cell>
          <cell r="K2073"/>
          <cell r="L2073">
            <v>2.6</v>
          </cell>
          <cell r="M2073"/>
          <cell r="N2073">
            <v>2.6</v>
          </cell>
          <cell r="O2073"/>
          <cell r="P2073"/>
          <cell r="Q2073"/>
          <cell r="R2073">
            <v>3.0500000000000003</v>
          </cell>
          <cell r="S2073"/>
          <cell r="T2073"/>
          <cell r="U2073"/>
          <cell r="V2073">
            <v>15</v>
          </cell>
          <cell r="W2073"/>
          <cell r="X2073" t="str">
            <v>LIVALTEX</v>
          </cell>
          <cell r="Y2073" t="str">
            <v>LIVALTEX 14-SEP</v>
          </cell>
          <cell r="Z2073" t="str">
            <v>ROSE' MAIL 15-9/17</v>
          </cell>
          <cell r="AA2073"/>
          <cell r="AB2073">
            <v>42998</v>
          </cell>
          <cell r="AC2073">
            <v>3468</v>
          </cell>
        </row>
        <row r="2074">
          <cell r="B2074">
            <v>3467</v>
          </cell>
          <cell r="C2074" t="str">
            <v>SY-470</v>
          </cell>
          <cell r="D2074"/>
          <cell r="E2074"/>
          <cell r="F2074" t="str">
            <v>T/R 65/35 - 12/2 x 12/2 - 41x36</v>
          </cell>
          <cell r="G2074" t="str">
            <v>T/R 65/35 - 12/2 x 12/2 - 41x36</v>
          </cell>
          <cell r="H2074" t="str">
            <v>57/58</v>
          </cell>
          <cell r="I2074">
            <v>307</v>
          </cell>
          <cell r="J2074">
            <v>3.12</v>
          </cell>
          <cell r="K2074"/>
          <cell r="L2074">
            <v>3.17</v>
          </cell>
          <cell r="M2074"/>
          <cell r="N2074">
            <v>3.17</v>
          </cell>
          <cell r="O2074"/>
          <cell r="P2074"/>
          <cell r="Q2074"/>
          <cell r="R2074">
            <v>3.62</v>
          </cell>
          <cell r="S2074"/>
          <cell r="T2074"/>
          <cell r="U2074"/>
          <cell r="V2074">
            <v>15</v>
          </cell>
          <cell r="W2074"/>
          <cell r="X2074" t="str">
            <v>LIVALTEX</v>
          </cell>
          <cell r="Y2074" t="str">
            <v>LIVALTEX 14-SEP</v>
          </cell>
          <cell r="Z2074" t="str">
            <v>ROSE' MAIL 15-9/17</v>
          </cell>
          <cell r="AA2074"/>
          <cell r="AB2074">
            <v>42998</v>
          </cell>
          <cell r="AC2074">
            <v>3467</v>
          </cell>
        </row>
        <row r="2075">
          <cell r="B2075">
            <v>3466</v>
          </cell>
          <cell r="C2075" t="str">
            <v>TJ-300</v>
          </cell>
          <cell r="D2075"/>
          <cell r="E2075"/>
          <cell r="F2075" t="str">
            <v>100% POLYESTER - 100Dx21s+300D / 160x90</v>
          </cell>
          <cell r="G2075" t="str">
            <v>100% POLYESTER - 100Dx21s+300D / 160x90</v>
          </cell>
          <cell r="H2075" t="str">
            <v>57/58</v>
          </cell>
          <cell r="I2075">
            <v>265</v>
          </cell>
          <cell r="J2075">
            <v>4.1100000000000003</v>
          </cell>
          <cell r="K2075"/>
          <cell r="L2075">
            <v>4.16</v>
          </cell>
          <cell r="M2075"/>
          <cell r="N2075">
            <v>4.16</v>
          </cell>
          <cell r="O2075"/>
          <cell r="P2075"/>
          <cell r="Q2075"/>
          <cell r="R2075">
            <v>4.6100000000000003</v>
          </cell>
          <cell r="S2075"/>
          <cell r="T2075"/>
          <cell r="U2075"/>
          <cell r="V2075">
            <v>15</v>
          </cell>
          <cell r="W2075"/>
          <cell r="X2075" t="str">
            <v>LIVALTEX</v>
          </cell>
          <cell r="Y2075" t="str">
            <v>LIVALTEX 14-SEP</v>
          </cell>
          <cell r="Z2075" t="str">
            <v>ROSE' MAIL 15-9/17</v>
          </cell>
          <cell r="AA2075"/>
          <cell r="AB2075">
            <v>42998</v>
          </cell>
          <cell r="AC2075">
            <v>3466</v>
          </cell>
        </row>
        <row r="2076">
          <cell r="B2076">
            <v>3465</v>
          </cell>
          <cell r="C2076" t="str">
            <v>KB-355</v>
          </cell>
          <cell r="D2076"/>
          <cell r="E2076"/>
          <cell r="F2076" t="str">
            <v>FACE: NYLON/POLY 40/60 - GROUND: POLY/LUREX 90/10</v>
          </cell>
          <cell r="G2076" t="str">
            <v>FACE: NYLON/POLY 40/60 - GROUND: POLY/LUREX 90/10</v>
          </cell>
          <cell r="H2076" t="str">
            <v>55/56</v>
          </cell>
          <cell r="I2076">
            <v>207</v>
          </cell>
          <cell r="J2076">
            <v>2.85</v>
          </cell>
          <cell r="K2076"/>
          <cell r="L2076">
            <v>2.9</v>
          </cell>
          <cell r="M2076"/>
          <cell r="N2076">
            <v>2.9</v>
          </cell>
          <cell r="O2076"/>
          <cell r="P2076"/>
          <cell r="Q2076"/>
          <cell r="R2076">
            <v>3.45</v>
          </cell>
          <cell r="S2076"/>
          <cell r="T2076"/>
          <cell r="U2076"/>
          <cell r="V2076">
            <v>15</v>
          </cell>
          <cell r="W2076"/>
          <cell r="X2076" t="str">
            <v>LIVALTEX</v>
          </cell>
          <cell r="Y2076" t="str">
            <v>LIVALTEX 14-SEP</v>
          </cell>
          <cell r="Z2076" t="str">
            <v>ROSE' MAIL 15-9/17</v>
          </cell>
          <cell r="AA2076"/>
          <cell r="AB2076">
            <v>42998</v>
          </cell>
          <cell r="AC2076">
            <v>3465</v>
          </cell>
        </row>
        <row r="2077">
          <cell r="B2077">
            <v>3464</v>
          </cell>
          <cell r="C2077" t="str">
            <v>KB-352</v>
          </cell>
          <cell r="D2077"/>
          <cell r="E2077"/>
          <cell r="F2077" t="str">
            <v>FACE: NYLON/SPANDEX 85/15 - GROUND: POLY/LUREX 90/10</v>
          </cell>
          <cell r="G2077" t="str">
            <v>FACE: NYLON/SPANDEX 85/15 - GROUND: POLY/LUREX 90/10</v>
          </cell>
          <cell r="H2077" t="str">
            <v>57/58</v>
          </cell>
          <cell r="I2077">
            <v>220</v>
          </cell>
          <cell r="J2077">
            <v>2.6500000000000004</v>
          </cell>
          <cell r="K2077"/>
          <cell r="L2077">
            <v>2.7</v>
          </cell>
          <cell r="M2077"/>
          <cell r="N2077">
            <v>2.7</v>
          </cell>
          <cell r="O2077"/>
          <cell r="P2077"/>
          <cell r="Q2077"/>
          <cell r="R2077">
            <v>3.25</v>
          </cell>
          <cell r="S2077"/>
          <cell r="T2077"/>
          <cell r="U2077"/>
          <cell r="V2077">
            <v>15</v>
          </cell>
          <cell r="W2077"/>
          <cell r="X2077" t="str">
            <v>LIVALTEX</v>
          </cell>
          <cell r="Y2077" t="str">
            <v>LIVALTEX 14-SEP</v>
          </cell>
          <cell r="Z2077" t="str">
            <v>ROSE' MAIL 15-9/17</v>
          </cell>
          <cell r="AA2077"/>
          <cell r="AB2077">
            <v>42998</v>
          </cell>
          <cell r="AC2077">
            <v>3464</v>
          </cell>
        </row>
        <row r="2078">
          <cell r="B2078">
            <v>3463</v>
          </cell>
          <cell r="C2078" t="str">
            <v>KB-347</v>
          </cell>
          <cell r="D2078"/>
          <cell r="E2078"/>
          <cell r="F2078" t="str">
            <v>FACE: POLY/SPANDEX 90/10 - GROUND: POLY/LUREX 90/10</v>
          </cell>
          <cell r="G2078" t="str">
            <v>FACE: POLY/SPANDEX 90/10 - GROUND: POLY/LUREX 90/10</v>
          </cell>
          <cell r="H2078" t="str">
            <v>57/58</v>
          </cell>
          <cell r="I2078">
            <v>240</v>
          </cell>
          <cell r="J2078">
            <v>2.85</v>
          </cell>
          <cell r="K2078"/>
          <cell r="L2078">
            <v>2.9</v>
          </cell>
          <cell r="M2078"/>
          <cell r="N2078">
            <v>2.9</v>
          </cell>
          <cell r="O2078"/>
          <cell r="P2078"/>
          <cell r="Q2078"/>
          <cell r="R2078">
            <v>3.45</v>
          </cell>
          <cell r="S2078"/>
          <cell r="T2078"/>
          <cell r="U2078"/>
          <cell r="V2078">
            <v>15</v>
          </cell>
          <cell r="W2078"/>
          <cell r="X2078" t="str">
            <v>LIVALTEX</v>
          </cell>
          <cell r="Y2078" t="str">
            <v>LIVALTEX 14-SEP</v>
          </cell>
          <cell r="Z2078" t="str">
            <v>ROSE' MAIL 15-9/17</v>
          </cell>
          <cell r="AA2078"/>
          <cell r="AB2078">
            <v>42998</v>
          </cell>
          <cell r="AC2078">
            <v>3463</v>
          </cell>
        </row>
        <row r="2079">
          <cell r="B2079">
            <v>3462</v>
          </cell>
          <cell r="C2079" t="str">
            <v>KB-351</v>
          </cell>
          <cell r="D2079"/>
          <cell r="E2079"/>
          <cell r="F2079" t="str">
            <v>FACE: NYLON/RAYON 85/15 - GROUND: POLY/LUREX 90/10</v>
          </cell>
          <cell r="G2079" t="str">
            <v>FACE: NYLON/RAYON 85/15 - GROUND: POLY/LUREX 90/10</v>
          </cell>
          <cell r="H2079" t="str">
            <v>55/56</v>
          </cell>
          <cell r="I2079">
            <v>272</v>
          </cell>
          <cell r="J2079">
            <v>3.22</v>
          </cell>
          <cell r="K2079"/>
          <cell r="L2079">
            <v>3.27</v>
          </cell>
          <cell r="M2079"/>
          <cell r="N2079">
            <v>3.27</v>
          </cell>
          <cell r="O2079"/>
          <cell r="P2079"/>
          <cell r="Q2079"/>
          <cell r="R2079">
            <v>3.8200000000000003</v>
          </cell>
          <cell r="S2079"/>
          <cell r="T2079"/>
          <cell r="U2079"/>
          <cell r="V2079">
            <v>15</v>
          </cell>
          <cell r="W2079"/>
          <cell r="X2079" t="str">
            <v>LIVALTEX</v>
          </cell>
          <cell r="Y2079" t="str">
            <v>LIVALTEX 14-SEP</v>
          </cell>
          <cell r="Z2079" t="str">
            <v>ROSE' MAIL 15-9/17</v>
          </cell>
          <cell r="AA2079"/>
          <cell r="AB2079">
            <v>42998</v>
          </cell>
          <cell r="AC2079">
            <v>3462</v>
          </cell>
        </row>
        <row r="2080">
          <cell r="B2080">
            <v>3461</v>
          </cell>
          <cell r="C2080" t="str">
            <v>KB-325</v>
          </cell>
          <cell r="D2080"/>
          <cell r="E2080"/>
          <cell r="F2080" t="str">
            <v>R/T/N/L/S 40/20/25/10/5</v>
          </cell>
          <cell r="G2080" t="str">
            <v>R/T/N/L/S 40/20/25/10/5</v>
          </cell>
          <cell r="H2080" t="str">
            <v>50/51</v>
          </cell>
          <cell r="I2080">
            <v>256</v>
          </cell>
          <cell r="J2080">
            <v>3.6900000000000004</v>
          </cell>
          <cell r="K2080"/>
          <cell r="L2080">
            <v>3.74</v>
          </cell>
          <cell r="M2080"/>
          <cell r="N2080">
            <v>3.74</v>
          </cell>
          <cell r="O2080"/>
          <cell r="P2080"/>
          <cell r="Q2080"/>
          <cell r="R2080">
            <v>4.29</v>
          </cell>
          <cell r="S2080"/>
          <cell r="T2080"/>
          <cell r="U2080"/>
          <cell r="V2080">
            <v>15</v>
          </cell>
          <cell r="W2080"/>
          <cell r="X2080" t="str">
            <v>LIVALTEX</v>
          </cell>
          <cell r="Y2080" t="str">
            <v>LIVALTEX 14-SEP</v>
          </cell>
          <cell r="Z2080" t="str">
            <v>ROSE' MAIL 15-9/17</v>
          </cell>
          <cell r="AA2080"/>
          <cell r="AB2080">
            <v>42998</v>
          </cell>
          <cell r="AC2080">
            <v>3461</v>
          </cell>
        </row>
        <row r="2081">
          <cell r="B2081">
            <v>3460</v>
          </cell>
          <cell r="C2081" t="str">
            <v>KB-326</v>
          </cell>
          <cell r="D2081"/>
          <cell r="E2081"/>
          <cell r="F2081" t="str">
            <v>A/R/N 40/40/20</v>
          </cell>
          <cell r="G2081" t="str">
            <v>A/R/N 40/40/20</v>
          </cell>
          <cell r="H2081" t="str">
            <v>56/57</v>
          </cell>
          <cell r="I2081">
            <v>220</v>
          </cell>
          <cell r="J2081">
            <v>3.83</v>
          </cell>
          <cell r="K2081"/>
          <cell r="L2081">
            <v>3.88</v>
          </cell>
          <cell r="M2081"/>
          <cell r="N2081">
            <v>3.88</v>
          </cell>
          <cell r="O2081"/>
          <cell r="P2081"/>
          <cell r="Q2081"/>
          <cell r="R2081">
            <v>4.43</v>
          </cell>
          <cell r="S2081"/>
          <cell r="T2081"/>
          <cell r="U2081"/>
          <cell r="V2081">
            <v>15</v>
          </cell>
          <cell r="W2081"/>
          <cell r="X2081" t="str">
            <v>LIVALTEX</v>
          </cell>
          <cell r="Y2081" t="str">
            <v>LIVALTEX 14-SEP</v>
          </cell>
          <cell r="Z2081" t="str">
            <v>ROSE' MAIL 15-9/17</v>
          </cell>
          <cell r="AA2081"/>
          <cell r="AB2081">
            <v>42998</v>
          </cell>
          <cell r="AC2081">
            <v>3460</v>
          </cell>
        </row>
        <row r="2082">
          <cell r="B2082">
            <v>3459</v>
          </cell>
          <cell r="C2082" t="str">
            <v>K-2766</v>
          </cell>
          <cell r="D2082"/>
          <cell r="E2082"/>
          <cell r="F2082" t="str">
            <v>T/S 95/5</v>
          </cell>
          <cell r="G2082" t="str">
            <v>POLY/SPANDEX 95/5</v>
          </cell>
          <cell r="H2082" t="str">
            <v>57/58</v>
          </cell>
          <cell r="I2082">
            <v>290</v>
          </cell>
          <cell r="J2082">
            <v>3.1700000000000004</v>
          </cell>
          <cell r="K2082"/>
          <cell r="L2082">
            <v>3.22</v>
          </cell>
          <cell r="M2082"/>
          <cell r="N2082">
            <v>3.22</v>
          </cell>
          <cell r="O2082"/>
          <cell r="P2082"/>
          <cell r="Q2082"/>
          <cell r="R2082">
            <v>3.72</v>
          </cell>
          <cell r="S2082"/>
          <cell r="T2082"/>
          <cell r="U2082"/>
          <cell r="V2082">
            <v>15</v>
          </cell>
          <cell r="W2082"/>
          <cell r="X2082" t="str">
            <v>LIVALTEX</v>
          </cell>
          <cell r="Y2082" t="str">
            <v>LIVALTEX 14-SEP</v>
          </cell>
          <cell r="Z2082" t="str">
            <v>ROSE' MAIL 15-9/17</v>
          </cell>
          <cell r="AA2082"/>
          <cell r="AB2082">
            <v>42998</v>
          </cell>
          <cell r="AC2082">
            <v>3459</v>
          </cell>
        </row>
        <row r="2083">
          <cell r="B2083">
            <v>3458</v>
          </cell>
          <cell r="C2083" t="str">
            <v>FY-563</v>
          </cell>
          <cell r="D2083"/>
          <cell r="E2083" t="str">
            <v>72x54 / 14x14</v>
          </cell>
          <cell r="F2083" t="str">
            <v>L 100%</v>
          </cell>
          <cell r="G2083" t="str">
            <v>100% LINEN - 72x54 / 14x14</v>
          </cell>
          <cell r="H2083" t="str">
            <v>55/56</v>
          </cell>
          <cell r="I2083">
            <v>245</v>
          </cell>
          <cell r="J2083">
            <v>5.01</v>
          </cell>
          <cell r="K2083"/>
          <cell r="L2083">
            <v>5.0599999999999996</v>
          </cell>
          <cell r="M2083"/>
          <cell r="N2083">
            <v>5.0599999999999996</v>
          </cell>
          <cell r="O2083"/>
          <cell r="P2083"/>
          <cell r="Q2083"/>
          <cell r="R2083">
            <v>5.56</v>
          </cell>
          <cell r="S2083"/>
          <cell r="T2083"/>
          <cell r="U2083"/>
          <cell r="V2083">
            <v>15</v>
          </cell>
          <cell r="W2083"/>
          <cell r="X2083" t="str">
            <v>LIVALTEX</v>
          </cell>
          <cell r="Y2083" t="str">
            <v>LIVALTEX 14-SEP</v>
          </cell>
          <cell r="Z2083" t="str">
            <v>ROSE' MAIL 15-9/17</v>
          </cell>
          <cell r="AA2083"/>
          <cell r="AB2083">
            <v>42998</v>
          </cell>
          <cell r="AC2083">
            <v>3458</v>
          </cell>
        </row>
        <row r="2084">
          <cell r="B2084">
            <v>3457</v>
          </cell>
          <cell r="C2084" t="str">
            <v>FY-569</v>
          </cell>
          <cell r="D2084"/>
          <cell r="E2084" t="str">
            <v>10sx10s / 52x40 - AFTER WASHED</v>
          </cell>
          <cell r="F2084" t="str">
            <v>L/R 25/75</v>
          </cell>
          <cell r="G2084" t="str">
            <v>LINEN/RAYON AFTER WASHED</v>
          </cell>
          <cell r="H2084" t="str">
            <v>53/54</v>
          </cell>
          <cell r="I2084">
            <v>205</v>
          </cell>
          <cell r="J2084">
            <v>3.5500000000000003</v>
          </cell>
          <cell r="K2084"/>
          <cell r="L2084">
            <v>3.6</v>
          </cell>
          <cell r="M2084"/>
          <cell r="N2084">
            <v>3.6</v>
          </cell>
          <cell r="O2084"/>
          <cell r="P2084"/>
          <cell r="Q2084"/>
          <cell r="R2084">
            <v>4.05</v>
          </cell>
          <cell r="S2084"/>
          <cell r="T2084"/>
          <cell r="U2084"/>
          <cell r="V2084">
            <v>15</v>
          </cell>
          <cell r="W2084"/>
          <cell r="X2084" t="str">
            <v>LIVALTEX</v>
          </cell>
          <cell r="Y2084" t="str">
            <v>LIVALTEX 14-SEP</v>
          </cell>
          <cell r="Z2084" t="str">
            <v>ROSE' MAIL 15-9/17</v>
          </cell>
          <cell r="AA2084"/>
          <cell r="AB2084">
            <v>42998</v>
          </cell>
          <cell r="AC2084">
            <v>3457</v>
          </cell>
        </row>
        <row r="2085">
          <cell r="B2085">
            <v>3456</v>
          </cell>
          <cell r="C2085" t="str">
            <v>FY-562P</v>
          </cell>
          <cell r="D2085"/>
          <cell r="E2085" t="str">
            <v>32/2x14 - 62x48 - PEACHED</v>
          </cell>
          <cell r="F2085" t="str">
            <v>RAMIE/COTTON 48/52</v>
          </cell>
          <cell r="G2085" t="str">
            <v>RAMIE/COTTON 48/52 - 32/2x14 - 62x48 - PEACHED</v>
          </cell>
          <cell r="H2085" t="str">
            <v>56/57</v>
          </cell>
          <cell r="I2085">
            <v>170</v>
          </cell>
          <cell r="J2085">
            <v>2.93</v>
          </cell>
          <cell r="K2085"/>
          <cell r="L2085">
            <v>2.98</v>
          </cell>
          <cell r="M2085"/>
          <cell r="N2085">
            <v>2.98</v>
          </cell>
          <cell r="O2085"/>
          <cell r="P2085"/>
          <cell r="Q2085"/>
          <cell r="R2085">
            <v>3.48</v>
          </cell>
          <cell r="S2085"/>
          <cell r="T2085"/>
          <cell r="U2085"/>
          <cell r="V2085">
            <v>15</v>
          </cell>
          <cell r="W2085"/>
          <cell r="X2085" t="str">
            <v>LIVALTEX</v>
          </cell>
          <cell r="Y2085" t="str">
            <v>LIVALTEX 14-SEP</v>
          </cell>
          <cell r="Z2085" t="str">
            <v>ROSE' MAIL 15-9/17</v>
          </cell>
          <cell r="AA2085"/>
          <cell r="AB2085">
            <v>42998</v>
          </cell>
          <cell r="AC2085">
            <v>3456</v>
          </cell>
        </row>
        <row r="2086">
          <cell r="B2086">
            <v>3455</v>
          </cell>
          <cell r="C2086" t="str">
            <v>FP-621</v>
          </cell>
          <cell r="D2086"/>
          <cell r="E2086" t="str">
            <v>60x48/21x14</v>
          </cell>
          <cell r="F2086" t="str">
            <v>V/L 45/55</v>
          </cell>
          <cell r="G2086" t="str">
            <v>VISCOSE/LINEN 45/55 - 60x48/21x14</v>
          </cell>
          <cell r="H2086" t="str">
            <v>55/56</v>
          </cell>
          <cell r="I2086">
            <v>138</v>
          </cell>
          <cell r="J2086">
            <v>3.1</v>
          </cell>
          <cell r="K2086"/>
          <cell r="L2086">
            <v>3.15</v>
          </cell>
          <cell r="M2086"/>
          <cell r="N2086">
            <v>3.15</v>
          </cell>
          <cell r="O2086"/>
          <cell r="P2086"/>
          <cell r="Q2086"/>
          <cell r="R2086">
            <v>3.6</v>
          </cell>
          <cell r="S2086"/>
          <cell r="T2086"/>
          <cell r="U2086"/>
          <cell r="V2086">
            <v>15</v>
          </cell>
          <cell r="W2086"/>
          <cell r="X2086" t="str">
            <v>LIVALTEX</v>
          </cell>
          <cell r="Y2086" t="str">
            <v>LIVALTEX 14-SEP</v>
          </cell>
          <cell r="Z2086" t="str">
            <v>ROSE' MAIL 15-9/17</v>
          </cell>
          <cell r="AA2086"/>
          <cell r="AB2086">
            <v>42998</v>
          </cell>
          <cell r="AC2086">
            <v>3455</v>
          </cell>
        </row>
        <row r="2087">
          <cell r="B2087">
            <v>3454</v>
          </cell>
          <cell r="C2087" t="str">
            <v>SPS-472</v>
          </cell>
          <cell r="D2087"/>
          <cell r="E2087" t="str">
            <v>16TR + LUREX + 40Dx16TR+70D - 99x91</v>
          </cell>
          <cell r="F2087" t="str">
            <v>T/R/S 64/34/2</v>
          </cell>
          <cell r="G2087" t="str">
            <v>T/R/S 64/34/2 - 16TR + LUREX + 40Dx16TR+70D - 99x91</v>
          </cell>
          <cell r="H2087" t="str">
            <v>57/58</v>
          </cell>
          <cell r="I2087">
            <v>357</v>
          </cell>
          <cell r="J2087">
            <v>3.7800000000000002</v>
          </cell>
          <cell r="K2087"/>
          <cell r="L2087">
            <v>3.83</v>
          </cell>
          <cell r="M2087"/>
          <cell r="N2087">
            <v>3.83</v>
          </cell>
          <cell r="O2087"/>
          <cell r="P2087"/>
          <cell r="Q2087"/>
          <cell r="R2087">
            <v>4.33</v>
          </cell>
          <cell r="S2087"/>
          <cell r="T2087"/>
          <cell r="U2087"/>
          <cell r="V2087">
            <v>15</v>
          </cell>
          <cell r="W2087"/>
          <cell r="X2087" t="str">
            <v>LIVALTEX</v>
          </cell>
          <cell r="Y2087" t="str">
            <v>LIVALTEX 14-SEP</v>
          </cell>
          <cell r="Z2087" t="str">
            <v>ROSE' MAIL 15-9/17</v>
          </cell>
          <cell r="AA2087"/>
          <cell r="AB2087">
            <v>42998</v>
          </cell>
          <cell r="AC2087">
            <v>3454</v>
          </cell>
        </row>
        <row r="2088">
          <cell r="B2088">
            <v>3453</v>
          </cell>
          <cell r="C2088" t="str">
            <v>SP-689</v>
          </cell>
          <cell r="D2088" t="str">
            <v>TAILORING</v>
          </cell>
          <cell r="E2088" t="str">
            <v>97x70</v>
          </cell>
          <cell r="F2088" t="str">
            <v>T/R 94/6</v>
          </cell>
          <cell r="G2088" t="str">
            <v>T/R 94/6 - 97x70</v>
          </cell>
          <cell r="H2088" t="str">
            <v>57/58</v>
          </cell>
          <cell r="I2088">
            <v>245</v>
          </cell>
          <cell r="J2088">
            <v>2.75</v>
          </cell>
          <cell r="K2088"/>
          <cell r="L2088">
            <v>2.8</v>
          </cell>
          <cell r="M2088"/>
          <cell r="N2088">
            <v>2.8</v>
          </cell>
          <cell r="O2088"/>
          <cell r="P2088"/>
          <cell r="Q2088"/>
          <cell r="R2088">
            <v>3.25</v>
          </cell>
          <cell r="S2088"/>
          <cell r="T2088"/>
          <cell r="U2088"/>
          <cell r="V2088">
            <v>15</v>
          </cell>
          <cell r="W2088"/>
          <cell r="X2088" t="str">
            <v>LIVALTEX</v>
          </cell>
          <cell r="Y2088" t="str">
            <v>LIVALTEX 14-SEP</v>
          </cell>
          <cell r="Z2088" t="str">
            <v>ROSE' MAIL 15-9/17</v>
          </cell>
          <cell r="AA2088"/>
          <cell r="AB2088">
            <v>42998</v>
          </cell>
          <cell r="AC2088">
            <v>3453</v>
          </cell>
        </row>
        <row r="2089">
          <cell r="B2089">
            <v>3452</v>
          </cell>
          <cell r="C2089" t="str">
            <v>SYS-375</v>
          </cell>
          <cell r="D2089"/>
          <cell r="E2089" t="str">
            <v>40/2x40/2+40D - 110x72</v>
          </cell>
          <cell r="F2089" t="str">
            <v>T/R/S 64/34/2</v>
          </cell>
          <cell r="G2089" t="str">
            <v>T/R/S 64/34/2 - 40/2x40/2+40D - 110x72</v>
          </cell>
          <cell r="H2089" t="str">
            <v>57/58</v>
          </cell>
          <cell r="I2089">
            <v>255</v>
          </cell>
          <cell r="J2089">
            <v>3.33</v>
          </cell>
          <cell r="K2089"/>
          <cell r="L2089">
            <v>3.38</v>
          </cell>
          <cell r="M2089"/>
          <cell r="N2089">
            <v>3.38</v>
          </cell>
          <cell r="O2089"/>
          <cell r="P2089"/>
          <cell r="Q2089"/>
          <cell r="R2089">
            <v>3.88</v>
          </cell>
          <cell r="S2089"/>
          <cell r="T2089"/>
          <cell r="U2089"/>
          <cell r="V2089">
            <v>15</v>
          </cell>
          <cell r="W2089"/>
          <cell r="X2089" t="str">
            <v>LIVALTEX</v>
          </cell>
          <cell r="Y2089" t="str">
            <v>LIVALTEX 14-SEP</v>
          </cell>
          <cell r="Z2089" t="str">
            <v>ROSE' MAIL 15-9/17</v>
          </cell>
          <cell r="AA2089"/>
          <cell r="AB2089">
            <v>42998</v>
          </cell>
          <cell r="AC2089">
            <v>3452</v>
          </cell>
        </row>
        <row r="2090">
          <cell r="B2090">
            <v>3451</v>
          </cell>
          <cell r="C2090" t="str">
            <v xml:space="preserve"> K-2920</v>
          </cell>
          <cell r="D2090" t="str">
            <v>KNIT FOIL</v>
          </cell>
          <cell r="E2090"/>
          <cell r="F2090" t="str">
            <v>N/L 70/30</v>
          </cell>
          <cell r="G2090" t="str">
            <v>NYLON LUREX 70/30</v>
          </cell>
          <cell r="H2090" t="str">
            <v>146CM</v>
          </cell>
          <cell r="I2090">
            <v>160</v>
          </cell>
          <cell r="J2090">
            <v>2.3400000000000003</v>
          </cell>
          <cell r="K2090"/>
          <cell r="L2090">
            <v>2.39</v>
          </cell>
          <cell r="M2090"/>
          <cell r="N2090">
            <v>2.39</v>
          </cell>
          <cell r="O2090"/>
          <cell r="P2090"/>
          <cell r="Q2090"/>
          <cell r="R2090">
            <v>2.8400000000000003</v>
          </cell>
          <cell r="S2090"/>
          <cell r="T2090"/>
          <cell r="U2090"/>
          <cell r="V2090">
            <v>15</v>
          </cell>
          <cell r="W2090"/>
          <cell r="X2090" t="str">
            <v>LIVALTEX</v>
          </cell>
          <cell r="Y2090" t="str">
            <v>LIVALTEX 14-SEP</v>
          </cell>
          <cell r="Z2090" t="str">
            <v>ROSE' MAIL 15-9/17</v>
          </cell>
          <cell r="AA2090"/>
          <cell r="AB2090">
            <v>42998</v>
          </cell>
          <cell r="AC2090">
            <v>3451</v>
          </cell>
        </row>
        <row r="2091">
          <cell r="B2091">
            <v>3450</v>
          </cell>
          <cell r="C2091" t="str">
            <v>OLP-YB0005</v>
          </cell>
          <cell r="D2091"/>
          <cell r="E2091"/>
          <cell r="F2091" t="str">
            <v>A 100%</v>
          </cell>
          <cell r="G2091" t="str">
            <v>100% ACRYLIC</v>
          </cell>
          <cell r="H2091" t="str">
            <v>57/58</v>
          </cell>
          <cell r="I2091">
            <v>245</v>
          </cell>
          <cell r="J2091">
            <v>3.6</v>
          </cell>
          <cell r="K2091"/>
          <cell r="L2091">
            <v>3.68</v>
          </cell>
          <cell r="M2091"/>
          <cell r="N2091">
            <v>3.8</v>
          </cell>
          <cell r="O2091"/>
          <cell r="P2091"/>
          <cell r="Q2091"/>
          <cell r="R2091">
            <v>4.0999999999999996</v>
          </cell>
          <cell r="S2091"/>
          <cell r="T2091"/>
          <cell r="U2091"/>
          <cell r="V2091">
            <v>15</v>
          </cell>
          <cell r="W2091"/>
          <cell r="X2091" t="str">
            <v>OWEN</v>
          </cell>
          <cell r="Y2091" t="str">
            <v>OWEN 18-SEP</v>
          </cell>
          <cell r="Z2091" t="str">
            <v>SANDY' MAIL 20/9/17</v>
          </cell>
          <cell r="AA2091"/>
          <cell r="AB2091">
            <v>42998</v>
          </cell>
          <cell r="AC2091">
            <v>3450</v>
          </cell>
        </row>
        <row r="2092">
          <cell r="B2092">
            <v>3449</v>
          </cell>
          <cell r="C2092" t="str">
            <v>OLP-YC00003</v>
          </cell>
          <cell r="D2092"/>
          <cell r="E2092"/>
          <cell r="F2092" t="str">
            <v>C 100%</v>
          </cell>
          <cell r="G2092" t="str">
            <v>100% COTTON</v>
          </cell>
          <cell r="H2092" t="str">
            <v>57/58</v>
          </cell>
          <cell r="I2092">
            <v>175</v>
          </cell>
          <cell r="J2092">
            <v>2.95</v>
          </cell>
          <cell r="K2092"/>
          <cell r="L2092">
            <v>3.02</v>
          </cell>
          <cell r="M2092"/>
          <cell r="N2092">
            <v>3.15</v>
          </cell>
          <cell r="O2092"/>
          <cell r="P2092"/>
          <cell r="Q2092"/>
          <cell r="R2092">
            <v>3.45</v>
          </cell>
          <cell r="S2092"/>
          <cell r="T2092"/>
          <cell r="U2092"/>
          <cell r="V2092">
            <v>15</v>
          </cell>
          <cell r="W2092"/>
          <cell r="X2092" t="str">
            <v>OWEN</v>
          </cell>
          <cell r="Y2092" t="str">
            <v>OWEN 18-SEP</v>
          </cell>
          <cell r="Z2092" t="str">
            <v>SANDY' MAIL 20/9/17</v>
          </cell>
          <cell r="AA2092"/>
          <cell r="AB2092">
            <v>42998</v>
          </cell>
          <cell r="AC2092">
            <v>3449</v>
          </cell>
        </row>
        <row r="2093">
          <cell r="B2093">
            <v>3448</v>
          </cell>
          <cell r="C2093" t="str">
            <v>OLP-YC00002</v>
          </cell>
          <cell r="D2093"/>
          <cell r="E2093"/>
          <cell r="F2093" t="str">
            <v>C 100%</v>
          </cell>
          <cell r="G2093" t="str">
            <v>100% COTTON</v>
          </cell>
          <cell r="H2093" t="str">
            <v>57/58</v>
          </cell>
          <cell r="I2093">
            <v>185</v>
          </cell>
          <cell r="J2093">
            <v>3.65</v>
          </cell>
          <cell r="K2093"/>
          <cell r="L2093">
            <v>3.48</v>
          </cell>
          <cell r="M2093"/>
          <cell r="N2093">
            <v>3.6</v>
          </cell>
          <cell r="O2093"/>
          <cell r="P2093"/>
          <cell r="Q2093"/>
          <cell r="R2093">
            <v>3.9</v>
          </cell>
          <cell r="S2093"/>
          <cell r="T2093"/>
          <cell r="U2093"/>
          <cell r="V2093">
            <v>15</v>
          </cell>
          <cell r="W2093"/>
          <cell r="X2093" t="str">
            <v>OWEN</v>
          </cell>
          <cell r="Y2093" t="str">
            <v>OWEN 18-SEP</v>
          </cell>
          <cell r="Z2093" t="str">
            <v>SANDY' MAIL 20/9/17</v>
          </cell>
          <cell r="AA2093"/>
          <cell r="AB2093">
            <v>42998</v>
          </cell>
          <cell r="AC2093">
            <v>3448</v>
          </cell>
        </row>
        <row r="2094">
          <cell r="B2094">
            <v>3447</v>
          </cell>
          <cell r="C2094" t="str">
            <v>OLP-YP00001</v>
          </cell>
          <cell r="D2094"/>
          <cell r="E2094"/>
          <cell r="F2094" t="str">
            <v>T/R/S 78/20/2</v>
          </cell>
          <cell r="G2094" t="str">
            <v>POLYESTER / RAYON / SPANDEX 78/20/2</v>
          </cell>
          <cell r="H2094" t="str">
            <v>57/58</v>
          </cell>
          <cell r="I2094">
            <v>190</v>
          </cell>
          <cell r="J2094">
            <v>3.55</v>
          </cell>
          <cell r="K2094"/>
          <cell r="L2094">
            <v>3.6</v>
          </cell>
          <cell r="M2094"/>
          <cell r="N2094">
            <v>3.7</v>
          </cell>
          <cell r="O2094"/>
          <cell r="P2094"/>
          <cell r="Q2094"/>
          <cell r="R2094">
            <v>3.95</v>
          </cell>
          <cell r="S2094"/>
          <cell r="T2094"/>
          <cell r="U2094"/>
          <cell r="V2094">
            <v>15</v>
          </cell>
          <cell r="W2094"/>
          <cell r="X2094" t="str">
            <v>OWEN</v>
          </cell>
          <cell r="Y2094" t="str">
            <v>OWEN 18-SEP</v>
          </cell>
          <cell r="Z2094" t="str">
            <v>SANDY' MAIL 20/9/17</v>
          </cell>
          <cell r="AA2094"/>
          <cell r="AB2094">
            <v>42998</v>
          </cell>
          <cell r="AC2094">
            <v>3447</v>
          </cell>
        </row>
        <row r="2095">
          <cell r="B2095">
            <v>3446</v>
          </cell>
          <cell r="C2095" t="str">
            <v>OLP-SP00067</v>
          </cell>
          <cell r="D2095"/>
          <cell r="E2095"/>
          <cell r="F2095" t="str">
            <v>T 100%</v>
          </cell>
          <cell r="G2095" t="str">
            <v>100% POLYESTER</v>
          </cell>
          <cell r="H2095" t="str">
            <v>57/58</v>
          </cell>
          <cell r="I2095">
            <v>305</v>
          </cell>
          <cell r="J2095">
            <v>3.58</v>
          </cell>
          <cell r="K2095">
            <v>3.82</v>
          </cell>
          <cell r="L2095">
            <v>3.64</v>
          </cell>
          <cell r="M2095">
            <v>4.22</v>
          </cell>
          <cell r="N2095">
            <v>3.85</v>
          </cell>
          <cell r="O2095">
            <v>4.67</v>
          </cell>
          <cell r="P2095"/>
          <cell r="Q2095"/>
          <cell r="R2095">
            <v>4.1500000000000004</v>
          </cell>
          <cell r="S2095">
            <v>5.65</v>
          </cell>
          <cell r="T2095"/>
          <cell r="U2095"/>
          <cell r="V2095">
            <v>15</v>
          </cell>
          <cell r="W2095"/>
          <cell r="X2095" t="str">
            <v>OWEN</v>
          </cell>
          <cell r="Y2095" t="str">
            <v>OWEN 18-SEP</v>
          </cell>
          <cell r="Z2095" t="str">
            <v>SANDY' MAIL 20/9/17</v>
          </cell>
          <cell r="AA2095"/>
          <cell r="AB2095">
            <v>42998</v>
          </cell>
          <cell r="AC2095">
            <v>3446</v>
          </cell>
        </row>
        <row r="2096">
          <cell r="B2096">
            <v>3445</v>
          </cell>
          <cell r="C2096" t="str">
            <v>OLP-SN00069</v>
          </cell>
          <cell r="D2096" t="str">
            <v xml:space="preserve"> </v>
          </cell>
          <cell r="E2096"/>
          <cell r="F2096" t="str">
            <v>N/R/S</v>
          </cell>
          <cell r="G2096" t="str">
            <v>NYLON/RAYON/SPANDEX</v>
          </cell>
          <cell r="H2096" t="str">
            <v>57/58</v>
          </cell>
          <cell r="I2096">
            <v>205</v>
          </cell>
          <cell r="J2096">
            <v>2.85</v>
          </cell>
          <cell r="K2096"/>
          <cell r="L2096">
            <v>2.93</v>
          </cell>
          <cell r="M2096"/>
          <cell r="N2096">
            <v>3.09</v>
          </cell>
          <cell r="O2096"/>
          <cell r="P2096"/>
          <cell r="Q2096"/>
          <cell r="R2096">
            <v>3.39</v>
          </cell>
          <cell r="S2096"/>
          <cell r="T2096"/>
          <cell r="U2096"/>
          <cell r="V2096">
            <v>15</v>
          </cell>
          <cell r="W2096"/>
          <cell r="X2096" t="str">
            <v>OWEN</v>
          </cell>
          <cell r="Y2096" t="str">
            <v>OWEN 18-SEP</v>
          </cell>
          <cell r="Z2096" t="str">
            <v>SANDY' MAIL 20/9/17</v>
          </cell>
          <cell r="AA2096"/>
          <cell r="AB2096">
            <v>42998</v>
          </cell>
          <cell r="AC2096">
            <v>3445</v>
          </cell>
        </row>
        <row r="2097">
          <cell r="B2097">
            <v>3444</v>
          </cell>
          <cell r="C2097" t="str">
            <v>OLP-SC00072</v>
          </cell>
          <cell r="D2097"/>
          <cell r="E2097"/>
          <cell r="F2097" t="str">
            <v>C/S</v>
          </cell>
          <cell r="G2097" t="str">
            <v>CONTTON SPANDEX</v>
          </cell>
          <cell r="H2097" t="str">
            <v>48/50</v>
          </cell>
          <cell r="I2097">
            <v>290</v>
          </cell>
          <cell r="J2097">
            <v>3</v>
          </cell>
          <cell r="K2097">
            <v>3.2</v>
          </cell>
          <cell r="L2097">
            <v>3.07</v>
          </cell>
          <cell r="M2097">
            <v>3.28</v>
          </cell>
          <cell r="N2097">
            <v>3.15</v>
          </cell>
          <cell r="O2097">
            <v>3.48</v>
          </cell>
          <cell r="P2097"/>
          <cell r="Q2097"/>
          <cell r="R2097">
            <v>3.4</v>
          </cell>
          <cell r="S2097">
            <v>4.0999999999999996</v>
          </cell>
          <cell r="T2097"/>
          <cell r="U2097"/>
          <cell r="V2097">
            <v>15</v>
          </cell>
          <cell r="W2097"/>
          <cell r="X2097" t="str">
            <v>OWEN</v>
          </cell>
          <cell r="Y2097" t="str">
            <v>OWEN 18-SEP</v>
          </cell>
          <cell r="Z2097" t="str">
            <v>SANDY' MAIL 20/9/17</v>
          </cell>
          <cell r="AA2097"/>
          <cell r="AB2097">
            <v>42998</v>
          </cell>
          <cell r="AC2097">
            <v>3444</v>
          </cell>
        </row>
        <row r="2098">
          <cell r="B2098">
            <v>3443</v>
          </cell>
          <cell r="C2098" t="str">
            <v>OLP-SC00073</v>
          </cell>
          <cell r="D2098"/>
          <cell r="E2098"/>
          <cell r="F2098" t="str">
            <v>C/S</v>
          </cell>
          <cell r="G2098" t="str">
            <v>CONTTON SPANDEX</v>
          </cell>
          <cell r="H2098" t="str">
            <v>55/56</v>
          </cell>
          <cell r="I2098">
            <v>220</v>
          </cell>
          <cell r="J2098">
            <v>3.95</v>
          </cell>
          <cell r="K2098">
            <v>4.1500000000000004</v>
          </cell>
          <cell r="L2098">
            <v>4</v>
          </cell>
          <cell r="M2098">
            <v>4.2</v>
          </cell>
          <cell r="N2098">
            <v>4.08</v>
          </cell>
          <cell r="O2098">
            <v>4.5999999999999996</v>
          </cell>
          <cell r="P2098"/>
          <cell r="Q2098"/>
          <cell r="R2098">
            <v>4.3</v>
          </cell>
          <cell r="S2098">
            <v>5.0199999999999996</v>
          </cell>
          <cell r="T2098"/>
          <cell r="U2098"/>
          <cell r="V2098">
            <v>15</v>
          </cell>
          <cell r="W2098"/>
          <cell r="X2098" t="str">
            <v>OWEN</v>
          </cell>
          <cell r="Y2098" t="str">
            <v>OWEN 18-SEP</v>
          </cell>
          <cell r="Z2098" t="str">
            <v>SANDY' MAIL 20/9/17</v>
          </cell>
          <cell r="AA2098"/>
          <cell r="AB2098">
            <v>42998</v>
          </cell>
          <cell r="AC2098">
            <v>3443</v>
          </cell>
        </row>
        <row r="2099">
          <cell r="B2099">
            <v>3442</v>
          </cell>
          <cell r="C2099" t="str">
            <v>OLP-SN00071</v>
          </cell>
          <cell r="D2099"/>
          <cell r="E2099"/>
          <cell r="F2099" t="str">
            <v>N/R/S</v>
          </cell>
          <cell r="G2099" t="str">
            <v>NYLON/RAYON/SPANDEX</v>
          </cell>
          <cell r="H2099" t="str">
            <v>57/58</v>
          </cell>
          <cell r="I2099">
            <v>200</v>
          </cell>
          <cell r="J2099">
            <v>3.25</v>
          </cell>
          <cell r="K2099"/>
          <cell r="L2099">
            <v>3.3</v>
          </cell>
          <cell r="M2099"/>
          <cell r="N2099">
            <v>3.38</v>
          </cell>
          <cell r="O2099"/>
          <cell r="P2099"/>
          <cell r="Q2099"/>
          <cell r="R2099">
            <v>3.55</v>
          </cell>
          <cell r="S2099"/>
          <cell r="T2099"/>
          <cell r="U2099"/>
          <cell r="V2099">
            <v>15</v>
          </cell>
          <cell r="W2099"/>
          <cell r="X2099" t="str">
            <v>OWEN</v>
          </cell>
          <cell r="Y2099" t="str">
            <v>OWEN 18-SEP</v>
          </cell>
          <cell r="Z2099" t="str">
            <v>SANDY' MAIL 20/9/17</v>
          </cell>
          <cell r="AA2099"/>
          <cell r="AB2099">
            <v>42998</v>
          </cell>
          <cell r="AC2099">
            <v>3442</v>
          </cell>
        </row>
        <row r="2100">
          <cell r="B2100">
            <v>3441</v>
          </cell>
          <cell r="C2100" t="str">
            <v>OLP-YP0004</v>
          </cell>
          <cell r="D2100"/>
          <cell r="E2100"/>
          <cell r="F2100" t="str">
            <v>T/R 81/19</v>
          </cell>
          <cell r="G2100" t="str">
            <v>81% POLY 19% RAYON</v>
          </cell>
          <cell r="H2100" t="str">
            <v>57/58</v>
          </cell>
          <cell r="I2100">
            <v>270</v>
          </cell>
          <cell r="J2100">
            <v>3.55</v>
          </cell>
          <cell r="K2100"/>
          <cell r="L2100">
            <v>3.6</v>
          </cell>
          <cell r="M2100"/>
          <cell r="N2100">
            <v>3.68</v>
          </cell>
          <cell r="O2100"/>
          <cell r="P2100"/>
          <cell r="Q2100"/>
          <cell r="R2100">
            <v>3.85</v>
          </cell>
          <cell r="S2100"/>
          <cell r="T2100"/>
          <cell r="U2100"/>
          <cell r="V2100">
            <v>15</v>
          </cell>
          <cell r="W2100"/>
          <cell r="X2100" t="str">
            <v>OWEN</v>
          </cell>
          <cell r="Y2100" t="str">
            <v>OWEN 18-SEP</v>
          </cell>
          <cell r="Z2100" t="str">
            <v>SANDY' MAIL 20/9/17</v>
          </cell>
          <cell r="AA2100"/>
          <cell r="AB2100">
            <v>42998</v>
          </cell>
          <cell r="AC2100">
            <v>3441</v>
          </cell>
        </row>
        <row r="2101">
          <cell r="B2101">
            <v>3440</v>
          </cell>
          <cell r="C2101" t="str">
            <v>OLP-SC00070</v>
          </cell>
          <cell r="D2101"/>
          <cell r="E2101"/>
          <cell r="F2101" t="str">
            <v>C/T/S</v>
          </cell>
          <cell r="G2101" t="str">
            <v xml:space="preserve">73% COTTON 22% POLYESTER  5% SPANDEX </v>
          </cell>
          <cell r="H2101" t="str">
            <v>47/48</v>
          </cell>
          <cell r="I2101">
            <v>150</v>
          </cell>
          <cell r="J2101">
            <v>3.28</v>
          </cell>
          <cell r="K2101"/>
          <cell r="L2101">
            <v>3.33</v>
          </cell>
          <cell r="M2101"/>
          <cell r="N2101">
            <v>3.4</v>
          </cell>
          <cell r="O2101"/>
          <cell r="P2101"/>
          <cell r="Q2101"/>
          <cell r="R2101">
            <v>3.6</v>
          </cell>
          <cell r="S2101"/>
          <cell r="T2101"/>
          <cell r="U2101"/>
          <cell r="V2101">
            <v>15</v>
          </cell>
          <cell r="W2101"/>
          <cell r="X2101" t="str">
            <v>OWEN</v>
          </cell>
          <cell r="Y2101" t="str">
            <v>OWEN 18-SEP</v>
          </cell>
          <cell r="Z2101" t="str">
            <v>SANDY' MAIL 20/9/17</v>
          </cell>
          <cell r="AA2101"/>
          <cell r="AB2101">
            <v>42998</v>
          </cell>
          <cell r="AC2101">
            <v>3440</v>
          </cell>
        </row>
        <row r="2102">
          <cell r="B2102">
            <v>3439</v>
          </cell>
          <cell r="C2102" t="str">
            <v>HLP17009</v>
          </cell>
          <cell r="D2102"/>
          <cell r="E2102"/>
          <cell r="F2102" t="str">
            <v>T/S 92/8</v>
          </cell>
          <cell r="G2102" t="str">
            <v>POLYESTER / SPANDEX 92/8</v>
          </cell>
          <cell r="H2102" t="str">
            <v>150CM</v>
          </cell>
          <cell r="I2102">
            <v>270</v>
          </cell>
          <cell r="J2102">
            <v>2.6921722113502939</v>
          </cell>
          <cell r="K2102">
            <v>2.6099804305283758</v>
          </cell>
          <cell r="L2102">
            <v>2.792172211350294</v>
          </cell>
          <cell r="M2102">
            <v>2.7099804305283759</v>
          </cell>
          <cell r="N2102">
            <v>2.8921722113502941</v>
          </cell>
          <cell r="O2102">
            <v>2.9099804305283761</v>
          </cell>
          <cell r="P2102"/>
          <cell r="Q2102"/>
          <cell r="R2102">
            <v>2.9921722113502942</v>
          </cell>
          <cell r="S2102">
            <v>3.1099804305283762</v>
          </cell>
          <cell r="T2102"/>
          <cell r="U2102">
            <v>2.9236790606653624</v>
          </cell>
          <cell r="V2102">
            <v>15</v>
          </cell>
          <cell r="W2102"/>
          <cell r="X2102" t="str">
            <v>CANDY</v>
          </cell>
          <cell r="Y2102" t="str">
            <v>CANDY 20-SEP</v>
          </cell>
          <cell r="Z2102" t="str">
            <v>LEI' MAIL 20/9/17</v>
          </cell>
          <cell r="AA2102"/>
          <cell r="AB2102">
            <v>42998</v>
          </cell>
          <cell r="AC2102">
            <v>3439</v>
          </cell>
        </row>
        <row r="2103">
          <cell r="B2103">
            <v>3438</v>
          </cell>
          <cell r="C2103" t="str">
            <v>HLT4806</v>
          </cell>
          <cell r="D2103"/>
          <cell r="E2103"/>
          <cell r="F2103" t="str">
            <v>T/S 94/6</v>
          </cell>
          <cell r="G2103" t="str">
            <v>POLYESTER / SPANDEX 94/6</v>
          </cell>
          <cell r="H2103" t="str">
            <v>150CM</v>
          </cell>
          <cell r="I2103">
            <v>280</v>
          </cell>
          <cell r="J2103">
            <v>2.2765114231112311</v>
          </cell>
          <cell r="K2103">
            <v>2.570473443218233</v>
          </cell>
          <cell r="L2103">
            <v>2.3765114231112312</v>
          </cell>
          <cell r="M2103">
            <v>2.6704734432182331</v>
          </cell>
          <cell r="N2103">
            <v>2.4765114231112313</v>
          </cell>
          <cell r="O2103">
            <v>2.8704734432182333</v>
          </cell>
          <cell r="P2103"/>
          <cell r="Q2103"/>
          <cell r="R2103">
            <v>2.5765114231112314</v>
          </cell>
          <cell r="S2103">
            <v>3.0704734432182335</v>
          </cell>
          <cell r="T2103">
            <v>2.7199999999999998</v>
          </cell>
          <cell r="U2103">
            <v>2.5765114231112314</v>
          </cell>
          <cell r="V2103">
            <v>15</v>
          </cell>
          <cell r="W2103"/>
          <cell r="X2103" t="str">
            <v>CANDY</v>
          </cell>
          <cell r="Y2103" t="str">
            <v>CANDY 20-SEP</v>
          </cell>
          <cell r="Z2103" t="str">
            <v>LEI' MAIL 20/9/17</v>
          </cell>
          <cell r="AA2103"/>
          <cell r="AB2103">
            <v>42998</v>
          </cell>
          <cell r="AC2103">
            <v>3438</v>
          </cell>
        </row>
        <row r="2104">
          <cell r="B2104">
            <v>3437</v>
          </cell>
          <cell r="C2104" t="str">
            <v>HLT5744</v>
          </cell>
          <cell r="D2104"/>
          <cell r="E2104"/>
          <cell r="F2104" t="str">
            <v>T/S 92/8</v>
          </cell>
          <cell r="G2104" t="str">
            <v>POLYESTER / SPANDEX 92/8</v>
          </cell>
          <cell r="H2104" t="str">
            <v>145CM</v>
          </cell>
          <cell r="I2104">
            <v>350</v>
          </cell>
          <cell r="J2104">
            <v>4.0410958904109586</v>
          </cell>
          <cell r="K2104"/>
          <cell r="L2104">
            <v>4.1410958904109583</v>
          </cell>
          <cell r="M2104"/>
          <cell r="N2104">
            <v>4.2410958904109579</v>
          </cell>
          <cell r="O2104"/>
          <cell r="P2104"/>
          <cell r="Q2104"/>
          <cell r="R2104">
            <v>4.3410958904109576</v>
          </cell>
          <cell r="S2104"/>
          <cell r="T2104"/>
          <cell r="U2104">
            <v>4.3410958904109576</v>
          </cell>
          <cell r="V2104">
            <v>15</v>
          </cell>
          <cell r="W2104"/>
          <cell r="X2104" t="str">
            <v>CANDY</v>
          </cell>
          <cell r="Y2104" t="str">
            <v>CANDY 20-SEP</v>
          </cell>
          <cell r="Z2104" t="str">
            <v>LEI' MAIL 20/9/17</v>
          </cell>
          <cell r="AA2104"/>
          <cell r="AB2104">
            <v>42998</v>
          </cell>
          <cell r="AC2104">
            <v>3437</v>
          </cell>
        </row>
        <row r="2105">
          <cell r="B2105">
            <v>3436</v>
          </cell>
          <cell r="C2105" t="str">
            <v>HLT595</v>
          </cell>
          <cell r="D2105" t="str">
            <v>TAILORING</v>
          </cell>
          <cell r="E2105"/>
          <cell r="F2105" t="str">
            <v>T/R/S 66/32/2</v>
          </cell>
          <cell r="G2105" t="str">
            <v>POLYESTER / RAYON / SPANDEX 66/32/2</v>
          </cell>
          <cell r="H2105"/>
          <cell r="I2105">
            <v>300</v>
          </cell>
          <cell r="J2105">
            <v>2.9568493150684931</v>
          </cell>
          <cell r="K2105"/>
          <cell r="L2105">
            <v>3.0568493150684932</v>
          </cell>
          <cell r="M2105"/>
          <cell r="N2105">
            <v>3.1568493150684933</v>
          </cell>
          <cell r="O2105"/>
          <cell r="P2105"/>
          <cell r="Q2105"/>
          <cell r="R2105">
            <v>3.2568493150684934</v>
          </cell>
          <cell r="S2105"/>
          <cell r="T2105"/>
          <cell r="U2105">
            <v>3.2568493150684934</v>
          </cell>
          <cell r="V2105">
            <v>15</v>
          </cell>
          <cell r="W2105"/>
          <cell r="X2105" t="str">
            <v>CANDY</v>
          </cell>
          <cell r="Y2105" t="str">
            <v>CANDY 20-SEP</v>
          </cell>
          <cell r="Z2105" t="str">
            <v>LEI' MAIL 20/9/17</v>
          </cell>
          <cell r="AA2105"/>
          <cell r="AB2105">
            <v>42998</v>
          </cell>
          <cell r="AC2105">
            <v>3436</v>
          </cell>
        </row>
        <row r="2106">
          <cell r="B2106">
            <v>3435</v>
          </cell>
          <cell r="C2106" t="str">
            <v>HLT2978</v>
          </cell>
          <cell r="D2106"/>
          <cell r="E2106"/>
          <cell r="F2106" t="str">
            <v>T/R/S 70.5/27/2.5</v>
          </cell>
          <cell r="G2106" t="str">
            <v>POLYESTER / RAYON / SPANDEX 70.5/27/2.5</v>
          </cell>
          <cell r="H2106" t="str">
            <v>58/59</v>
          </cell>
          <cell r="I2106">
            <v>280</v>
          </cell>
          <cell r="J2106">
            <v>2.9054794520547942</v>
          </cell>
          <cell r="K2106"/>
          <cell r="L2106">
            <v>3.0054794520547943</v>
          </cell>
          <cell r="M2106"/>
          <cell r="N2106">
            <v>3.1054794520547944</v>
          </cell>
          <cell r="O2106"/>
          <cell r="P2106"/>
          <cell r="Q2106"/>
          <cell r="R2106">
            <v>3.2054794520547945</v>
          </cell>
          <cell r="S2106"/>
          <cell r="T2106"/>
          <cell r="U2106">
            <v>3.2054794520547945</v>
          </cell>
          <cell r="V2106">
            <v>15</v>
          </cell>
          <cell r="W2106"/>
          <cell r="X2106" t="str">
            <v>CANDY</v>
          </cell>
          <cell r="Y2106" t="str">
            <v>CANDY 20-SEP</v>
          </cell>
          <cell r="Z2106" t="str">
            <v>LEI' MAIL 20/9/17</v>
          </cell>
          <cell r="AA2106"/>
          <cell r="AB2106">
            <v>42998</v>
          </cell>
          <cell r="AC2106">
            <v>3435</v>
          </cell>
        </row>
        <row r="2107">
          <cell r="B2107">
            <v>3434</v>
          </cell>
          <cell r="C2107" t="str">
            <v>HLT5953</v>
          </cell>
          <cell r="D2107"/>
          <cell r="E2107"/>
          <cell r="F2107" t="str">
            <v>T/R/S 62/33/5 - 30S+40D x 30S+40D</v>
          </cell>
          <cell r="G2107" t="str">
            <v>POLYESTER/RAYON/SPANDEX 62/33/5 - 30S+40D x 30S+40D</v>
          </cell>
          <cell r="H2107" t="str">
            <v>57/58</v>
          </cell>
          <cell r="I2107">
            <v>300</v>
          </cell>
          <cell r="J2107">
            <v>2.9837573385518592</v>
          </cell>
          <cell r="K2107"/>
          <cell r="L2107">
            <v>3.0837573385518593</v>
          </cell>
          <cell r="M2107"/>
          <cell r="N2107">
            <v>3.1837573385518594</v>
          </cell>
          <cell r="O2107"/>
          <cell r="P2107"/>
          <cell r="Q2107"/>
          <cell r="R2107">
            <v>3.2837573385518595</v>
          </cell>
          <cell r="S2107"/>
          <cell r="T2107"/>
          <cell r="U2107"/>
          <cell r="V2107">
            <v>15</v>
          </cell>
          <cell r="W2107"/>
          <cell r="X2107" t="str">
            <v>CANDY</v>
          </cell>
          <cell r="Y2107" t="str">
            <v>CANDY 14-SEP</v>
          </cell>
          <cell r="Z2107" t="str">
            <v>LEI' MAIL 18/9/17</v>
          </cell>
          <cell r="AA2107"/>
          <cell r="AB2107">
            <v>42998</v>
          </cell>
          <cell r="AC2107">
            <v>3434</v>
          </cell>
        </row>
        <row r="2108">
          <cell r="B2108">
            <v>3434</v>
          </cell>
          <cell r="C2108" t="str">
            <v>HLT5953</v>
          </cell>
          <cell r="D2108"/>
          <cell r="E2108"/>
          <cell r="F2108" t="str">
            <v>T/R/S 62/33/5</v>
          </cell>
          <cell r="G2108" t="str">
            <v>POLYESTER / RAYON / SPANDEX 62/33/5</v>
          </cell>
          <cell r="H2108" t="str">
            <v>57/58</v>
          </cell>
          <cell r="I2108">
            <v>300</v>
          </cell>
          <cell r="J2108">
            <v>3.0228962818003917</v>
          </cell>
          <cell r="K2108"/>
          <cell r="L2108">
            <v>3.1228962818003918</v>
          </cell>
          <cell r="M2108"/>
          <cell r="N2108">
            <v>3.2228962818003919</v>
          </cell>
          <cell r="O2108"/>
          <cell r="P2108"/>
          <cell r="Q2108"/>
          <cell r="R2108">
            <v>3.322896281800392</v>
          </cell>
          <cell r="S2108"/>
          <cell r="T2108"/>
          <cell r="U2108">
            <v>3.322896281800392</v>
          </cell>
          <cell r="V2108">
            <v>15</v>
          </cell>
          <cell r="W2108"/>
          <cell r="X2108" t="str">
            <v>CANDY</v>
          </cell>
          <cell r="Y2108" t="str">
            <v>CANDY 20-SEP</v>
          </cell>
          <cell r="Z2108" t="str">
            <v>LEI' MAIL 20/9/17</v>
          </cell>
          <cell r="AA2108"/>
          <cell r="AB2108">
            <v>42998</v>
          </cell>
          <cell r="AC2108">
            <v>3434</v>
          </cell>
        </row>
        <row r="2109">
          <cell r="B2109">
            <v>3433</v>
          </cell>
          <cell r="C2109" t="str">
            <v>HLT027</v>
          </cell>
          <cell r="D2109"/>
          <cell r="E2109"/>
          <cell r="F2109" t="str">
            <v>T/S 95/5</v>
          </cell>
          <cell r="G2109" t="str">
            <v>POLYESTER / SPANDEX 95/5</v>
          </cell>
          <cell r="H2109" t="str">
            <v>57/58</v>
          </cell>
          <cell r="I2109">
            <v>200</v>
          </cell>
          <cell r="J2109">
            <v>2.1566210045662104</v>
          </cell>
          <cell r="K2109">
            <v>2.3210045662100462</v>
          </cell>
          <cell r="L2109">
            <v>2.2566210045662105</v>
          </cell>
          <cell r="M2109">
            <v>2.4210045662100463</v>
          </cell>
          <cell r="N2109">
            <v>2.3566210045662106</v>
          </cell>
          <cell r="O2109">
            <v>2.6210045662100465</v>
          </cell>
          <cell r="P2109"/>
          <cell r="Q2109"/>
          <cell r="R2109">
            <v>2.4566210045662107</v>
          </cell>
          <cell r="S2109">
            <v>2.8210045662100467</v>
          </cell>
          <cell r="T2109"/>
          <cell r="U2109">
            <v>2.4566210045662107</v>
          </cell>
          <cell r="V2109">
            <v>15</v>
          </cell>
          <cell r="W2109"/>
          <cell r="X2109" t="str">
            <v>CANDY</v>
          </cell>
          <cell r="Y2109" t="str">
            <v>CANDY 20-SEP</v>
          </cell>
          <cell r="Z2109" t="str">
            <v>LEI' MAIL 20/9/17</v>
          </cell>
          <cell r="AA2109"/>
          <cell r="AB2109">
            <v>42998</v>
          </cell>
          <cell r="AC2109">
            <v>3433</v>
          </cell>
        </row>
        <row r="2110">
          <cell r="B2110">
            <v>3432</v>
          </cell>
          <cell r="C2110" t="str">
            <v>HLT1138</v>
          </cell>
          <cell r="D2110"/>
          <cell r="E2110"/>
          <cell r="F2110" t="str">
            <v>T/R/S 63/32/5</v>
          </cell>
          <cell r="G2110" t="str">
            <v>POLYESTER / RAYON / SPANDEX 63/32/5</v>
          </cell>
          <cell r="H2110" t="str">
            <v>57/58</v>
          </cell>
          <cell r="I2110">
            <v>255</v>
          </cell>
          <cell r="J2110">
            <v>2.5571428571428574</v>
          </cell>
          <cell r="K2110"/>
          <cell r="L2110">
            <v>2.6571428571428575</v>
          </cell>
          <cell r="M2110"/>
          <cell r="N2110">
            <v>2.7571428571428576</v>
          </cell>
          <cell r="O2110"/>
          <cell r="P2110"/>
          <cell r="Q2110"/>
          <cell r="R2110">
            <v>2.8571428571428577</v>
          </cell>
          <cell r="S2110"/>
          <cell r="T2110"/>
          <cell r="U2110">
            <v>2.8571428571428577</v>
          </cell>
          <cell r="V2110">
            <v>15</v>
          </cell>
          <cell r="W2110"/>
          <cell r="X2110" t="str">
            <v>CANDY</v>
          </cell>
          <cell r="Y2110" t="str">
            <v>CANDY 20-SEP</v>
          </cell>
          <cell r="Z2110" t="str">
            <v>LEI' MAIL 20/9/17</v>
          </cell>
          <cell r="AA2110"/>
          <cell r="AB2110">
            <v>42998</v>
          </cell>
          <cell r="AC2110">
            <v>3432</v>
          </cell>
        </row>
        <row r="2111">
          <cell r="B2111">
            <v>3173</v>
          </cell>
          <cell r="C2111" t="str">
            <v>HLT5631</v>
          </cell>
          <cell r="D2111" t="str">
            <v>TWO LAYER (DOUBLE LAYER)</v>
          </cell>
          <cell r="E2111" t="str">
            <v>32s/1+40Dsp*100D+40D</v>
          </cell>
          <cell r="F2111" t="str">
            <v>T/R/S 73/23/4 - 32S TR + 40D x 100D +40D</v>
          </cell>
          <cell r="G2111" t="str">
            <v>73% POLYESTER 23% RAYON 4% SPANDEX</v>
          </cell>
          <cell r="H2111" t="str">
            <v>57/58</v>
          </cell>
          <cell r="I2111">
            <v>300</v>
          </cell>
          <cell r="J2111">
            <v>3.1990215264187873</v>
          </cell>
          <cell r="K2111"/>
          <cell r="L2111">
            <v>3.2990215264187874</v>
          </cell>
          <cell r="M2111"/>
          <cell r="N2111">
            <v>3.3990215264187875</v>
          </cell>
          <cell r="O2111"/>
          <cell r="P2111"/>
          <cell r="Q2111"/>
          <cell r="R2111">
            <v>3.4990215264187876</v>
          </cell>
          <cell r="S2111"/>
          <cell r="T2111"/>
          <cell r="U2111"/>
          <cell r="V2111">
            <v>15</v>
          </cell>
          <cell r="W2111"/>
          <cell r="X2111" t="str">
            <v>CANDY</v>
          </cell>
          <cell r="Y2111" t="str">
            <v>CANDY 14-SEP</v>
          </cell>
          <cell r="Z2111" t="str">
            <v>LEI' MAIL 18/9/17</v>
          </cell>
          <cell r="AA2111"/>
          <cell r="AB2111">
            <v>42998</v>
          </cell>
          <cell r="AC2111">
            <v>3173</v>
          </cell>
        </row>
        <row r="2112">
          <cell r="B2112">
            <v>3431</v>
          </cell>
          <cell r="C2112" t="str">
            <v>HLT972</v>
          </cell>
          <cell r="D2112" t="str">
            <v>CHIFFON</v>
          </cell>
          <cell r="E2112"/>
          <cell r="F2112" t="str">
            <v>T 100%</v>
          </cell>
          <cell r="G2112" t="str">
            <v>100% POLYESTER</v>
          </cell>
          <cell r="H2112" t="str">
            <v>57/58</v>
          </cell>
          <cell r="I2112">
            <v>65</v>
          </cell>
          <cell r="J2112">
            <v>0.95890410958904115</v>
          </cell>
          <cell r="K2112">
            <v>1.0972602739726027</v>
          </cell>
          <cell r="L2112">
            <v>1.0589041095890412</v>
          </cell>
          <cell r="M2112">
            <v>1.1972602739726028</v>
          </cell>
          <cell r="N2112">
            <v>1.1589041095890413</v>
          </cell>
          <cell r="O2112">
            <v>1.2972602739726029</v>
          </cell>
          <cell r="P2112"/>
          <cell r="Q2112"/>
          <cell r="R2112">
            <v>1.2589041095890414</v>
          </cell>
          <cell r="S2112">
            <v>1.4972602739726029</v>
          </cell>
          <cell r="T2112"/>
          <cell r="U2112"/>
          <cell r="V2112">
            <v>15</v>
          </cell>
          <cell r="W2112"/>
          <cell r="X2112" t="str">
            <v>CANDY</v>
          </cell>
          <cell r="Y2112" t="str">
            <v>CANDY CHIFFON 19-SEP</v>
          </cell>
          <cell r="Z2112" t="str">
            <v>LEI' MAIL 19/9/17</v>
          </cell>
          <cell r="AA2112"/>
          <cell r="AB2112">
            <v>42997</v>
          </cell>
          <cell r="AC2112">
            <v>3431</v>
          </cell>
        </row>
        <row r="2113">
          <cell r="B2113">
            <v>3430</v>
          </cell>
          <cell r="C2113" t="str">
            <v>HLT973</v>
          </cell>
          <cell r="D2113" t="str">
            <v>CHIFFON</v>
          </cell>
          <cell r="E2113"/>
          <cell r="F2113" t="str">
            <v>T 100%</v>
          </cell>
          <cell r="G2113" t="str">
            <v>100% POLYESTER</v>
          </cell>
          <cell r="H2113" t="str">
            <v>57/58</v>
          </cell>
          <cell r="I2113">
            <v>74</v>
          </cell>
          <cell r="J2113">
            <v>1.0102739726027397</v>
          </cell>
          <cell r="K2113">
            <v>1.1486301369863015</v>
          </cell>
          <cell r="L2113">
            <v>1.1102739726027397</v>
          </cell>
          <cell r="M2113">
            <v>1.2486301369863015</v>
          </cell>
          <cell r="N2113">
            <v>1.2102739726027398</v>
          </cell>
          <cell r="O2113">
            <v>1.3486301369863016</v>
          </cell>
          <cell r="P2113"/>
          <cell r="Q2113"/>
          <cell r="R2113">
            <v>1.3102739726027399</v>
          </cell>
          <cell r="S2113">
            <v>1.5486301369863016</v>
          </cell>
          <cell r="T2113"/>
          <cell r="U2113"/>
          <cell r="V2113">
            <v>15</v>
          </cell>
          <cell r="W2113"/>
          <cell r="X2113" t="str">
            <v>CANDY</v>
          </cell>
          <cell r="Y2113" t="str">
            <v>CANDY CHIFFON 19-SEP</v>
          </cell>
          <cell r="Z2113" t="str">
            <v>LEI' MAIL 19/9/17</v>
          </cell>
          <cell r="AA2113"/>
          <cell r="AB2113">
            <v>42997</v>
          </cell>
          <cell r="AC2113">
            <v>3430</v>
          </cell>
        </row>
        <row r="2114">
          <cell r="B2114">
            <v>3429</v>
          </cell>
          <cell r="C2114" t="str">
            <v>M-2015023</v>
          </cell>
          <cell r="D2114" t="str">
            <v>BUBBLE CREPE</v>
          </cell>
          <cell r="E2114" t="str">
            <v>75D x 75D</v>
          </cell>
          <cell r="F2114" t="str">
            <v>T/S 97/3</v>
          </cell>
          <cell r="G2114" t="str">
            <v>97% POLYESTER 3% SPANDEX</v>
          </cell>
          <cell r="H2114" t="str">
            <v>57/58</v>
          </cell>
          <cell r="I2114" t="str">
            <v>120-130</v>
          </cell>
          <cell r="J2114">
            <v>1.25</v>
          </cell>
          <cell r="K2114">
            <v>1.45</v>
          </cell>
          <cell r="L2114">
            <v>1.25</v>
          </cell>
          <cell r="M2114">
            <v>1.45</v>
          </cell>
          <cell r="N2114">
            <v>1.2649999999999999</v>
          </cell>
          <cell r="O2114">
            <v>1.4649999999999999</v>
          </cell>
          <cell r="P2114"/>
          <cell r="Q2114"/>
          <cell r="R2114">
            <v>1.45</v>
          </cell>
          <cell r="S2114">
            <v>1.65</v>
          </cell>
          <cell r="T2114"/>
          <cell r="U2114"/>
          <cell r="V2114">
            <v>15</v>
          </cell>
          <cell r="W2114"/>
          <cell r="X2114" t="str">
            <v>M-TEX</v>
          </cell>
          <cell r="Y2114" t="str">
            <v>M-TEX 14-SEP</v>
          </cell>
          <cell r="Z2114" t="str">
            <v>LINDA' MAIL 18/9/17</v>
          </cell>
          <cell r="AA2114"/>
          <cell r="AB2114">
            <v>42992</v>
          </cell>
          <cell r="AC2114">
            <v>3429</v>
          </cell>
        </row>
        <row r="2115">
          <cell r="B2115">
            <v>3428</v>
          </cell>
          <cell r="C2115" t="str">
            <v>#31213</v>
          </cell>
          <cell r="D2115"/>
          <cell r="E2115"/>
          <cell r="F2115" t="str">
            <v>T/R 85/15 - 106x82 - 50S/2+200Dx25S+200D</v>
          </cell>
          <cell r="G2115" t="str">
            <v>POLYESTER/RAYON 85/15 - 106x82 - 50S/2+200Dx25S+200D</v>
          </cell>
          <cell r="H2115">
            <v>59</v>
          </cell>
          <cell r="I2115">
            <v>207</v>
          </cell>
          <cell r="J2115">
            <v>2.3699999999999997</v>
          </cell>
          <cell r="K2115"/>
          <cell r="L2115">
            <v>2.42</v>
          </cell>
          <cell r="M2115"/>
          <cell r="N2115">
            <v>2.4699999999999998</v>
          </cell>
          <cell r="O2115"/>
          <cell r="P2115"/>
          <cell r="Q2115"/>
          <cell r="R2115">
            <v>2.63</v>
          </cell>
          <cell r="S2115"/>
          <cell r="T2115"/>
          <cell r="U2115"/>
          <cell r="V2115"/>
          <cell r="W2115"/>
          <cell r="X2115" t="str">
            <v>TIANLU</v>
          </cell>
          <cell r="Y2115" t="str">
            <v>TIANLU TEXTILE 01-SEP</v>
          </cell>
          <cell r="Z2115" t="str">
            <v>MENGQIUWANG 4/9/17</v>
          </cell>
          <cell r="AA2115"/>
          <cell r="AB2115">
            <v>42991</v>
          </cell>
          <cell r="AC2115">
            <v>3428</v>
          </cell>
        </row>
        <row r="2116">
          <cell r="B2116">
            <v>3427</v>
          </cell>
          <cell r="C2116" t="str">
            <v>#45100</v>
          </cell>
          <cell r="D2116"/>
          <cell r="E2116"/>
          <cell r="F2116" t="str">
            <v>100% POLY - 48Sx150D</v>
          </cell>
          <cell r="G2116" t="str">
            <v>100% POLY - 48Sx150D</v>
          </cell>
          <cell r="H2116">
            <v>59</v>
          </cell>
          <cell r="I2116">
            <v>100</v>
          </cell>
          <cell r="J2116">
            <v>1.26</v>
          </cell>
          <cell r="K2116"/>
          <cell r="L2116">
            <v>1.32</v>
          </cell>
          <cell r="M2116"/>
          <cell r="N2116">
            <v>1.37</v>
          </cell>
          <cell r="O2116"/>
          <cell r="P2116"/>
          <cell r="Q2116"/>
          <cell r="R2116">
            <v>1.84</v>
          </cell>
          <cell r="S2116"/>
          <cell r="T2116"/>
          <cell r="U2116"/>
          <cell r="V2116"/>
          <cell r="W2116"/>
          <cell r="X2116" t="str">
            <v>TIANLU</v>
          </cell>
          <cell r="Y2116" t="str">
            <v>TIANLU TEXTILE 01-SEP</v>
          </cell>
          <cell r="Z2116" t="str">
            <v>MENGQIUWANG 4/9/17</v>
          </cell>
          <cell r="AA2116"/>
          <cell r="AB2116">
            <v>42991</v>
          </cell>
          <cell r="AC2116">
            <v>3427</v>
          </cell>
        </row>
        <row r="2117">
          <cell r="B2117">
            <v>3426</v>
          </cell>
          <cell r="C2117" t="str">
            <v>#16175</v>
          </cell>
          <cell r="D2117" t="str">
            <v>TAILORING</v>
          </cell>
          <cell r="E2117"/>
          <cell r="F2117" t="str">
            <v>T/R 72/28 - 96x82</v>
          </cell>
          <cell r="G2117" t="str">
            <v>POLYESTER/RAYON 72/28 - 96x82</v>
          </cell>
          <cell r="H2117">
            <v>59</v>
          </cell>
          <cell r="I2117">
            <v>207</v>
          </cell>
          <cell r="J2117">
            <v>2.4699999999999998</v>
          </cell>
          <cell r="K2117"/>
          <cell r="L2117">
            <v>2.52</v>
          </cell>
          <cell r="M2117"/>
          <cell r="N2117">
            <v>2.5799999999999996</v>
          </cell>
          <cell r="O2117"/>
          <cell r="P2117"/>
          <cell r="Q2117"/>
          <cell r="R2117">
            <v>2.73</v>
          </cell>
          <cell r="S2117"/>
          <cell r="T2117"/>
          <cell r="U2117"/>
          <cell r="V2117"/>
          <cell r="W2117"/>
          <cell r="X2117" t="str">
            <v>TIANLU</v>
          </cell>
          <cell r="Y2117" t="str">
            <v>TIANLU TEXTILE 01-SEP</v>
          </cell>
          <cell r="Z2117" t="str">
            <v>MENGQIUWANG 4/9/17</v>
          </cell>
          <cell r="AA2117"/>
          <cell r="AB2117">
            <v>42991</v>
          </cell>
          <cell r="AC2117">
            <v>3426</v>
          </cell>
        </row>
        <row r="2118">
          <cell r="B2118">
            <v>3425</v>
          </cell>
          <cell r="C2118" t="str">
            <v>TL17121</v>
          </cell>
          <cell r="D2118"/>
          <cell r="E2118"/>
          <cell r="F2118" t="str">
            <v>T/R 60/40</v>
          </cell>
          <cell r="G2118" t="str">
            <v>POLYESTER/RAYON 60/40</v>
          </cell>
          <cell r="H2118">
            <v>59</v>
          </cell>
          <cell r="I2118">
            <v>300</v>
          </cell>
          <cell r="J2118">
            <v>2.8899999999999997</v>
          </cell>
          <cell r="K2118"/>
          <cell r="L2118">
            <v>2.94</v>
          </cell>
          <cell r="M2118"/>
          <cell r="N2118">
            <v>3</v>
          </cell>
          <cell r="O2118"/>
          <cell r="P2118"/>
          <cell r="Q2118"/>
          <cell r="R2118">
            <v>3.15</v>
          </cell>
          <cell r="S2118"/>
          <cell r="T2118"/>
          <cell r="U2118"/>
          <cell r="V2118"/>
          <cell r="W2118"/>
          <cell r="X2118" t="str">
            <v>TIANLU</v>
          </cell>
          <cell r="Y2118" t="str">
            <v>TIANLU TEXTILE 01-SEP</v>
          </cell>
          <cell r="Z2118" t="str">
            <v>MENGQIUWANG 4/9/17</v>
          </cell>
          <cell r="AA2118"/>
          <cell r="AB2118">
            <v>42991</v>
          </cell>
          <cell r="AC2118">
            <v>3425</v>
          </cell>
        </row>
        <row r="2119">
          <cell r="B2119">
            <v>3424</v>
          </cell>
          <cell r="C2119" t="str">
            <v>J7246</v>
          </cell>
          <cell r="D2119"/>
          <cell r="E2119"/>
          <cell r="F2119" t="str">
            <v>T/R 85/15</v>
          </cell>
          <cell r="G2119" t="str">
            <v>POLYESTER/RAYON 85/15</v>
          </cell>
          <cell r="H2119">
            <v>59</v>
          </cell>
          <cell r="I2119">
            <v>187</v>
          </cell>
          <cell r="J2119">
            <v>2.4699999999999998</v>
          </cell>
          <cell r="K2119"/>
          <cell r="L2119">
            <v>2.52</v>
          </cell>
          <cell r="M2119"/>
          <cell r="N2119">
            <v>2.5799999999999996</v>
          </cell>
          <cell r="O2119"/>
          <cell r="P2119"/>
          <cell r="Q2119"/>
          <cell r="R2119">
            <v>2.73</v>
          </cell>
          <cell r="S2119"/>
          <cell r="T2119"/>
          <cell r="U2119"/>
          <cell r="V2119"/>
          <cell r="W2119"/>
          <cell r="X2119" t="str">
            <v>TIANLU</v>
          </cell>
          <cell r="Y2119" t="str">
            <v>TIANLU TEXTILE 01-SEP</v>
          </cell>
          <cell r="Z2119" t="str">
            <v>MENGQIUWANG 4/9/17</v>
          </cell>
          <cell r="AA2119"/>
          <cell r="AB2119">
            <v>42991</v>
          </cell>
          <cell r="AC2119">
            <v>3424</v>
          </cell>
        </row>
        <row r="2120">
          <cell r="B2120">
            <v>3423</v>
          </cell>
          <cell r="C2120" t="str">
            <v>J7266</v>
          </cell>
          <cell r="D2120"/>
          <cell r="E2120"/>
          <cell r="F2120" t="str">
            <v>T/R 85/15</v>
          </cell>
          <cell r="G2120" t="str">
            <v>POLYESTER/RAYON 85/15</v>
          </cell>
          <cell r="H2120">
            <v>59</v>
          </cell>
          <cell r="I2120">
            <v>200</v>
          </cell>
          <cell r="J2120">
            <v>2.4699999999999998</v>
          </cell>
          <cell r="K2120"/>
          <cell r="L2120">
            <v>2.52</v>
          </cell>
          <cell r="M2120"/>
          <cell r="N2120">
            <v>2.5799999999999996</v>
          </cell>
          <cell r="O2120"/>
          <cell r="P2120"/>
          <cell r="Q2120"/>
          <cell r="R2120">
            <v>2.73</v>
          </cell>
          <cell r="S2120"/>
          <cell r="T2120"/>
          <cell r="U2120"/>
          <cell r="V2120"/>
          <cell r="W2120"/>
          <cell r="X2120" t="str">
            <v>TIANLU</v>
          </cell>
          <cell r="Y2120" t="str">
            <v>TIANLU TEXTILE 01-SEP</v>
          </cell>
          <cell r="Z2120" t="str">
            <v>MENGQIUWANG 4/9/17</v>
          </cell>
          <cell r="AA2120"/>
          <cell r="AB2120">
            <v>42991</v>
          </cell>
          <cell r="AC2120">
            <v>3423</v>
          </cell>
        </row>
        <row r="2121">
          <cell r="B2121">
            <v>3422</v>
          </cell>
          <cell r="C2121" t="str">
            <v>J7253</v>
          </cell>
          <cell r="D2121"/>
          <cell r="E2121"/>
          <cell r="F2121" t="str">
            <v>T/R 85/15</v>
          </cell>
          <cell r="G2121" t="str">
            <v>POLYESTER/RAYON 85/15</v>
          </cell>
          <cell r="H2121">
            <v>59</v>
          </cell>
          <cell r="I2121">
            <v>193</v>
          </cell>
          <cell r="J2121">
            <v>2.4699999999999998</v>
          </cell>
          <cell r="K2121"/>
          <cell r="L2121">
            <v>2.52</v>
          </cell>
          <cell r="M2121"/>
          <cell r="N2121">
            <v>2.5799999999999996</v>
          </cell>
          <cell r="O2121"/>
          <cell r="P2121"/>
          <cell r="Q2121"/>
          <cell r="R2121">
            <v>2.73</v>
          </cell>
          <cell r="S2121"/>
          <cell r="T2121"/>
          <cell r="U2121"/>
          <cell r="V2121"/>
          <cell r="W2121"/>
          <cell r="X2121" t="str">
            <v>TIANLU</v>
          </cell>
          <cell r="Y2121" t="str">
            <v>TIANLU TEXTILE 01-SEP</v>
          </cell>
          <cell r="Z2121" t="str">
            <v>MENGQIUWANG 4/9/17</v>
          </cell>
          <cell r="AA2121"/>
          <cell r="AB2121">
            <v>42991</v>
          </cell>
          <cell r="AC2121">
            <v>3422</v>
          </cell>
        </row>
        <row r="2122">
          <cell r="B2122">
            <v>3421</v>
          </cell>
          <cell r="C2122" t="str">
            <v>#170529</v>
          </cell>
          <cell r="D2122"/>
          <cell r="E2122"/>
          <cell r="F2122" t="str">
            <v>T/R 76/24 - 101x81 - 50S/2 x 25S +150D</v>
          </cell>
          <cell r="G2122" t="str">
            <v>POLYESTER/RAYON 76/24 - 101x81 - 50S/2 x 25S +150D</v>
          </cell>
          <cell r="H2122">
            <v>59</v>
          </cell>
          <cell r="I2122">
            <v>180</v>
          </cell>
          <cell r="J2122">
            <v>2.4699999999999998</v>
          </cell>
          <cell r="K2122"/>
          <cell r="L2122">
            <v>2.52</v>
          </cell>
          <cell r="M2122"/>
          <cell r="N2122">
            <v>2.5799999999999996</v>
          </cell>
          <cell r="O2122"/>
          <cell r="P2122"/>
          <cell r="Q2122"/>
          <cell r="R2122">
            <v>2.73</v>
          </cell>
          <cell r="S2122"/>
          <cell r="T2122"/>
          <cell r="U2122"/>
          <cell r="V2122"/>
          <cell r="W2122"/>
          <cell r="X2122" t="str">
            <v>TIANLU</v>
          </cell>
          <cell r="Y2122" t="str">
            <v>TIANLU TEXTILE 01-SEP</v>
          </cell>
          <cell r="Z2122" t="str">
            <v>MENGQIUWANG 4/9/17</v>
          </cell>
          <cell r="AA2122"/>
          <cell r="AB2122">
            <v>42991</v>
          </cell>
          <cell r="AC2122">
            <v>3421</v>
          </cell>
        </row>
        <row r="2123">
          <cell r="B2123">
            <v>3420</v>
          </cell>
          <cell r="C2123" t="str">
            <v>#170372</v>
          </cell>
          <cell r="D2123"/>
          <cell r="E2123"/>
          <cell r="F2123" t="str">
            <v>T/R/S 74/24/2</v>
          </cell>
          <cell r="G2123" t="str">
            <v>POLYESTER/RAYON/SPANDEX 74/24/2</v>
          </cell>
          <cell r="H2123">
            <v>59</v>
          </cell>
          <cell r="I2123">
            <v>177</v>
          </cell>
          <cell r="J2123">
            <v>2.4699999999999998</v>
          </cell>
          <cell r="K2123"/>
          <cell r="L2123">
            <v>2.52</v>
          </cell>
          <cell r="M2123"/>
          <cell r="N2123">
            <v>2.5799999999999996</v>
          </cell>
          <cell r="O2123"/>
          <cell r="P2123"/>
          <cell r="Q2123"/>
          <cell r="R2123">
            <v>2.73</v>
          </cell>
          <cell r="S2123"/>
          <cell r="T2123"/>
          <cell r="U2123"/>
          <cell r="V2123"/>
          <cell r="W2123"/>
          <cell r="X2123" t="str">
            <v>TIANLU</v>
          </cell>
          <cell r="Y2123" t="str">
            <v>TIANLU TEXTILE 01-SEP</v>
          </cell>
          <cell r="Z2123" t="str">
            <v>MENGQIUWANG 4/9/17</v>
          </cell>
          <cell r="AA2123"/>
          <cell r="AB2123">
            <v>42991</v>
          </cell>
          <cell r="AC2123">
            <v>3420</v>
          </cell>
        </row>
        <row r="2124">
          <cell r="B2124">
            <v>3419</v>
          </cell>
          <cell r="C2124" t="str">
            <v>TL16250</v>
          </cell>
          <cell r="D2124"/>
          <cell r="E2124"/>
          <cell r="F2124" t="str">
            <v>T/R/S 85/13/2 - 79x79 - 40S + 150D x 32S+150D +40D</v>
          </cell>
          <cell r="G2124" t="str">
            <v>POLYESTER/RAYON/SPANDEX 85/13/2 - 79x79 - 40S + 150D x 32S+150D +40D</v>
          </cell>
          <cell r="H2124">
            <v>59</v>
          </cell>
          <cell r="I2124">
            <v>193</v>
          </cell>
          <cell r="J2124">
            <v>2.4699999999999998</v>
          </cell>
          <cell r="K2124"/>
          <cell r="L2124">
            <v>2.52</v>
          </cell>
          <cell r="M2124"/>
          <cell r="N2124">
            <v>2.5799999999999996</v>
          </cell>
          <cell r="O2124"/>
          <cell r="P2124"/>
          <cell r="Q2124"/>
          <cell r="R2124">
            <v>2.73</v>
          </cell>
          <cell r="S2124"/>
          <cell r="T2124"/>
          <cell r="U2124"/>
          <cell r="V2124"/>
          <cell r="W2124"/>
          <cell r="X2124" t="str">
            <v>TIANLU</v>
          </cell>
          <cell r="Y2124" t="str">
            <v>TIANLU TEXTILE 01-SEP</v>
          </cell>
          <cell r="Z2124" t="str">
            <v>MENGQIUWANG 4/9/17</v>
          </cell>
          <cell r="AA2124"/>
          <cell r="AB2124">
            <v>42991</v>
          </cell>
          <cell r="AC2124">
            <v>3419</v>
          </cell>
        </row>
        <row r="2125">
          <cell r="B2125">
            <v>3418</v>
          </cell>
          <cell r="C2125" t="str">
            <v>#161092</v>
          </cell>
          <cell r="D2125"/>
          <cell r="E2125"/>
          <cell r="F2125" t="str">
            <v>T/R 81/19 - 128x90 - 50S/2 x 150D</v>
          </cell>
          <cell r="G2125" t="str">
            <v>POLYESTER/RAYON 81/19 - 128x90 - 50S/2 x 150D</v>
          </cell>
          <cell r="H2125">
            <v>59</v>
          </cell>
          <cell r="I2125">
            <v>200</v>
          </cell>
          <cell r="J2125">
            <v>2.5799999999999996</v>
          </cell>
          <cell r="K2125"/>
          <cell r="L2125">
            <v>2.63</v>
          </cell>
          <cell r="M2125"/>
          <cell r="N2125">
            <v>2.6799999999999997</v>
          </cell>
          <cell r="O2125"/>
          <cell r="P2125"/>
          <cell r="Q2125"/>
          <cell r="R2125">
            <v>2.84</v>
          </cell>
          <cell r="S2125"/>
          <cell r="T2125"/>
          <cell r="U2125"/>
          <cell r="V2125"/>
          <cell r="W2125"/>
          <cell r="X2125" t="str">
            <v>TIANLU</v>
          </cell>
          <cell r="Y2125" t="str">
            <v>TIANLU TEXTILE 01-SEP</v>
          </cell>
          <cell r="Z2125" t="str">
            <v>MENGQIUWANG 4/9/17</v>
          </cell>
          <cell r="AA2125"/>
          <cell r="AB2125">
            <v>42991</v>
          </cell>
          <cell r="AC2125">
            <v>3418</v>
          </cell>
        </row>
        <row r="2126">
          <cell r="B2126">
            <v>3417</v>
          </cell>
          <cell r="C2126" t="str">
            <v>TL16196</v>
          </cell>
          <cell r="D2126"/>
          <cell r="E2126"/>
          <cell r="F2126" t="str">
            <v>T/R/S 70/28/2 - 102x88 - 25S x 32S+40D</v>
          </cell>
          <cell r="G2126" t="str">
            <v>POLYESTER/RAYON/SPANDEX 70/28/2 - 102x88 - 25S x 32S+40D</v>
          </cell>
          <cell r="H2126">
            <v>59</v>
          </cell>
          <cell r="I2126">
            <v>193</v>
          </cell>
          <cell r="J2126">
            <v>2.1599999999999997</v>
          </cell>
          <cell r="K2126"/>
          <cell r="L2126">
            <v>2.21</v>
          </cell>
          <cell r="M2126"/>
          <cell r="N2126">
            <v>2.2599999999999998</v>
          </cell>
          <cell r="O2126"/>
          <cell r="P2126"/>
          <cell r="Q2126"/>
          <cell r="R2126">
            <v>2.42</v>
          </cell>
          <cell r="S2126"/>
          <cell r="T2126"/>
          <cell r="U2126"/>
          <cell r="V2126"/>
          <cell r="W2126"/>
          <cell r="X2126" t="str">
            <v>TIANLU</v>
          </cell>
          <cell r="Y2126" t="str">
            <v>TIANLU TEXTILE 01-SEP</v>
          </cell>
          <cell r="Z2126" t="str">
            <v>MENGQIUWANG 4/9/17</v>
          </cell>
          <cell r="AA2126"/>
          <cell r="AB2126">
            <v>42991</v>
          </cell>
          <cell r="AC2126">
            <v>3417</v>
          </cell>
        </row>
        <row r="2127">
          <cell r="B2127">
            <v>3416</v>
          </cell>
          <cell r="C2127" t="str">
            <v>#160599</v>
          </cell>
          <cell r="D2127"/>
          <cell r="E2127"/>
          <cell r="F2127" t="str">
            <v>T/R/S 80/18/2 - 117X81</v>
          </cell>
          <cell r="G2127" t="str">
            <v>POLYESTER/RAYON/SPANDEX 80/18/2 - 117X81</v>
          </cell>
          <cell r="H2127">
            <v>59</v>
          </cell>
          <cell r="I2127">
            <v>213</v>
          </cell>
          <cell r="J2127">
            <v>2.5799999999999996</v>
          </cell>
          <cell r="K2127"/>
          <cell r="L2127">
            <v>2.63</v>
          </cell>
          <cell r="M2127"/>
          <cell r="N2127">
            <v>2.6799999999999997</v>
          </cell>
          <cell r="O2127"/>
          <cell r="P2127"/>
          <cell r="Q2127"/>
          <cell r="R2127">
            <v>2.84</v>
          </cell>
          <cell r="S2127"/>
          <cell r="T2127"/>
          <cell r="U2127"/>
          <cell r="V2127"/>
          <cell r="W2127"/>
          <cell r="X2127" t="str">
            <v>TIANLU</v>
          </cell>
          <cell r="Y2127" t="str">
            <v>TIANLU TEXTILE 01-SEP</v>
          </cell>
          <cell r="Z2127" t="str">
            <v>MENGQIUWANG 4/9/17</v>
          </cell>
          <cell r="AA2127"/>
          <cell r="AB2127">
            <v>42991</v>
          </cell>
          <cell r="AC2127">
            <v>3416</v>
          </cell>
        </row>
        <row r="2128">
          <cell r="B2128">
            <v>3415</v>
          </cell>
          <cell r="C2128" t="str">
            <v xml:space="preserve"> J7262</v>
          </cell>
          <cell r="D2128"/>
          <cell r="E2128"/>
          <cell r="F2128" t="str">
            <v>T/R 85/15</v>
          </cell>
          <cell r="G2128" t="str">
            <v>POLYESTER/RAYON 85/15</v>
          </cell>
          <cell r="H2128">
            <v>59</v>
          </cell>
          <cell r="I2128">
            <v>200</v>
          </cell>
          <cell r="J2128">
            <v>2.4699999999999998</v>
          </cell>
          <cell r="K2128"/>
          <cell r="L2128">
            <v>2.52</v>
          </cell>
          <cell r="M2128"/>
          <cell r="N2128">
            <v>2.5799999999999996</v>
          </cell>
          <cell r="O2128"/>
          <cell r="P2128"/>
          <cell r="Q2128"/>
          <cell r="R2128">
            <v>2.73</v>
          </cell>
          <cell r="S2128"/>
          <cell r="T2128"/>
          <cell r="U2128"/>
          <cell r="V2128"/>
          <cell r="W2128"/>
          <cell r="X2128" t="str">
            <v>TIANLU</v>
          </cell>
          <cell r="Y2128" t="str">
            <v>TIANLU TEXTILE 01-SEP</v>
          </cell>
          <cell r="Z2128" t="str">
            <v>MENGQIUWANG 4/9/17</v>
          </cell>
          <cell r="AA2128"/>
          <cell r="AB2128">
            <v>42991</v>
          </cell>
          <cell r="AC2128">
            <v>3415</v>
          </cell>
        </row>
        <row r="2129">
          <cell r="B2129">
            <v>3414</v>
          </cell>
          <cell r="C2129" t="str">
            <v>#8146</v>
          </cell>
          <cell r="D2129"/>
          <cell r="E2129"/>
          <cell r="F2129" t="str">
            <v>T/R 80/20 - 128x98 - 50S/2x150D - JACQUARD</v>
          </cell>
          <cell r="G2129" t="str">
            <v>POLYESTER/RAYON 80/20 - 128x98 - 50S/2x150D - JACQUARD</v>
          </cell>
          <cell r="H2129">
            <v>59</v>
          </cell>
          <cell r="I2129">
            <v>210</v>
          </cell>
          <cell r="J2129">
            <v>3.0999999999999996</v>
          </cell>
          <cell r="K2129"/>
          <cell r="L2129">
            <v>3.15</v>
          </cell>
          <cell r="M2129"/>
          <cell r="N2129">
            <v>3.21</v>
          </cell>
          <cell r="O2129"/>
          <cell r="P2129"/>
          <cell r="Q2129"/>
          <cell r="R2129">
            <v>3.36</v>
          </cell>
          <cell r="S2129"/>
          <cell r="T2129"/>
          <cell r="U2129"/>
          <cell r="V2129"/>
          <cell r="W2129"/>
          <cell r="X2129" t="str">
            <v>TIANLU</v>
          </cell>
          <cell r="Y2129" t="str">
            <v>TIANLU TEXTILE 01-SEP</v>
          </cell>
          <cell r="Z2129" t="str">
            <v>MENGQIUWANG 4/9/17</v>
          </cell>
          <cell r="AA2129"/>
          <cell r="AB2129">
            <v>42991</v>
          </cell>
          <cell r="AC2129">
            <v>3414</v>
          </cell>
        </row>
        <row r="2130">
          <cell r="B2130">
            <v>3413</v>
          </cell>
          <cell r="C2130" t="str">
            <v>RF2380</v>
          </cell>
          <cell r="D2130" t="str">
            <v>97% COTTON 3% POLYESTER</v>
          </cell>
          <cell r="E2130" t="str">
            <v>60s x 40s + 40D / 173x100</v>
          </cell>
          <cell r="F2130" t="str">
            <v>C/S 97/3</v>
          </cell>
          <cell r="G2130" t="str">
            <v>97% COTTON 3% SPAN</v>
          </cell>
          <cell r="H2130" t="str">
            <v>56/57</v>
          </cell>
          <cell r="I2130">
            <v>168</v>
          </cell>
          <cell r="J2130">
            <v>2.92</v>
          </cell>
          <cell r="K2130">
            <v>3.12</v>
          </cell>
          <cell r="L2130">
            <v>3.02</v>
          </cell>
          <cell r="M2130">
            <v>3.22</v>
          </cell>
          <cell r="N2130">
            <v>3.12</v>
          </cell>
          <cell r="O2130">
            <v>3.32</v>
          </cell>
          <cell r="P2130"/>
          <cell r="Q2130"/>
          <cell r="R2130">
            <v>3.92</v>
          </cell>
          <cell r="S2130">
            <v>4.12</v>
          </cell>
          <cell r="T2130"/>
          <cell r="U2130"/>
          <cell r="V2130">
            <v>15</v>
          </cell>
          <cell r="W2130"/>
          <cell r="X2130" t="str">
            <v>PANI</v>
          </cell>
          <cell r="Y2130" t="str">
            <v>PANI 7-SEP</v>
          </cell>
          <cell r="Z2130" t="str">
            <v>AMY' MAIL 8/9/17</v>
          </cell>
          <cell r="AA2130"/>
          <cell r="AB2130">
            <v>42989</v>
          </cell>
          <cell r="AC2130">
            <v>3413</v>
          </cell>
        </row>
        <row r="2131">
          <cell r="B2131">
            <v>3412</v>
          </cell>
          <cell r="C2131" t="str">
            <v>RF2047</v>
          </cell>
          <cell r="D2131" t="str">
            <v>100% COTTON</v>
          </cell>
          <cell r="E2131" t="str">
            <v>40s x 40s / 133x72</v>
          </cell>
          <cell r="F2131" t="str">
            <v>C 100%</v>
          </cell>
          <cell r="G2131" t="str">
            <v>100% COTTON</v>
          </cell>
          <cell r="H2131" t="str">
            <v>56/57</v>
          </cell>
          <cell r="I2131">
            <v>115</v>
          </cell>
          <cell r="J2131">
            <v>1.54</v>
          </cell>
          <cell r="K2131">
            <v>1.74</v>
          </cell>
          <cell r="L2131">
            <v>1.64</v>
          </cell>
          <cell r="M2131">
            <v>1.84</v>
          </cell>
          <cell r="N2131">
            <v>1.74</v>
          </cell>
          <cell r="O2131">
            <v>1.94</v>
          </cell>
          <cell r="P2131"/>
          <cell r="Q2131"/>
          <cell r="R2131">
            <v>2.54</v>
          </cell>
          <cell r="S2131">
            <v>2.74</v>
          </cell>
          <cell r="T2131"/>
          <cell r="U2131"/>
          <cell r="V2131">
            <v>8</v>
          </cell>
          <cell r="W2131"/>
          <cell r="X2131" t="str">
            <v>PANI</v>
          </cell>
          <cell r="Y2131" t="str">
            <v>PANI 7-SEP</v>
          </cell>
          <cell r="Z2131" t="str">
            <v>AMY' MAIL 8/9/17</v>
          </cell>
          <cell r="AA2131"/>
          <cell r="AB2131">
            <v>42989</v>
          </cell>
          <cell r="AC2131">
            <v>3412</v>
          </cell>
        </row>
        <row r="2132">
          <cell r="B2132">
            <v>3411</v>
          </cell>
          <cell r="C2132" t="str">
            <v>RF2021</v>
          </cell>
          <cell r="D2132" t="str">
            <v>100% COTTON</v>
          </cell>
          <cell r="E2132" t="str">
            <v>40s x 40s / 133x100</v>
          </cell>
          <cell r="F2132" t="str">
            <v>C 100%</v>
          </cell>
          <cell r="G2132" t="str">
            <v>100% COTTON</v>
          </cell>
          <cell r="H2132" t="str">
            <v>60/61</v>
          </cell>
          <cell r="I2132">
            <v>150</v>
          </cell>
          <cell r="J2132">
            <v>2.27</v>
          </cell>
          <cell r="K2132">
            <v>2.4700000000000002</v>
          </cell>
          <cell r="L2132">
            <v>2.37</v>
          </cell>
          <cell r="M2132">
            <v>2.57</v>
          </cell>
          <cell r="N2132">
            <v>2.4700000000000002</v>
          </cell>
          <cell r="O2132">
            <v>2.67</v>
          </cell>
          <cell r="P2132"/>
          <cell r="Q2132"/>
          <cell r="R2132">
            <v>3.27</v>
          </cell>
          <cell r="S2132">
            <v>3.47</v>
          </cell>
          <cell r="T2132"/>
          <cell r="U2132"/>
          <cell r="V2132">
            <v>10</v>
          </cell>
          <cell r="W2132"/>
          <cell r="X2132" t="str">
            <v>PANI</v>
          </cell>
          <cell r="Y2132" t="str">
            <v>PANI 7-SEP</v>
          </cell>
          <cell r="Z2132" t="str">
            <v>AMY' MAIL 8/9/17</v>
          </cell>
          <cell r="AA2132"/>
          <cell r="AB2132">
            <v>42989</v>
          </cell>
          <cell r="AC2132">
            <v>3411</v>
          </cell>
        </row>
        <row r="2133">
          <cell r="B2133">
            <v>3410</v>
          </cell>
          <cell r="C2133" t="str">
            <v>RF2096-1</v>
          </cell>
          <cell r="D2133" t="str">
            <v>100% COTTON</v>
          </cell>
          <cell r="E2133" t="str">
            <v>20s x 20s / 108x58</v>
          </cell>
          <cell r="F2133" t="str">
            <v>C 100%</v>
          </cell>
          <cell r="G2133" t="str">
            <v>100% COTTON</v>
          </cell>
          <cell r="H2133" t="str">
            <v>57/58</v>
          </cell>
          <cell r="I2133">
            <v>175</v>
          </cell>
          <cell r="J2133">
            <v>1.89</v>
          </cell>
          <cell r="K2133">
            <v>2.09</v>
          </cell>
          <cell r="L2133">
            <v>1.99</v>
          </cell>
          <cell r="M2133">
            <v>2.19</v>
          </cell>
          <cell r="N2133">
            <v>2.09</v>
          </cell>
          <cell r="O2133">
            <v>2.29</v>
          </cell>
          <cell r="P2133"/>
          <cell r="Q2133"/>
          <cell r="R2133">
            <v>2.89</v>
          </cell>
          <cell r="S2133">
            <v>3.09</v>
          </cell>
          <cell r="T2133"/>
          <cell r="U2133"/>
          <cell r="V2133">
            <v>10</v>
          </cell>
          <cell r="W2133"/>
          <cell r="X2133" t="str">
            <v>PANI</v>
          </cell>
          <cell r="Y2133" t="str">
            <v>PANI 7-SEP</v>
          </cell>
          <cell r="Z2133" t="str">
            <v>AMY' MAIL 8/9/17</v>
          </cell>
          <cell r="AA2133"/>
          <cell r="AB2133">
            <v>42989</v>
          </cell>
          <cell r="AC2133">
            <v>3410</v>
          </cell>
        </row>
        <row r="2134">
          <cell r="B2134">
            <v>3409</v>
          </cell>
          <cell r="C2134" t="str">
            <v>RF2585-1</v>
          </cell>
          <cell r="D2134" t="str">
            <v>97% COTTON 3% POLYESTER</v>
          </cell>
          <cell r="E2134" t="str">
            <v>40s x 30s + 40D / 250x80</v>
          </cell>
          <cell r="F2134" t="str">
            <v>C/S 97/3</v>
          </cell>
          <cell r="G2134" t="str">
            <v>97% COTTON 3% SPAN</v>
          </cell>
          <cell r="H2134" t="str">
            <v>57/58</v>
          </cell>
          <cell r="I2134">
            <v>245</v>
          </cell>
          <cell r="J2134">
            <v>3.1</v>
          </cell>
          <cell r="K2134">
            <v>3.3</v>
          </cell>
          <cell r="L2134">
            <v>3.2</v>
          </cell>
          <cell r="M2134">
            <v>3.4</v>
          </cell>
          <cell r="N2134">
            <v>3.3</v>
          </cell>
          <cell r="O2134">
            <v>3.5</v>
          </cell>
          <cell r="P2134"/>
          <cell r="Q2134"/>
          <cell r="R2134">
            <v>4.0999999999999996</v>
          </cell>
          <cell r="S2134">
            <v>4.3</v>
          </cell>
          <cell r="T2134"/>
          <cell r="U2134"/>
          <cell r="V2134">
            <v>15</v>
          </cell>
          <cell r="W2134"/>
          <cell r="X2134" t="str">
            <v>PANI</v>
          </cell>
          <cell r="Y2134" t="str">
            <v>PANI 7-SEP</v>
          </cell>
          <cell r="Z2134" t="str">
            <v>AMY' MAIL 8/9/17</v>
          </cell>
          <cell r="AA2134"/>
          <cell r="AB2134">
            <v>42989</v>
          </cell>
          <cell r="AC2134">
            <v>3409</v>
          </cell>
        </row>
        <row r="2135">
          <cell r="B2135">
            <v>3408</v>
          </cell>
          <cell r="C2135" t="str">
            <v>RT509</v>
          </cell>
          <cell r="D2135" t="str">
            <v>100% POLYESTER</v>
          </cell>
          <cell r="E2135" t="str">
            <v>180Dx180D / 140x76</v>
          </cell>
          <cell r="F2135" t="str">
            <v>T 100%</v>
          </cell>
          <cell r="G2135" t="str">
            <v>100% POLYESTER</v>
          </cell>
          <cell r="H2135" t="str">
            <v>57/58</v>
          </cell>
          <cell r="I2135">
            <v>220</v>
          </cell>
          <cell r="J2135">
            <v>2.56</v>
          </cell>
          <cell r="K2135">
            <v>2.76</v>
          </cell>
          <cell r="L2135">
            <v>2.66</v>
          </cell>
          <cell r="M2135">
            <v>2.86</v>
          </cell>
          <cell r="N2135">
            <v>2.76</v>
          </cell>
          <cell r="O2135">
            <v>2.96</v>
          </cell>
          <cell r="P2135"/>
          <cell r="Q2135"/>
          <cell r="R2135">
            <v>3.56</v>
          </cell>
          <cell r="S2135">
            <v>3.76</v>
          </cell>
          <cell r="T2135"/>
          <cell r="U2135"/>
          <cell r="V2135">
            <v>15</v>
          </cell>
          <cell r="W2135"/>
          <cell r="X2135" t="str">
            <v>PANI</v>
          </cell>
          <cell r="Y2135" t="str">
            <v>PANI 7-SEP</v>
          </cell>
          <cell r="Z2135" t="str">
            <v>AMY' MAIL 8/9/17</v>
          </cell>
          <cell r="AA2135"/>
          <cell r="AB2135">
            <v>42989</v>
          </cell>
          <cell r="AC2135">
            <v>3408</v>
          </cell>
        </row>
        <row r="2136">
          <cell r="B2136">
            <v>3407</v>
          </cell>
          <cell r="C2136" t="str">
            <v>RF6510</v>
          </cell>
          <cell r="D2136" t="str">
            <v>100% POLYESTER</v>
          </cell>
          <cell r="E2136" t="str">
            <v>180Dx180D / 140x76</v>
          </cell>
          <cell r="F2136" t="str">
            <v>T 100%</v>
          </cell>
          <cell r="G2136" t="str">
            <v>100% POLYESTER</v>
          </cell>
          <cell r="H2136" t="str">
            <v>57/58</v>
          </cell>
          <cell r="I2136">
            <v>202</v>
          </cell>
          <cell r="J2136">
            <v>2.56</v>
          </cell>
          <cell r="K2136">
            <v>2.76</v>
          </cell>
          <cell r="L2136">
            <v>2.66</v>
          </cell>
          <cell r="M2136">
            <v>2.86</v>
          </cell>
          <cell r="N2136">
            <v>2.76</v>
          </cell>
          <cell r="O2136">
            <v>2.96</v>
          </cell>
          <cell r="P2136"/>
          <cell r="Q2136"/>
          <cell r="R2136">
            <v>3.56</v>
          </cell>
          <cell r="S2136">
            <v>3.76</v>
          </cell>
          <cell r="T2136"/>
          <cell r="U2136"/>
          <cell r="V2136">
            <v>15</v>
          </cell>
          <cell r="W2136"/>
          <cell r="X2136" t="str">
            <v>PANI</v>
          </cell>
          <cell r="Y2136" t="str">
            <v>PANI 7-SEP</v>
          </cell>
          <cell r="Z2136" t="str">
            <v>AMY' MAIL 8/9/17</v>
          </cell>
          <cell r="AA2136"/>
          <cell r="AB2136">
            <v>42989</v>
          </cell>
          <cell r="AC2136">
            <v>3407</v>
          </cell>
        </row>
        <row r="2137">
          <cell r="B2137">
            <v>2490</v>
          </cell>
          <cell r="C2137" t="str">
            <v>GLLPPS-102303</v>
          </cell>
          <cell r="D2137" t="str">
            <v>BUBBLE</v>
          </cell>
          <cell r="E2137" t="str">
            <v>140D x 32/2</v>
          </cell>
          <cell r="F2137" t="str">
            <v>T/S 97/3</v>
          </cell>
          <cell r="G2137" t="str">
            <v>97% POLYESTER 3% SPANDEX</v>
          </cell>
          <cell r="H2137" t="str">
            <v>57/58</v>
          </cell>
          <cell r="I2137">
            <v>120</v>
          </cell>
          <cell r="J2137">
            <v>1.29</v>
          </cell>
          <cell r="K2137">
            <v>1.51</v>
          </cell>
          <cell r="L2137"/>
          <cell r="M2137"/>
          <cell r="N2137">
            <v>1.32</v>
          </cell>
          <cell r="O2137">
            <v>1.65</v>
          </cell>
          <cell r="P2137"/>
          <cell r="Q2137"/>
          <cell r="R2137">
            <v>1.37</v>
          </cell>
          <cell r="S2137">
            <v>1.95</v>
          </cell>
          <cell r="T2137"/>
          <cell r="U2137"/>
          <cell r="V2137">
            <v>15</v>
          </cell>
          <cell r="W2137"/>
          <cell r="X2137" t="str">
            <v xml:space="preserve">HOWARD </v>
          </cell>
          <cell r="Y2137" t="str">
            <v>HOWARD 11-SEP</v>
          </cell>
          <cell r="Z2137" t="str">
            <v>HOWARD' MAIL 11/9/17</v>
          </cell>
          <cell r="AA2137"/>
          <cell r="AB2137">
            <v>42989</v>
          </cell>
          <cell r="AC2137">
            <v>2490</v>
          </cell>
        </row>
        <row r="2138">
          <cell r="B2138">
            <v>2002</v>
          </cell>
          <cell r="C2138" t="str">
            <v>BG2286</v>
          </cell>
          <cell r="D2138" t="str">
            <v>CREPE</v>
          </cell>
          <cell r="E2138" t="str">
            <v>75D x 75D</v>
          </cell>
          <cell r="F2138" t="str">
            <v>T 100%</v>
          </cell>
          <cell r="G2138" t="str">
            <v>100% POLYESTER</v>
          </cell>
          <cell r="H2138" t="str">
            <v>57/58</v>
          </cell>
          <cell r="I2138">
            <v>117</v>
          </cell>
          <cell r="J2138">
            <v>1.52</v>
          </cell>
          <cell r="K2138">
            <v>1.85</v>
          </cell>
          <cell r="L2138">
            <v>1.55</v>
          </cell>
          <cell r="M2138">
            <v>1.88</v>
          </cell>
          <cell r="N2138">
            <v>1.57</v>
          </cell>
          <cell r="O2138">
            <v>1.9</v>
          </cell>
          <cell r="P2138"/>
          <cell r="Q2138"/>
          <cell r="R2138">
            <v>1.85</v>
          </cell>
          <cell r="S2138">
            <v>2.2999999999999998</v>
          </cell>
          <cell r="T2138"/>
          <cell r="U2138"/>
          <cell r="V2138"/>
          <cell r="W2138"/>
          <cell r="X2138" t="str">
            <v>EDWIN</v>
          </cell>
          <cell r="Y2138" t="str">
            <v>DMCARE-TRI-02</v>
          </cell>
          <cell r="Z2138"/>
          <cell r="AA2138"/>
          <cell r="AB2138">
            <v>42989</v>
          </cell>
          <cell r="AC2138">
            <v>2002</v>
          </cell>
        </row>
        <row r="2139">
          <cell r="B2139">
            <v>3257</v>
          </cell>
          <cell r="C2139" t="str">
            <v>WW-20567</v>
          </cell>
          <cell r="D2139" t="str">
            <v>CHIFFON (ALISON HAYE) - REPLACE 1509</v>
          </cell>
          <cell r="E2139" t="str">
            <v>100D x 100D</v>
          </cell>
          <cell r="F2139" t="str">
            <v>T 100%</v>
          </cell>
          <cell r="G2139" t="str">
            <v>100% POLYESTER</v>
          </cell>
          <cell r="H2139" t="str">
            <v>57/58</v>
          </cell>
          <cell r="I2139">
            <v>72</v>
          </cell>
          <cell r="J2139">
            <v>0.9</v>
          </cell>
          <cell r="K2139">
            <v>1.2</v>
          </cell>
          <cell r="L2139">
            <v>0.9</v>
          </cell>
          <cell r="M2139">
            <v>1.2</v>
          </cell>
          <cell r="N2139">
            <v>1</v>
          </cell>
          <cell r="O2139">
            <v>1.1000000000000001</v>
          </cell>
          <cell r="P2139"/>
          <cell r="Q2139"/>
          <cell r="R2139">
            <v>0.99</v>
          </cell>
          <cell r="S2139">
            <v>1.38</v>
          </cell>
          <cell r="T2139"/>
          <cell r="U2139"/>
          <cell r="V2139">
            <v>15</v>
          </cell>
          <cell r="W2139"/>
          <cell r="X2139" t="str">
            <v>PANI</v>
          </cell>
          <cell r="Y2139" t="str">
            <v>PANI 6-SEP</v>
          </cell>
          <cell r="Z2139" t="str">
            <v>AMY' MAIL 8/9/17</v>
          </cell>
          <cell r="AA2139"/>
          <cell r="AB2139">
            <v>42986</v>
          </cell>
          <cell r="AC2139">
            <v>3257</v>
          </cell>
        </row>
        <row r="2140">
          <cell r="B2140">
            <v>3256</v>
          </cell>
          <cell r="C2140" t="str">
            <v>WW-20566</v>
          </cell>
          <cell r="D2140" t="str">
            <v>CHIFFON (ALISON HAYE) - REPLACE 1509</v>
          </cell>
          <cell r="E2140" t="str">
            <v>75D X 75D</v>
          </cell>
          <cell r="F2140" t="str">
            <v>T 100%</v>
          </cell>
          <cell r="G2140" t="str">
            <v>100% POLYESTER</v>
          </cell>
          <cell r="H2140" t="str">
            <v>57/58</v>
          </cell>
          <cell r="I2140">
            <v>70</v>
          </cell>
          <cell r="J2140">
            <v>0.95</v>
          </cell>
          <cell r="K2140">
            <v>1.25</v>
          </cell>
          <cell r="L2140">
            <v>0.95</v>
          </cell>
          <cell r="M2140">
            <v>1.25</v>
          </cell>
          <cell r="N2140">
            <v>1.05</v>
          </cell>
          <cell r="O2140">
            <v>1.1499999999999999</v>
          </cell>
          <cell r="P2140"/>
          <cell r="Q2140"/>
          <cell r="R2140">
            <v>1.0449999999999999</v>
          </cell>
          <cell r="S2140">
            <v>1.4375</v>
          </cell>
          <cell r="T2140"/>
          <cell r="U2140"/>
          <cell r="V2140">
            <v>15</v>
          </cell>
          <cell r="W2140"/>
          <cell r="X2140" t="str">
            <v>PANI</v>
          </cell>
          <cell r="Y2140" t="str">
            <v>PANI 6-SEP</v>
          </cell>
          <cell r="Z2140" t="str">
            <v>AMY' MAIL 8/9/17</v>
          </cell>
          <cell r="AA2140"/>
          <cell r="AB2140">
            <v>42986</v>
          </cell>
          <cell r="AC2140">
            <v>3256</v>
          </cell>
        </row>
        <row r="2141">
          <cell r="B2141">
            <v>3246</v>
          </cell>
          <cell r="C2141" t="str">
            <v>WW-21905</v>
          </cell>
          <cell r="D2141" t="str">
            <v>ALISON HAYE RUNNING - POLY TWILL</v>
          </cell>
          <cell r="E2141"/>
          <cell r="F2141" t="str">
            <v>T 100%</v>
          </cell>
          <cell r="G2141" t="str">
            <v>100% POLYESTER</v>
          </cell>
          <cell r="H2141" t="str">
            <v>57/58</v>
          </cell>
          <cell r="I2141">
            <v>125</v>
          </cell>
          <cell r="J2141">
            <v>1.25</v>
          </cell>
          <cell r="K2141">
            <v>1.55</v>
          </cell>
          <cell r="L2141">
            <v>1.25</v>
          </cell>
          <cell r="M2141">
            <v>1.55</v>
          </cell>
          <cell r="N2141">
            <v>1.35</v>
          </cell>
          <cell r="O2141">
            <v>1.45</v>
          </cell>
          <cell r="P2141"/>
          <cell r="Q2141"/>
          <cell r="R2141">
            <v>1.375</v>
          </cell>
          <cell r="S2141">
            <v>1.7825</v>
          </cell>
          <cell r="T2141"/>
          <cell r="U2141"/>
          <cell r="V2141">
            <v>15</v>
          </cell>
          <cell r="W2141"/>
          <cell r="X2141" t="str">
            <v>PANI</v>
          </cell>
          <cell r="Y2141" t="str">
            <v>PANI 6-SEP</v>
          </cell>
          <cell r="Z2141" t="str">
            <v>AMY' MAIL 8/9/17</v>
          </cell>
          <cell r="AA2141"/>
          <cell r="AB2141">
            <v>42986</v>
          </cell>
          <cell r="AC2141">
            <v>3246</v>
          </cell>
        </row>
        <row r="2142">
          <cell r="B2142">
            <v>3245</v>
          </cell>
          <cell r="C2142" t="str">
            <v>WW-21649</v>
          </cell>
          <cell r="D2142" t="str">
            <v>ALISON HAYE FAB. - SATEEN YORYU</v>
          </cell>
          <cell r="E2142"/>
          <cell r="F2142" t="str">
            <v>T 100%</v>
          </cell>
          <cell r="G2142" t="str">
            <v>100% POLYESTER</v>
          </cell>
          <cell r="H2142" t="str">
            <v>57/58</v>
          </cell>
          <cell r="I2142">
            <v>96</v>
          </cell>
          <cell r="J2142">
            <v>1.4</v>
          </cell>
          <cell r="K2142">
            <v>1.7</v>
          </cell>
          <cell r="L2142">
            <v>1.4</v>
          </cell>
          <cell r="M2142">
            <v>1.7</v>
          </cell>
          <cell r="N2142">
            <v>1.5</v>
          </cell>
          <cell r="O2142">
            <v>1.6</v>
          </cell>
          <cell r="P2142"/>
          <cell r="Q2142"/>
          <cell r="R2142">
            <v>1.54</v>
          </cell>
          <cell r="S2142">
            <v>1.9550000000000001</v>
          </cell>
          <cell r="T2142"/>
          <cell r="U2142"/>
          <cell r="V2142">
            <v>15</v>
          </cell>
          <cell r="W2142"/>
          <cell r="X2142" t="str">
            <v>PANI</v>
          </cell>
          <cell r="Y2142" t="str">
            <v>PANI 6-SEP</v>
          </cell>
          <cell r="Z2142" t="str">
            <v>AMY' MAIL 8/9/17</v>
          </cell>
          <cell r="AA2142"/>
          <cell r="AB2142">
            <v>42986</v>
          </cell>
          <cell r="AC2142">
            <v>3245</v>
          </cell>
        </row>
        <row r="2143">
          <cell r="B2143">
            <v>3243</v>
          </cell>
          <cell r="C2143" t="str">
            <v>SH884</v>
          </cell>
          <cell r="D2143" t="str">
            <v>ALISON HAYE RUNNING - BUBBLE CREPE SATEEN</v>
          </cell>
          <cell r="E2143"/>
          <cell r="F2143" t="str">
            <v>T 100%</v>
          </cell>
          <cell r="G2143" t="str">
            <v>100% POLYESTER</v>
          </cell>
          <cell r="H2143" t="str">
            <v>150CM</v>
          </cell>
          <cell r="I2143">
            <v>110</v>
          </cell>
          <cell r="J2143">
            <v>1.45</v>
          </cell>
          <cell r="K2143">
            <v>1.75</v>
          </cell>
          <cell r="L2143">
            <v>1.45</v>
          </cell>
          <cell r="M2143">
            <v>1.75</v>
          </cell>
          <cell r="N2143">
            <v>1.55</v>
          </cell>
          <cell r="O2143">
            <v>1.65</v>
          </cell>
          <cell r="P2143"/>
          <cell r="Q2143"/>
          <cell r="R2143">
            <v>1.595</v>
          </cell>
          <cell r="S2143">
            <v>2.0125000000000002</v>
          </cell>
          <cell r="T2143"/>
          <cell r="U2143"/>
          <cell r="V2143">
            <v>15</v>
          </cell>
          <cell r="W2143"/>
          <cell r="X2143" t="str">
            <v>PANI</v>
          </cell>
          <cell r="Y2143" t="str">
            <v>PANI 6-SEP</v>
          </cell>
          <cell r="Z2143" t="str">
            <v>AMY' MAIL 8/9/17</v>
          </cell>
          <cell r="AA2143"/>
          <cell r="AB2143">
            <v>42986</v>
          </cell>
          <cell r="AC2143">
            <v>3243</v>
          </cell>
        </row>
        <row r="2144">
          <cell r="B2144">
            <v>3242</v>
          </cell>
          <cell r="C2144" t="str">
            <v>WW-21789</v>
          </cell>
          <cell r="D2144" t="str">
            <v>ALISON HAYE RUNNING - BUBBLE CREPE</v>
          </cell>
          <cell r="E2144"/>
          <cell r="F2144" t="str">
            <v>T/S 97/3</v>
          </cell>
          <cell r="G2144" t="str">
            <v>97% POLYESTER 3% SPANDEX</v>
          </cell>
          <cell r="H2144" t="str">
            <v>57/58</v>
          </cell>
          <cell r="I2144">
            <v>130</v>
          </cell>
          <cell r="J2144">
            <v>1.4</v>
          </cell>
          <cell r="K2144">
            <v>1.7</v>
          </cell>
          <cell r="L2144">
            <v>1.4</v>
          </cell>
          <cell r="M2144">
            <v>1.7</v>
          </cell>
          <cell r="N2144">
            <v>1.5</v>
          </cell>
          <cell r="O2144">
            <v>1.6</v>
          </cell>
          <cell r="P2144"/>
          <cell r="Q2144"/>
          <cell r="R2144">
            <v>1.54</v>
          </cell>
          <cell r="S2144">
            <v>1.9550000000000001</v>
          </cell>
          <cell r="T2144"/>
          <cell r="U2144"/>
          <cell r="V2144">
            <v>15</v>
          </cell>
          <cell r="W2144"/>
          <cell r="X2144" t="str">
            <v>PANI</v>
          </cell>
          <cell r="Y2144" t="str">
            <v>PANI 6-SEP</v>
          </cell>
          <cell r="Z2144" t="str">
            <v>AMY' MAIL 8/9/17</v>
          </cell>
          <cell r="AA2144"/>
          <cell r="AB2144">
            <v>42986</v>
          </cell>
          <cell r="AC2144">
            <v>3242</v>
          </cell>
        </row>
        <row r="2145">
          <cell r="B2145">
            <v>3078</v>
          </cell>
          <cell r="C2145" t="str">
            <v>WW-21436</v>
          </cell>
          <cell r="D2145" t="str">
            <v>ALISON HAYE RUNNING - CREPE</v>
          </cell>
          <cell r="E2145"/>
          <cell r="F2145" t="str">
            <v>T 100%</v>
          </cell>
          <cell r="G2145" t="str">
            <v>100% POLYESTER</v>
          </cell>
          <cell r="H2145" t="str">
            <v>57/58</v>
          </cell>
          <cell r="I2145">
            <v>120</v>
          </cell>
          <cell r="J2145">
            <v>1.1299999999999999</v>
          </cell>
          <cell r="K2145">
            <v>1.38</v>
          </cell>
          <cell r="L2145">
            <v>1.1299999999999999</v>
          </cell>
          <cell r="M2145">
            <v>1.38</v>
          </cell>
          <cell r="N2145">
            <v>1.23</v>
          </cell>
          <cell r="O2145">
            <v>1.28</v>
          </cell>
          <cell r="P2145"/>
          <cell r="Q2145"/>
          <cell r="R2145">
            <v>1.2430000000000001</v>
          </cell>
          <cell r="S2145">
            <v>1.587</v>
          </cell>
          <cell r="T2145"/>
          <cell r="U2145"/>
          <cell r="V2145">
            <v>15</v>
          </cell>
          <cell r="W2145"/>
          <cell r="X2145" t="str">
            <v>PANI</v>
          </cell>
          <cell r="Y2145" t="str">
            <v>PANI 6-SEP</v>
          </cell>
          <cell r="Z2145" t="str">
            <v>AMY' MAIL 8/9/17</v>
          </cell>
          <cell r="AA2145"/>
          <cell r="AB2145">
            <v>42986</v>
          </cell>
          <cell r="AC2145">
            <v>3078</v>
          </cell>
        </row>
        <row r="2146">
          <cell r="B2146">
            <v>3019</v>
          </cell>
          <cell r="C2146" t="str">
            <v>HLT3745</v>
          </cell>
          <cell r="D2146" t="str">
            <v>SINGLE JERSEY</v>
          </cell>
          <cell r="E2146"/>
          <cell r="F2146" t="str">
            <v>R/S 95/5</v>
          </cell>
          <cell r="G2146" t="str">
            <v>95% RAYON 5% SPANDEX</v>
          </cell>
          <cell r="H2146" t="str">
            <v>160CM</v>
          </cell>
          <cell r="I2146">
            <v>180</v>
          </cell>
          <cell r="J2146">
            <v>1.9427792191692272</v>
          </cell>
          <cell r="K2146"/>
          <cell r="L2146">
            <v>2.0427792191692271</v>
          </cell>
          <cell r="M2146"/>
          <cell r="N2146">
            <v>2.1427792191692272</v>
          </cell>
          <cell r="O2146"/>
          <cell r="P2146"/>
          <cell r="Q2146"/>
          <cell r="R2146">
            <v>2.3427792191692274</v>
          </cell>
          <cell r="S2146"/>
          <cell r="T2146"/>
          <cell r="U2146"/>
          <cell r="V2146">
            <v>15</v>
          </cell>
          <cell r="W2146"/>
          <cell r="X2146" t="str">
            <v>CANDY</v>
          </cell>
          <cell r="Y2146" t="str">
            <v>CANDY 06-SEP</v>
          </cell>
          <cell r="Z2146" t="str">
            <v>LEI' MAIL 8/9/17</v>
          </cell>
          <cell r="AA2146"/>
          <cell r="AB2146">
            <v>42986</v>
          </cell>
          <cell r="AC2146">
            <v>3019</v>
          </cell>
        </row>
        <row r="2147">
          <cell r="B2147">
            <v>3017</v>
          </cell>
          <cell r="C2147" t="str">
            <v>HLT3269</v>
          </cell>
          <cell r="D2147" t="str">
            <v>SINGLE JERSEY</v>
          </cell>
          <cell r="E2147"/>
          <cell r="F2147" t="str">
            <v>R/S 96/4</v>
          </cell>
          <cell r="G2147" t="str">
            <v>96% RAYON 4% SPANDEX</v>
          </cell>
          <cell r="H2147" t="str">
            <v>150CM</v>
          </cell>
          <cell r="I2147">
            <v>170</v>
          </cell>
          <cell r="J2147">
            <v>1.8681945907973305</v>
          </cell>
          <cell r="K2147"/>
          <cell r="L2147">
            <v>1.9681945907973306</v>
          </cell>
          <cell r="M2147"/>
          <cell r="N2147">
            <v>2.0681945907973307</v>
          </cell>
          <cell r="O2147"/>
          <cell r="P2147"/>
          <cell r="Q2147"/>
          <cell r="R2147">
            <v>2.2681945907973309</v>
          </cell>
          <cell r="S2147"/>
          <cell r="T2147"/>
          <cell r="U2147"/>
          <cell r="V2147">
            <v>15</v>
          </cell>
          <cell r="W2147"/>
          <cell r="X2147" t="str">
            <v>CANDY</v>
          </cell>
          <cell r="Y2147" t="str">
            <v>CANDY 06-SEP</v>
          </cell>
          <cell r="Z2147" t="str">
            <v>LEI' MAIL 8/9/17</v>
          </cell>
          <cell r="AA2147"/>
          <cell r="AB2147">
            <v>42986</v>
          </cell>
          <cell r="AC2147">
            <v>3017</v>
          </cell>
        </row>
        <row r="2148">
          <cell r="B2148">
            <v>3016</v>
          </cell>
          <cell r="C2148" t="str">
            <v>HLT5325</v>
          </cell>
          <cell r="D2148" t="str">
            <v>SINGLE JERSEY</v>
          </cell>
          <cell r="E2148"/>
          <cell r="F2148" t="str">
            <v>T/S 93/7</v>
          </cell>
          <cell r="G2148" t="str">
            <v>93% POLYESTER 7% SPANDEX</v>
          </cell>
          <cell r="H2148" t="str">
            <v>160CM</v>
          </cell>
          <cell r="I2148">
            <v>200</v>
          </cell>
          <cell r="J2148">
            <v>1.8079690419787238</v>
          </cell>
          <cell r="K2148"/>
          <cell r="L2148">
            <v>1.9079690419787239</v>
          </cell>
          <cell r="M2148"/>
          <cell r="N2148">
            <v>2.0079690419787237</v>
          </cell>
          <cell r="O2148"/>
          <cell r="P2148"/>
          <cell r="Q2148"/>
          <cell r="R2148">
            <v>2.2079690419787239</v>
          </cell>
          <cell r="S2148"/>
          <cell r="T2148"/>
          <cell r="U2148"/>
          <cell r="V2148">
            <v>15</v>
          </cell>
          <cell r="W2148"/>
          <cell r="X2148" t="str">
            <v>CANDY</v>
          </cell>
          <cell r="Y2148" t="str">
            <v>CANDY 06-SEP</v>
          </cell>
          <cell r="Z2148" t="str">
            <v>LEI' MAIL 8/9/17</v>
          </cell>
          <cell r="AA2148"/>
          <cell r="AB2148">
            <v>42986</v>
          </cell>
          <cell r="AC2148">
            <v>3016</v>
          </cell>
        </row>
        <row r="2149">
          <cell r="B2149">
            <v>2982</v>
          </cell>
          <cell r="C2149" t="str">
            <v>WW-21069</v>
          </cell>
          <cell r="D2149" t="str">
            <v>CDC-CREPE</v>
          </cell>
          <cell r="E2149" t="str">
            <v>(20+26)x 75D</v>
          </cell>
          <cell r="F2149" t="str">
            <v>T 100%</v>
          </cell>
          <cell r="G2149" t="str">
            <v>100% POLYESTER</v>
          </cell>
          <cell r="H2149" t="str">
            <v>57/58</v>
          </cell>
          <cell r="I2149">
            <v>72</v>
          </cell>
          <cell r="J2149">
            <v>1.05</v>
          </cell>
          <cell r="K2149">
            <v>1.35</v>
          </cell>
          <cell r="L2149">
            <v>1.05</v>
          </cell>
          <cell r="M2149">
            <v>1.35</v>
          </cell>
          <cell r="N2149">
            <v>1.1499999999999999</v>
          </cell>
          <cell r="O2149">
            <v>1.35</v>
          </cell>
          <cell r="P2149"/>
          <cell r="Q2149"/>
          <cell r="R2149">
            <v>1.155</v>
          </cell>
          <cell r="S2149">
            <v>1.5525</v>
          </cell>
          <cell r="T2149"/>
          <cell r="U2149"/>
          <cell r="V2149">
            <v>15</v>
          </cell>
          <cell r="W2149"/>
          <cell r="X2149" t="str">
            <v>PANI</v>
          </cell>
          <cell r="Y2149" t="str">
            <v>PANI 6-SEP</v>
          </cell>
          <cell r="Z2149" t="str">
            <v>AMY' MAIL 8/9/17</v>
          </cell>
          <cell r="AA2149"/>
          <cell r="AB2149">
            <v>42986</v>
          </cell>
          <cell r="AC2149">
            <v>2982</v>
          </cell>
        </row>
        <row r="2150">
          <cell r="B2150">
            <v>2750</v>
          </cell>
          <cell r="C2150" t="str">
            <v>HLT3235</v>
          </cell>
          <cell r="D2150" t="str">
            <v>VELVET</v>
          </cell>
          <cell r="E2150"/>
          <cell r="F2150" t="str">
            <v>T/S 95/5</v>
          </cell>
          <cell r="G2150" t="str">
            <v>95%POLYESTER5%SPANDEX</v>
          </cell>
          <cell r="H2150" t="str">
            <v>57/58</v>
          </cell>
          <cell r="I2150">
            <v>300</v>
          </cell>
          <cell r="J2150">
            <v>2.0890410958904111</v>
          </cell>
          <cell r="K2150"/>
          <cell r="L2150">
            <v>2.1890410958904112</v>
          </cell>
          <cell r="M2150"/>
          <cell r="N2150">
            <v>2.2890410958904113</v>
          </cell>
          <cell r="O2150"/>
          <cell r="P2150"/>
          <cell r="Q2150"/>
          <cell r="R2150">
            <v>2.4890410958904114</v>
          </cell>
          <cell r="S2150"/>
          <cell r="T2150"/>
          <cell r="U2150"/>
          <cell r="V2150">
            <v>15</v>
          </cell>
          <cell r="W2150"/>
          <cell r="X2150" t="str">
            <v>CANDY</v>
          </cell>
          <cell r="Y2150" t="str">
            <v>CANDY 06-SEP</v>
          </cell>
          <cell r="Z2150" t="str">
            <v>LEI' MAIL 8/9/17</v>
          </cell>
          <cell r="AA2150"/>
          <cell r="AB2150">
            <v>42986</v>
          </cell>
          <cell r="AC2150">
            <v>2750</v>
          </cell>
        </row>
        <row r="2151">
          <cell r="B2151">
            <v>2455</v>
          </cell>
          <cell r="C2151" t="str">
            <v>HLT3216</v>
          </cell>
          <cell r="D2151" t="str">
            <v>BUBBLE CREPE</v>
          </cell>
          <cell r="E2151"/>
          <cell r="F2151" t="str">
            <v>T/S 97/3</v>
          </cell>
          <cell r="G2151" t="str">
            <v>97%polyester3%spandex</v>
          </cell>
          <cell r="H2151" t="str">
            <v>57/58</v>
          </cell>
          <cell r="I2151">
            <v>125</v>
          </cell>
          <cell r="J2151">
            <v>1.5324552160168599</v>
          </cell>
          <cell r="K2151">
            <v>1.6694415173867228</v>
          </cell>
          <cell r="L2151">
            <v>1.6324552160168599</v>
          </cell>
          <cell r="M2151">
            <v>1.7694415173867228</v>
          </cell>
          <cell r="N2151">
            <v>1.73245521601686</v>
          </cell>
          <cell r="O2151">
            <v>1.8694415173867229</v>
          </cell>
          <cell r="P2151"/>
          <cell r="Q2151"/>
          <cell r="R2151">
            <v>1.93245521601686</v>
          </cell>
          <cell r="S2151">
            <v>2.0694415173867231</v>
          </cell>
          <cell r="T2151"/>
          <cell r="U2151"/>
          <cell r="V2151">
            <v>15</v>
          </cell>
          <cell r="W2151"/>
          <cell r="X2151" t="str">
            <v>CANDY</v>
          </cell>
          <cell r="Y2151" t="str">
            <v>CANDY 06-SEP</v>
          </cell>
          <cell r="Z2151" t="str">
            <v>LEI' MAIL 8/9/17</v>
          </cell>
          <cell r="AA2151"/>
          <cell r="AB2151">
            <v>42986</v>
          </cell>
          <cell r="AC2151">
            <v>2455</v>
          </cell>
        </row>
        <row r="2152">
          <cell r="B2152">
            <v>2256</v>
          </cell>
          <cell r="C2152" t="str">
            <v>HLT1139</v>
          </cell>
          <cell r="D2152" t="str">
            <v>TAILORING</v>
          </cell>
          <cell r="E2152"/>
          <cell r="F2152" t="str">
            <v>T/R/S 63/32/5</v>
          </cell>
          <cell r="G2152" t="str">
            <v>63% POLYESTER 32% RAYON 5% SPAN</v>
          </cell>
          <cell r="H2152" t="str">
            <v>57/58</v>
          </cell>
          <cell r="I2152">
            <v>220</v>
          </cell>
          <cell r="J2152">
            <v>2.3281800391389433</v>
          </cell>
          <cell r="K2152"/>
          <cell r="L2152">
            <v>2.4281800391389434</v>
          </cell>
          <cell r="M2152"/>
          <cell r="N2152">
            <v>2.5281800391389435</v>
          </cell>
          <cell r="O2152"/>
          <cell r="P2152"/>
          <cell r="Q2152"/>
          <cell r="R2152">
            <v>2.7281800391389437</v>
          </cell>
          <cell r="S2152"/>
          <cell r="T2152"/>
          <cell r="U2152"/>
          <cell r="V2152">
            <v>15</v>
          </cell>
          <cell r="W2152"/>
          <cell r="X2152" t="str">
            <v>CANDY</v>
          </cell>
          <cell r="Y2152" t="str">
            <v>CANDY 06-SEP</v>
          </cell>
          <cell r="Z2152" t="str">
            <v>LEI' MAIL 8/9/17</v>
          </cell>
          <cell r="AA2152"/>
          <cell r="AB2152">
            <v>42986</v>
          </cell>
          <cell r="AC2152">
            <v>2256</v>
          </cell>
        </row>
        <row r="2153">
          <cell r="B2153">
            <v>2147</v>
          </cell>
          <cell r="C2153" t="str">
            <v>HLT1287</v>
          </cell>
          <cell r="D2153" t="str">
            <v>SINGLE JERSEY</v>
          </cell>
          <cell r="E2153"/>
          <cell r="F2153" t="str">
            <v>R/S 95/5</v>
          </cell>
          <cell r="G2153" t="str">
            <v>95% RAYON 5% SPANDEX</v>
          </cell>
          <cell r="H2153" t="str">
            <v>155CM</v>
          </cell>
          <cell r="I2153">
            <v>195</v>
          </cell>
          <cell r="J2153">
            <v>2.0450376614760177</v>
          </cell>
          <cell r="K2153"/>
          <cell r="L2153">
            <v>2.1450376614760178</v>
          </cell>
          <cell r="M2153"/>
          <cell r="N2153">
            <v>2.2450376614760179</v>
          </cell>
          <cell r="O2153"/>
          <cell r="P2153"/>
          <cell r="Q2153"/>
          <cell r="R2153">
            <v>2.4450376614760181</v>
          </cell>
          <cell r="S2153"/>
          <cell r="T2153"/>
          <cell r="U2153"/>
          <cell r="V2153">
            <v>15</v>
          </cell>
          <cell r="W2153"/>
          <cell r="X2153" t="str">
            <v>CANDY</v>
          </cell>
          <cell r="Y2153" t="str">
            <v>CANDY 06-SEP</v>
          </cell>
          <cell r="Z2153" t="str">
            <v>LEI' MAIL 8/9/17</v>
          </cell>
          <cell r="AA2153"/>
          <cell r="AB2153">
            <v>42986</v>
          </cell>
          <cell r="AC2153">
            <v>2147</v>
          </cell>
        </row>
        <row r="2154">
          <cell r="B2154">
            <v>1960</v>
          </cell>
          <cell r="C2154" t="str">
            <v>HLT1523</v>
          </cell>
          <cell r="D2154"/>
          <cell r="E2154"/>
          <cell r="F2154" t="str">
            <v>T 100%</v>
          </cell>
          <cell r="G2154" t="str">
            <v>100% POLYESTER</v>
          </cell>
          <cell r="H2154" t="str">
            <v>57/58</v>
          </cell>
          <cell r="I2154">
            <v>123</v>
          </cell>
          <cell r="J2154">
            <v>1.8826484018264842</v>
          </cell>
          <cell r="K2154">
            <v>1.9785388127853882</v>
          </cell>
          <cell r="L2154">
            <v>1.9826484018264843</v>
          </cell>
          <cell r="M2154">
            <v>2.0785388127853883</v>
          </cell>
          <cell r="N2154">
            <v>2.0826484018264844</v>
          </cell>
          <cell r="O2154">
            <v>2.1785388127853884</v>
          </cell>
          <cell r="P2154"/>
          <cell r="Q2154"/>
          <cell r="R2154">
            <v>2.2826484018264845</v>
          </cell>
          <cell r="S2154">
            <v>2.3785388127853886</v>
          </cell>
          <cell r="T2154"/>
          <cell r="U2154"/>
          <cell r="V2154">
            <v>15</v>
          </cell>
          <cell r="W2154"/>
          <cell r="X2154" t="str">
            <v>CANDY</v>
          </cell>
          <cell r="Y2154" t="str">
            <v>CANDY 06-SEP</v>
          </cell>
          <cell r="Z2154" t="str">
            <v>LEI' MAIL 8/9/17</v>
          </cell>
          <cell r="AA2154"/>
          <cell r="AB2154">
            <v>42986</v>
          </cell>
          <cell r="AC2154">
            <v>1960</v>
          </cell>
        </row>
        <row r="2155">
          <cell r="B2155">
            <v>1947</v>
          </cell>
          <cell r="C2155" t="str">
            <v>HLT1078</v>
          </cell>
          <cell r="D2155" t="str">
            <v>CRINKLE</v>
          </cell>
          <cell r="E2155"/>
          <cell r="F2155" t="str">
            <v>T/R 35/65</v>
          </cell>
          <cell r="G2155" t="str">
            <v>65% RAYON 35% POLYESTER</v>
          </cell>
          <cell r="H2155" t="str">
            <v>57/58</v>
          </cell>
          <cell r="I2155">
            <v>92</v>
          </cell>
          <cell r="J2155">
            <v>1.4212328767123288</v>
          </cell>
          <cell r="K2155"/>
          <cell r="L2155">
            <v>1.5212328767123289</v>
          </cell>
          <cell r="M2155"/>
          <cell r="N2155">
            <v>1.621232876712329</v>
          </cell>
          <cell r="O2155"/>
          <cell r="P2155"/>
          <cell r="Q2155"/>
          <cell r="R2155">
            <v>1.8212328767123289</v>
          </cell>
          <cell r="S2155"/>
          <cell r="T2155"/>
          <cell r="U2155"/>
          <cell r="V2155">
            <v>15</v>
          </cell>
          <cell r="W2155"/>
          <cell r="X2155" t="str">
            <v>CANDY</v>
          </cell>
          <cell r="Y2155" t="str">
            <v>CANDY 06-SEP</v>
          </cell>
          <cell r="Z2155" t="str">
            <v>LEI' MAIL 8/9/17</v>
          </cell>
          <cell r="AA2155"/>
          <cell r="AB2155">
            <v>42986</v>
          </cell>
          <cell r="AC2155">
            <v>1947</v>
          </cell>
        </row>
        <row r="2156">
          <cell r="B2156">
            <v>3213</v>
          </cell>
          <cell r="C2156" t="str">
            <v>OLP-1751703FS</v>
          </cell>
          <cell r="D2156" t="str">
            <v>SUEDE</v>
          </cell>
          <cell r="E2156"/>
          <cell r="F2156" t="str">
            <v>T 100%</v>
          </cell>
          <cell r="G2156" t="str">
            <v>100% POLYESTERESESTER</v>
          </cell>
          <cell r="H2156" t="str">
            <v>57/58</v>
          </cell>
          <cell r="I2156">
            <v>135</v>
          </cell>
          <cell r="J2156">
            <v>1.72</v>
          </cell>
          <cell r="K2156"/>
          <cell r="L2156">
            <v>1.78</v>
          </cell>
          <cell r="M2156"/>
          <cell r="N2156">
            <v>1.87</v>
          </cell>
          <cell r="O2156"/>
          <cell r="P2156"/>
          <cell r="Q2156"/>
          <cell r="R2156">
            <v>2.0299999999999998</v>
          </cell>
          <cell r="S2156"/>
          <cell r="T2156"/>
          <cell r="U2156"/>
          <cell r="V2156">
            <v>15</v>
          </cell>
          <cell r="W2156"/>
          <cell r="X2156" t="str">
            <v>OWEN</v>
          </cell>
          <cell r="Y2156" t="str">
            <v>OWEN 6-SEP</v>
          </cell>
          <cell r="Z2156" t="str">
            <v>SANDY' MAIL 7/9/17</v>
          </cell>
          <cell r="AA2156"/>
          <cell r="AB2156">
            <v>42985</v>
          </cell>
          <cell r="AC2156">
            <v>3213</v>
          </cell>
        </row>
        <row r="2157">
          <cell r="B2157">
            <v>3212</v>
          </cell>
          <cell r="C2157" t="str">
            <v>OLP-1751702FS</v>
          </cell>
          <cell r="D2157" t="str">
            <v>SUEDE</v>
          </cell>
          <cell r="E2157"/>
          <cell r="F2157" t="str">
            <v>T 100%</v>
          </cell>
          <cell r="G2157" t="str">
            <v>100% POLYESTERESESTER</v>
          </cell>
          <cell r="H2157" t="str">
            <v>57/58</v>
          </cell>
          <cell r="I2157">
            <v>150</v>
          </cell>
          <cell r="J2157">
            <v>1.47</v>
          </cell>
          <cell r="K2157"/>
          <cell r="L2157">
            <v>1.54</v>
          </cell>
          <cell r="M2157"/>
          <cell r="N2157">
            <v>1.64</v>
          </cell>
          <cell r="O2157"/>
          <cell r="P2157"/>
          <cell r="Q2157"/>
          <cell r="R2157">
            <v>1.79</v>
          </cell>
          <cell r="S2157"/>
          <cell r="T2157"/>
          <cell r="U2157"/>
          <cell r="V2157">
            <v>15</v>
          </cell>
          <cell r="W2157"/>
          <cell r="X2157" t="str">
            <v>OWEN</v>
          </cell>
          <cell r="Y2157" t="str">
            <v>OWEN 6-SEP</v>
          </cell>
          <cell r="Z2157" t="str">
            <v>SANDY' MAIL 7/9/17</v>
          </cell>
          <cell r="AA2157"/>
          <cell r="AB2157">
            <v>42985</v>
          </cell>
          <cell r="AC2157">
            <v>3212</v>
          </cell>
        </row>
        <row r="2158">
          <cell r="B2158">
            <v>3211</v>
          </cell>
          <cell r="C2158" t="str">
            <v>OLP-1751701FS</v>
          </cell>
          <cell r="D2158" t="str">
            <v>SUEDE</v>
          </cell>
          <cell r="E2158"/>
          <cell r="F2158" t="str">
            <v>T 100%</v>
          </cell>
          <cell r="G2158" t="str">
            <v>100% POLYESTERESESTER</v>
          </cell>
          <cell r="H2158" t="str">
            <v>57/58</v>
          </cell>
          <cell r="I2158">
            <v>110</v>
          </cell>
          <cell r="J2158">
            <v>1.32</v>
          </cell>
          <cell r="K2158"/>
          <cell r="L2158">
            <v>1.39</v>
          </cell>
          <cell r="M2158"/>
          <cell r="N2158">
            <v>1.49</v>
          </cell>
          <cell r="O2158"/>
          <cell r="P2158"/>
          <cell r="Q2158"/>
          <cell r="R2158">
            <v>1.64</v>
          </cell>
          <cell r="S2158"/>
          <cell r="T2158"/>
          <cell r="U2158"/>
          <cell r="V2158">
            <v>15</v>
          </cell>
          <cell r="W2158"/>
          <cell r="X2158" t="str">
            <v>OWEN</v>
          </cell>
          <cell r="Y2158" t="str">
            <v>OWEN 6-SEP</v>
          </cell>
          <cell r="Z2158" t="str">
            <v>SANDY' MAIL 7/9/17</v>
          </cell>
          <cell r="AA2158"/>
          <cell r="AB2158">
            <v>42985</v>
          </cell>
          <cell r="AC2158">
            <v>3211</v>
          </cell>
        </row>
        <row r="2159">
          <cell r="B2159">
            <v>3179</v>
          </cell>
          <cell r="C2159" t="str">
            <v>OLP-1733108RBE</v>
          </cell>
          <cell r="D2159" t="str">
            <v>CREPE</v>
          </cell>
          <cell r="E2159" t="str">
            <v>(150+50+150)+40D x (150+50+150) + 40D</v>
          </cell>
          <cell r="F2159" t="str">
            <v>T/S 94/6</v>
          </cell>
          <cell r="G2159" t="str">
            <v>94% POLYESTER 6% SPANDEX</v>
          </cell>
          <cell r="H2159" t="str">
            <v>57/58</v>
          </cell>
          <cell r="I2159">
            <v>240</v>
          </cell>
          <cell r="J2159">
            <v>1.98</v>
          </cell>
          <cell r="K2159">
            <v>2.25</v>
          </cell>
          <cell r="L2159">
            <v>2.0299999999999998</v>
          </cell>
          <cell r="M2159">
            <v>2.3199999999999998</v>
          </cell>
          <cell r="N2159">
            <v>2.12</v>
          </cell>
          <cell r="O2159">
            <v>2.4500000000000002</v>
          </cell>
          <cell r="P2159"/>
          <cell r="Q2159"/>
          <cell r="R2159">
            <v>2.27</v>
          </cell>
          <cell r="S2159">
            <v>2.98</v>
          </cell>
          <cell r="T2159"/>
          <cell r="U2159"/>
          <cell r="V2159">
            <v>15</v>
          </cell>
          <cell r="W2159"/>
          <cell r="X2159" t="str">
            <v>OWEN</v>
          </cell>
          <cell r="Y2159" t="str">
            <v>OWEN 6-SEP</v>
          </cell>
          <cell r="Z2159" t="str">
            <v>SANDY' MAIL 7/9/17</v>
          </cell>
          <cell r="AA2159"/>
          <cell r="AB2159">
            <v>42985</v>
          </cell>
          <cell r="AC2159">
            <v>3179</v>
          </cell>
        </row>
        <row r="2160">
          <cell r="B2160">
            <v>3030</v>
          </cell>
          <cell r="C2160" t="str">
            <v>OLP-1731121XS</v>
          </cell>
          <cell r="D2160" t="str">
            <v>CRINKLE - REPLACE 993</v>
          </cell>
          <cell r="E2160"/>
          <cell r="F2160" t="str">
            <v>T 100%</v>
          </cell>
          <cell r="G2160" t="str">
            <v>100% POLYESTER</v>
          </cell>
          <cell r="H2160" t="str">
            <v>57/58</v>
          </cell>
          <cell r="I2160">
            <v>70</v>
          </cell>
          <cell r="J2160">
            <v>1.1000000000000001</v>
          </cell>
          <cell r="K2160">
            <v>1.22</v>
          </cell>
          <cell r="L2160">
            <v>1.1499999999999999</v>
          </cell>
          <cell r="M2160">
            <v>1.27</v>
          </cell>
          <cell r="N2160">
            <v>1.2</v>
          </cell>
          <cell r="O2160">
            <v>1.45</v>
          </cell>
          <cell r="P2160"/>
          <cell r="Q2160"/>
          <cell r="R2160">
            <v>1.35</v>
          </cell>
          <cell r="S2160">
            <v>2.15</v>
          </cell>
          <cell r="T2160"/>
          <cell r="U2160"/>
          <cell r="V2160">
            <v>15</v>
          </cell>
          <cell r="W2160"/>
          <cell r="X2160" t="str">
            <v>OWEN</v>
          </cell>
          <cell r="Y2160" t="str">
            <v>OWEN 6-SEP</v>
          </cell>
          <cell r="Z2160" t="str">
            <v>SANDY' MAIL 7/9/17</v>
          </cell>
          <cell r="AA2160"/>
          <cell r="AB2160">
            <v>42985</v>
          </cell>
          <cell r="AC2160">
            <v>3030</v>
          </cell>
        </row>
        <row r="2161">
          <cell r="B2161">
            <v>3011</v>
          </cell>
          <cell r="C2161" t="str">
            <v>T115</v>
          </cell>
          <cell r="D2161" t="str">
            <v>POLY DOBBY</v>
          </cell>
          <cell r="E2161"/>
          <cell r="F2161" t="str">
            <v>T 100%</v>
          </cell>
          <cell r="G2161" t="str">
            <v xml:space="preserve">100%POLY </v>
          </cell>
          <cell r="H2161" t="str">
            <v>57/58</v>
          </cell>
          <cell r="I2161">
            <v>97</v>
          </cell>
          <cell r="J2161">
            <v>1.64</v>
          </cell>
          <cell r="K2161">
            <v>1.85</v>
          </cell>
          <cell r="L2161">
            <v>1.66</v>
          </cell>
          <cell r="M2161">
            <v>1.9</v>
          </cell>
          <cell r="N2161">
            <v>1.7</v>
          </cell>
          <cell r="O2161">
            <v>1.94</v>
          </cell>
          <cell r="P2161"/>
          <cell r="Q2161"/>
          <cell r="R2161">
            <v>1.79</v>
          </cell>
          <cell r="S2161">
            <v>2.4300000000000002</v>
          </cell>
          <cell r="T2161"/>
          <cell r="U2161"/>
          <cell r="V2161">
            <v>15</v>
          </cell>
          <cell r="W2161"/>
          <cell r="X2161" t="str">
            <v>TERESA</v>
          </cell>
          <cell r="Y2161" t="str">
            <v>TERESA 07-SEP (2)</v>
          </cell>
          <cell r="Z2161" t="str">
            <v>TERESA' MAIL 7/9/17</v>
          </cell>
          <cell r="AA2161"/>
          <cell r="AB2161">
            <v>42985</v>
          </cell>
          <cell r="AC2161">
            <v>3011</v>
          </cell>
        </row>
        <row r="2162">
          <cell r="B2162">
            <v>2228</v>
          </cell>
          <cell r="C2162" t="str">
            <v>OLP-1652704YH-B</v>
          </cell>
          <cell r="D2162" t="str">
            <v>LINEN AFTER WASHED</v>
          </cell>
          <cell r="E2162"/>
          <cell r="F2162" t="str">
            <v xml:space="preserve">L/V 55/45 </v>
          </cell>
          <cell r="G2162" t="str">
            <v>55% LINEN 45% VISCOSE (THIS HAS BEEN WASHED)</v>
          </cell>
          <cell r="H2162" t="str">
            <v>51/52</v>
          </cell>
          <cell r="I2162">
            <v>146</v>
          </cell>
          <cell r="J2162">
            <v>2.57</v>
          </cell>
          <cell r="K2162">
            <v>2.85</v>
          </cell>
          <cell r="L2162">
            <v>2.61</v>
          </cell>
          <cell r="M2162">
            <v>2.9</v>
          </cell>
          <cell r="N2162">
            <v>2.67</v>
          </cell>
          <cell r="O2162">
            <v>3.05</v>
          </cell>
          <cell r="P2162"/>
          <cell r="Q2162"/>
          <cell r="R2162">
            <v>2.82</v>
          </cell>
          <cell r="S2162">
            <v>3.75</v>
          </cell>
          <cell r="T2162"/>
          <cell r="U2162"/>
          <cell r="V2162">
            <v>15</v>
          </cell>
          <cell r="W2162"/>
          <cell r="X2162" t="str">
            <v>OWEN</v>
          </cell>
          <cell r="Y2162" t="str">
            <v>OWEN 6-SEP</v>
          </cell>
          <cell r="Z2162" t="str">
            <v>SANDY' MAIL 7/9/17</v>
          </cell>
          <cell r="AA2162"/>
          <cell r="AB2162">
            <v>42985</v>
          </cell>
          <cell r="AC2162">
            <v>2228</v>
          </cell>
        </row>
        <row r="2163">
          <cell r="B2163">
            <v>2225</v>
          </cell>
          <cell r="C2163" t="str">
            <v>OLP-1652702YH</v>
          </cell>
          <cell r="D2163" t="str">
            <v>LINEN COTTON</v>
          </cell>
          <cell r="E2163"/>
          <cell r="F2163" t="str">
            <v>L/C 55/45</v>
          </cell>
          <cell r="G2163" t="str">
            <v xml:space="preserve">55% LINEN 45% COTTON </v>
          </cell>
          <cell r="H2163" t="str">
            <v>51/52</v>
          </cell>
          <cell r="I2163">
            <v>155</v>
          </cell>
          <cell r="J2163">
            <v>2.41</v>
          </cell>
          <cell r="K2163">
            <v>2.67</v>
          </cell>
          <cell r="L2163">
            <v>2.4900000000000002</v>
          </cell>
          <cell r="M2163">
            <v>2.75</v>
          </cell>
          <cell r="N2163">
            <v>2.58</v>
          </cell>
          <cell r="O2163">
            <v>2.97</v>
          </cell>
          <cell r="P2163"/>
          <cell r="Q2163"/>
          <cell r="R2163">
            <v>2.73</v>
          </cell>
          <cell r="S2163">
            <v>3.67</v>
          </cell>
          <cell r="T2163"/>
          <cell r="U2163"/>
          <cell r="V2163">
            <v>15</v>
          </cell>
          <cell r="W2163"/>
          <cell r="X2163" t="str">
            <v>OWEN</v>
          </cell>
          <cell r="Y2163" t="str">
            <v>OWEN 6-SEP</v>
          </cell>
          <cell r="Z2163" t="str">
            <v>SANDY' MAIL 7/9/17</v>
          </cell>
          <cell r="AA2163"/>
          <cell r="AB2163">
            <v>42985</v>
          </cell>
          <cell r="AC2163">
            <v>2225</v>
          </cell>
        </row>
        <row r="2164">
          <cell r="B2164">
            <v>2068</v>
          </cell>
          <cell r="C2164" t="str">
            <v>#4011090</v>
          </cell>
          <cell r="D2164" t="str">
            <v>PLAIN 40x40</v>
          </cell>
          <cell r="E2164" t="str">
            <v>40x40 / 110x90</v>
          </cell>
          <cell r="F2164" t="str">
            <v>R 100%</v>
          </cell>
          <cell r="G2164" t="str">
            <v>100% RAYON</v>
          </cell>
          <cell r="H2164" t="str">
            <v>53/54</v>
          </cell>
          <cell r="I2164">
            <v>130</v>
          </cell>
          <cell r="J2164">
            <v>1.48</v>
          </cell>
          <cell r="K2164">
            <v>1.62</v>
          </cell>
          <cell r="L2164">
            <v>1.49</v>
          </cell>
          <cell r="M2164">
            <v>1.88</v>
          </cell>
          <cell r="N2164">
            <v>1.51</v>
          </cell>
          <cell r="O2164">
            <v>1.99</v>
          </cell>
          <cell r="P2164"/>
          <cell r="Q2164"/>
          <cell r="R2164">
            <v>1.68</v>
          </cell>
          <cell r="S2164">
            <v>2.69</v>
          </cell>
          <cell r="T2164"/>
          <cell r="U2164"/>
          <cell r="V2164">
            <v>15</v>
          </cell>
          <cell r="W2164"/>
          <cell r="X2164" t="str">
            <v>OWEN</v>
          </cell>
          <cell r="Y2164" t="str">
            <v>OWEN 6-SEP</v>
          </cell>
          <cell r="Z2164" t="str">
            <v>SANDY' MAIL 7/9/17</v>
          </cell>
          <cell r="AA2164"/>
          <cell r="AB2164">
            <v>42985</v>
          </cell>
          <cell r="AC2164">
            <v>2068</v>
          </cell>
        </row>
        <row r="2165">
          <cell r="B2165">
            <v>2066</v>
          </cell>
          <cell r="C2165" t="str">
            <v>ARR-3068</v>
          </cell>
          <cell r="D2165" t="str">
            <v>PLAIN 30</v>
          </cell>
          <cell r="E2165" t="str">
            <v>30x30 / 68x60</v>
          </cell>
          <cell r="F2165" t="str">
            <v>R 100%</v>
          </cell>
          <cell r="G2165" t="str">
            <v>100%RAYON</v>
          </cell>
          <cell r="H2165" t="str">
            <v>53/54</v>
          </cell>
          <cell r="I2165">
            <v>120</v>
          </cell>
          <cell r="J2165">
            <v>1.22</v>
          </cell>
          <cell r="K2165">
            <v>1.44</v>
          </cell>
          <cell r="L2165">
            <v>1.33</v>
          </cell>
          <cell r="M2165">
            <v>1.65</v>
          </cell>
          <cell r="N2165">
            <v>1.37</v>
          </cell>
          <cell r="O2165">
            <v>1.8</v>
          </cell>
          <cell r="P2165"/>
          <cell r="Q2165"/>
          <cell r="R2165">
            <v>1.55</v>
          </cell>
          <cell r="S2165">
            <v>2.5</v>
          </cell>
          <cell r="T2165"/>
          <cell r="U2165"/>
          <cell r="V2165">
            <v>15</v>
          </cell>
          <cell r="W2165"/>
          <cell r="X2165" t="str">
            <v>OWEN</v>
          </cell>
          <cell r="Y2165" t="str">
            <v>OWEN 6-SEP</v>
          </cell>
          <cell r="Z2165" t="str">
            <v>SANDY' MAIL 7/9/17</v>
          </cell>
          <cell r="AA2165"/>
          <cell r="AB2165">
            <v>42985</v>
          </cell>
          <cell r="AC2165">
            <v>2066</v>
          </cell>
        </row>
        <row r="2166">
          <cell r="B2166">
            <v>2065</v>
          </cell>
          <cell r="C2166" t="str">
            <v>ARR-609088</v>
          </cell>
          <cell r="D2166" t="str">
            <v>PLAIN 60x60</v>
          </cell>
          <cell r="E2166" t="str">
            <v>60x60 / 90x88</v>
          </cell>
          <cell r="F2166" t="str">
            <v>R 100%</v>
          </cell>
          <cell r="G2166" t="str">
            <v>100% RAYON</v>
          </cell>
          <cell r="H2166" t="str">
            <v>53/54</v>
          </cell>
          <cell r="I2166">
            <v>85</v>
          </cell>
          <cell r="J2166">
            <v>1.22</v>
          </cell>
          <cell r="K2166">
            <v>1.44</v>
          </cell>
          <cell r="L2166">
            <v>1.33</v>
          </cell>
          <cell r="M2166">
            <v>1.65</v>
          </cell>
          <cell r="N2166">
            <v>1.37</v>
          </cell>
          <cell r="O2166">
            <v>1.8</v>
          </cell>
          <cell r="P2166"/>
          <cell r="Q2166"/>
          <cell r="R2166">
            <v>1.55</v>
          </cell>
          <cell r="S2166">
            <v>2.5</v>
          </cell>
          <cell r="T2166"/>
          <cell r="U2166"/>
          <cell r="V2166">
            <v>15</v>
          </cell>
          <cell r="W2166"/>
          <cell r="X2166" t="str">
            <v>OWEN</v>
          </cell>
          <cell r="Y2166" t="str">
            <v>OWEN 6-SEP</v>
          </cell>
          <cell r="Z2166" t="str">
            <v>SANDY' MAIL 7/9/17</v>
          </cell>
          <cell r="AA2166"/>
          <cell r="AB2166">
            <v>42985</v>
          </cell>
          <cell r="AC2166">
            <v>2065</v>
          </cell>
        </row>
        <row r="2167">
          <cell r="B2167">
            <v>1509</v>
          </cell>
          <cell r="C2167" t="str">
            <v>OLP-151127XS0008</v>
          </cell>
          <cell r="D2167" t="str">
            <v>CORE - CHIFFON</v>
          </cell>
          <cell r="E2167" t="str">
            <v>115x96 / 75Dx75D</v>
          </cell>
          <cell r="F2167" t="str">
            <v>T 100%</v>
          </cell>
          <cell r="G2167" t="str">
            <v>100% POLYESTER</v>
          </cell>
          <cell r="H2167" t="str">
            <v>57/58</v>
          </cell>
          <cell r="I2167">
            <v>75</v>
          </cell>
          <cell r="J2167">
            <v>1.03</v>
          </cell>
          <cell r="K2167">
            <v>1.37</v>
          </cell>
          <cell r="L2167">
            <v>1.1399999999999999</v>
          </cell>
          <cell r="M2167">
            <v>1.47</v>
          </cell>
          <cell r="N2167">
            <v>1.1599999999999999</v>
          </cell>
          <cell r="O2167">
            <v>1.49</v>
          </cell>
          <cell r="P2167"/>
          <cell r="Q2167"/>
          <cell r="R2167">
            <v>1.31</v>
          </cell>
          <cell r="S2167">
            <v>2.02</v>
          </cell>
          <cell r="T2167"/>
          <cell r="U2167"/>
          <cell r="V2167">
            <v>15</v>
          </cell>
          <cell r="W2167"/>
          <cell r="X2167" t="str">
            <v>OWEN</v>
          </cell>
          <cell r="Y2167" t="str">
            <v>OWEN 6-SEP</v>
          </cell>
          <cell r="Z2167" t="str">
            <v>SANDY' MAIL 7/9/17</v>
          </cell>
          <cell r="AA2167"/>
          <cell r="AB2167">
            <v>42985</v>
          </cell>
          <cell r="AC2167">
            <v>1509</v>
          </cell>
        </row>
        <row r="2168">
          <cell r="B2168">
            <v>1132</v>
          </cell>
          <cell r="C2168" t="str">
            <v>OLP-15101703ZY</v>
          </cell>
          <cell r="D2168" t="str">
            <v>TERRY CREPE</v>
          </cell>
          <cell r="E2168"/>
          <cell r="F2168" t="str">
            <v>V100%</v>
          </cell>
          <cell r="G2168" t="str">
            <v>100% VISCOSE</v>
          </cell>
          <cell r="H2168">
            <v>50</v>
          </cell>
          <cell r="I2168">
            <v>155</v>
          </cell>
          <cell r="J2168">
            <v>2.0299999999999998</v>
          </cell>
          <cell r="K2168">
            <v>2.37</v>
          </cell>
          <cell r="L2168">
            <v>2.09</v>
          </cell>
          <cell r="M2168">
            <v>2.42</v>
          </cell>
          <cell r="N2168">
            <v>2.14</v>
          </cell>
          <cell r="O2168">
            <v>2.52</v>
          </cell>
          <cell r="P2168"/>
          <cell r="Q2168"/>
          <cell r="R2168">
            <v>2.29</v>
          </cell>
          <cell r="S2168">
            <v>2.92</v>
          </cell>
          <cell r="T2168"/>
          <cell r="U2168"/>
          <cell r="V2168">
            <v>15</v>
          </cell>
          <cell r="W2168"/>
          <cell r="X2168" t="str">
            <v>OWEN</v>
          </cell>
          <cell r="Y2168" t="str">
            <v>OWEN 6-SEP</v>
          </cell>
          <cell r="Z2168" t="str">
            <v>SANDY' MAIL 7/9/17</v>
          </cell>
          <cell r="AA2168"/>
          <cell r="AB2168">
            <v>42985</v>
          </cell>
          <cell r="AC2168">
            <v>1132</v>
          </cell>
        </row>
        <row r="2169">
          <cell r="B2169">
            <v>1010</v>
          </cell>
          <cell r="C2169" t="str">
            <v>R012</v>
          </cell>
          <cell r="D2169" t="str">
            <v>PLAIN 30</v>
          </cell>
          <cell r="E2169" t="str">
            <v>30x30 / 68x68</v>
          </cell>
          <cell r="F2169" t="str">
            <v>R 100%</v>
          </cell>
          <cell r="G2169" t="str">
            <v>100%RAYON</v>
          </cell>
          <cell r="H2169" t="str">
            <v>53/54</v>
          </cell>
          <cell r="I2169">
            <v>120</v>
          </cell>
          <cell r="J2169">
            <v>1.17</v>
          </cell>
          <cell r="K2169">
            <v>1.38</v>
          </cell>
          <cell r="L2169">
            <v>1.19</v>
          </cell>
          <cell r="M2169">
            <v>1.46</v>
          </cell>
          <cell r="N2169">
            <v>1.24</v>
          </cell>
          <cell r="O2169">
            <v>1.5</v>
          </cell>
          <cell r="P2169"/>
          <cell r="Q2169"/>
          <cell r="R2169">
            <v>1.32</v>
          </cell>
          <cell r="S2169">
            <v>1.99</v>
          </cell>
          <cell r="T2169"/>
          <cell r="U2169"/>
          <cell r="V2169">
            <v>15</v>
          </cell>
          <cell r="W2169"/>
          <cell r="X2169" t="str">
            <v>TERESA</v>
          </cell>
          <cell r="Y2169" t="str">
            <v>TERESA 07-SEP (1)</v>
          </cell>
          <cell r="Z2169" t="str">
            <v>TERESA' MAIL 7/9/17</v>
          </cell>
          <cell r="AA2169"/>
          <cell r="AB2169">
            <v>42985</v>
          </cell>
          <cell r="AC2169">
            <v>1010</v>
          </cell>
        </row>
        <row r="2170">
          <cell r="B2170">
            <v>981</v>
          </cell>
          <cell r="C2170" t="str">
            <v>R056</v>
          </cell>
          <cell r="D2170" t="str">
            <v>PLAIN 40</v>
          </cell>
          <cell r="E2170" t="str">
            <v>40x40 / 119x89</v>
          </cell>
          <cell r="F2170" t="str">
            <v>R 100%</v>
          </cell>
          <cell r="G2170" t="str">
            <v>100%RAYON</v>
          </cell>
          <cell r="H2170" t="str">
            <v>53/54</v>
          </cell>
          <cell r="I2170">
            <v>130</v>
          </cell>
          <cell r="J2170">
            <v>1.43</v>
          </cell>
          <cell r="K2170">
            <v>1.65</v>
          </cell>
          <cell r="L2170">
            <v>1.45</v>
          </cell>
          <cell r="M2170">
            <v>1.7</v>
          </cell>
          <cell r="N2170">
            <v>1.47</v>
          </cell>
          <cell r="O2170">
            <v>1.76</v>
          </cell>
          <cell r="P2170"/>
          <cell r="Q2170"/>
          <cell r="R2170">
            <v>1.5</v>
          </cell>
          <cell r="S2170">
            <v>2.25</v>
          </cell>
          <cell r="T2170"/>
          <cell r="U2170"/>
          <cell r="V2170">
            <v>15</v>
          </cell>
          <cell r="W2170"/>
          <cell r="X2170" t="str">
            <v>TERESA</v>
          </cell>
          <cell r="Y2170" t="str">
            <v>TERESA 07-SEP (3)</v>
          </cell>
          <cell r="Z2170" t="str">
            <v>TERESA' MAIL 7/9/17</v>
          </cell>
          <cell r="AA2170"/>
          <cell r="AB2170">
            <v>42985</v>
          </cell>
          <cell r="AC2170">
            <v>981</v>
          </cell>
        </row>
        <row r="2171">
          <cell r="B2171">
            <v>3406</v>
          </cell>
          <cell r="C2171" t="str">
            <v>M-1001 PLEAT</v>
          </cell>
          <cell r="D2171" t="str">
            <v>PLEATED CREPE</v>
          </cell>
          <cell r="E2171" t="str">
            <v>228x104 - 75Dx75D</v>
          </cell>
          <cell r="F2171" t="str">
            <v>T 100%</v>
          </cell>
          <cell r="G2171" t="str">
            <v>100% POLYESTER</v>
          </cell>
          <cell r="H2171" t="str">
            <v>58/59</v>
          </cell>
          <cell r="I2171" t="str">
            <v>115-120</v>
          </cell>
          <cell r="J2171">
            <v>1.48</v>
          </cell>
          <cell r="K2171">
            <v>0</v>
          </cell>
          <cell r="L2171">
            <v>1.5</v>
          </cell>
          <cell r="M2171">
            <v>0</v>
          </cell>
          <cell r="N2171">
            <v>1.53</v>
          </cell>
          <cell r="O2171">
            <v>0</v>
          </cell>
          <cell r="P2171"/>
          <cell r="Q2171"/>
          <cell r="R2171">
            <v>1.58</v>
          </cell>
          <cell r="S2171">
            <v>1.78</v>
          </cell>
          <cell r="T2171"/>
          <cell r="U2171"/>
          <cell r="V2171">
            <v>15</v>
          </cell>
          <cell r="W2171"/>
          <cell r="X2171" t="str">
            <v>M-TEX</v>
          </cell>
          <cell r="Y2171" t="str">
            <v>M-TEX 04-SEP</v>
          </cell>
          <cell r="Z2171" t="str">
            <v>LINDA' MAIL 05/9/17</v>
          </cell>
          <cell r="AA2171"/>
          <cell r="AB2171">
            <v>42983</v>
          </cell>
          <cell r="AC2171">
            <v>3406</v>
          </cell>
        </row>
        <row r="2172">
          <cell r="B2172">
            <v>3405</v>
          </cell>
          <cell r="C2172" t="str">
            <v>M-2015028A</v>
          </cell>
          <cell r="D2172" t="str">
            <v xml:space="preserve"> </v>
          </cell>
          <cell r="E2172" t="str">
            <v>103x82 - (75/72 + 40D)x2</v>
          </cell>
          <cell r="F2172" t="str">
            <v>T 100%</v>
          </cell>
          <cell r="G2172" t="str">
            <v>86% POLY 14% SPANDEX</v>
          </cell>
          <cell r="H2172" t="str">
            <v>148CM</v>
          </cell>
          <cell r="I2172">
            <v>220</v>
          </cell>
          <cell r="J2172">
            <v>2</v>
          </cell>
          <cell r="K2172">
            <v>2.25</v>
          </cell>
          <cell r="L2172">
            <v>2.02</v>
          </cell>
          <cell r="M2172">
            <v>2.27</v>
          </cell>
          <cell r="N2172">
            <v>2.0499999999999998</v>
          </cell>
          <cell r="O2172">
            <v>2.2999999999999998</v>
          </cell>
          <cell r="P2172"/>
          <cell r="Q2172"/>
          <cell r="R2172">
            <v>2.1</v>
          </cell>
          <cell r="S2172">
            <v>2.2999999999999998</v>
          </cell>
          <cell r="T2172"/>
          <cell r="U2172"/>
          <cell r="V2172">
            <v>15</v>
          </cell>
          <cell r="W2172"/>
          <cell r="X2172" t="str">
            <v>M-TEX</v>
          </cell>
          <cell r="Y2172" t="str">
            <v>M-TEX 04-SEP</v>
          </cell>
          <cell r="Z2172" t="str">
            <v>LINDA' MAIL 05/9/17</v>
          </cell>
          <cell r="AA2172"/>
          <cell r="AB2172">
            <v>42983</v>
          </cell>
          <cell r="AC2172">
            <v>3405</v>
          </cell>
        </row>
        <row r="2173">
          <cell r="B2173">
            <v>3404</v>
          </cell>
          <cell r="C2173" t="str">
            <v>M-2016033</v>
          </cell>
          <cell r="D2173" t="str">
            <v>CHIFFON CORDS</v>
          </cell>
          <cell r="E2173" t="str">
            <v>30D x 30D</v>
          </cell>
          <cell r="F2173" t="str">
            <v>T 100%</v>
          </cell>
          <cell r="G2173" t="str">
            <v>100% POLYESTER</v>
          </cell>
          <cell r="H2173" t="str">
            <v>57/58</v>
          </cell>
          <cell r="I2173">
            <v>45</v>
          </cell>
          <cell r="J2173">
            <v>1.03</v>
          </cell>
          <cell r="K2173">
            <v>1.28</v>
          </cell>
          <cell r="L2173">
            <v>1.05</v>
          </cell>
          <cell r="M2173">
            <v>1.3</v>
          </cell>
          <cell r="N2173">
            <v>1.08</v>
          </cell>
          <cell r="O2173">
            <v>1.33</v>
          </cell>
          <cell r="P2173"/>
          <cell r="Q2173"/>
          <cell r="R2173">
            <v>1.1299999999999999</v>
          </cell>
          <cell r="S2173">
            <v>1.33</v>
          </cell>
          <cell r="T2173"/>
          <cell r="U2173"/>
          <cell r="V2173">
            <v>15</v>
          </cell>
          <cell r="W2173"/>
          <cell r="X2173" t="str">
            <v>M-TEX</v>
          </cell>
          <cell r="Y2173" t="str">
            <v>M-TEX 04-SEP</v>
          </cell>
          <cell r="Z2173" t="str">
            <v>LINDA' MAIL 05/9/17</v>
          </cell>
          <cell r="AA2173"/>
          <cell r="AB2173">
            <v>42983</v>
          </cell>
          <cell r="AC2173">
            <v>3404</v>
          </cell>
        </row>
        <row r="2174">
          <cell r="B2174">
            <v>3403</v>
          </cell>
          <cell r="C2174" t="str">
            <v>M-1007</v>
          </cell>
          <cell r="D2174" t="str">
            <v>CHIFFON 75D</v>
          </cell>
          <cell r="E2174" t="str">
            <v>45x37 - 75Dx75D</v>
          </cell>
          <cell r="F2174" t="str">
            <v>T 100%</v>
          </cell>
          <cell r="G2174" t="str">
            <v>100% POLYESTER</v>
          </cell>
          <cell r="H2174" t="str">
            <v>57/58</v>
          </cell>
          <cell r="I2174" t="str">
            <v>75-80</v>
          </cell>
          <cell r="J2174">
            <v>0.8</v>
          </cell>
          <cell r="K2174">
            <v>1.05</v>
          </cell>
          <cell r="L2174">
            <v>0.82</v>
          </cell>
          <cell r="M2174">
            <v>1.07</v>
          </cell>
          <cell r="N2174">
            <v>0.85</v>
          </cell>
          <cell r="O2174">
            <v>1.1000000000000001</v>
          </cell>
          <cell r="P2174"/>
          <cell r="Q2174"/>
          <cell r="R2174">
            <v>0.9</v>
          </cell>
          <cell r="S2174">
            <v>1.1000000000000001</v>
          </cell>
          <cell r="T2174"/>
          <cell r="U2174"/>
          <cell r="V2174">
            <v>15</v>
          </cell>
          <cell r="W2174"/>
          <cell r="X2174" t="str">
            <v>M-TEX</v>
          </cell>
          <cell r="Y2174" t="str">
            <v>M-TEX 04-SEP</v>
          </cell>
          <cell r="Z2174" t="str">
            <v>LINDA' MAIL 05/9/17</v>
          </cell>
          <cell r="AA2174"/>
          <cell r="AB2174">
            <v>42983</v>
          </cell>
          <cell r="AC2174">
            <v>3403</v>
          </cell>
        </row>
        <row r="2175">
          <cell r="B2175">
            <v>3402</v>
          </cell>
          <cell r="C2175" t="str">
            <v>M-1001</v>
          </cell>
          <cell r="D2175" t="str">
            <v>MOSS CREPE</v>
          </cell>
          <cell r="E2175" t="str">
            <v>228x104 - 75Dx75D</v>
          </cell>
          <cell r="F2175" t="str">
            <v>T 100%</v>
          </cell>
          <cell r="G2175" t="str">
            <v>100% POLYESTER</v>
          </cell>
          <cell r="H2175" t="str">
            <v>58/59</v>
          </cell>
          <cell r="I2175" t="str">
            <v>115-120</v>
          </cell>
          <cell r="J2175">
            <v>1.2</v>
          </cell>
          <cell r="K2175">
            <v>1.45</v>
          </cell>
          <cell r="L2175">
            <v>1.22</v>
          </cell>
          <cell r="M2175">
            <v>1.47</v>
          </cell>
          <cell r="N2175">
            <v>1.25</v>
          </cell>
          <cell r="O2175">
            <v>1.5</v>
          </cell>
          <cell r="P2175"/>
          <cell r="Q2175"/>
          <cell r="R2175">
            <v>1.3</v>
          </cell>
          <cell r="S2175">
            <v>1.5</v>
          </cell>
          <cell r="T2175"/>
          <cell r="U2175"/>
          <cell r="V2175">
            <v>15</v>
          </cell>
          <cell r="W2175"/>
          <cell r="X2175" t="str">
            <v>M-TEX</v>
          </cell>
          <cell r="Y2175" t="str">
            <v>M-TEX 04-SEP</v>
          </cell>
          <cell r="Z2175" t="str">
            <v>LINDA' MAIL 05/9/17</v>
          </cell>
          <cell r="AA2175"/>
          <cell r="AB2175">
            <v>42983</v>
          </cell>
          <cell r="AC2175">
            <v>3402</v>
          </cell>
        </row>
        <row r="2176">
          <cell r="B2176">
            <v>3401</v>
          </cell>
          <cell r="C2176" t="str">
            <v>M-1050-1</v>
          </cell>
          <cell r="D2176" t="str">
            <v xml:space="preserve"> CDC</v>
          </cell>
          <cell r="E2176" t="str">
            <v>79x40 - 50DTYx75FDY</v>
          </cell>
          <cell r="F2176" t="str">
            <v>T 100%</v>
          </cell>
          <cell r="G2176" t="str">
            <v>100% POLYESTER</v>
          </cell>
          <cell r="H2176" t="str">
            <v>150CM</v>
          </cell>
          <cell r="I2176">
            <v>78</v>
          </cell>
          <cell r="J2176">
            <v>0.9</v>
          </cell>
          <cell r="K2176">
            <v>1.1499999999999999</v>
          </cell>
          <cell r="L2176">
            <v>0.92</v>
          </cell>
          <cell r="M2176">
            <v>1.17</v>
          </cell>
          <cell r="N2176">
            <v>0.95</v>
          </cell>
          <cell r="O2176">
            <v>1.2</v>
          </cell>
          <cell r="P2176"/>
          <cell r="Q2176"/>
          <cell r="R2176">
            <v>1</v>
          </cell>
          <cell r="S2176">
            <v>1.2</v>
          </cell>
          <cell r="T2176"/>
          <cell r="U2176"/>
          <cell r="V2176">
            <v>15</v>
          </cell>
          <cell r="W2176"/>
          <cell r="X2176" t="str">
            <v>M-TEX</v>
          </cell>
          <cell r="Y2176" t="str">
            <v>M-TEX 04-SEP</v>
          </cell>
          <cell r="Z2176" t="str">
            <v>LINDA' MAIL 05/9/17</v>
          </cell>
          <cell r="AA2176"/>
          <cell r="AB2176">
            <v>42983</v>
          </cell>
          <cell r="AC2176">
            <v>3401</v>
          </cell>
        </row>
        <row r="2177">
          <cell r="B2177">
            <v>2455</v>
          </cell>
          <cell r="C2177" t="str">
            <v>HLT3216</v>
          </cell>
          <cell r="D2177" t="str">
            <v>BUBBLE CREPE</v>
          </cell>
          <cell r="E2177"/>
          <cell r="F2177" t="str">
            <v>T/S 97/3</v>
          </cell>
          <cell r="G2177" t="str">
            <v>97%polyester3%spandex</v>
          </cell>
          <cell r="H2177" t="str">
            <v>57/58</v>
          </cell>
          <cell r="I2177">
            <v>125</v>
          </cell>
          <cell r="J2177">
            <v>1.58</v>
          </cell>
          <cell r="K2177">
            <v>1.72</v>
          </cell>
          <cell r="L2177"/>
          <cell r="M2177"/>
          <cell r="N2177">
            <v>1.6800000000000002</v>
          </cell>
          <cell r="O2177">
            <v>1.82</v>
          </cell>
          <cell r="P2177"/>
          <cell r="Q2177"/>
          <cell r="R2177">
            <v>1.8800000000000001</v>
          </cell>
          <cell r="S2177">
            <v>1.92</v>
          </cell>
          <cell r="T2177"/>
          <cell r="U2177"/>
          <cell r="V2177">
            <v>15</v>
          </cell>
          <cell r="W2177"/>
          <cell r="X2177" t="str">
            <v>CANDY</v>
          </cell>
          <cell r="Y2177" t="str">
            <v>CANDY 30-AUGUST</v>
          </cell>
          <cell r="Z2177" t="str">
            <v>CANDY' MAIL 30/8/17</v>
          </cell>
          <cell r="AA2177"/>
          <cell r="AB2177">
            <v>42977</v>
          </cell>
          <cell r="AC2177">
            <v>2455</v>
          </cell>
        </row>
        <row r="2178">
          <cell r="B2178">
            <v>3400</v>
          </cell>
          <cell r="C2178" t="str">
            <v>FL8652-3</v>
          </cell>
          <cell r="D2178" t="str">
            <v>LACE</v>
          </cell>
          <cell r="E2178"/>
          <cell r="F2178" t="str">
            <v>N/C 65/35</v>
          </cell>
          <cell r="G2178" t="str">
            <v>65%NYLON 35% COTTON</v>
          </cell>
          <cell r="H2178" t="str">
            <v xml:space="preserve">150CM </v>
          </cell>
          <cell r="I2178">
            <v>260</v>
          </cell>
          <cell r="J2178">
            <v>2.8433945756780403</v>
          </cell>
          <cell r="K2178"/>
          <cell r="L2178">
            <v>3.1714785651793527</v>
          </cell>
          <cell r="M2178"/>
          <cell r="N2178">
            <v>3.3902012248468942</v>
          </cell>
          <cell r="O2178"/>
          <cell r="P2178"/>
          <cell r="Q2178"/>
          <cell r="R2178">
            <v>3.66</v>
          </cell>
          <cell r="S2178"/>
          <cell r="T2178"/>
          <cell r="U2178"/>
          <cell r="V2178"/>
          <cell r="W2178"/>
          <cell r="X2178" t="str">
            <v>SCALER</v>
          </cell>
          <cell r="Y2178" t="str">
            <v>SCALER 26-AUGUST</v>
          </cell>
          <cell r="Z2178" t="str">
            <v>SCALER' MAIL 26/8/17</v>
          </cell>
          <cell r="AA2178"/>
          <cell r="AB2178">
            <v>42975</v>
          </cell>
          <cell r="AC2178">
            <v>3400</v>
          </cell>
        </row>
        <row r="2179">
          <cell r="B2179">
            <v>3399</v>
          </cell>
          <cell r="C2179" t="str">
            <v>BG3422</v>
          </cell>
          <cell r="D2179" t="str">
            <v>RAYON DOBBY</v>
          </cell>
          <cell r="E2179"/>
          <cell r="F2179" t="str">
            <v>R 100%</v>
          </cell>
          <cell r="G2179" t="str">
            <v>100% RAYON</v>
          </cell>
          <cell r="H2179" t="str">
            <v>53/54</v>
          </cell>
          <cell r="I2179">
            <v>84</v>
          </cell>
          <cell r="J2179">
            <v>1.8</v>
          </cell>
          <cell r="K2179">
            <v>2.0499999999999998</v>
          </cell>
          <cell r="L2179">
            <v>1.83</v>
          </cell>
          <cell r="M2179">
            <v>2.08</v>
          </cell>
          <cell r="N2179">
            <v>1.85</v>
          </cell>
          <cell r="O2179">
            <v>2.1</v>
          </cell>
          <cell r="P2179"/>
          <cell r="Q2179"/>
          <cell r="R2179">
            <v>2</v>
          </cell>
          <cell r="S2179">
            <v>2.4</v>
          </cell>
          <cell r="T2179"/>
          <cell r="U2179"/>
          <cell r="V2179">
            <v>15</v>
          </cell>
          <cell r="W2179"/>
          <cell r="X2179" t="str">
            <v>EDWIN</v>
          </cell>
          <cell r="Y2179" t="str">
            <v>EDWIN 26-AUGUST</v>
          </cell>
          <cell r="Z2179" t="str">
            <v>EDWIN' MAIL 26/8/17</v>
          </cell>
          <cell r="AA2179"/>
          <cell r="AB2179">
            <v>42975</v>
          </cell>
          <cell r="AC2179">
            <v>3399</v>
          </cell>
        </row>
        <row r="2180">
          <cell r="B2180">
            <v>1012</v>
          </cell>
          <cell r="C2180" t="str">
            <v>OLP-SCA-15081901</v>
          </cell>
          <cell r="D2180" t="str">
            <v>COTTON 60s VOILE</v>
          </cell>
          <cell r="E2180"/>
          <cell r="F2180" t="str">
            <v>C 100%</v>
          </cell>
          <cell r="G2180" t="str">
            <v>100% 60S COTTON</v>
          </cell>
          <cell r="H2180" t="str">
            <v>53/54</v>
          </cell>
          <cell r="I2180">
            <v>72</v>
          </cell>
          <cell r="J2180">
            <v>1.54</v>
          </cell>
          <cell r="K2180">
            <v>1.79</v>
          </cell>
          <cell r="L2180">
            <v>1.6</v>
          </cell>
          <cell r="M2180">
            <v>1.85</v>
          </cell>
          <cell r="N2180">
            <v>1.7</v>
          </cell>
          <cell r="O2180">
            <v>2</v>
          </cell>
          <cell r="P2180"/>
          <cell r="Q2180"/>
          <cell r="R2180">
            <v>1.85</v>
          </cell>
          <cell r="S2180">
            <v>2.75</v>
          </cell>
          <cell r="T2180"/>
          <cell r="U2180"/>
          <cell r="V2180">
            <v>15</v>
          </cell>
          <cell r="W2180"/>
          <cell r="X2180" t="str">
            <v>OWEN</v>
          </cell>
          <cell r="Y2180" t="str">
            <v>OWEN 28-AUGUST</v>
          </cell>
          <cell r="Z2180" t="str">
            <v>SANDY' MAIL 28/8/17</v>
          </cell>
          <cell r="AA2180"/>
          <cell r="AB2180">
            <v>42975</v>
          </cell>
          <cell r="AC2180">
            <v>1012</v>
          </cell>
        </row>
        <row r="2181">
          <cell r="B2181">
            <v>1007</v>
          </cell>
          <cell r="C2181" t="str">
            <v>BG2414</v>
          </cell>
          <cell r="D2181" t="str">
            <v>COTTON VOILE 60S</v>
          </cell>
          <cell r="E2181" t="str">
            <v>COTTON VOILE 60S</v>
          </cell>
          <cell r="F2181" t="str">
            <v>C 100%</v>
          </cell>
          <cell r="G2181" t="str">
            <v>100% 60S COTTON VOILE</v>
          </cell>
          <cell r="H2181" t="str">
            <v>54/55</v>
          </cell>
          <cell r="I2181">
            <v>68</v>
          </cell>
          <cell r="J2181">
            <v>1.55</v>
          </cell>
          <cell r="K2181">
            <v>1.85</v>
          </cell>
          <cell r="L2181">
            <v>1.57</v>
          </cell>
          <cell r="M2181">
            <v>1.9</v>
          </cell>
          <cell r="N2181">
            <v>1.6</v>
          </cell>
          <cell r="O2181">
            <v>1.95</v>
          </cell>
          <cell r="P2181"/>
          <cell r="Q2181"/>
          <cell r="R2181">
            <v>1.8</v>
          </cell>
          <cell r="S2181">
            <v>2.4500000000000002</v>
          </cell>
          <cell r="T2181"/>
          <cell r="U2181"/>
          <cell r="V2181">
            <v>15</v>
          </cell>
          <cell r="W2181"/>
          <cell r="X2181" t="str">
            <v>EDWIN</v>
          </cell>
          <cell r="Y2181" t="str">
            <v>EDWIN 28-AUGUST</v>
          </cell>
          <cell r="Z2181" t="str">
            <v>EDWIN' MAIL 28/8/17</v>
          </cell>
          <cell r="AA2181"/>
          <cell r="AB2181">
            <v>42975</v>
          </cell>
          <cell r="AC2181">
            <v>1007</v>
          </cell>
        </row>
        <row r="2182">
          <cell r="B2182">
            <v>1005</v>
          </cell>
          <cell r="C2182" t="str">
            <v>TS-154</v>
          </cell>
          <cell r="D2182" t="str">
            <v>COTTON VOILE 80S</v>
          </cell>
          <cell r="E2182"/>
          <cell r="F2182" t="str">
            <v>C 100%</v>
          </cell>
          <cell r="G2182" t="str">
            <v>100% 80S COTTON VOILE</v>
          </cell>
          <cell r="H2182" t="str">
            <v>148CM</v>
          </cell>
          <cell r="I2182">
            <v>54</v>
          </cell>
          <cell r="J2182">
            <v>1.34</v>
          </cell>
          <cell r="K2182">
            <v>1.49</v>
          </cell>
          <cell r="L2182">
            <v>1.36</v>
          </cell>
          <cell r="M2182">
            <v>1.52</v>
          </cell>
          <cell r="N2182">
            <v>1.38</v>
          </cell>
          <cell r="O2182">
            <v>1.55</v>
          </cell>
          <cell r="P2182"/>
          <cell r="Q2182"/>
          <cell r="R2182">
            <v>1.53</v>
          </cell>
          <cell r="S2182">
            <v>1.8</v>
          </cell>
          <cell r="T2182"/>
          <cell r="U2182"/>
          <cell r="V2182">
            <v>15</v>
          </cell>
          <cell r="W2182"/>
          <cell r="X2182" t="str">
            <v>GAVIN</v>
          </cell>
          <cell r="Y2182" t="str">
            <v>GAVIN 28-AUGUST</v>
          </cell>
          <cell r="Z2182" t="str">
            <v>GAVIN' MAIL 28/8/17</v>
          </cell>
          <cell r="AA2182"/>
          <cell r="AB2182">
            <v>42975</v>
          </cell>
          <cell r="AC2182">
            <v>1005</v>
          </cell>
        </row>
        <row r="2183">
          <cell r="B2183">
            <v>3993</v>
          </cell>
          <cell r="C2183" t="str">
            <v>M-JZ002</v>
          </cell>
          <cell r="D2183" t="str">
            <v>SATEEN VISCOSE</v>
          </cell>
          <cell r="E2183"/>
          <cell r="F2183" t="str">
            <v>V100%</v>
          </cell>
          <cell r="G2183" t="str">
            <v>100% VISCOSE</v>
          </cell>
          <cell r="H2183">
            <v>57</v>
          </cell>
          <cell r="I2183">
            <v>140</v>
          </cell>
          <cell r="J2183"/>
          <cell r="K2183"/>
          <cell r="L2183"/>
          <cell r="M2183"/>
          <cell r="N2183">
            <v>3.85</v>
          </cell>
          <cell r="O2183">
            <v>4</v>
          </cell>
          <cell r="P2183"/>
          <cell r="Q2183"/>
          <cell r="R2183"/>
          <cell r="S2183"/>
          <cell r="T2183"/>
          <cell r="U2183"/>
          <cell r="V2183">
            <v>15</v>
          </cell>
          <cell r="W2183"/>
          <cell r="X2183" t="str">
            <v>M-TEX</v>
          </cell>
          <cell r="Y2183"/>
          <cell r="Z2183" t="str">
            <v>KHOI ' MAIL 27/10/17</v>
          </cell>
          <cell r="AA2183"/>
          <cell r="AB2183">
            <v>42973</v>
          </cell>
          <cell r="AC2183">
            <v>3993</v>
          </cell>
        </row>
        <row r="2184">
          <cell r="B2184">
            <v>3391</v>
          </cell>
          <cell r="C2184" t="str">
            <v>TS-370</v>
          </cell>
          <cell r="D2184" t="str">
            <v>TENCEL TWILL</v>
          </cell>
          <cell r="E2184"/>
          <cell r="F2184" t="str">
            <v>TENCEL 100%</v>
          </cell>
          <cell r="G2184" t="str">
            <v xml:space="preserve">100% TENCEL </v>
          </cell>
          <cell r="H2184" t="str">
            <v>52/53</v>
          </cell>
          <cell r="I2184">
            <v>160</v>
          </cell>
          <cell r="J2184">
            <v>2.54</v>
          </cell>
          <cell r="K2184">
            <v>2.69</v>
          </cell>
          <cell r="L2184">
            <v>2.56</v>
          </cell>
          <cell r="M2184">
            <v>2.72</v>
          </cell>
          <cell r="N2184">
            <v>2.58</v>
          </cell>
          <cell r="O2184">
            <v>2.75</v>
          </cell>
          <cell r="P2184"/>
          <cell r="Q2184"/>
          <cell r="R2184">
            <v>2.73</v>
          </cell>
          <cell r="S2184">
            <v>3</v>
          </cell>
          <cell r="T2184"/>
          <cell r="U2184"/>
          <cell r="V2184"/>
          <cell r="W2184"/>
          <cell r="X2184" t="str">
            <v>GAVIN</v>
          </cell>
          <cell r="Y2184" t="str">
            <v>GAVIN 25-AUGUST</v>
          </cell>
          <cell r="Z2184" t="str">
            <v>GAVIN' MAIL 25/8/17</v>
          </cell>
          <cell r="AA2184"/>
          <cell r="AB2184">
            <v>42973</v>
          </cell>
          <cell r="AC2184">
            <v>3391</v>
          </cell>
        </row>
        <row r="2185">
          <cell r="B2185">
            <v>3390</v>
          </cell>
          <cell r="C2185" t="str">
            <v>T3283-1-E</v>
          </cell>
          <cell r="D2185" t="str">
            <v>LACE</v>
          </cell>
          <cell r="E2185"/>
          <cell r="F2185" t="str">
            <v>N 100%</v>
          </cell>
          <cell r="G2185" t="str">
            <v>100% NYLON</v>
          </cell>
          <cell r="H2185" t="str">
            <v>150CM</v>
          </cell>
          <cell r="I2185">
            <v>145</v>
          </cell>
          <cell r="J2185">
            <v>2.2999999999999998</v>
          </cell>
          <cell r="K2185"/>
          <cell r="L2185">
            <v>2.2999999999999998</v>
          </cell>
          <cell r="M2185"/>
          <cell r="N2185">
            <v>2.4</v>
          </cell>
          <cell r="O2185"/>
          <cell r="P2185"/>
          <cell r="Q2185"/>
          <cell r="R2185">
            <v>2.4</v>
          </cell>
          <cell r="S2185"/>
          <cell r="T2185"/>
          <cell r="U2185"/>
          <cell r="V2185">
            <v>15</v>
          </cell>
          <cell r="W2185"/>
          <cell r="X2185" t="str">
            <v>ANGELA</v>
          </cell>
          <cell r="Y2185" t="str">
            <v>ANGELA 24-AUGUST</v>
          </cell>
          <cell r="Z2185" t="str">
            <v>ANGELA' MAIL 24/8/17</v>
          </cell>
          <cell r="AA2185"/>
          <cell r="AB2185">
            <v>42971</v>
          </cell>
          <cell r="AC2185">
            <v>3390</v>
          </cell>
        </row>
        <row r="2186">
          <cell r="B2186">
            <v>3389</v>
          </cell>
          <cell r="C2186" t="str">
            <v>T2328-E</v>
          </cell>
          <cell r="D2186" t="str">
            <v>LACE</v>
          </cell>
          <cell r="E2186"/>
          <cell r="F2186" t="str">
            <v>C/N 60/40</v>
          </cell>
          <cell r="G2186" t="str">
            <v>60% COTTON 40% NYLON</v>
          </cell>
          <cell r="H2186" t="str">
            <v>150CM</v>
          </cell>
          <cell r="I2186">
            <v>133</v>
          </cell>
          <cell r="J2186">
            <v>2.2000000000000002</v>
          </cell>
          <cell r="K2186"/>
          <cell r="L2186">
            <v>2.2000000000000002</v>
          </cell>
          <cell r="M2186"/>
          <cell r="N2186">
            <v>2.2999999999999998</v>
          </cell>
          <cell r="O2186"/>
          <cell r="P2186"/>
          <cell r="Q2186"/>
          <cell r="R2186">
            <v>2.2999999999999998</v>
          </cell>
          <cell r="S2186"/>
          <cell r="T2186"/>
          <cell r="U2186"/>
          <cell r="V2186">
            <v>15</v>
          </cell>
          <cell r="W2186"/>
          <cell r="X2186" t="str">
            <v>ANGELA</v>
          </cell>
          <cell r="Y2186" t="str">
            <v>ANGELA 24-AUGUST</v>
          </cell>
          <cell r="Z2186" t="str">
            <v>ANGELA' MAIL 24/8/17</v>
          </cell>
          <cell r="AA2186"/>
          <cell r="AB2186">
            <v>42971</v>
          </cell>
          <cell r="AC2186">
            <v>3389</v>
          </cell>
        </row>
        <row r="2187">
          <cell r="B2187">
            <v>3388</v>
          </cell>
          <cell r="C2187" t="str">
            <v>#16116</v>
          </cell>
          <cell r="D2187" t="str">
            <v>LACE</v>
          </cell>
          <cell r="E2187"/>
          <cell r="F2187" t="str">
            <v>N/C 60/40</v>
          </cell>
          <cell r="G2187" t="str">
            <v>60% NYLON 40% COTTON</v>
          </cell>
          <cell r="H2187" t="str">
            <v>150CM</v>
          </cell>
          <cell r="I2187">
            <v>146</v>
          </cell>
          <cell r="J2187">
            <v>2.83</v>
          </cell>
          <cell r="K2187"/>
          <cell r="L2187">
            <v>2.88</v>
          </cell>
          <cell r="M2187"/>
          <cell r="N2187">
            <v>2.93</v>
          </cell>
          <cell r="O2187"/>
          <cell r="P2187"/>
          <cell r="Q2187"/>
          <cell r="R2187">
            <v>3.03</v>
          </cell>
          <cell r="S2187"/>
          <cell r="T2187"/>
          <cell r="U2187"/>
          <cell r="V2187"/>
          <cell r="W2187" t="str">
            <v>Fastness above grade 3.5</v>
          </cell>
          <cell r="X2187" t="str">
            <v>LIBY</v>
          </cell>
          <cell r="Y2187" t="str">
            <v>LIBY 22-AUGUST</v>
          </cell>
          <cell r="Z2187" t="str">
            <v>LIBY' MAIL 22/8/17</v>
          </cell>
          <cell r="AA2187"/>
          <cell r="AB2187">
            <v>42971</v>
          </cell>
          <cell r="AC2187">
            <v>3388</v>
          </cell>
        </row>
        <row r="2188">
          <cell r="B2188">
            <v>3387</v>
          </cell>
          <cell r="C2188" t="str">
            <v>#16979</v>
          </cell>
          <cell r="D2188" t="str">
            <v>LACE</v>
          </cell>
          <cell r="E2188"/>
          <cell r="F2188" t="str">
            <v>C/N 70/30</v>
          </cell>
          <cell r="G2188" t="str">
            <v>30% NYLON 70% COTTON</v>
          </cell>
          <cell r="H2188" t="str">
            <v>150cm</v>
          </cell>
          <cell r="I2188">
            <v>115.7</v>
          </cell>
          <cell r="J2188">
            <v>2.02</v>
          </cell>
          <cell r="K2188"/>
          <cell r="L2188">
            <v>2.0699999999999998</v>
          </cell>
          <cell r="M2188"/>
          <cell r="N2188">
            <v>2.12</v>
          </cell>
          <cell r="O2188"/>
          <cell r="P2188"/>
          <cell r="Q2188"/>
          <cell r="R2188">
            <v>2.2200000000000002</v>
          </cell>
          <cell r="S2188"/>
          <cell r="T2188"/>
          <cell r="U2188"/>
          <cell r="V2188"/>
          <cell r="W2188" t="str">
            <v>Fastness above grade 3.5</v>
          </cell>
          <cell r="X2188" t="str">
            <v>LIBY</v>
          </cell>
          <cell r="Y2188" t="str">
            <v>LIBY 22-AUGUST</v>
          </cell>
          <cell r="Z2188" t="str">
            <v>LIBY' MAIL 22/8/17</v>
          </cell>
          <cell r="AA2188"/>
          <cell r="AB2188">
            <v>42971</v>
          </cell>
          <cell r="AC2188">
            <v>3387</v>
          </cell>
        </row>
        <row r="2189">
          <cell r="B2189">
            <v>2968</v>
          </cell>
          <cell r="C2189" t="str">
            <v>OLP-1722710YH</v>
          </cell>
          <cell r="D2189" t="str">
            <v>CREPE</v>
          </cell>
          <cell r="E2189"/>
          <cell r="F2189" t="str">
            <v>T 100%</v>
          </cell>
          <cell r="G2189" t="str">
            <v>100% POLYESTER</v>
          </cell>
          <cell r="H2189" t="str">
            <v>57/58</v>
          </cell>
          <cell r="I2189">
            <v>250</v>
          </cell>
          <cell r="J2189">
            <v>3.7</v>
          </cell>
          <cell r="K2189">
            <v>3.95</v>
          </cell>
          <cell r="L2189">
            <v>3.8</v>
          </cell>
          <cell r="M2189">
            <v>4.05</v>
          </cell>
          <cell r="N2189">
            <v>3.95</v>
          </cell>
          <cell r="O2189">
            <v>4.5</v>
          </cell>
          <cell r="P2189"/>
          <cell r="Q2189"/>
          <cell r="R2189">
            <v>4.0999999999999996</v>
          </cell>
          <cell r="S2189">
            <v>5</v>
          </cell>
          <cell r="T2189"/>
          <cell r="U2189"/>
          <cell r="V2189">
            <v>15</v>
          </cell>
          <cell r="W2189"/>
          <cell r="X2189" t="str">
            <v>OWEN</v>
          </cell>
          <cell r="Y2189" t="str">
            <v>OWEN 23-AUGUST</v>
          </cell>
          <cell r="Z2189" t="str">
            <v>SANDY' MAIL 24/8/17</v>
          </cell>
          <cell r="AA2189"/>
          <cell r="AB2189">
            <v>42971</v>
          </cell>
          <cell r="AC2189">
            <v>2968</v>
          </cell>
        </row>
        <row r="2190">
          <cell r="B2190">
            <v>2967</v>
          </cell>
          <cell r="C2190" t="str">
            <v>OLP-1722709YH</v>
          </cell>
          <cell r="D2190" t="str">
            <v>CREPE</v>
          </cell>
          <cell r="E2190"/>
          <cell r="F2190" t="str">
            <v>T/R/S 62/33/5</v>
          </cell>
          <cell r="G2190" t="str">
            <v>62%POLYESTER 33%RAYON 5%SPANDEX</v>
          </cell>
          <cell r="H2190">
            <v>56</v>
          </cell>
          <cell r="I2190">
            <v>270</v>
          </cell>
          <cell r="J2190">
            <v>3.77</v>
          </cell>
          <cell r="K2190"/>
          <cell r="L2190">
            <v>3.85</v>
          </cell>
          <cell r="M2190"/>
          <cell r="N2190">
            <v>4</v>
          </cell>
          <cell r="O2190"/>
          <cell r="P2190"/>
          <cell r="Q2190"/>
          <cell r="R2190">
            <v>4.1500000000000004</v>
          </cell>
          <cell r="S2190"/>
          <cell r="T2190"/>
          <cell r="U2190"/>
          <cell r="V2190">
            <v>15</v>
          </cell>
          <cell r="W2190"/>
          <cell r="X2190" t="str">
            <v>OWEN</v>
          </cell>
          <cell r="Y2190" t="str">
            <v>OWEN 23-AUGUST</v>
          </cell>
          <cell r="Z2190" t="str">
            <v>SANDY' MAIL 24/8/17</v>
          </cell>
          <cell r="AA2190"/>
          <cell r="AB2190">
            <v>42971</v>
          </cell>
          <cell r="AC2190">
            <v>2967</v>
          </cell>
        </row>
        <row r="2191">
          <cell r="B2191">
            <v>2929</v>
          </cell>
          <cell r="C2191" t="str">
            <v>SP-645</v>
          </cell>
          <cell r="D2191" t="str">
            <v>VELVET</v>
          </cell>
          <cell r="E2191"/>
          <cell r="F2191" t="str">
            <v>N/R 30/70</v>
          </cell>
          <cell r="G2191" t="str">
            <v>NYLON/RAYON 30/70</v>
          </cell>
          <cell r="H2191" t="str">
            <v>140CM</v>
          </cell>
          <cell r="I2191">
            <v>150</v>
          </cell>
          <cell r="J2191">
            <v>5.73</v>
          </cell>
          <cell r="K2191"/>
          <cell r="L2191"/>
          <cell r="M2191"/>
          <cell r="N2191">
            <v>5.78</v>
          </cell>
          <cell r="O2191"/>
          <cell r="P2191"/>
          <cell r="Q2191"/>
          <cell r="R2191">
            <v>6.08</v>
          </cell>
          <cell r="S2191"/>
          <cell r="T2191"/>
          <cell r="U2191"/>
          <cell r="V2191">
            <v>15</v>
          </cell>
          <cell r="W2191"/>
          <cell r="X2191" t="str">
            <v>LIVALTEX</v>
          </cell>
          <cell r="Y2191" t="str">
            <v>LIVALTEX 24-AUGUST</v>
          </cell>
          <cell r="Z2191" t="str">
            <v>ROSE' MAIL 24/8/17</v>
          </cell>
          <cell r="AA2191"/>
          <cell r="AB2191">
            <v>42971</v>
          </cell>
          <cell r="AC2191">
            <v>2929</v>
          </cell>
        </row>
        <row r="2192">
          <cell r="B2192">
            <v>2756</v>
          </cell>
          <cell r="C2192" t="str">
            <v>HLT1813</v>
          </cell>
          <cell r="D2192" t="str">
            <v>FLEATED</v>
          </cell>
          <cell r="E2192"/>
          <cell r="F2192" t="str">
            <v>T 100%</v>
          </cell>
          <cell r="G2192" t="str">
            <v>100%POLYESTER (FLEAT)</v>
          </cell>
          <cell r="H2192" t="str">
            <v>57/58</v>
          </cell>
          <cell r="I2192">
            <v>205</v>
          </cell>
          <cell r="J2192">
            <v>2.5137777777777774</v>
          </cell>
          <cell r="K2192"/>
          <cell r="L2192">
            <v>2.5137777777777774</v>
          </cell>
          <cell r="M2192"/>
          <cell r="N2192">
            <v>2.6137777777777775</v>
          </cell>
          <cell r="O2192"/>
          <cell r="P2192"/>
          <cell r="Q2192"/>
          <cell r="R2192">
            <v>2.8137777777777777</v>
          </cell>
          <cell r="S2192"/>
          <cell r="T2192"/>
          <cell r="U2192"/>
          <cell r="V2192">
            <v>15</v>
          </cell>
          <cell r="W2192"/>
          <cell r="X2192" t="str">
            <v>CANDY</v>
          </cell>
          <cell r="Y2192" t="str">
            <v>CANDY 23-AUGUST</v>
          </cell>
          <cell r="Z2192" t="str">
            <v>CANDY' MAIL 23/8/17</v>
          </cell>
          <cell r="AA2192"/>
          <cell r="AB2192">
            <v>42971</v>
          </cell>
          <cell r="AC2192">
            <v>2756</v>
          </cell>
        </row>
        <row r="2193">
          <cell r="B2193">
            <v>2753</v>
          </cell>
          <cell r="C2193" t="str">
            <v>HLT3230</v>
          </cell>
          <cell r="D2193" t="str">
            <v>VELVET</v>
          </cell>
          <cell r="E2193"/>
          <cell r="F2193" t="str">
            <v>T/S 92/8</v>
          </cell>
          <cell r="G2193" t="str">
            <v>92%POLYESTER 8%SPANDEX</v>
          </cell>
          <cell r="H2193" t="str">
            <v>57/58</v>
          </cell>
          <cell r="I2193">
            <v>250</v>
          </cell>
          <cell r="J2193">
            <v>1.8533333333333333</v>
          </cell>
          <cell r="K2193"/>
          <cell r="L2193">
            <v>1.9533333333333334</v>
          </cell>
          <cell r="M2193"/>
          <cell r="N2193">
            <v>2.0533333333333332</v>
          </cell>
          <cell r="O2193"/>
          <cell r="P2193"/>
          <cell r="Q2193"/>
          <cell r="R2193">
            <v>2.2533333333333334</v>
          </cell>
          <cell r="S2193"/>
          <cell r="T2193"/>
          <cell r="U2193"/>
          <cell r="V2193">
            <v>15</v>
          </cell>
          <cell r="W2193"/>
          <cell r="X2193" t="str">
            <v>CANDY</v>
          </cell>
          <cell r="Y2193" t="str">
            <v>CANDY 23-AUGUST</v>
          </cell>
          <cell r="Z2193" t="str">
            <v>CANDY' MAIL 23/8/17</v>
          </cell>
          <cell r="AA2193"/>
          <cell r="AB2193">
            <v>42971</v>
          </cell>
          <cell r="AC2193">
            <v>2753</v>
          </cell>
        </row>
        <row r="2194">
          <cell r="B2194">
            <v>2752</v>
          </cell>
          <cell r="C2194" t="str">
            <v>HLT3232</v>
          </cell>
          <cell r="D2194" t="str">
            <v>VELVET CRUSHED</v>
          </cell>
          <cell r="E2194"/>
          <cell r="F2194" t="str">
            <v>T/S 95/5</v>
          </cell>
          <cell r="G2194" t="str">
            <v>95%POLYESTER5%SPANDEX</v>
          </cell>
          <cell r="H2194" t="str">
            <v>57/58</v>
          </cell>
          <cell r="I2194">
            <v>250</v>
          </cell>
          <cell r="J2194">
            <v>1.6666666666666667</v>
          </cell>
          <cell r="K2194"/>
          <cell r="L2194">
            <v>1.7666666666666668</v>
          </cell>
          <cell r="M2194"/>
          <cell r="N2194">
            <v>1.8666666666666669</v>
          </cell>
          <cell r="O2194"/>
          <cell r="P2194"/>
          <cell r="Q2194"/>
          <cell r="R2194">
            <v>2.0666666666666669</v>
          </cell>
          <cell r="S2194"/>
          <cell r="T2194"/>
          <cell r="U2194"/>
          <cell r="V2194">
            <v>15</v>
          </cell>
          <cell r="W2194"/>
          <cell r="X2194" t="str">
            <v>CANDY</v>
          </cell>
          <cell r="Y2194" t="str">
            <v>CANDY 23-AUGUST</v>
          </cell>
          <cell r="Z2194" t="str">
            <v>CANDY' MAIL 23/8/17</v>
          </cell>
          <cell r="AA2194"/>
          <cell r="AB2194">
            <v>42971</v>
          </cell>
          <cell r="AC2194">
            <v>2752</v>
          </cell>
        </row>
        <row r="2195">
          <cell r="B2195">
            <v>2751</v>
          </cell>
          <cell r="C2195" t="str">
            <v>HLT3233</v>
          </cell>
          <cell r="D2195" t="str">
            <v>VELVET</v>
          </cell>
          <cell r="E2195"/>
          <cell r="F2195" t="str">
            <v>T/S 95/5</v>
          </cell>
          <cell r="G2195" t="str">
            <v>95%POLYESTER5%SPANDEX</v>
          </cell>
          <cell r="H2195" t="str">
            <v>57/58</v>
          </cell>
          <cell r="I2195">
            <v>300</v>
          </cell>
          <cell r="J2195">
            <v>1.9666666666666666</v>
          </cell>
          <cell r="K2195"/>
          <cell r="L2195">
            <v>2.0666666666666664</v>
          </cell>
          <cell r="M2195"/>
          <cell r="N2195">
            <v>2.1666666666666665</v>
          </cell>
          <cell r="O2195"/>
          <cell r="P2195"/>
          <cell r="Q2195"/>
          <cell r="R2195">
            <v>2.3666666666666667</v>
          </cell>
          <cell r="S2195"/>
          <cell r="T2195"/>
          <cell r="U2195"/>
          <cell r="V2195">
            <v>15</v>
          </cell>
          <cell r="W2195"/>
          <cell r="X2195" t="str">
            <v>CANDY</v>
          </cell>
          <cell r="Y2195" t="str">
            <v>CANDY 23-AUGUST</v>
          </cell>
          <cell r="Z2195" t="str">
            <v>CANDY' MAIL 23/8/17</v>
          </cell>
          <cell r="AA2195"/>
          <cell r="AB2195">
            <v>42971</v>
          </cell>
          <cell r="AC2195">
            <v>2751</v>
          </cell>
        </row>
        <row r="2196">
          <cell r="B2196">
            <v>2750</v>
          </cell>
          <cell r="C2196" t="str">
            <v>HLT3235</v>
          </cell>
          <cell r="D2196" t="str">
            <v>VELVET</v>
          </cell>
          <cell r="E2196"/>
          <cell r="F2196" t="str">
            <v>T/S 95/5</v>
          </cell>
          <cell r="G2196" t="str">
            <v>95%POLYESTER5%SPANDEX</v>
          </cell>
          <cell r="H2196" t="str">
            <v>57/58</v>
          </cell>
          <cell r="I2196">
            <v>300</v>
          </cell>
          <cell r="J2196">
            <v>1.9666666666666666</v>
          </cell>
          <cell r="K2196"/>
          <cell r="L2196">
            <v>2.0666666666666664</v>
          </cell>
          <cell r="M2196"/>
          <cell r="N2196">
            <v>2.1666666666666665</v>
          </cell>
          <cell r="O2196"/>
          <cell r="P2196"/>
          <cell r="Q2196"/>
          <cell r="R2196">
            <v>2.3666666666666667</v>
          </cell>
          <cell r="S2196"/>
          <cell r="T2196"/>
          <cell r="U2196"/>
          <cell r="V2196">
            <v>15</v>
          </cell>
          <cell r="W2196"/>
          <cell r="X2196" t="str">
            <v>CANDY</v>
          </cell>
          <cell r="Y2196" t="str">
            <v>CANDY 23-AUGUST</v>
          </cell>
          <cell r="Z2196" t="str">
            <v>CANDY' MAIL 23/8/17</v>
          </cell>
          <cell r="AA2196"/>
          <cell r="AB2196">
            <v>42971</v>
          </cell>
          <cell r="AC2196">
            <v>2750</v>
          </cell>
        </row>
        <row r="2197">
          <cell r="B2197">
            <v>2749</v>
          </cell>
          <cell r="C2197" t="str">
            <v>HLT3309</v>
          </cell>
          <cell r="D2197" t="str">
            <v>VELVET</v>
          </cell>
          <cell r="E2197"/>
          <cell r="F2197" t="str">
            <v>T/S 92/8</v>
          </cell>
          <cell r="G2197" t="str">
            <v>92%POLYESTER 8%SPANDEX</v>
          </cell>
          <cell r="H2197" t="str">
            <v>57/58</v>
          </cell>
          <cell r="I2197">
            <v>235</v>
          </cell>
          <cell r="J2197">
            <v>1.8933333333333333</v>
          </cell>
          <cell r="K2197"/>
          <cell r="L2197">
            <v>1.9933333333333334</v>
          </cell>
          <cell r="M2197"/>
          <cell r="N2197">
            <v>2.0933333333333333</v>
          </cell>
          <cell r="O2197"/>
          <cell r="P2197"/>
          <cell r="Q2197"/>
          <cell r="R2197">
            <v>2.2933333333333334</v>
          </cell>
          <cell r="S2197"/>
          <cell r="T2197"/>
          <cell r="U2197"/>
          <cell r="V2197">
            <v>15</v>
          </cell>
          <cell r="W2197"/>
          <cell r="X2197" t="str">
            <v>CANDY</v>
          </cell>
          <cell r="Y2197" t="str">
            <v>CANDY 23-AUGUST</v>
          </cell>
          <cell r="Z2197" t="str">
            <v>CANDY' MAIL 23/8/17</v>
          </cell>
          <cell r="AA2197"/>
          <cell r="AB2197">
            <v>42971</v>
          </cell>
          <cell r="AC2197">
            <v>2749</v>
          </cell>
        </row>
        <row r="2198">
          <cell r="B2198">
            <v>2748</v>
          </cell>
          <cell r="C2198" t="str">
            <v>HLT3311</v>
          </cell>
          <cell r="D2198" t="str">
            <v>VELVET</v>
          </cell>
          <cell r="E2198"/>
          <cell r="F2198" t="str">
            <v>T 100%</v>
          </cell>
          <cell r="G2198" t="str">
            <v>100%POLYESTER</v>
          </cell>
          <cell r="H2198">
            <v>44</v>
          </cell>
          <cell r="I2198" t="str">
            <v>190~200</v>
          </cell>
          <cell r="J2198">
            <v>1.96</v>
          </cell>
          <cell r="K2198"/>
          <cell r="L2198">
            <v>2.06</v>
          </cell>
          <cell r="M2198"/>
          <cell r="N2198">
            <v>2.16</v>
          </cell>
          <cell r="O2198"/>
          <cell r="P2198"/>
          <cell r="Q2198"/>
          <cell r="R2198">
            <v>2.3600000000000003</v>
          </cell>
          <cell r="S2198"/>
          <cell r="T2198"/>
          <cell r="U2198"/>
          <cell r="V2198">
            <v>15</v>
          </cell>
          <cell r="W2198"/>
          <cell r="X2198" t="str">
            <v>CANDY</v>
          </cell>
          <cell r="Y2198" t="str">
            <v>CANDY 23-AUGUST</v>
          </cell>
          <cell r="Z2198" t="str">
            <v>CANDY' MAIL 23/8/17</v>
          </cell>
          <cell r="AA2198"/>
          <cell r="AB2198">
            <v>42971</v>
          </cell>
          <cell r="AC2198">
            <v>2748</v>
          </cell>
        </row>
        <row r="2199">
          <cell r="B2199">
            <v>2747</v>
          </cell>
          <cell r="C2199" t="str">
            <v>HLT3310</v>
          </cell>
          <cell r="D2199" t="str">
            <v>VELVET CRUSHED</v>
          </cell>
          <cell r="E2199" t="str">
            <v>SUPPLIER DELETE THIS ITEM</v>
          </cell>
          <cell r="F2199" t="str">
            <v>T/S 92/8</v>
          </cell>
          <cell r="G2199" t="str">
            <v>92%POLYESTER 8%SPANDEX</v>
          </cell>
          <cell r="H2199" t="str">
            <v>57/58</v>
          </cell>
          <cell r="I2199">
            <v>235</v>
          </cell>
          <cell r="J2199">
            <v>0</v>
          </cell>
          <cell r="K2199"/>
          <cell r="L2199"/>
          <cell r="M2199"/>
          <cell r="N2199"/>
          <cell r="O2199"/>
          <cell r="P2199"/>
          <cell r="Q2199"/>
          <cell r="R2199"/>
          <cell r="S2199"/>
          <cell r="T2199"/>
          <cell r="U2199"/>
          <cell r="V2199"/>
          <cell r="W2199" t="str">
            <v>SUPPLIER DELETE THIS ITEM</v>
          </cell>
          <cell r="X2199" t="str">
            <v>CANDY</v>
          </cell>
          <cell r="Y2199" t="str">
            <v>CANDY 23-AUGUST</v>
          </cell>
          <cell r="Z2199" t="str">
            <v>CANDY' MAIL 23/8/17</v>
          </cell>
          <cell r="AA2199"/>
          <cell r="AB2199">
            <v>42971</v>
          </cell>
          <cell r="AC2199">
            <v>2747</v>
          </cell>
        </row>
        <row r="2200">
          <cell r="B2200">
            <v>2729</v>
          </cell>
          <cell r="C2200" t="str">
            <v>K-2700</v>
          </cell>
          <cell r="D2200" t="str">
            <v>VELVET</v>
          </cell>
          <cell r="E2200"/>
          <cell r="F2200" t="str">
            <v>T/S 95/5</v>
          </cell>
          <cell r="G2200" t="str">
            <v>95% POLY 5% SPANDEX</v>
          </cell>
          <cell r="H2200" t="str">
            <v>58/60</v>
          </cell>
          <cell r="I2200">
            <v>258</v>
          </cell>
          <cell r="J2200">
            <v>2.2000000000000002</v>
          </cell>
          <cell r="K2200"/>
          <cell r="L2200"/>
          <cell r="M2200"/>
          <cell r="N2200">
            <v>2.25</v>
          </cell>
          <cell r="O2200"/>
          <cell r="P2200"/>
          <cell r="Q2200"/>
          <cell r="R2200">
            <v>2.5499999999999998</v>
          </cell>
          <cell r="S2200"/>
          <cell r="T2200"/>
          <cell r="U2200"/>
          <cell r="V2200">
            <v>15</v>
          </cell>
          <cell r="W2200"/>
          <cell r="X2200" t="str">
            <v>LIVALTEX</v>
          </cell>
          <cell r="Y2200" t="str">
            <v>LIVALTEX 24-AUGUST</v>
          </cell>
          <cell r="Z2200" t="str">
            <v>ROSE' MAIL 24/8/17</v>
          </cell>
          <cell r="AA2200"/>
          <cell r="AB2200">
            <v>42971</v>
          </cell>
          <cell r="AC2200">
            <v>2729</v>
          </cell>
        </row>
        <row r="2201">
          <cell r="B2201">
            <v>2728</v>
          </cell>
          <cell r="C2201" t="str">
            <v>K-2699</v>
          </cell>
          <cell r="D2201" t="str">
            <v>VELVET</v>
          </cell>
          <cell r="E2201"/>
          <cell r="F2201" t="str">
            <v>T/S 92/8</v>
          </cell>
          <cell r="G2201" t="str">
            <v>92% POLY 8% SPANDEX</v>
          </cell>
          <cell r="H2201" t="str">
            <v>58/60</v>
          </cell>
          <cell r="I2201">
            <v>233</v>
          </cell>
          <cell r="J2201">
            <v>2.0499999999999998</v>
          </cell>
          <cell r="K2201"/>
          <cell r="L2201"/>
          <cell r="M2201"/>
          <cell r="N2201">
            <v>2.1</v>
          </cell>
          <cell r="O2201"/>
          <cell r="P2201"/>
          <cell r="Q2201"/>
          <cell r="R2201">
            <v>2.4</v>
          </cell>
          <cell r="S2201"/>
          <cell r="T2201"/>
          <cell r="U2201"/>
          <cell r="V2201">
            <v>15</v>
          </cell>
          <cell r="W2201"/>
          <cell r="X2201" t="str">
            <v>LIVALTEX</v>
          </cell>
          <cell r="Y2201" t="str">
            <v>LIVALTEX 24-AUGUST</v>
          </cell>
          <cell r="Z2201" t="str">
            <v>ROSE' MAIL 24/8/17</v>
          </cell>
          <cell r="AA2201"/>
          <cell r="AB2201">
            <v>42971</v>
          </cell>
          <cell r="AC2201">
            <v>2728</v>
          </cell>
        </row>
        <row r="2202">
          <cell r="B2202">
            <v>2727</v>
          </cell>
          <cell r="C2202" t="str">
            <v>K-2698</v>
          </cell>
          <cell r="D2202" t="str">
            <v>VELVET</v>
          </cell>
          <cell r="E2202"/>
          <cell r="F2202" t="str">
            <v>T 100%</v>
          </cell>
          <cell r="G2202" t="str">
            <v>100% POLYESTER</v>
          </cell>
          <cell r="H2202" t="str">
            <v>58/60</v>
          </cell>
          <cell r="I2202">
            <v>144</v>
          </cell>
          <cell r="J2202">
            <v>1.25</v>
          </cell>
          <cell r="K2202"/>
          <cell r="L2202"/>
          <cell r="M2202"/>
          <cell r="N2202">
            <v>1.3</v>
          </cell>
          <cell r="O2202"/>
          <cell r="P2202"/>
          <cell r="Q2202"/>
          <cell r="R2202">
            <v>1.6</v>
          </cell>
          <cell r="S2202"/>
          <cell r="T2202"/>
          <cell r="U2202"/>
          <cell r="V2202">
            <v>15</v>
          </cell>
          <cell r="W2202"/>
          <cell r="X2202" t="str">
            <v>LIVALTEX</v>
          </cell>
          <cell r="Y2202" t="str">
            <v>LIVALTEX 24-AUGUST</v>
          </cell>
          <cell r="Z2202" t="str">
            <v>ROSE' MAIL 24/8/17</v>
          </cell>
          <cell r="AA2202"/>
          <cell r="AB2202">
            <v>42971</v>
          </cell>
          <cell r="AC2202">
            <v>2727</v>
          </cell>
        </row>
        <row r="2203">
          <cell r="B2203">
            <v>2718</v>
          </cell>
          <cell r="C2203" t="str">
            <v>HLT227</v>
          </cell>
          <cell r="D2203"/>
          <cell r="E2203"/>
          <cell r="F2203" t="str">
            <v>T/S 92/8</v>
          </cell>
          <cell r="G2203" t="str">
            <v>92% POLYESTER 8% SPAN</v>
          </cell>
          <cell r="H2203" t="str">
            <v>57/58</v>
          </cell>
          <cell r="I2203">
            <v>375</v>
          </cell>
          <cell r="J2203">
            <v>3.38</v>
          </cell>
          <cell r="K2203"/>
          <cell r="L2203">
            <v>3.38</v>
          </cell>
          <cell r="M2203"/>
          <cell r="N2203">
            <v>3.48</v>
          </cell>
          <cell r="O2203"/>
          <cell r="P2203"/>
          <cell r="Q2203"/>
          <cell r="R2203">
            <v>3.68</v>
          </cell>
          <cell r="S2203"/>
          <cell r="T2203"/>
          <cell r="U2203"/>
          <cell r="V2203">
            <v>15</v>
          </cell>
          <cell r="W2203"/>
          <cell r="X2203" t="str">
            <v>CANDY</v>
          </cell>
          <cell r="Y2203" t="str">
            <v>CANDY 23-AUGUST</v>
          </cell>
          <cell r="Z2203" t="str">
            <v>CANDY' MAIL 23/8/17</v>
          </cell>
          <cell r="AA2203"/>
          <cell r="AB2203">
            <v>42971</v>
          </cell>
          <cell r="AC2203">
            <v>2718</v>
          </cell>
        </row>
        <row r="2204">
          <cell r="B2204">
            <v>2701</v>
          </cell>
          <cell r="C2204" t="str">
            <v>HLT3077</v>
          </cell>
          <cell r="D2204"/>
          <cell r="E2204"/>
          <cell r="F2204" t="str">
            <v>T 100%</v>
          </cell>
          <cell r="G2204" t="str">
            <v>100% POLYESTER</v>
          </cell>
          <cell r="H2204" t="str">
            <v>145 CM</v>
          </cell>
          <cell r="I2204">
            <v>323</v>
          </cell>
          <cell r="J2204">
            <v>2.8251851851851852</v>
          </cell>
          <cell r="K2204"/>
          <cell r="L2204">
            <v>2.9251851851851853</v>
          </cell>
          <cell r="M2204"/>
          <cell r="N2204">
            <v>3.0251851851851854</v>
          </cell>
          <cell r="O2204"/>
          <cell r="P2204"/>
          <cell r="Q2204"/>
          <cell r="R2204">
            <v>3.2251851851851856</v>
          </cell>
          <cell r="S2204"/>
          <cell r="T2204"/>
          <cell r="U2204"/>
          <cell r="V2204">
            <v>15</v>
          </cell>
          <cell r="W2204"/>
          <cell r="X2204" t="str">
            <v>CANDY</v>
          </cell>
          <cell r="Y2204" t="str">
            <v>CANDY 23-AUGUST</v>
          </cell>
          <cell r="Z2204" t="str">
            <v>CANDY' MAIL 23/8/17</v>
          </cell>
          <cell r="AA2204"/>
          <cell r="AB2204">
            <v>42971</v>
          </cell>
          <cell r="AC2204">
            <v>2701</v>
          </cell>
        </row>
        <row r="2205">
          <cell r="B2205">
            <v>2613</v>
          </cell>
          <cell r="C2205" t="str">
            <v>OLP-1612307BX</v>
          </cell>
          <cell r="D2205" t="str">
            <v>SATEEN</v>
          </cell>
          <cell r="E2205"/>
          <cell r="F2205" t="str">
            <v>R 100%</v>
          </cell>
          <cell r="G2205" t="str">
            <v>100% RAYON</v>
          </cell>
          <cell r="H2205" t="str">
            <v>53/54”</v>
          </cell>
          <cell r="I2205">
            <v>176</v>
          </cell>
          <cell r="J2205">
            <v>2.68</v>
          </cell>
          <cell r="K2205">
            <v>3</v>
          </cell>
          <cell r="L2205">
            <v>2.75</v>
          </cell>
          <cell r="M2205">
            <v>3.1</v>
          </cell>
          <cell r="N2205">
            <v>2.85</v>
          </cell>
          <cell r="O2205">
            <v>3.25</v>
          </cell>
          <cell r="P2205"/>
          <cell r="Q2205"/>
          <cell r="R2205">
            <v>3</v>
          </cell>
          <cell r="S2205">
            <v>3.7</v>
          </cell>
          <cell r="T2205"/>
          <cell r="U2205"/>
          <cell r="V2205">
            <v>15</v>
          </cell>
          <cell r="W2205" t="str">
            <v>KinDly reminD that the wet color fastness is not gooD, pls help to reminD the customer</v>
          </cell>
          <cell r="X2205" t="str">
            <v>OWEN</v>
          </cell>
          <cell r="Y2205" t="str">
            <v>OWEN 23-AUGUST</v>
          </cell>
          <cell r="Z2205" t="str">
            <v>SANDY' MAIL 24/8/17</v>
          </cell>
          <cell r="AA2205"/>
          <cell r="AB2205">
            <v>42971</v>
          </cell>
          <cell r="AC2205">
            <v>2613</v>
          </cell>
        </row>
        <row r="2206">
          <cell r="B2206">
            <v>2353</v>
          </cell>
          <cell r="C2206" t="str">
            <v>OLP-CFTS438DY</v>
          </cell>
          <cell r="D2206" t="str">
            <v>VISCOSE TWILL</v>
          </cell>
          <cell r="E2206"/>
          <cell r="F2206" t="str">
            <v>V 100%</v>
          </cell>
          <cell r="G2206" t="str">
            <v>100% VISCOSE</v>
          </cell>
          <cell r="H2206" t="str">
            <v>53/54</v>
          </cell>
          <cell r="I2206">
            <v>175</v>
          </cell>
          <cell r="J2206">
            <v>2.1</v>
          </cell>
          <cell r="K2206">
            <v>2.6</v>
          </cell>
          <cell r="L2206">
            <v>2.2000000000000002</v>
          </cell>
          <cell r="M2206">
            <v>2.7</v>
          </cell>
          <cell r="N2206">
            <v>2.2999999999999998</v>
          </cell>
          <cell r="O2206">
            <v>2.88</v>
          </cell>
          <cell r="P2206"/>
          <cell r="Q2206"/>
          <cell r="R2206">
            <v>2.4500000000000002</v>
          </cell>
          <cell r="S2206">
            <v>3.38</v>
          </cell>
          <cell r="T2206"/>
          <cell r="U2206"/>
          <cell r="V2206">
            <v>15</v>
          </cell>
          <cell r="W2206"/>
          <cell r="X2206" t="str">
            <v>OWEN</v>
          </cell>
          <cell r="Y2206" t="str">
            <v>OWEN 23-AUGUST</v>
          </cell>
          <cell r="Z2206" t="str">
            <v>SANDY' MAIL 24/8/17</v>
          </cell>
          <cell r="AA2206"/>
          <cell r="AB2206">
            <v>42971</v>
          </cell>
          <cell r="AC2206">
            <v>2353</v>
          </cell>
        </row>
        <row r="2207">
          <cell r="B2207">
            <v>2351</v>
          </cell>
          <cell r="C2207" t="str">
            <v>OLP-SRT-15031209DY</v>
          </cell>
          <cell r="D2207" t="str">
            <v>RAYON TWILL</v>
          </cell>
          <cell r="E2207"/>
          <cell r="F2207" t="str">
            <v>R 100%</v>
          </cell>
          <cell r="G2207" t="str">
            <v>100% RAYON</v>
          </cell>
          <cell r="H2207" t="str">
            <v>57/58</v>
          </cell>
          <cell r="I2207">
            <v>182</v>
          </cell>
          <cell r="J2207">
            <v>2.65</v>
          </cell>
          <cell r="K2207">
            <v>3.15</v>
          </cell>
          <cell r="L2207">
            <v>2.75</v>
          </cell>
          <cell r="M2207">
            <v>3.25</v>
          </cell>
          <cell r="N2207">
            <v>2.9</v>
          </cell>
          <cell r="O2207">
            <v>3.55</v>
          </cell>
          <cell r="P2207"/>
          <cell r="Q2207"/>
          <cell r="R2207">
            <v>3.05</v>
          </cell>
          <cell r="S2207">
            <v>4.05</v>
          </cell>
          <cell r="T2207"/>
          <cell r="U2207"/>
          <cell r="V2207">
            <v>15</v>
          </cell>
          <cell r="W2207"/>
          <cell r="X2207" t="str">
            <v>OWEN</v>
          </cell>
          <cell r="Y2207" t="str">
            <v>OWEN 23-AUGUST</v>
          </cell>
          <cell r="Z2207" t="str">
            <v>SANDY' MAIL 24/8/17</v>
          </cell>
          <cell r="AA2207"/>
          <cell r="AB2207">
            <v>42971</v>
          </cell>
          <cell r="AC2207">
            <v>2351</v>
          </cell>
        </row>
        <row r="2208">
          <cell r="B2208">
            <v>2197</v>
          </cell>
          <cell r="C2208" t="str">
            <v>HLT1567</v>
          </cell>
          <cell r="D2208" t="str">
            <v>SEERSUCKER</v>
          </cell>
          <cell r="E2208"/>
          <cell r="F2208" t="str">
            <v>T 100%</v>
          </cell>
          <cell r="G2208" t="str">
            <v>100% POLYESTER</v>
          </cell>
          <cell r="H2208" t="str">
            <v>57/58</v>
          </cell>
          <cell r="I2208">
            <v>98</v>
          </cell>
          <cell r="J2208">
            <v>1.2724444444444445</v>
          </cell>
          <cell r="K2208">
            <v>1.36</v>
          </cell>
          <cell r="L2208">
            <v>1.3724444444444446</v>
          </cell>
          <cell r="M2208">
            <v>1.4600000000000002</v>
          </cell>
          <cell r="N2208">
            <v>1.4724444444444447</v>
          </cell>
          <cell r="O2208">
            <v>1.5600000000000003</v>
          </cell>
          <cell r="P2208"/>
          <cell r="Q2208"/>
          <cell r="R2208">
            <v>1.6724444444444446</v>
          </cell>
          <cell r="S2208">
            <v>1.7600000000000002</v>
          </cell>
          <cell r="T2208"/>
          <cell r="U2208"/>
          <cell r="V2208">
            <v>15</v>
          </cell>
          <cell r="W2208"/>
          <cell r="X2208" t="str">
            <v>CANDY</v>
          </cell>
          <cell r="Y2208" t="str">
            <v>CANDY 23-AUGUST</v>
          </cell>
          <cell r="Z2208" t="str">
            <v>CANDY' MAIL 23/8/17</v>
          </cell>
          <cell r="AA2208"/>
          <cell r="AB2208">
            <v>42971</v>
          </cell>
          <cell r="AC2208">
            <v>2197</v>
          </cell>
        </row>
        <row r="2209">
          <cell r="B2209">
            <v>2095</v>
          </cell>
          <cell r="C2209" t="str">
            <v>288XS</v>
          </cell>
          <cell r="D2209" t="str">
            <v>POLY CHECK</v>
          </cell>
          <cell r="E2209"/>
          <cell r="F2209" t="str">
            <v>T 100%</v>
          </cell>
          <cell r="G2209" t="str">
            <v>100% POLYESTER</v>
          </cell>
          <cell r="H2209" t="str">
            <v>57/58</v>
          </cell>
          <cell r="I2209">
            <v>97</v>
          </cell>
          <cell r="J2209">
            <v>1.6</v>
          </cell>
          <cell r="K2209">
            <v>1.9</v>
          </cell>
          <cell r="L2209">
            <v>1.7</v>
          </cell>
          <cell r="M2209">
            <v>2</v>
          </cell>
          <cell r="N2209">
            <v>1.85</v>
          </cell>
          <cell r="O2209">
            <v>2.2000000000000002</v>
          </cell>
          <cell r="P2209"/>
          <cell r="Q2209"/>
          <cell r="R2209">
            <v>2</v>
          </cell>
          <cell r="S2209">
            <v>2.75</v>
          </cell>
          <cell r="T2209"/>
          <cell r="U2209"/>
          <cell r="V2209"/>
          <cell r="W2209"/>
          <cell r="X2209" t="str">
            <v>OWEN</v>
          </cell>
          <cell r="Y2209" t="str">
            <v>OWEN 23-AUGUST</v>
          </cell>
          <cell r="Z2209" t="str">
            <v>SANDY' MAIL 24/8/17</v>
          </cell>
          <cell r="AA2209"/>
          <cell r="AB2209">
            <v>42971</v>
          </cell>
          <cell r="AC2209">
            <v>2095</v>
          </cell>
        </row>
        <row r="2210">
          <cell r="B2210">
            <v>2047</v>
          </cell>
          <cell r="C2210" t="str">
            <v>CFTS-391-DY</v>
          </cell>
          <cell r="D2210" t="str">
            <v>CREPE</v>
          </cell>
          <cell r="E2210"/>
          <cell r="F2210" t="str">
            <v>V 100%</v>
          </cell>
          <cell r="G2210" t="str">
            <v>100% VISCOSE</v>
          </cell>
          <cell r="H2210" t="str">
            <v>49/50</v>
          </cell>
          <cell r="I2210">
            <v>181</v>
          </cell>
          <cell r="J2210">
            <v>3.4</v>
          </cell>
          <cell r="K2210">
            <v>3.8</v>
          </cell>
          <cell r="L2210">
            <v>3.45</v>
          </cell>
          <cell r="M2210">
            <v>3.9</v>
          </cell>
          <cell r="N2210">
            <v>3.58</v>
          </cell>
          <cell r="O2210">
            <v>4.05</v>
          </cell>
          <cell r="P2210"/>
          <cell r="Q2210"/>
          <cell r="R2210">
            <v>3.73</v>
          </cell>
          <cell r="S2210">
            <v>4.5999999999999996</v>
          </cell>
          <cell r="T2210"/>
          <cell r="U2210"/>
          <cell r="V2210">
            <v>15</v>
          </cell>
          <cell r="W2210"/>
          <cell r="X2210" t="str">
            <v>OWEN</v>
          </cell>
          <cell r="Y2210" t="str">
            <v>OWEN 23-AUGUST</v>
          </cell>
          <cell r="Z2210" t="str">
            <v>SANDY' MAIL 24/8/17</v>
          </cell>
          <cell r="AA2210"/>
          <cell r="AB2210">
            <v>42971</v>
          </cell>
          <cell r="AC2210">
            <v>2047</v>
          </cell>
        </row>
        <row r="2211">
          <cell r="B2211">
            <v>1747</v>
          </cell>
          <cell r="C2211" t="str">
            <v>JQ-J5234</v>
          </cell>
          <cell r="D2211" t="str">
            <v xml:space="preserve">RAYON DOBBY  </v>
          </cell>
          <cell r="E2211"/>
          <cell r="F2211" t="str">
            <v>R 100%</v>
          </cell>
          <cell r="G2211" t="str">
            <v>100% RAYON</v>
          </cell>
          <cell r="H2211" t="str">
            <v>53/54</v>
          </cell>
          <cell r="I2211">
            <v>234</v>
          </cell>
          <cell r="J2211">
            <v>3.4</v>
          </cell>
          <cell r="K2211">
            <v>3.8</v>
          </cell>
          <cell r="L2211">
            <v>3.5</v>
          </cell>
          <cell r="M2211">
            <v>3.9</v>
          </cell>
          <cell r="N2211">
            <v>3.65</v>
          </cell>
          <cell r="O2211">
            <v>4.0999999999999996</v>
          </cell>
          <cell r="P2211"/>
          <cell r="Q2211"/>
          <cell r="R2211">
            <v>3.8</v>
          </cell>
          <cell r="S2211">
            <v>4.6500000000000004</v>
          </cell>
          <cell r="T2211"/>
          <cell r="U2211"/>
          <cell r="V2211"/>
          <cell r="W2211"/>
          <cell r="X2211" t="str">
            <v>OWEN</v>
          </cell>
          <cell r="Y2211" t="str">
            <v>OWEN 23-AUGUST</v>
          </cell>
          <cell r="Z2211" t="str">
            <v>SANDY' MAIL 24/8/17</v>
          </cell>
          <cell r="AA2211"/>
          <cell r="AB2211">
            <v>42971</v>
          </cell>
          <cell r="AC2211">
            <v>1747</v>
          </cell>
        </row>
        <row r="2212">
          <cell r="B2212">
            <v>2353</v>
          </cell>
          <cell r="C2212" t="str">
            <v>OLP-CFTS438DY</v>
          </cell>
          <cell r="D2212" t="str">
            <v>VISCOSE TWILL</v>
          </cell>
          <cell r="E2212" t="str">
            <v>TWILL 2/1</v>
          </cell>
          <cell r="F2212" t="str">
            <v>V 100%</v>
          </cell>
          <cell r="G2212" t="str">
            <v>100% VISCOSE</v>
          </cell>
          <cell r="H2212" t="str">
            <v>53/54</v>
          </cell>
          <cell r="I2212">
            <v>181</v>
          </cell>
          <cell r="J2212"/>
          <cell r="K2212"/>
          <cell r="L2212"/>
          <cell r="M2212"/>
          <cell r="N2212"/>
          <cell r="O2212"/>
          <cell r="P2212"/>
          <cell r="Q2212"/>
          <cell r="R2212"/>
          <cell r="S2212"/>
          <cell r="T2212"/>
          <cell r="U2212"/>
          <cell r="V2212"/>
          <cell r="W2212"/>
          <cell r="X2212" t="str">
            <v>OWEN</v>
          </cell>
          <cell r="Y2212" t="str">
            <v>HANGER</v>
          </cell>
          <cell r="Z2212" t="str">
            <v>HANGER</v>
          </cell>
          <cell r="AA2212"/>
          <cell r="AB2212">
            <v>42970</v>
          </cell>
          <cell r="AC2212">
            <v>2353</v>
          </cell>
        </row>
        <row r="2213">
          <cell r="B2213">
            <v>2351</v>
          </cell>
          <cell r="C2213" t="str">
            <v>OLP-SRT-15031209DY</v>
          </cell>
          <cell r="D2213" t="str">
            <v>RAYON TWILL</v>
          </cell>
          <cell r="E2213" t="str">
            <v>TWILL 2/1</v>
          </cell>
          <cell r="F2213" t="str">
            <v>R 100%</v>
          </cell>
          <cell r="G2213" t="str">
            <v>100% RAYON</v>
          </cell>
          <cell r="H2213" t="str">
            <v>57/58</v>
          </cell>
          <cell r="I2213">
            <v>182</v>
          </cell>
          <cell r="J2213"/>
          <cell r="K2213"/>
          <cell r="L2213"/>
          <cell r="M2213"/>
          <cell r="N2213"/>
          <cell r="O2213"/>
          <cell r="P2213"/>
          <cell r="Q2213"/>
          <cell r="R2213"/>
          <cell r="S2213"/>
          <cell r="T2213"/>
          <cell r="U2213"/>
          <cell r="V2213"/>
          <cell r="W2213"/>
          <cell r="X2213" t="str">
            <v>OWEN</v>
          </cell>
          <cell r="Y2213" t="str">
            <v>HANGER</v>
          </cell>
          <cell r="Z2213" t="str">
            <v>HANGER</v>
          </cell>
          <cell r="AA2213"/>
          <cell r="AB2213">
            <v>42970</v>
          </cell>
          <cell r="AC2213">
            <v>2351</v>
          </cell>
        </row>
        <row r="2214">
          <cell r="B2214">
            <v>2314</v>
          </cell>
          <cell r="C2214" t="str">
            <v>BG3168</v>
          </cell>
          <cell r="D2214" t="str">
            <v>RAYON DOBBY</v>
          </cell>
          <cell r="E2214"/>
          <cell r="F2214" t="str">
            <v>R 100%</v>
          </cell>
          <cell r="G2214" t="str">
            <v>100% RAYON</v>
          </cell>
          <cell r="H2214" t="str">
            <v>53/54</v>
          </cell>
          <cell r="I2214">
            <v>176</v>
          </cell>
          <cell r="J2214">
            <v>1.9</v>
          </cell>
          <cell r="K2214">
            <v>2.15</v>
          </cell>
          <cell r="L2214">
            <v>1.93</v>
          </cell>
          <cell r="M2214">
            <v>2.1800000000000002</v>
          </cell>
          <cell r="N2214">
            <v>1.95</v>
          </cell>
          <cell r="O2214">
            <v>2.2000000000000002</v>
          </cell>
          <cell r="P2214"/>
          <cell r="Q2214"/>
          <cell r="R2214">
            <v>2.1</v>
          </cell>
          <cell r="S2214">
            <v>2.5</v>
          </cell>
          <cell r="T2214"/>
          <cell r="U2214"/>
          <cell r="V2214">
            <v>15</v>
          </cell>
          <cell r="W2214"/>
          <cell r="X2214" t="str">
            <v>EDWIN</v>
          </cell>
          <cell r="Y2214" t="str">
            <v>EDWIN 23-AUGUST</v>
          </cell>
          <cell r="Z2214" t="str">
            <v>EDWIN' MAIL</v>
          </cell>
          <cell r="AA2214"/>
          <cell r="AB2214">
            <v>42970</v>
          </cell>
          <cell r="AC2214">
            <v>2314</v>
          </cell>
        </row>
        <row r="2215">
          <cell r="B2215">
            <v>2197</v>
          </cell>
          <cell r="C2215" t="str">
            <v>HLT1567</v>
          </cell>
          <cell r="D2215" t="str">
            <v>SEERSUCKER</v>
          </cell>
          <cell r="E2215"/>
          <cell r="F2215" t="str">
            <v>T 100%</v>
          </cell>
          <cell r="G2215" t="str">
            <v>100% POLYESTER</v>
          </cell>
          <cell r="H2215" t="str">
            <v>57/58</v>
          </cell>
          <cell r="I2215">
            <v>98</v>
          </cell>
          <cell r="J2215"/>
          <cell r="K2215"/>
          <cell r="L2215"/>
          <cell r="M2215"/>
          <cell r="N2215"/>
          <cell r="O2215"/>
          <cell r="P2215"/>
          <cell r="Q2215"/>
          <cell r="R2215"/>
          <cell r="S2215"/>
          <cell r="T2215"/>
          <cell r="U2215"/>
          <cell r="V2215"/>
          <cell r="W2215"/>
          <cell r="X2215" t="str">
            <v>CANDY</v>
          </cell>
          <cell r="Y2215" t="str">
            <v>HANGER</v>
          </cell>
          <cell r="Z2215" t="str">
            <v>HANGER</v>
          </cell>
          <cell r="AA2215"/>
          <cell r="AB2215">
            <v>42970</v>
          </cell>
          <cell r="AC2215">
            <v>2197</v>
          </cell>
        </row>
        <row r="2216">
          <cell r="B2216">
            <v>2095</v>
          </cell>
          <cell r="C2216" t="str">
            <v>288XS</v>
          </cell>
          <cell r="D2216" t="str">
            <v>POLY CHECK</v>
          </cell>
          <cell r="E2216"/>
          <cell r="F2216" t="str">
            <v>T 100%</v>
          </cell>
          <cell r="G2216" t="str">
            <v>100% POLYESTER</v>
          </cell>
          <cell r="H2216" t="str">
            <v>57/58</v>
          </cell>
          <cell r="I2216">
            <v>97</v>
          </cell>
          <cell r="J2216"/>
          <cell r="K2216"/>
          <cell r="L2216"/>
          <cell r="M2216"/>
          <cell r="N2216"/>
          <cell r="O2216"/>
          <cell r="P2216"/>
          <cell r="Q2216"/>
          <cell r="R2216"/>
          <cell r="S2216"/>
          <cell r="T2216"/>
          <cell r="U2216"/>
          <cell r="V2216"/>
          <cell r="W2216"/>
          <cell r="X2216" t="str">
            <v>OWEN</v>
          </cell>
          <cell r="Y2216" t="str">
            <v>HANGER</v>
          </cell>
          <cell r="Z2216" t="str">
            <v>HANGER</v>
          </cell>
          <cell r="AA2216"/>
          <cell r="AB2216">
            <v>42970</v>
          </cell>
          <cell r="AC2216">
            <v>2095</v>
          </cell>
        </row>
        <row r="2217">
          <cell r="B2217">
            <v>1747</v>
          </cell>
          <cell r="C2217" t="str">
            <v>JQ-J5234</v>
          </cell>
          <cell r="D2217" t="str">
            <v xml:space="preserve">RAYON DOBBY  </v>
          </cell>
          <cell r="E2217"/>
          <cell r="F2217" t="str">
            <v>R 100%</v>
          </cell>
          <cell r="G2217" t="str">
            <v>100% RAYON</v>
          </cell>
          <cell r="H2217" t="str">
            <v>53/54</v>
          </cell>
          <cell r="I2217">
            <v>234</v>
          </cell>
          <cell r="J2217"/>
          <cell r="K2217"/>
          <cell r="L2217"/>
          <cell r="M2217"/>
          <cell r="N2217"/>
          <cell r="O2217"/>
          <cell r="P2217"/>
          <cell r="Q2217"/>
          <cell r="R2217"/>
          <cell r="S2217"/>
          <cell r="T2217"/>
          <cell r="U2217"/>
          <cell r="V2217"/>
          <cell r="W2217"/>
          <cell r="X2217" t="str">
            <v>OWEN</v>
          </cell>
          <cell r="Y2217" t="str">
            <v>HANGER</v>
          </cell>
          <cell r="Z2217" t="str">
            <v>HANGER</v>
          </cell>
          <cell r="AA2217"/>
          <cell r="AB2217">
            <v>42970</v>
          </cell>
          <cell r="AC2217">
            <v>1747</v>
          </cell>
        </row>
        <row r="2218">
          <cell r="B2218">
            <v>1720</v>
          </cell>
          <cell r="C2218" t="str">
            <v>CFTS-371-DY</v>
          </cell>
          <cell r="D2218" t="str">
            <v xml:space="preserve">RAYON DOBBY  </v>
          </cell>
          <cell r="E2218"/>
          <cell r="F2218" t="str">
            <v>V 100%</v>
          </cell>
          <cell r="G2218" t="str">
            <v>100% VISCOSE</v>
          </cell>
          <cell r="H2218" t="str">
            <v>53/54</v>
          </cell>
          <cell r="I2218">
            <v>88</v>
          </cell>
          <cell r="J2218"/>
          <cell r="K2218"/>
          <cell r="L2218"/>
          <cell r="M2218"/>
          <cell r="N2218"/>
          <cell r="O2218"/>
          <cell r="P2218"/>
          <cell r="Q2218"/>
          <cell r="R2218"/>
          <cell r="S2218"/>
          <cell r="T2218"/>
          <cell r="U2218"/>
          <cell r="V2218"/>
          <cell r="W2218"/>
          <cell r="X2218" t="str">
            <v>OWEN</v>
          </cell>
          <cell r="Y2218" t="str">
            <v>HANGER</v>
          </cell>
          <cell r="Z2218" t="str">
            <v>HANGER</v>
          </cell>
          <cell r="AA2218"/>
          <cell r="AB2218">
            <v>42970</v>
          </cell>
          <cell r="AC2218">
            <v>1720</v>
          </cell>
        </row>
        <row r="2219">
          <cell r="B2219">
            <v>3388</v>
          </cell>
          <cell r="C2219" t="str">
            <v>#16116</v>
          </cell>
          <cell r="D2219" t="str">
            <v>LACE</v>
          </cell>
          <cell r="E2219" t="str">
            <v>Ordinary Dyeing - can use for Sears</v>
          </cell>
          <cell r="F2219" t="str">
            <v>N/C 60/40</v>
          </cell>
          <cell r="G2219" t="str">
            <v>60% NYLON 40% COTTON</v>
          </cell>
          <cell r="H2219" t="str">
            <v>150CM</v>
          </cell>
          <cell r="I2219">
            <v>145.80000000000001</v>
          </cell>
          <cell r="J2219">
            <v>2.4300000000000002</v>
          </cell>
          <cell r="K2219"/>
          <cell r="L2219">
            <v>2.48</v>
          </cell>
          <cell r="M2219"/>
          <cell r="N2219">
            <v>2.5299999999999998</v>
          </cell>
          <cell r="O2219"/>
          <cell r="P2219"/>
          <cell r="Q2219"/>
          <cell r="R2219">
            <v>2.63</v>
          </cell>
          <cell r="S2219"/>
          <cell r="T2219"/>
          <cell r="U2219"/>
          <cell r="V2219"/>
          <cell r="W2219" t="str">
            <v>Ordinary Dyeing</v>
          </cell>
          <cell r="X2219" t="str">
            <v>LIBY</v>
          </cell>
          <cell r="Y2219" t="str">
            <v>LIBY 22-AUGUST</v>
          </cell>
          <cell r="Z2219" t="str">
            <v>LIBY' MAIL 22/8/17</v>
          </cell>
          <cell r="AA2219"/>
          <cell r="AB2219">
            <v>42969</v>
          </cell>
          <cell r="AC2219">
            <v>3388</v>
          </cell>
        </row>
        <row r="2220">
          <cell r="B2220">
            <v>3387</v>
          </cell>
          <cell r="C2220" t="str">
            <v>#16979</v>
          </cell>
          <cell r="D2220" t="str">
            <v>LACE</v>
          </cell>
          <cell r="E2220" t="str">
            <v>Ordinary Dyeing - can use for Sears</v>
          </cell>
          <cell r="F2220" t="str">
            <v>C/N 70/30</v>
          </cell>
          <cell r="G2220" t="str">
            <v>30% NYLON 70% COTTON</v>
          </cell>
          <cell r="H2220" t="str">
            <v>150cm</v>
          </cell>
          <cell r="I2220">
            <v>115.7</v>
          </cell>
          <cell r="J2220">
            <v>1.72</v>
          </cell>
          <cell r="K2220"/>
          <cell r="L2220">
            <v>1.77</v>
          </cell>
          <cell r="M2220"/>
          <cell r="N2220">
            <v>1.82</v>
          </cell>
          <cell r="O2220"/>
          <cell r="P2220"/>
          <cell r="Q2220"/>
          <cell r="R2220">
            <v>1.92</v>
          </cell>
          <cell r="S2220"/>
          <cell r="T2220"/>
          <cell r="U2220"/>
          <cell r="V2220"/>
          <cell r="W2220" t="str">
            <v>Ordinary Dyeing</v>
          </cell>
          <cell r="X2220" t="str">
            <v>LIBY</v>
          </cell>
          <cell r="Y2220" t="str">
            <v>LIBY 22-AUGUST</v>
          </cell>
          <cell r="Z2220" t="str">
            <v>LIBY' MAIL 22/8/17</v>
          </cell>
          <cell r="AA2220"/>
          <cell r="AB2220">
            <v>42969</v>
          </cell>
          <cell r="AC2220">
            <v>3387</v>
          </cell>
        </row>
        <row r="2221">
          <cell r="B2221">
            <v>3386</v>
          </cell>
          <cell r="C2221" t="str">
            <v>OLP-178901JC</v>
          </cell>
          <cell r="D2221" t="str">
            <v>LACE</v>
          </cell>
          <cell r="E2221"/>
          <cell r="F2221" t="str">
            <v>N/C 60/40</v>
          </cell>
          <cell r="G2221" t="str">
            <v>60% NYLON 40% COTTON</v>
          </cell>
          <cell r="H2221" t="str">
            <v>57/58</v>
          </cell>
          <cell r="I2221">
            <v>280</v>
          </cell>
          <cell r="J2221">
            <v>4.45</v>
          </cell>
          <cell r="K2221"/>
          <cell r="L2221">
            <v>4.5</v>
          </cell>
          <cell r="M2221"/>
          <cell r="N2221">
            <v>4.54</v>
          </cell>
          <cell r="O2221"/>
          <cell r="P2221"/>
          <cell r="Q2221"/>
          <cell r="R2221">
            <v>4.7</v>
          </cell>
          <cell r="S2221"/>
          <cell r="T2221"/>
          <cell r="U2221"/>
          <cell r="V2221">
            <v>15</v>
          </cell>
          <cell r="W2221"/>
          <cell r="X2221" t="str">
            <v>OWEN</v>
          </cell>
          <cell r="Y2221" t="str">
            <v>OWEN 22-AUGUST</v>
          </cell>
          <cell r="Z2221" t="str">
            <v>SANDY' MAIL 22/8/17</v>
          </cell>
          <cell r="AA2221"/>
          <cell r="AB2221">
            <v>42969</v>
          </cell>
          <cell r="AC2221">
            <v>3386</v>
          </cell>
        </row>
        <row r="2222">
          <cell r="B2222">
            <v>3382</v>
          </cell>
          <cell r="C2222" t="str">
            <v>OLP-LS-14073024HP</v>
          </cell>
          <cell r="D2222" t="str">
            <v>LACE</v>
          </cell>
          <cell r="E2222"/>
          <cell r="F2222" t="str">
            <v>N/C 70/30</v>
          </cell>
          <cell r="G2222" t="str">
            <v>70% NYLON 30% COTTON</v>
          </cell>
          <cell r="H2222" t="str">
            <v>56/57”</v>
          </cell>
          <cell r="I2222">
            <v>150</v>
          </cell>
          <cell r="J2222">
            <v>4.38</v>
          </cell>
          <cell r="K2222"/>
          <cell r="L2222">
            <v>4.42</v>
          </cell>
          <cell r="M2222"/>
          <cell r="N2222">
            <v>4.4800000000000004</v>
          </cell>
          <cell r="O2222"/>
          <cell r="P2222"/>
          <cell r="Q2222"/>
          <cell r="R2222">
            <v>4.63</v>
          </cell>
          <cell r="S2222"/>
          <cell r="T2222"/>
          <cell r="U2222"/>
          <cell r="V2222">
            <v>15</v>
          </cell>
          <cell r="W2222"/>
          <cell r="X2222" t="str">
            <v>OWEN</v>
          </cell>
          <cell r="Y2222" t="str">
            <v>OWEN 22-AUGUST</v>
          </cell>
          <cell r="Z2222" t="str">
            <v>SANDY' MAIL 22/8/17</v>
          </cell>
          <cell r="AA2222"/>
          <cell r="AB2222">
            <v>42969</v>
          </cell>
          <cell r="AC2222">
            <v>3382</v>
          </cell>
        </row>
        <row r="2223">
          <cell r="B2223">
            <v>3398</v>
          </cell>
          <cell r="C2223" t="str">
            <v>BG3350</v>
          </cell>
          <cell r="D2223" t="str">
            <v>TENCEL TWILL</v>
          </cell>
          <cell r="E2223"/>
          <cell r="F2223" t="str">
            <v>TENCEL 100%</v>
          </cell>
          <cell r="G2223" t="str">
            <v xml:space="preserve">100% TENCEL </v>
          </cell>
          <cell r="H2223" t="str">
            <v>54/55</v>
          </cell>
          <cell r="I2223">
            <v>167</v>
          </cell>
          <cell r="J2223">
            <v>3.3</v>
          </cell>
          <cell r="K2223">
            <v>4.0999999999999996</v>
          </cell>
          <cell r="L2223">
            <v>3.35</v>
          </cell>
          <cell r="M2223">
            <v>4.1500000000000004</v>
          </cell>
          <cell r="N2223">
            <v>3.4</v>
          </cell>
          <cell r="O2223">
            <v>4.2</v>
          </cell>
          <cell r="P2223"/>
          <cell r="Q2223"/>
          <cell r="R2223">
            <v>3.6</v>
          </cell>
          <cell r="S2223">
            <v>4.7</v>
          </cell>
          <cell r="T2223"/>
          <cell r="U2223"/>
          <cell r="V2223"/>
          <cell r="W2223" t="str">
            <v>CHANGE FROM AMW3392 TO AMW3398 BECAUSE DUPLICATE CODE WITH CDC.</v>
          </cell>
          <cell r="X2223" t="str">
            <v>EDWIN</v>
          </cell>
          <cell r="Y2223" t="str">
            <v>EDWIN 22-AUGUST</v>
          </cell>
          <cell r="Z2223" t="str">
            <v>EDWIN' MAIL 21/8/17</v>
          </cell>
          <cell r="AA2223"/>
          <cell r="AB2223">
            <v>42968</v>
          </cell>
          <cell r="AC2223">
            <v>3398</v>
          </cell>
        </row>
        <row r="2224">
          <cell r="B2224">
            <v>3397</v>
          </cell>
          <cell r="C2224" t="str">
            <v>M-1747</v>
          </cell>
          <cell r="D2224" t="str">
            <v>CDC</v>
          </cell>
          <cell r="E2224"/>
          <cell r="F2224" t="str">
            <v>T100%</v>
          </cell>
          <cell r="G2224" t="str">
            <v>100%POLY /100D*100D</v>
          </cell>
          <cell r="H2224" t="str">
            <v>57/58</v>
          </cell>
          <cell r="I2224">
            <v>100</v>
          </cell>
          <cell r="J2224">
            <v>0.82</v>
          </cell>
          <cell r="K2224">
            <v>1.02</v>
          </cell>
          <cell r="L2224">
            <v>0.82</v>
          </cell>
          <cell r="M2224">
            <v>1.02</v>
          </cell>
          <cell r="N2224">
            <v>0.84</v>
          </cell>
          <cell r="O2224">
            <v>1.06</v>
          </cell>
          <cell r="P2224"/>
          <cell r="Q2224"/>
          <cell r="R2224">
            <v>0.87</v>
          </cell>
          <cell r="S2224">
            <v>1.32</v>
          </cell>
          <cell r="T2224"/>
          <cell r="U2224"/>
          <cell r="V2224"/>
          <cell r="W2224"/>
          <cell r="X2224" t="str">
            <v>M-TEX</v>
          </cell>
          <cell r="Y2224" t="str">
            <v>M-TEX 21-AUGUST</v>
          </cell>
          <cell r="Z2224" t="str">
            <v>LINDA' MAIL 21/8/17</v>
          </cell>
          <cell r="AA2224"/>
          <cell r="AB2224">
            <v>42968</v>
          </cell>
          <cell r="AC2224">
            <v>3397</v>
          </cell>
        </row>
        <row r="2225">
          <cell r="B2225">
            <v>3396</v>
          </cell>
          <cell r="C2225" t="str">
            <v>M-2135</v>
          </cell>
          <cell r="D2225" t="str">
            <v>CDC</v>
          </cell>
          <cell r="E2225"/>
          <cell r="F2225" t="str">
            <v>T100%</v>
          </cell>
          <cell r="G2225" t="str">
            <v>100%POLY /75D*100D</v>
          </cell>
          <cell r="H2225" t="str">
            <v>57/58</v>
          </cell>
          <cell r="I2225">
            <v>85</v>
          </cell>
          <cell r="J2225">
            <v>0.75</v>
          </cell>
          <cell r="K2225">
            <v>0.95</v>
          </cell>
          <cell r="L2225">
            <v>0.75</v>
          </cell>
          <cell r="M2225">
            <v>0.95</v>
          </cell>
          <cell r="N2225">
            <v>0.77</v>
          </cell>
          <cell r="O2225">
            <v>0.99</v>
          </cell>
          <cell r="P2225"/>
          <cell r="Q2225"/>
          <cell r="R2225">
            <v>0.8</v>
          </cell>
          <cell r="S2225">
            <v>1.25</v>
          </cell>
          <cell r="T2225"/>
          <cell r="U2225"/>
          <cell r="V2225"/>
          <cell r="W2225"/>
          <cell r="X2225" t="str">
            <v>M-TEX</v>
          </cell>
          <cell r="Y2225" t="str">
            <v>M-TEX 21-AUGUST</v>
          </cell>
          <cell r="Z2225" t="str">
            <v>LINDA' MAIL 21/8/17</v>
          </cell>
          <cell r="AA2225"/>
          <cell r="AB2225">
            <v>42968</v>
          </cell>
          <cell r="AC2225">
            <v>3396</v>
          </cell>
        </row>
        <row r="2226">
          <cell r="B2226">
            <v>3395</v>
          </cell>
          <cell r="C2226" t="str">
            <v>M-2190</v>
          </cell>
          <cell r="D2226" t="str">
            <v>CDC</v>
          </cell>
          <cell r="E2226"/>
          <cell r="F2226" t="str">
            <v>T100%</v>
          </cell>
          <cell r="G2226" t="str">
            <v>100%POLY /75D*75D</v>
          </cell>
          <cell r="H2226" t="str">
            <v>57/58</v>
          </cell>
          <cell r="I2226">
            <v>85</v>
          </cell>
          <cell r="J2226">
            <v>0.75</v>
          </cell>
          <cell r="K2226">
            <v>0.95</v>
          </cell>
          <cell r="L2226">
            <v>0.75</v>
          </cell>
          <cell r="M2226">
            <v>0.95</v>
          </cell>
          <cell r="N2226">
            <v>0.77</v>
          </cell>
          <cell r="O2226">
            <v>0.99</v>
          </cell>
          <cell r="P2226"/>
          <cell r="Q2226"/>
          <cell r="R2226">
            <v>0.8</v>
          </cell>
          <cell r="S2226">
            <v>1.25</v>
          </cell>
          <cell r="T2226"/>
          <cell r="U2226"/>
          <cell r="V2226"/>
          <cell r="W2226"/>
          <cell r="X2226" t="str">
            <v>M-TEX</v>
          </cell>
          <cell r="Y2226" t="str">
            <v>M-TEX 21-AUGUST</v>
          </cell>
          <cell r="Z2226" t="str">
            <v>LINDA' MAIL 21/8/17</v>
          </cell>
          <cell r="AA2226"/>
          <cell r="AB2226">
            <v>42968</v>
          </cell>
          <cell r="AC2226">
            <v>3395</v>
          </cell>
        </row>
        <row r="2227">
          <cell r="B2227">
            <v>3394</v>
          </cell>
          <cell r="C2227" t="str">
            <v>M-1746</v>
          </cell>
          <cell r="D2227" t="str">
            <v>CDC</v>
          </cell>
          <cell r="E2227" t="str">
            <v>50D*75D</v>
          </cell>
          <cell r="F2227" t="str">
            <v>T100%</v>
          </cell>
          <cell r="G2227" t="str">
            <v xml:space="preserve">100% POLYESTER </v>
          </cell>
          <cell r="H2227" t="str">
            <v>57/58</v>
          </cell>
          <cell r="I2227">
            <v>85</v>
          </cell>
          <cell r="J2227">
            <v>0.82</v>
          </cell>
          <cell r="K2227">
            <v>1.02</v>
          </cell>
          <cell r="L2227">
            <v>0.82</v>
          </cell>
          <cell r="M2227">
            <v>1.02</v>
          </cell>
          <cell r="N2227">
            <v>0.84</v>
          </cell>
          <cell r="O2227">
            <v>1.06</v>
          </cell>
          <cell r="P2227"/>
          <cell r="Q2227"/>
          <cell r="R2227">
            <v>0.87</v>
          </cell>
          <cell r="S2227">
            <v>1.32</v>
          </cell>
          <cell r="T2227"/>
          <cell r="U2227"/>
          <cell r="V2227"/>
          <cell r="W2227"/>
          <cell r="X2227" t="str">
            <v>M-TEX</v>
          </cell>
          <cell r="Y2227" t="str">
            <v>M-TEX 21-AUGUST</v>
          </cell>
          <cell r="Z2227" t="str">
            <v>LINDA' MAIL 21/8/17</v>
          </cell>
          <cell r="AA2227"/>
          <cell r="AB2227">
            <v>42968</v>
          </cell>
          <cell r="AC2227">
            <v>3394</v>
          </cell>
        </row>
        <row r="2228">
          <cell r="B2228">
            <v>3393</v>
          </cell>
          <cell r="C2228" t="str">
            <v>M-2015047</v>
          </cell>
          <cell r="D2228" t="str">
            <v>CDC</v>
          </cell>
          <cell r="E2228" t="str">
            <v>20D+26D X 75D</v>
          </cell>
          <cell r="F2228" t="str">
            <v>T100%</v>
          </cell>
          <cell r="G2228" t="str">
            <v>100%POLY /20D+26D*75D</v>
          </cell>
          <cell r="H2228" t="str">
            <v>57/58</v>
          </cell>
          <cell r="I2228">
            <v>80</v>
          </cell>
          <cell r="J2228">
            <v>0.85</v>
          </cell>
          <cell r="K2228">
            <v>1.05</v>
          </cell>
          <cell r="L2228">
            <v>0.85</v>
          </cell>
          <cell r="M2228">
            <v>1.05</v>
          </cell>
          <cell r="N2228">
            <v>0.87</v>
          </cell>
          <cell r="O2228">
            <v>1.0900000000000001</v>
          </cell>
          <cell r="P2228"/>
          <cell r="Q2228"/>
          <cell r="R2228">
            <v>0.9</v>
          </cell>
          <cell r="S2228">
            <v>1.35</v>
          </cell>
          <cell r="T2228"/>
          <cell r="U2228"/>
          <cell r="V2228"/>
          <cell r="W2228"/>
          <cell r="X2228" t="str">
            <v>M-TEX</v>
          </cell>
          <cell r="Y2228" t="str">
            <v>M-TEX 21-AUGUST</v>
          </cell>
          <cell r="Z2228" t="str">
            <v>LINDA' MAIL 21/8/17</v>
          </cell>
          <cell r="AA2228"/>
          <cell r="AB2228">
            <v>42968</v>
          </cell>
          <cell r="AC2228">
            <v>3393</v>
          </cell>
        </row>
        <row r="2229">
          <cell r="B2229">
            <v>3392</v>
          </cell>
          <cell r="C2229" t="str">
            <v>M-1745</v>
          </cell>
          <cell r="D2229" t="str">
            <v>CDC</v>
          </cell>
          <cell r="E2229"/>
          <cell r="F2229" t="str">
            <v>T100%</v>
          </cell>
          <cell r="G2229" t="str">
            <v>100%POLY /50D*50D</v>
          </cell>
          <cell r="H2229" t="str">
            <v>57/58</v>
          </cell>
          <cell r="I2229">
            <v>70</v>
          </cell>
          <cell r="J2229">
            <v>0.92</v>
          </cell>
          <cell r="K2229">
            <v>1.1200000000000001</v>
          </cell>
          <cell r="L2229">
            <v>0.92</v>
          </cell>
          <cell r="M2229">
            <v>1.1200000000000001</v>
          </cell>
          <cell r="N2229">
            <v>0.94</v>
          </cell>
          <cell r="O2229">
            <v>1.1599999999999999</v>
          </cell>
          <cell r="P2229"/>
          <cell r="Q2229"/>
          <cell r="R2229">
            <v>0.97</v>
          </cell>
          <cell r="S2229">
            <v>1.42</v>
          </cell>
          <cell r="T2229"/>
          <cell r="U2229"/>
          <cell r="V2229"/>
          <cell r="W2229"/>
          <cell r="X2229" t="str">
            <v>M-TEX</v>
          </cell>
          <cell r="Y2229" t="str">
            <v>M-TEX 21-AUGUST</v>
          </cell>
          <cell r="Z2229" t="str">
            <v>LINDA' MAIL 21/8/17</v>
          </cell>
          <cell r="AA2229"/>
          <cell r="AB2229">
            <v>42968</v>
          </cell>
          <cell r="AC2229">
            <v>3392</v>
          </cell>
        </row>
        <row r="2230">
          <cell r="B2230">
            <v>2228</v>
          </cell>
          <cell r="C2230" t="str">
            <v>OLP-1652704YH-B</v>
          </cell>
          <cell r="D2230" t="str">
            <v>LINEN AFTER WASHED</v>
          </cell>
          <cell r="E2230"/>
          <cell r="F2230" t="str">
            <v xml:space="preserve">L/V 55/45 </v>
          </cell>
          <cell r="G2230" t="str">
            <v>55% LINEN 45% VISCOSE (THIS HAS BEEN WASHED)</v>
          </cell>
          <cell r="H2230" t="str">
            <v>51/52</v>
          </cell>
          <cell r="I2230">
            <v>146</v>
          </cell>
          <cell r="J2230">
            <v>2.48</v>
          </cell>
          <cell r="K2230">
            <v>2.75</v>
          </cell>
          <cell r="L2230">
            <v>2.52</v>
          </cell>
          <cell r="M2230">
            <v>2.8</v>
          </cell>
          <cell r="N2230">
            <v>2.58</v>
          </cell>
          <cell r="O2230">
            <v>2.95</v>
          </cell>
          <cell r="P2230"/>
          <cell r="Q2230"/>
          <cell r="R2230">
            <v>2.67</v>
          </cell>
          <cell r="S2230">
            <v>3.4</v>
          </cell>
          <cell r="T2230"/>
          <cell r="U2230"/>
          <cell r="V2230">
            <v>15</v>
          </cell>
          <cell r="W2230"/>
          <cell r="X2230" t="str">
            <v>OWEN</v>
          </cell>
          <cell r="Y2230" t="str">
            <v>OWEN 18-AUGUST</v>
          </cell>
          <cell r="Z2230" t="str">
            <v>SANDY' MAIL 18/8/17</v>
          </cell>
          <cell r="AA2230"/>
          <cell r="AB2230">
            <v>42965</v>
          </cell>
          <cell r="AC2230">
            <v>2228</v>
          </cell>
        </row>
        <row r="2231">
          <cell r="B2231">
            <v>3287</v>
          </cell>
          <cell r="C2231" t="str">
            <v>TS-346</v>
          </cell>
          <cell r="D2231" t="str">
            <v>POLY CLIPPED</v>
          </cell>
          <cell r="E2231" t="str">
            <v xml:space="preserve">75D+150DX75D </v>
          </cell>
          <cell r="F2231" t="str">
            <v>T 100%</v>
          </cell>
          <cell r="G2231" t="str">
            <v>100% POLYESTER</v>
          </cell>
          <cell r="H2231" t="str">
            <v>57/58</v>
          </cell>
          <cell r="I2231">
            <v>89</v>
          </cell>
          <cell r="J2231">
            <v>1.28</v>
          </cell>
          <cell r="K2231">
            <v>1.54</v>
          </cell>
          <cell r="L2231">
            <v>1.3</v>
          </cell>
          <cell r="M2231">
            <v>1.57</v>
          </cell>
          <cell r="N2231">
            <v>1.32</v>
          </cell>
          <cell r="O2231">
            <v>1.6</v>
          </cell>
          <cell r="P2231"/>
          <cell r="Q2231"/>
          <cell r="R2231">
            <v>1.47</v>
          </cell>
          <cell r="S2231">
            <v>1.86</v>
          </cell>
          <cell r="T2231"/>
          <cell r="U2231"/>
          <cell r="V2231">
            <v>15</v>
          </cell>
          <cell r="W2231"/>
          <cell r="X2231" t="str">
            <v>GAVIN</v>
          </cell>
          <cell r="Y2231" t="str">
            <v>GAVIN 16-AUG</v>
          </cell>
          <cell r="Z2231" t="str">
            <v>GAVIN' MAIL 16/8/17</v>
          </cell>
          <cell r="AA2231"/>
          <cell r="AB2231">
            <v>42963</v>
          </cell>
          <cell r="AC2231">
            <v>3287</v>
          </cell>
        </row>
        <row r="2232">
          <cell r="B2232">
            <v>3385</v>
          </cell>
          <cell r="C2232" t="str">
            <v>TS-367</v>
          </cell>
          <cell r="D2232" t="str">
            <v>POLY (CHIFFON) DOBBY</v>
          </cell>
          <cell r="E2232" t="str">
            <v>75Dx150D</v>
          </cell>
          <cell r="F2232" t="str">
            <v>T 100%</v>
          </cell>
          <cell r="G2232" t="str">
            <v>100% POLYESTER</v>
          </cell>
          <cell r="H2232" t="str">
            <v>57/58</v>
          </cell>
          <cell r="I2232">
            <v>91</v>
          </cell>
          <cell r="J2232">
            <v>1.04</v>
          </cell>
          <cell r="K2232">
            <v>1.2</v>
          </cell>
          <cell r="L2232">
            <v>1.06</v>
          </cell>
          <cell r="M2232">
            <v>1.23</v>
          </cell>
          <cell r="N2232">
            <v>1.08</v>
          </cell>
          <cell r="O2232">
            <v>1.26</v>
          </cell>
          <cell r="P2232"/>
          <cell r="Q2232"/>
          <cell r="R2232">
            <v>1.23</v>
          </cell>
          <cell r="S2232">
            <v>1.51</v>
          </cell>
          <cell r="T2232"/>
          <cell r="U2232"/>
          <cell r="V2232">
            <v>15</v>
          </cell>
          <cell r="W2232"/>
          <cell r="X2232" t="str">
            <v>GAVIN</v>
          </cell>
          <cell r="Y2232" t="str">
            <v>GAVIN 8-AUGUST</v>
          </cell>
          <cell r="Z2232" t="str">
            <v>GAVIN' MAIL 8/8/17</v>
          </cell>
          <cell r="AA2232"/>
          <cell r="AB2232">
            <v>42961</v>
          </cell>
          <cell r="AC2232">
            <v>3385</v>
          </cell>
        </row>
        <row r="2233">
          <cell r="B2233">
            <v>3384</v>
          </cell>
          <cell r="C2233" t="str">
            <v>WJ-0232</v>
          </cell>
          <cell r="D2233" t="str">
            <v>ALISON HAYE FAB. - POLY CLIPPED</v>
          </cell>
          <cell r="E2233"/>
          <cell r="F2233" t="str">
            <v>T 100%</v>
          </cell>
          <cell r="G2233" t="str">
            <v>100%POLYESTER</v>
          </cell>
          <cell r="H2233" t="str">
            <v>144CM</v>
          </cell>
          <cell r="I2233">
            <v>85</v>
          </cell>
          <cell r="J2233">
            <v>1.42</v>
          </cell>
          <cell r="K2233">
            <v>1.72</v>
          </cell>
          <cell r="L2233">
            <v>1.42</v>
          </cell>
          <cell r="M2233">
            <v>1.72</v>
          </cell>
          <cell r="N2233">
            <v>1.56</v>
          </cell>
          <cell r="O2233">
            <v>1.89</v>
          </cell>
          <cell r="P2233"/>
          <cell r="Q2233"/>
          <cell r="R2233">
            <v>1.7</v>
          </cell>
          <cell r="S2233">
            <v>2.06</v>
          </cell>
          <cell r="T2233"/>
          <cell r="U2233"/>
          <cell r="V2233">
            <v>15</v>
          </cell>
          <cell r="W2233" t="str">
            <v>BASED ON WHITE GROUND</v>
          </cell>
          <cell r="X2233" t="str">
            <v>PANI</v>
          </cell>
          <cell r="Y2233" t="str">
            <v>PANI 11-AUG</v>
          </cell>
          <cell r="Z2233" t="str">
            <v>AMY' MAIL 11/8/17</v>
          </cell>
          <cell r="AA2233"/>
          <cell r="AB2233">
            <v>42959</v>
          </cell>
          <cell r="AC2233">
            <v>3384</v>
          </cell>
        </row>
        <row r="2234">
          <cell r="B2234">
            <v>3383</v>
          </cell>
          <cell r="C2234" t="str">
            <v>HW170228-2716</v>
          </cell>
          <cell r="D2234" t="str">
            <v>GAUZE</v>
          </cell>
          <cell r="E2234" t="str">
            <v>75*40  116*78</v>
          </cell>
          <cell r="F2234" t="str">
            <v>R/V 52/48</v>
          </cell>
          <cell r="G2234" t="str">
            <v>52% RAYON 48% VISCOSE</v>
          </cell>
          <cell r="H2234" t="str">
            <v>49''</v>
          </cell>
          <cell r="I2234">
            <v>115</v>
          </cell>
          <cell r="J2234">
            <v>3.0087527352297592</v>
          </cell>
          <cell r="K2234">
            <v>3.5229759299781183</v>
          </cell>
          <cell r="L2234">
            <v>3.0634573304157544</v>
          </cell>
          <cell r="M2234">
            <v>3.7636761487964989</v>
          </cell>
          <cell r="N2234">
            <v>3.0634573304157544</v>
          </cell>
          <cell r="O2234">
            <v>3.7636761487964989</v>
          </cell>
          <cell r="P2234"/>
          <cell r="Q2234"/>
          <cell r="R2234">
            <v>3.5229759299781183</v>
          </cell>
          <cell r="S2234">
            <v>4.7045951859956237</v>
          </cell>
          <cell r="T2234"/>
          <cell r="U2234"/>
          <cell r="V2234"/>
          <cell r="W2234"/>
          <cell r="X2234" t="str">
            <v>H-WEAR</v>
          </cell>
          <cell r="Y2234" t="str">
            <v>H-WEAR 9-AUGUST</v>
          </cell>
          <cell r="Z2234" t="str">
            <v>AFRA' MAIL 9/8/17</v>
          </cell>
          <cell r="AA2234"/>
          <cell r="AB2234">
            <v>42956</v>
          </cell>
          <cell r="AC2234">
            <v>3383</v>
          </cell>
        </row>
        <row r="2235">
          <cell r="B2235">
            <v>3379</v>
          </cell>
          <cell r="C2235" t="str">
            <v>TS-366</v>
          </cell>
          <cell r="D2235" t="str">
            <v>POLY FOR LINING</v>
          </cell>
          <cell r="E2235"/>
          <cell r="F2235" t="str">
            <v>T 100%</v>
          </cell>
          <cell r="G2235" t="str">
            <v xml:space="preserve">100% POLYESTER </v>
          </cell>
          <cell r="H2235" t="str">
            <v>57/58</v>
          </cell>
          <cell r="I2235">
            <v>67</v>
          </cell>
          <cell r="J2235">
            <v>1.04</v>
          </cell>
          <cell r="K2235">
            <v>1.22</v>
          </cell>
          <cell r="L2235">
            <v>1.06</v>
          </cell>
          <cell r="M2235">
            <v>1.25</v>
          </cell>
          <cell r="N2235">
            <v>1.08</v>
          </cell>
          <cell r="O2235">
            <v>1.28</v>
          </cell>
          <cell r="P2235"/>
          <cell r="Q2235"/>
          <cell r="R2235">
            <v>1.23</v>
          </cell>
          <cell r="S2235">
            <v>1.55</v>
          </cell>
          <cell r="T2235"/>
          <cell r="U2235"/>
          <cell r="V2235">
            <v>15</v>
          </cell>
          <cell r="W2235"/>
          <cell r="X2235" t="str">
            <v>GAVIN</v>
          </cell>
          <cell r="Y2235" t="str">
            <v>GAVIN 4-AUGUST</v>
          </cell>
          <cell r="Z2235" t="str">
            <v>GAVIN' MAIL 7/8/17</v>
          </cell>
          <cell r="AA2235"/>
          <cell r="AB2235">
            <v>42954</v>
          </cell>
          <cell r="AC2235">
            <v>3379</v>
          </cell>
        </row>
        <row r="2236">
          <cell r="B2236">
            <v>3378</v>
          </cell>
          <cell r="C2236" t="str">
            <v>TS-365</v>
          </cell>
          <cell r="D2236" t="str">
            <v>CHIFFON JACQUARD</v>
          </cell>
          <cell r="E2236"/>
          <cell r="F2236" t="str">
            <v>T 100%</v>
          </cell>
          <cell r="G2236" t="str">
            <v xml:space="preserve">100% POLYESTER </v>
          </cell>
          <cell r="H2236" t="str">
            <v>57/58</v>
          </cell>
          <cell r="I2236">
            <v>66</v>
          </cell>
          <cell r="J2236">
            <v>1.21</v>
          </cell>
          <cell r="K2236"/>
          <cell r="L2236">
            <v>1.23</v>
          </cell>
          <cell r="M2236"/>
          <cell r="N2236">
            <v>1.25</v>
          </cell>
          <cell r="O2236"/>
          <cell r="P2236"/>
          <cell r="Q2236"/>
          <cell r="R2236">
            <v>1.4</v>
          </cell>
          <cell r="S2236"/>
          <cell r="T2236"/>
          <cell r="U2236"/>
          <cell r="V2236">
            <v>15</v>
          </cell>
          <cell r="W2236"/>
          <cell r="X2236" t="str">
            <v>GAVIN</v>
          </cell>
          <cell r="Y2236" t="str">
            <v>GAVIN 4-AUGUST</v>
          </cell>
          <cell r="Z2236" t="str">
            <v>GAVIN' MAIL 7/8/17</v>
          </cell>
          <cell r="AA2236"/>
          <cell r="AB2236">
            <v>42954</v>
          </cell>
          <cell r="AC2236">
            <v>3378</v>
          </cell>
        </row>
        <row r="2237">
          <cell r="B2237">
            <v>1964</v>
          </cell>
          <cell r="C2237" t="str">
            <v>BG3036</v>
          </cell>
          <cell r="D2237" t="str">
            <v>TERRY CREPE</v>
          </cell>
          <cell r="E2237"/>
          <cell r="F2237" t="str">
            <v>R/V 52/48</v>
          </cell>
          <cell r="G2237" t="str">
            <v>48%VISCOSE 52%RAYON</v>
          </cell>
          <cell r="H2237" t="str">
            <v>53/54</v>
          </cell>
          <cell r="I2237">
            <v>118</v>
          </cell>
          <cell r="J2237">
            <v>2.95</v>
          </cell>
          <cell r="K2237">
            <v>3.45</v>
          </cell>
          <cell r="L2237"/>
          <cell r="M2237"/>
          <cell r="N2237">
            <v>3</v>
          </cell>
          <cell r="O2237">
            <v>3.55</v>
          </cell>
          <cell r="P2237"/>
          <cell r="Q2237"/>
          <cell r="R2237">
            <v>3.4</v>
          </cell>
          <cell r="S2237">
            <v>3.95</v>
          </cell>
          <cell r="T2237"/>
          <cell r="U2237"/>
          <cell r="V2237">
            <v>0</v>
          </cell>
          <cell r="W2237"/>
          <cell r="X2237" t="str">
            <v>ANN</v>
          </cell>
          <cell r="Y2237" t="str">
            <v>ANN 28-MARCH</v>
          </cell>
          <cell r="Z2237" t="str">
            <v>FILE FROM WECHAT</v>
          </cell>
          <cell r="AA2237"/>
          <cell r="AB2237">
            <v>42951</v>
          </cell>
          <cell r="AC2237">
            <v>1964</v>
          </cell>
        </row>
        <row r="2238">
          <cell r="B2238">
            <v>3377</v>
          </cell>
          <cell r="C2238" t="str">
            <v>BG3778</v>
          </cell>
          <cell r="D2238" t="str">
            <v>POLY FOR LINING</v>
          </cell>
          <cell r="E2238" t="str">
            <v>50X50</v>
          </cell>
          <cell r="F2238" t="str">
            <v>T 100%</v>
          </cell>
          <cell r="G2238" t="str">
            <v>100% POLYESTER</v>
          </cell>
          <cell r="H2238" t="str">
            <v>57/58</v>
          </cell>
          <cell r="I2238">
            <v>100</v>
          </cell>
          <cell r="J2238">
            <v>1.45</v>
          </cell>
          <cell r="K2238">
            <v>1.75</v>
          </cell>
          <cell r="L2238">
            <v>1.47</v>
          </cell>
          <cell r="M2238">
            <v>1.8</v>
          </cell>
          <cell r="N2238">
            <v>1.5</v>
          </cell>
          <cell r="O2238">
            <v>1.85</v>
          </cell>
          <cell r="P2238"/>
          <cell r="Q2238"/>
          <cell r="R2238">
            <v>1.7</v>
          </cell>
          <cell r="S2238">
            <v>2.15</v>
          </cell>
          <cell r="T2238"/>
          <cell r="U2238"/>
          <cell r="V2238">
            <v>15</v>
          </cell>
          <cell r="W2238"/>
          <cell r="X2238" t="str">
            <v>ANN</v>
          </cell>
          <cell r="Y2238" t="str">
            <v>ANN 3-AUGUST</v>
          </cell>
          <cell r="Z2238" t="str">
            <v>ANN' MAIL 3/8/17</v>
          </cell>
          <cell r="AA2238"/>
          <cell r="AB2238">
            <v>42950</v>
          </cell>
          <cell r="AC2238">
            <v>3377</v>
          </cell>
        </row>
        <row r="2239">
          <cell r="B2239">
            <v>3376</v>
          </cell>
          <cell r="C2239" t="str">
            <v>BG3008</v>
          </cell>
          <cell r="D2239" t="str">
            <v>POLY FOR LINING</v>
          </cell>
          <cell r="E2239"/>
          <cell r="F2239" t="str">
            <v>T 100%</v>
          </cell>
          <cell r="G2239" t="str">
            <v>100% POLYESTER</v>
          </cell>
          <cell r="H2239" t="str">
            <v>57/58</v>
          </cell>
          <cell r="I2239">
            <v>75</v>
          </cell>
          <cell r="J2239">
            <v>1.25</v>
          </cell>
          <cell r="K2239">
            <v>1.55</v>
          </cell>
          <cell r="L2239">
            <v>1.27</v>
          </cell>
          <cell r="M2239">
            <v>1.6</v>
          </cell>
          <cell r="N2239">
            <v>1.3</v>
          </cell>
          <cell r="O2239">
            <v>1.65</v>
          </cell>
          <cell r="P2239"/>
          <cell r="Q2239"/>
          <cell r="R2239">
            <v>1.5</v>
          </cell>
          <cell r="S2239">
            <v>1.95</v>
          </cell>
          <cell r="T2239"/>
          <cell r="U2239"/>
          <cell r="V2239">
            <v>15</v>
          </cell>
          <cell r="W2239"/>
          <cell r="X2239" t="str">
            <v>ANN</v>
          </cell>
          <cell r="Y2239" t="str">
            <v>ANN 3-AUGUST</v>
          </cell>
          <cell r="Z2239" t="str">
            <v>ANN' MAIL 3/8/17</v>
          </cell>
          <cell r="AA2239"/>
          <cell r="AB2239">
            <v>42950</v>
          </cell>
          <cell r="AC2239">
            <v>3376</v>
          </cell>
        </row>
        <row r="2240">
          <cell r="B2240">
            <v>3375</v>
          </cell>
          <cell r="C2240" t="str">
            <v>BG1657</v>
          </cell>
          <cell r="D2240" t="str">
            <v>RAYON BLEND - GAUZE</v>
          </cell>
          <cell r="E2240" t="str">
            <v>PIGMENT PRINT</v>
          </cell>
          <cell r="F2240" t="str">
            <v>R/T 70/30</v>
          </cell>
          <cell r="G2240" t="str">
            <v>70% RAYON 30%POLY</v>
          </cell>
          <cell r="H2240" t="str">
            <v>57/58</v>
          </cell>
          <cell r="I2240">
            <v>90</v>
          </cell>
          <cell r="J2240">
            <v>1.4</v>
          </cell>
          <cell r="K2240">
            <v>1.95</v>
          </cell>
          <cell r="L2240">
            <v>1.43</v>
          </cell>
          <cell r="M2240">
            <v>2</v>
          </cell>
          <cell r="N2240">
            <v>1.45</v>
          </cell>
          <cell r="O2240">
            <v>2.0499999999999998</v>
          </cell>
          <cell r="P2240"/>
          <cell r="Q2240"/>
          <cell r="R2240">
            <v>1.8</v>
          </cell>
          <cell r="S2240">
            <v>2.4500000000000002</v>
          </cell>
          <cell r="T2240" t="str">
            <v>AVALIABLE</v>
          </cell>
          <cell r="U2240"/>
          <cell r="V2240">
            <v>15</v>
          </cell>
          <cell r="W2240"/>
          <cell r="X2240" t="str">
            <v>ANN</v>
          </cell>
          <cell r="Y2240" t="str">
            <v>ANN 30-JULY - PIGMENT PRINT</v>
          </cell>
          <cell r="Z2240" t="str">
            <v>ANN' MAIL 1/8/17</v>
          </cell>
          <cell r="AA2240"/>
          <cell r="AB2240">
            <v>42948</v>
          </cell>
          <cell r="AC2240">
            <v>3375</v>
          </cell>
        </row>
        <row r="2241">
          <cell r="B2241">
            <v>2195</v>
          </cell>
          <cell r="C2241" t="str">
            <v>HLT558</v>
          </cell>
          <cell r="D2241" t="str">
            <v>BUBBLE CREPE</v>
          </cell>
          <cell r="E2241"/>
          <cell r="F2241" t="str">
            <v>T/S 98/2</v>
          </cell>
          <cell r="G2241" t="str">
            <v>98% POLYESTER 2% SPANDEX</v>
          </cell>
          <cell r="H2241" t="str">
            <v>57/58</v>
          </cell>
          <cell r="I2241">
            <v>130</v>
          </cell>
          <cell r="J2241">
            <v>1.68</v>
          </cell>
          <cell r="K2241">
            <v>1.86</v>
          </cell>
          <cell r="L2241">
            <v>1.78</v>
          </cell>
          <cell r="M2241">
            <v>1.9600000000000002</v>
          </cell>
          <cell r="N2241">
            <v>1.8800000000000001</v>
          </cell>
          <cell r="O2241">
            <v>2.06</v>
          </cell>
          <cell r="P2241"/>
          <cell r="Q2241"/>
          <cell r="R2241">
            <v>1.9800000000000002</v>
          </cell>
          <cell r="S2241">
            <v>2.2600000000000002</v>
          </cell>
          <cell r="T2241"/>
          <cell r="U2241"/>
          <cell r="V2241">
            <v>15</v>
          </cell>
          <cell r="W2241"/>
          <cell r="X2241" t="str">
            <v>CANDY</v>
          </cell>
          <cell r="Y2241" t="str">
            <v>CANDY 29-JULY</v>
          </cell>
          <cell r="Z2241" t="str">
            <v>LEI' MAIL 31/7/17</v>
          </cell>
          <cell r="AA2241"/>
          <cell r="AB2241">
            <v>42947</v>
          </cell>
          <cell r="AC2241">
            <v>2195</v>
          </cell>
        </row>
        <row r="2242">
          <cell r="B2242">
            <v>3375</v>
          </cell>
          <cell r="C2242" t="str">
            <v>BG1657</v>
          </cell>
          <cell r="D2242" t="str">
            <v>RAYON BLEND - GAUZE</v>
          </cell>
          <cell r="E2242" t="str">
            <v>75D x 32S</v>
          </cell>
          <cell r="F2242" t="str">
            <v>R/T 70/30</v>
          </cell>
          <cell r="G2242" t="str">
            <v>70% RAYON 30%POLY</v>
          </cell>
          <cell r="H2242" t="str">
            <v>57/58</v>
          </cell>
          <cell r="I2242">
            <v>90</v>
          </cell>
          <cell r="J2242">
            <v>1.4</v>
          </cell>
          <cell r="K2242">
            <v>1.65</v>
          </cell>
          <cell r="L2242">
            <v>1.43</v>
          </cell>
          <cell r="M2242">
            <v>1.7</v>
          </cell>
          <cell r="N2242">
            <v>1.45</v>
          </cell>
          <cell r="O2242">
            <v>1.75</v>
          </cell>
          <cell r="P2242"/>
          <cell r="Q2242"/>
          <cell r="R2242">
            <v>1.8</v>
          </cell>
          <cell r="S2242">
            <v>2.0499999999999998</v>
          </cell>
          <cell r="T2242" t="str">
            <v>AVALIABLE</v>
          </cell>
          <cell r="U2242"/>
          <cell r="V2242">
            <v>15</v>
          </cell>
          <cell r="W2242"/>
          <cell r="X2242" t="str">
            <v>ANN</v>
          </cell>
          <cell r="Y2242" t="str">
            <v>ANN 28-JULY</v>
          </cell>
          <cell r="Z2242" t="str">
            <v>ANN' MAIL 28/7/17</v>
          </cell>
          <cell r="AA2242"/>
          <cell r="AB2242">
            <v>42944</v>
          </cell>
          <cell r="AC2242">
            <v>3375</v>
          </cell>
        </row>
        <row r="2243">
          <cell r="B2243">
            <v>2600</v>
          </cell>
          <cell r="C2243" t="str">
            <v>TR05040XS</v>
          </cell>
          <cell r="D2243" t="str">
            <v>PVL - TAILORING</v>
          </cell>
          <cell r="E2243"/>
          <cell r="F2243" t="str">
            <v>T/V/S 64/34/2</v>
          </cell>
          <cell r="G2243" t="str">
            <v>64% POLY 34% VISCOSE 2% SPANDEX</v>
          </cell>
          <cell r="H2243" t="str">
            <v>53/54</v>
          </cell>
          <cell r="I2243">
            <v>225</v>
          </cell>
          <cell r="J2243">
            <v>3</v>
          </cell>
          <cell r="K2243"/>
          <cell r="L2243">
            <v>3.05</v>
          </cell>
          <cell r="M2243"/>
          <cell r="N2243">
            <v>3.15</v>
          </cell>
          <cell r="O2243"/>
          <cell r="P2243"/>
          <cell r="Q2243"/>
          <cell r="R2243">
            <v>3.35</v>
          </cell>
          <cell r="S2243"/>
          <cell r="T2243"/>
          <cell r="U2243"/>
          <cell r="V2243">
            <v>15</v>
          </cell>
          <cell r="W2243"/>
          <cell r="X2243" t="str">
            <v>OWEN</v>
          </cell>
          <cell r="Y2243" t="str">
            <v>OWEN 28-JULY</v>
          </cell>
          <cell r="Z2243" t="str">
            <v>SANDY' MAIL 28/7/17</v>
          </cell>
          <cell r="AA2243"/>
          <cell r="AB2243">
            <v>42944</v>
          </cell>
          <cell r="AC2243">
            <v>2600</v>
          </cell>
        </row>
        <row r="2244">
          <cell r="B2244">
            <v>2522</v>
          </cell>
          <cell r="C2244" t="str">
            <v>1025X228XS</v>
          </cell>
          <cell r="D2244" t="str">
            <v>POLY SATEEN (DULL)</v>
          </cell>
          <cell r="E2244"/>
          <cell r="F2244" t="str">
            <v>T 100%</v>
          </cell>
          <cell r="G2244" t="str">
            <v>100% POLYESTER</v>
          </cell>
          <cell r="H2244" t="str">
            <v>57/58</v>
          </cell>
          <cell r="I2244">
            <v>88</v>
          </cell>
          <cell r="J2244">
            <v>1.22</v>
          </cell>
          <cell r="K2244">
            <v>1.48</v>
          </cell>
          <cell r="L2244">
            <v>1.3</v>
          </cell>
          <cell r="M2244">
            <v>1.58</v>
          </cell>
          <cell r="N2244">
            <v>1.4</v>
          </cell>
          <cell r="O2244">
            <v>1.7</v>
          </cell>
          <cell r="P2244"/>
          <cell r="Q2244"/>
          <cell r="R2244">
            <v>1.55</v>
          </cell>
          <cell r="S2244">
            <v>2.4</v>
          </cell>
          <cell r="T2244"/>
          <cell r="U2244"/>
          <cell r="V2244">
            <v>15</v>
          </cell>
          <cell r="W2244"/>
          <cell r="X2244" t="str">
            <v>OWEN</v>
          </cell>
          <cell r="Y2244" t="str">
            <v>OWEN 26-JULY</v>
          </cell>
          <cell r="Z2244" t="str">
            <v>SANDY' MAIL 27/7/17</v>
          </cell>
          <cell r="AA2244"/>
          <cell r="AB2244">
            <v>42943</v>
          </cell>
          <cell r="AC2244">
            <v>2522</v>
          </cell>
        </row>
        <row r="2245">
          <cell r="B2245">
            <v>3374</v>
          </cell>
          <cell r="C2245" t="str">
            <v>MNR-41231</v>
          </cell>
          <cell r="D2245" t="str">
            <v>PONTE ROMA</v>
          </cell>
          <cell r="E2245"/>
          <cell r="F2245" t="str">
            <v>R/N/S 63.3/32.1/4.6 - N70D+R50S</v>
          </cell>
          <cell r="G2245" t="str">
            <v>63.3% RAYON 32.1% NYLON 4.6% SPANDEX</v>
          </cell>
          <cell r="H2245">
            <v>63</v>
          </cell>
          <cell r="I2245">
            <v>320</v>
          </cell>
          <cell r="J2245">
            <v>3.4</v>
          </cell>
          <cell r="K2245"/>
          <cell r="L2245">
            <v>3.4499999999999997</v>
          </cell>
          <cell r="M2245"/>
          <cell r="N2245">
            <v>3.4499999999999997</v>
          </cell>
          <cell r="O2245"/>
          <cell r="P2245"/>
          <cell r="Q2245"/>
          <cell r="R2245">
            <v>3.55</v>
          </cell>
          <cell r="S2245"/>
          <cell r="T2245"/>
          <cell r="U2245"/>
          <cell r="V2245">
            <v>15</v>
          </cell>
          <cell r="W2245"/>
          <cell r="X2245" t="str">
            <v>FENG QIANG</v>
          </cell>
          <cell r="Y2245" t="str">
            <v>FENG QIANG 20-JULY</v>
          </cell>
          <cell r="Z2245" t="str">
            <v>HUYEN' MAIL 21/7/17</v>
          </cell>
          <cell r="AA2245"/>
          <cell r="AB2245">
            <v>42941</v>
          </cell>
          <cell r="AC2245">
            <v>3374</v>
          </cell>
        </row>
        <row r="2246">
          <cell r="B2246">
            <v>3373</v>
          </cell>
          <cell r="C2246" t="str">
            <v>MNR-41232</v>
          </cell>
          <cell r="D2246" t="str">
            <v>PONTE ROMA</v>
          </cell>
          <cell r="E2246"/>
          <cell r="F2246" t="str">
            <v>R/T/S 63/33/4</v>
          </cell>
          <cell r="G2246" t="str">
            <v>63% RAYON 33% POLY 4% SPANDEX</v>
          </cell>
          <cell r="H2246">
            <v>63</v>
          </cell>
          <cell r="I2246">
            <v>320</v>
          </cell>
          <cell r="J2246">
            <v>2.8400000000000003</v>
          </cell>
          <cell r="K2246"/>
          <cell r="L2246">
            <v>2.89</v>
          </cell>
          <cell r="M2246"/>
          <cell r="N2246">
            <v>2.89</v>
          </cell>
          <cell r="O2246"/>
          <cell r="P2246"/>
          <cell r="Q2246"/>
          <cell r="R2246">
            <v>2.99</v>
          </cell>
          <cell r="S2246"/>
          <cell r="T2246"/>
          <cell r="U2246"/>
          <cell r="V2246">
            <v>15</v>
          </cell>
          <cell r="W2246"/>
          <cell r="X2246" t="str">
            <v>FENG QIANG</v>
          </cell>
          <cell r="Y2246" t="str">
            <v>FENG QIANG 20-JULY</v>
          </cell>
          <cell r="Z2246" t="str">
            <v>HUYEN' MAIL 21/7/17</v>
          </cell>
          <cell r="AA2246"/>
          <cell r="AB2246">
            <v>42941</v>
          </cell>
          <cell r="AC2246">
            <v>3373</v>
          </cell>
        </row>
        <row r="2247">
          <cell r="B2247">
            <v>3372</v>
          </cell>
          <cell r="C2247" t="str">
            <v>MNR-30518</v>
          </cell>
          <cell r="D2247" t="str">
            <v>PONTE ROMA</v>
          </cell>
          <cell r="E2247"/>
          <cell r="F2247" t="str">
            <v>R/N/S 63/33/4</v>
          </cell>
          <cell r="G2247" t="str">
            <v>63% RAYON 33% NYLON 4% SPANDEX</v>
          </cell>
          <cell r="H2247" t="str">
            <v>165CM</v>
          </cell>
          <cell r="I2247">
            <v>320</v>
          </cell>
          <cell r="J2247">
            <v>3.56</v>
          </cell>
          <cell r="K2247"/>
          <cell r="L2247">
            <v>3.61</v>
          </cell>
          <cell r="M2247"/>
          <cell r="N2247">
            <v>3.61</v>
          </cell>
          <cell r="O2247"/>
          <cell r="P2247"/>
          <cell r="Q2247"/>
          <cell r="R2247">
            <v>3.71</v>
          </cell>
          <cell r="S2247"/>
          <cell r="T2247"/>
          <cell r="U2247"/>
          <cell r="V2247">
            <v>15</v>
          </cell>
          <cell r="W2247"/>
          <cell r="X2247" t="str">
            <v>FENG QIANG</v>
          </cell>
          <cell r="Y2247" t="str">
            <v>FENG QIANG 20-JULY</v>
          </cell>
          <cell r="Z2247" t="str">
            <v>HUYEN' MAIL 21/7/17</v>
          </cell>
          <cell r="AA2247"/>
          <cell r="AB2247">
            <v>42941</v>
          </cell>
          <cell r="AC2247">
            <v>3372</v>
          </cell>
        </row>
        <row r="2248">
          <cell r="B2248">
            <v>3371</v>
          </cell>
          <cell r="C2248" t="str">
            <v>#60801</v>
          </cell>
          <cell r="D2248" t="str">
            <v>PONTE ROMA</v>
          </cell>
          <cell r="E2248"/>
          <cell r="F2248" t="str">
            <v>R/T/S 65/31/4</v>
          </cell>
          <cell r="G2248" t="str">
            <v>65% RAYON 31% POLY 4% SPANDEX</v>
          </cell>
          <cell r="H2248" t="str">
            <v>160CM</v>
          </cell>
          <cell r="I2248">
            <v>300</v>
          </cell>
          <cell r="J2248">
            <v>2.3000000000000003</v>
          </cell>
          <cell r="K2248"/>
          <cell r="L2248">
            <v>2.35</v>
          </cell>
          <cell r="M2248"/>
          <cell r="N2248">
            <v>2.35</v>
          </cell>
          <cell r="O2248"/>
          <cell r="P2248"/>
          <cell r="Q2248"/>
          <cell r="R2248">
            <v>2.4500000000000002</v>
          </cell>
          <cell r="S2248"/>
          <cell r="T2248"/>
          <cell r="U2248"/>
          <cell r="V2248">
            <v>15</v>
          </cell>
          <cell r="W2248"/>
          <cell r="X2248" t="str">
            <v>FENG QIANG</v>
          </cell>
          <cell r="Y2248" t="str">
            <v>FENG QIANG 20-JULY</v>
          </cell>
          <cell r="Z2248" t="str">
            <v>HUYEN' MAIL 21/7/17</v>
          </cell>
          <cell r="AA2248"/>
          <cell r="AB2248">
            <v>42941</v>
          </cell>
          <cell r="AC2248">
            <v>3371</v>
          </cell>
        </row>
        <row r="2249">
          <cell r="B2249">
            <v>2181</v>
          </cell>
          <cell r="C2249" t="str">
            <v>RP-180</v>
          </cell>
          <cell r="D2249" t="str">
            <v>RAYON CRINKLE</v>
          </cell>
          <cell r="E2249"/>
          <cell r="F2249" t="str">
            <v>R 100%</v>
          </cell>
          <cell r="G2249" t="str">
            <v>100% RAYON  47”CUTABLE WIDTH</v>
          </cell>
          <cell r="H2249" t="str">
            <v>47/48</v>
          </cell>
          <cell r="I2249">
            <v>135</v>
          </cell>
          <cell r="J2249">
            <v>1.82</v>
          </cell>
          <cell r="K2249">
            <v>2.0499999999999998</v>
          </cell>
          <cell r="L2249">
            <v>1.85</v>
          </cell>
          <cell r="M2249"/>
          <cell r="N2249">
            <v>1.85</v>
          </cell>
          <cell r="O2249">
            <v>2.0499999999999998</v>
          </cell>
          <cell r="P2249"/>
          <cell r="Q2249"/>
          <cell r="R2249">
            <v>2.0499999999999998</v>
          </cell>
          <cell r="S2249">
            <v>2.65</v>
          </cell>
          <cell r="T2249"/>
          <cell r="U2249"/>
          <cell r="V2249"/>
          <cell r="W2249"/>
          <cell r="X2249" t="str">
            <v>LIVALTEX</v>
          </cell>
          <cell r="Y2249" t="str">
            <v>LIVALTEX 20-JULY</v>
          </cell>
          <cell r="Z2249" t="str">
            <v>ROSE' MAIL 20/7/17</v>
          </cell>
          <cell r="AA2249"/>
          <cell r="AB2249">
            <v>42936</v>
          </cell>
          <cell r="AC2249">
            <v>2181</v>
          </cell>
        </row>
        <row r="2250">
          <cell r="B2250">
            <v>2180</v>
          </cell>
          <cell r="C2250" t="str">
            <v>RP-257</v>
          </cell>
          <cell r="D2250" t="str">
            <v>RAYON CRINKLE</v>
          </cell>
          <cell r="E2250"/>
          <cell r="F2250" t="str">
            <v>R 100%</v>
          </cell>
          <cell r="G2250" t="str">
            <v>100% RAYON  47”CUTABLE WIDTH</v>
          </cell>
          <cell r="H2250" t="str">
            <v>47/48</v>
          </cell>
          <cell r="I2250">
            <v>140</v>
          </cell>
          <cell r="J2250">
            <v>1.82</v>
          </cell>
          <cell r="K2250">
            <v>2.0499999999999998</v>
          </cell>
          <cell r="L2250">
            <v>1.85</v>
          </cell>
          <cell r="M2250"/>
          <cell r="N2250">
            <v>1.85</v>
          </cell>
          <cell r="O2250">
            <v>2.0499999999999998</v>
          </cell>
          <cell r="P2250"/>
          <cell r="Q2250"/>
          <cell r="R2250">
            <v>2.0499999999999998</v>
          </cell>
          <cell r="S2250">
            <v>2.65</v>
          </cell>
          <cell r="T2250"/>
          <cell r="U2250"/>
          <cell r="V2250"/>
          <cell r="W2250"/>
          <cell r="X2250" t="str">
            <v>LIVALTEX</v>
          </cell>
          <cell r="Y2250" t="str">
            <v>LIVALTEX 20-JULY</v>
          </cell>
          <cell r="Z2250" t="str">
            <v>ROSE' MAIL 20/7/17</v>
          </cell>
          <cell r="AA2250"/>
          <cell r="AB2250">
            <v>42936</v>
          </cell>
          <cell r="AC2250">
            <v>2180</v>
          </cell>
        </row>
        <row r="2251">
          <cell r="B2251">
            <v>1958</v>
          </cell>
          <cell r="C2251" t="str">
            <v>CFTS-445-DY</v>
          </cell>
          <cell r="D2251" t="str">
            <v>RAYON CRINKLE</v>
          </cell>
          <cell r="E2251"/>
          <cell r="F2251" t="str">
            <v>R 100%</v>
          </cell>
          <cell r="G2251" t="str">
            <v>100% RAYON</v>
          </cell>
          <cell r="H2251" t="str">
            <v>49/50</v>
          </cell>
          <cell r="I2251">
            <v>134</v>
          </cell>
          <cell r="J2251">
            <v>1.7</v>
          </cell>
          <cell r="K2251">
            <v>1.95</v>
          </cell>
          <cell r="L2251">
            <v>1.8</v>
          </cell>
          <cell r="M2251">
            <v>2.0499999999999998</v>
          </cell>
          <cell r="N2251">
            <v>1.9</v>
          </cell>
          <cell r="O2251">
            <v>2.35</v>
          </cell>
          <cell r="P2251"/>
          <cell r="Q2251"/>
          <cell r="R2251">
            <v>2.1</v>
          </cell>
          <cell r="S2251">
            <v>3</v>
          </cell>
          <cell r="T2251"/>
          <cell r="U2251"/>
          <cell r="V2251"/>
          <cell r="W2251"/>
          <cell r="X2251" t="str">
            <v>SANDY</v>
          </cell>
          <cell r="Y2251" t="str">
            <v>SANDY 20-JULY</v>
          </cell>
          <cell r="Z2251" t="str">
            <v>SANDY' MAIL 20/7/17</v>
          </cell>
          <cell r="AA2251"/>
          <cell r="AB2251">
            <v>42936</v>
          </cell>
          <cell r="AC2251">
            <v>1958</v>
          </cell>
        </row>
        <row r="2252">
          <cell r="B2252">
            <v>2789</v>
          </cell>
          <cell r="C2252" t="str">
            <v>BG3215</v>
          </cell>
          <cell r="D2252" t="str">
            <v>RAYON BLEND CRINKLE</v>
          </cell>
          <cell r="E2252"/>
          <cell r="F2252" t="str">
            <v>R/N 85/15</v>
          </cell>
          <cell r="G2252" t="str">
            <v>85% RAYON 15%NYLON</v>
          </cell>
          <cell r="H2252" t="str">
            <v>50/51</v>
          </cell>
          <cell r="I2252">
            <v>115</v>
          </cell>
          <cell r="J2252">
            <v>2.2000000000000002</v>
          </cell>
          <cell r="K2252"/>
          <cell r="L2252">
            <v>2.23</v>
          </cell>
          <cell r="M2252"/>
          <cell r="N2252">
            <v>2.25</v>
          </cell>
          <cell r="O2252"/>
          <cell r="P2252"/>
          <cell r="Q2252"/>
          <cell r="R2252">
            <v>2.4500000000000002</v>
          </cell>
          <cell r="S2252"/>
          <cell r="T2252"/>
          <cell r="U2252"/>
          <cell r="V2252">
            <v>15</v>
          </cell>
          <cell r="W2252"/>
          <cell r="X2252" t="str">
            <v>ANN</v>
          </cell>
          <cell r="Y2252" t="str">
            <v>ANN 18-JULY</v>
          </cell>
          <cell r="Z2252" t="str">
            <v>ANN' MAIL 18/7/17</v>
          </cell>
          <cell r="AA2252"/>
          <cell r="AB2252">
            <v>42935</v>
          </cell>
          <cell r="AC2252">
            <v>2789</v>
          </cell>
        </row>
        <row r="2253">
          <cell r="B2253">
            <v>1582</v>
          </cell>
          <cell r="C2253" t="str">
            <v>BG2718</v>
          </cell>
          <cell r="D2253" t="str">
            <v>CREPE PAPER</v>
          </cell>
          <cell r="E2253"/>
          <cell r="F2253" t="str">
            <v>C 100%</v>
          </cell>
          <cell r="G2253" t="str">
            <v>100% COTTON</v>
          </cell>
          <cell r="H2253" t="str">
            <v>50/51</v>
          </cell>
          <cell r="I2253">
            <v>86</v>
          </cell>
          <cell r="J2253">
            <v>2.4</v>
          </cell>
          <cell r="K2253">
            <v>3.2</v>
          </cell>
          <cell r="L2253">
            <v>2.4500000000000002</v>
          </cell>
          <cell r="M2253">
            <v>3.25</v>
          </cell>
          <cell r="N2253">
            <v>2.5</v>
          </cell>
          <cell r="O2253">
            <v>3.3</v>
          </cell>
          <cell r="P2253"/>
          <cell r="Q2253"/>
          <cell r="R2253">
            <v>2.7</v>
          </cell>
          <cell r="S2253">
            <v>3.6</v>
          </cell>
          <cell r="T2253"/>
          <cell r="U2253"/>
          <cell r="V2253">
            <v>15</v>
          </cell>
          <cell r="W2253"/>
          <cell r="X2253" t="str">
            <v>ANN</v>
          </cell>
          <cell r="Y2253" t="str">
            <v>ANN 18-JULY</v>
          </cell>
          <cell r="Z2253" t="str">
            <v>ANN' MAIL 18/7/17</v>
          </cell>
          <cell r="AA2253"/>
          <cell r="AB2253">
            <v>42935</v>
          </cell>
          <cell r="AC2253">
            <v>1582</v>
          </cell>
        </row>
        <row r="2254">
          <cell r="B2254">
            <v>3370</v>
          </cell>
          <cell r="C2254" t="str">
            <v>GL1812</v>
          </cell>
          <cell r="D2254" t="str">
            <v>PONTE ROMA</v>
          </cell>
          <cell r="E2254"/>
          <cell r="F2254" t="str">
            <v>R/N/S 65/30/5</v>
          </cell>
          <cell r="G2254" t="str">
            <v>65%RAYON 30%NYLON 5%SPANDEX</v>
          </cell>
          <cell r="H2254" t="str">
            <v>61/63</v>
          </cell>
          <cell r="I2254" t="str">
            <v>310GSM</v>
          </cell>
          <cell r="J2254">
            <v>2.91</v>
          </cell>
          <cell r="K2254"/>
          <cell r="L2254">
            <v>2.97</v>
          </cell>
          <cell r="M2254"/>
          <cell r="N2254">
            <v>2.97</v>
          </cell>
          <cell r="O2254"/>
          <cell r="P2254"/>
          <cell r="Q2254"/>
          <cell r="R2254">
            <v>3.12</v>
          </cell>
          <cell r="S2254"/>
          <cell r="T2254"/>
          <cell r="U2254"/>
          <cell r="V2254">
            <v>15</v>
          </cell>
          <cell r="W2254" t="str">
            <v>RANGE PRICES 1.000M FOLLOW NICKY' MAIL IN 13/7/17</v>
          </cell>
          <cell r="X2254" t="str">
            <v>NICKY</v>
          </cell>
          <cell r="Y2254" t="str">
            <v>NICKY 14-JULY</v>
          </cell>
          <cell r="Z2254" t="str">
            <v>NICKY' MAIL 14/7/17</v>
          </cell>
          <cell r="AA2254"/>
          <cell r="AB2254">
            <v>42930</v>
          </cell>
          <cell r="AC2254">
            <v>3370</v>
          </cell>
        </row>
        <row r="2255">
          <cell r="B2255">
            <v>3369</v>
          </cell>
          <cell r="C2255" t="str">
            <v>GL1805</v>
          </cell>
          <cell r="D2255" t="str">
            <v>PONTE ROMA</v>
          </cell>
          <cell r="E2255"/>
          <cell r="F2255" t="str">
            <v>R/N/S 68/27/5</v>
          </cell>
          <cell r="G2255" t="str">
            <v>68%RAYON 27%NYLON 5%SPANDEX</v>
          </cell>
          <cell r="H2255" t="str">
            <v>59/61</v>
          </cell>
          <cell r="I2255" t="str">
            <v>340GSM</v>
          </cell>
          <cell r="J2255">
            <v>2.87</v>
          </cell>
          <cell r="K2255"/>
          <cell r="L2255">
            <v>2.92</v>
          </cell>
          <cell r="M2255"/>
          <cell r="N2255">
            <v>2.92</v>
          </cell>
          <cell r="O2255"/>
          <cell r="P2255"/>
          <cell r="Q2255"/>
          <cell r="R2255">
            <v>3.07</v>
          </cell>
          <cell r="S2255"/>
          <cell r="T2255"/>
          <cell r="U2255"/>
          <cell r="V2255">
            <v>15</v>
          </cell>
          <cell r="W2255" t="str">
            <v>RANGE PRICES 1.000M FOLLOW NICKY' MAIL IN 13/7/17</v>
          </cell>
          <cell r="X2255" t="str">
            <v>NICKY</v>
          </cell>
          <cell r="Y2255" t="str">
            <v>NICKY 14-JULY</v>
          </cell>
          <cell r="Z2255" t="str">
            <v>NICKY' MAIL 14/7/17</v>
          </cell>
          <cell r="AA2255"/>
          <cell r="AB2255">
            <v>42930</v>
          </cell>
          <cell r="AC2255">
            <v>3369</v>
          </cell>
        </row>
        <row r="2256">
          <cell r="B2256">
            <v>703</v>
          </cell>
          <cell r="C2256" t="str">
            <v>TS-139</v>
          </cell>
          <cell r="D2256" t="str">
            <v>PONTE ROMA</v>
          </cell>
          <cell r="E2256"/>
          <cell r="F2256" t="str">
            <v>V/T/S 56/40/4</v>
          </cell>
          <cell r="G2256" t="str">
            <v>56% VISCOSE 40% POLYESTER 4% SPANDEX</v>
          </cell>
          <cell r="H2256" t="str">
            <v>160CM</v>
          </cell>
          <cell r="I2256">
            <v>380</v>
          </cell>
          <cell r="J2256">
            <v>3.36</v>
          </cell>
          <cell r="K2256">
            <v>3.82</v>
          </cell>
          <cell r="L2256">
            <v>3.38</v>
          </cell>
          <cell r="M2256">
            <v>3.85</v>
          </cell>
          <cell r="N2256">
            <v>3.4</v>
          </cell>
          <cell r="O2256">
            <v>3.88</v>
          </cell>
          <cell r="P2256"/>
          <cell r="Q2256"/>
          <cell r="R2256">
            <v>3.55</v>
          </cell>
          <cell r="S2256">
            <v>4.13</v>
          </cell>
          <cell r="T2256"/>
          <cell r="U2256"/>
          <cell r="V2256">
            <v>15</v>
          </cell>
          <cell r="W2256"/>
          <cell r="X2256" t="str">
            <v>GAVIN</v>
          </cell>
          <cell r="Y2256" t="str">
            <v>GAVIN 14-JULY</v>
          </cell>
          <cell r="Z2256" t="str">
            <v>GAVIN' MAIL 14/7/17</v>
          </cell>
          <cell r="AA2256"/>
          <cell r="AB2256">
            <v>42930</v>
          </cell>
          <cell r="AC2256">
            <v>703</v>
          </cell>
        </row>
        <row r="2257">
          <cell r="B2257"/>
          <cell r="C2257" t="str">
            <v>GL1806</v>
          </cell>
          <cell r="D2257" t="str">
            <v>PONTE ROMA</v>
          </cell>
          <cell r="E2257"/>
          <cell r="F2257" t="str">
            <v>R/N/S 68/27/5</v>
          </cell>
          <cell r="G2257" t="str">
            <v>68%RAYON 27%NYLON 5%SPANDEX</v>
          </cell>
          <cell r="H2257">
            <v>59</v>
          </cell>
          <cell r="I2257" t="str">
            <v>320GSM</v>
          </cell>
          <cell r="J2257">
            <v>2.68</v>
          </cell>
          <cell r="K2257"/>
          <cell r="L2257">
            <v>2.74</v>
          </cell>
          <cell r="M2257"/>
          <cell r="N2257">
            <v>2.74</v>
          </cell>
          <cell r="O2257"/>
          <cell r="P2257"/>
          <cell r="Q2257"/>
          <cell r="R2257">
            <v>2.89</v>
          </cell>
          <cell r="S2257"/>
          <cell r="T2257"/>
          <cell r="U2257"/>
          <cell r="V2257">
            <v>15</v>
          </cell>
          <cell r="W2257" t="str">
            <v>RANGE PRICES 1.000M FOLLOW NICKY' MAIL IN 13/7/17</v>
          </cell>
          <cell r="X2257" t="str">
            <v>NICKY</v>
          </cell>
          <cell r="Y2257" t="str">
            <v>NICKY 14-JULY</v>
          </cell>
          <cell r="Z2257" t="str">
            <v>NICKY' MAIL 14/7/17</v>
          </cell>
          <cell r="AA2257"/>
          <cell r="AB2257">
            <v>42930</v>
          </cell>
          <cell r="AC2257">
            <v>0</v>
          </cell>
        </row>
        <row r="2258">
          <cell r="B2258"/>
          <cell r="C2258"/>
          <cell r="D2258" t="str">
            <v>PONTE ROMA</v>
          </cell>
          <cell r="E2258"/>
          <cell r="F2258" t="str">
            <v>R/N/S 68/27/5</v>
          </cell>
          <cell r="G2258" t="str">
            <v>68%RAYON 27%NYLON 5%SPANDEX</v>
          </cell>
          <cell r="H2258" t="str">
            <v>59/61</v>
          </cell>
          <cell r="I2258" t="str">
            <v>340GSM</v>
          </cell>
          <cell r="J2258">
            <v>3.22</v>
          </cell>
          <cell r="K2258"/>
          <cell r="L2258">
            <v>3.28</v>
          </cell>
          <cell r="M2258"/>
          <cell r="N2258">
            <v>3.28</v>
          </cell>
          <cell r="O2258"/>
          <cell r="P2258"/>
          <cell r="Q2258"/>
          <cell r="R2258">
            <v>3.4299999999999997</v>
          </cell>
          <cell r="S2258"/>
          <cell r="T2258"/>
          <cell r="U2258"/>
          <cell r="V2258">
            <v>15</v>
          </cell>
          <cell r="W2258" t="str">
            <v>RANGE PRICES 1.000M FOLLOW NICKY' MAIL IN 13/7/17</v>
          </cell>
          <cell r="X2258" t="str">
            <v>NICKY</v>
          </cell>
          <cell r="Y2258" t="str">
            <v>NICKY 14-JULY</v>
          </cell>
          <cell r="Z2258" t="str">
            <v>NICKY' MAIL 14/7/17</v>
          </cell>
          <cell r="AA2258"/>
          <cell r="AB2258">
            <v>42930</v>
          </cell>
          <cell r="AC2258">
            <v>0</v>
          </cell>
        </row>
        <row r="2259">
          <cell r="B2259">
            <v>1955</v>
          </cell>
          <cell r="C2259" t="str">
            <v>BG3104</v>
          </cell>
          <cell r="D2259"/>
          <cell r="E2259"/>
          <cell r="F2259" t="str">
            <v>C 100%</v>
          </cell>
          <cell r="G2259" t="str">
            <v>100% COTTON</v>
          </cell>
          <cell r="H2259" t="str">
            <v>53/54</v>
          </cell>
          <cell r="I2259">
            <v>120</v>
          </cell>
          <cell r="J2259">
            <v>2.0499999999999998</v>
          </cell>
          <cell r="K2259">
            <v>2.2999999999999998</v>
          </cell>
          <cell r="L2259">
            <v>2.0299999999999998</v>
          </cell>
          <cell r="M2259">
            <v>2.35</v>
          </cell>
          <cell r="N2259">
            <v>2.0499999999999998</v>
          </cell>
          <cell r="O2259">
            <v>2.4</v>
          </cell>
          <cell r="P2259"/>
          <cell r="Q2259"/>
          <cell r="R2259">
            <v>2.35</v>
          </cell>
          <cell r="S2259">
            <v>2.75</v>
          </cell>
          <cell r="T2259"/>
          <cell r="U2259"/>
          <cell r="V2259">
            <v>15</v>
          </cell>
          <cell r="W2259"/>
          <cell r="X2259" t="str">
            <v>ANN</v>
          </cell>
          <cell r="Y2259" t="str">
            <v>ANN 12-JULY</v>
          </cell>
          <cell r="Z2259" t="str">
            <v>ANN' MAIL 12/7/17</v>
          </cell>
          <cell r="AA2259"/>
          <cell r="AB2259">
            <v>42928</v>
          </cell>
          <cell r="AC2259">
            <v>1955</v>
          </cell>
        </row>
        <row r="2260">
          <cell r="B2260">
            <v>3368</v>
          </cell>
          <cell r="C2260" t="str">
            <v>OLP-177606DJ</v>
          </cell>
          <cell r="D2260"/>
          <cell r="E2260"/>
          <cell r="F2260" t="str">
            <v>V/T 93/7</v>
          </cell>
          <cell r="G2260" t="str">
            <v>93% VISCOSE 7% POLYESTER</v>
          </cell>
          <cell r="H2260" t="str">
            <v>57/58</v>
          </cell>
          <cell r="I2260">
            <v>200</v>
          </cell>
          <cell r="J2260">
            <v>2.95</v>
          </cell>
          <cell r="K2260">
            <v>3.25</v>
          </cell>
          <cell r="L2260">
            <v>3.05</v>
          </cell>
          <cell r="M2260">
            <v>3.35</v>
          </cell>
          <cell r="N2260">
            <v>3.2</v>
          </cell>
          <cell r="O2260">
            <v>3.65</v>
          </cell>
          <cell r="P2260"/>
          <cell r="Q2260"/>
          <cell r="R2260">
            <v>3.35</v>
          </cell>
          <cell r="S2260">
            <v>4.3499999999999996</v>
          </cell>
          <cell r="T2260"/>
          <cell r="U2260"/>
          <cell r="V2260">
            <v>15</v>
          </cell>
          <cell r="W2260"/>
          <cell r="X2260" t="str">
            <v>OWEN</v>
          </cell>
          <cell r="Y2260" t="str">
            <v>OWEN 10-JULY</v>
          </cell>
          <cell r="Z2260" t="str">
            <v>SANDY' MAIL 10/7/17</v>
          </cell>
          <cell r="AA2260"/>
          <cell r="AB2260">
            <v>42926</v>
          </cell>
          <cell r="AC2260">
            <v>3368</v>
          </cell>
        </row>
        <row r="2261">
          <cell r="B2261">
            <v>3367</v>
          </cell>
          <cell r="C2261" t="str">
            <v>OLP-177605TB</v>
          </cell>
          <cell r="D2261"/>
          <cell r="E2261" t="str">
            <v>96x72 / PIGMENT PRINT</v>
          </cell>
          <cell r="F2261" t="str">
            <v>T/C 65/35</v>
          </cell>
          <cell r="G2261" t="str">
            <v>65% POLYESTER 35% COTTON</v>
          </cell>
          <cell r="H2261" t="str">
            <v>57/58</v>
          </cell>
          <cell r="I2261">
            <v>95</v>
          </cell>
          <cell r="J2261"/>
          <cell r="K2261">
            <v>1.38</v>
          </cell>
          <cell r="L2261"/>
          <cell r="M2261">
            <v>1.48</v>
          </cell>
          <cell r="N2261"/>
          <cell r="O2261">
            <v>1.75</v>
          </cell>
          <cell r="P2261"/>
          <cell r="Q2261"/>
          <cell r="R2261"/>
          <cell r="S2261">
            <v>2.4500000000000002</v>
          </cell>
          <cell r="T2261"/>
          <cell r="U2261"/>
          <cell r="V2261">
            <v>15</v>
          </cell>
          <cell r="W2261"/>
          <cell r="X2261" t="str">
            <v>OWEN</v>
          </cell>
          <cell r="Y2261" t="str">
            <v>OWEN 10-JULY</v>
          </cell>
          <cell r="Z2261" t="str">
            <v>SANDY' MAIL 10/7/17</v>
          </cell>
          <cell r="AA2261"/>
          <cell r="AB2261">
            <v>42926</v>
          </cell>
          <cell r="AC2261">
            <v>3367</v>
          </cell>
        </row>
        <row r="2262">
          <cell r="B2262">
            <v>3242</v>
          </cell>
          <cell r="C2262" t="str">
            <v>WW-21789</v>
          </cell>
          <cell r="D2262" t="str">
            <v>ALISON HAYE RUNNING - BUBBLE CREPE</v>
          </cell>
          <cell r="E2262"/>
          <cell r="F2262" t="str">
            <v>T/S 97/3</v>
          </cell>
          <cell r="G2262" t="str">
            <v>97% POLYESTER 3% SPANDEX</v>
          </cell>
          <cell r="H2262" t="str">
            <v>57/58</v>
          </cell>
          <cell r="I2262">
            <v>130</v>
          </cell>
          <cell r="J2262">
            <v>1.25</v>
          </cell>
          <cell r="K2262">
            <v>1.55</v>
          </cell>
          <cell r="L2262">
            <v>1.25</v>
          </cell>
          <cell r="M2262">
            <v>1.55</v>
          </cell>
          <cell r="N2262">
            <v>1.25</v>
          </cell>
          <cell r="O2262">
            <v>1.55</v>
          </cell>
          <cell r="P2262"/>
          <cell r="Q2262"/>
          <cell r="R2262">
            <v>1.4</v>
          </cell>
          <cell r="S2262">
            <v>2.4</v>
          </cell>
          <cell r="T2262"/>
          <cell r="U2262"/>
          <cell r="V2262">
            <v>15</v>
          </cell>
          <cell r="W2262"/>
          <cell r="X2262" t="str">
            <v>PANI</v>
          </cell>
          <cell r="Y2262" t="str">
            <v>PANI 10-JULY</v>
          </cell>
          <cell r="Z2262" t="str">
            <v>GROUP WECHAT 10/7/17</v>
          </cell>
          <cell r="AA2262"/>
          <cell r="AB2262">
            <v>42926</v>
          </cell>
          <cell r="AC2262">
            <v>3242</v>
          </cell>
        </row>
        <row r="2263">
          <cell r="B2263">
            <v>2490</v>
          </cell>
          <cell r="C2263" t="str">
            <v>GLLPPS-102303</v>
          </cell>
          <cell r="D2263" t="str">
            <v>BUBBLE</v>
          </cell>
          <cell r="E2263"/>
          <cell r="F2263" t="str">
            <v>T/S 97/3</v>
          </cell>
          <cell r="G2263" t="str">
            <v>97% POLYESTER 3% SPANDEX</v>
          </cell>
          <cell r="H2263" t="str">
            <v>57/58</v>
          </cell>
          <cell r="I2263">
            <v>120</v>
          </cell>
          <cell r="J2263">
            <v>1.27</v>
          </cell>
          <cell r="K2263">
            <v>1.49</v>
          </cell>
          <cell r="L2263"/>
          <cell r="M2263"/>
          <cell r="N2263">
            <v>1.3</v>
          </cell>
          <cell r="O2263">
            <v>1.63</v>
          </cell>
          <cell r="P2263"/>
          <cell r="Q2263"/>
          <cell r="R2263">
            <v>1.35</v>
          </cell>
          <cell r="S2263">
            <v>1.93</v>
          </cell>
          <cell r="T2263"/>
          <cell r="U2263"/>
          <cell r="V2263">
            <v>15</v>
          </cell>
          <cell r="W2263"/>
          <cell r="X2263" t="str">
            <v>HOWARD</v>
          </cell>
          <cell r="Y2263" t="str">
            <v>HOWARD 10-JULY</v>
          </cell>
          <cell r="Z2263" t="str">
            <v>HOWARD' MAIL 10/7/17</v>
          </cell>
          <cell r="AA2263"/>
          <cell r="AB2263">
            <v>42926</v>
          </cell>
          <cell r="AC2263">
            <v>2490</v>
          </cell>
        </row>
        <row r="2264">
          <cell r="B2264">
            <v>2480</v>
          </cell>
          <cell r="C2264" t="str">
            <v>XP-74</v>
          </cell>
          <cell r="D2264" t="str">
            <v>CHEMICAL LACE</v>
          </cell>
          <cell r="E2264"/>
          <cell r="F2264" t="str">
            <v>T 100%</v>
          </cell>
          <cell r="G2264" t="str">
            <v>100% POLYESTER</v>
          </cell>
          <cell r="H2264" t="str">
            <v>57/58</v>
          </cell>
          <cell r="I2264"/>
          <cell r="J2264">
            <v>5.5</v>
          </cell>
          <cell r="K2264"/>
          <cell r="L2264">
            <v>5.6</v>
          </cell>
          <cell r="M2264"/>
          <cell r="N2264">
            <v>5.6</v>
          </cell>
          <cell r="O2264"/>
          <cell r="P2264"/>
          <cell r="Q2264"/>
          <cell r="R2264">
            <v>5.7</v>
          </cell>
          <cell r="S2264"/>
          <cell r="T2264"/>
          <cell r="U2264"/>
          <cell r="V2264"/>
          <cell r="W2264"/>
          <cell r="X2264" t="str">
            <v>ANGELA</v>
          </cell>
          <cell r="Y2264" t="str">
            <v>ANGELA 30-JUNE</v>
          </cell>
          <cell r="Z2264" t="str">
            <v>ANGELA' MAIL 4/7/17</v>
          </cell>
          <cell r="AA2264"/>
          <cell r="AB2264">
            <v>42924</v>
          </cell>
          <cell r="AC2264">
            <v>2480</v>
          </cell>
        </row>
        <row r="2265">
          <cell r="B2265">
            <v>2479</v>
          </cell>
          <cell r="C2265" t="str">
            <v>XP-65</v>
          </cell>
          <cell r="D2265" t="str">
            <v>CHEMICAL LACE</v>
          </cell>
          <cell r="E2265"/>
          <cell r="F2265" t="str">
            <v>T 100%</v>
          </cell>
          <cell r="G2265" t="str">
            <v>100% POLYESTER</v>
          </cell>
          <cell r="H2265" t="str">
            <v>57/58</v>
          </cell>
          <cell r="I2265"/>
          <cell r="J2265">
            <v>4.4000000000000004</v>
          </cell>
          <cell r="K2265"/>
          <cell r="L2265">
            <v>4.5</v>
          </cell>
          <cell r="M2265"/>
          <cell r="N2265">
            <v>4.5</v>
          </cell>
          <cell r="O2265"/>
          <cell r="P2265"/>
          <cell r="Q2265"/>
          <cell r="R2265">
            <v>4.5999999999999996</v>
          </cell>
          <cell r="S2265"/>
          <cell r="T2265"/>
          <cell r="U2265"/>
          <cell r="V2265"/>
          <cell r="W2265"/>
          <cell r="X2265" t="str">
            <v>ANGELA</v>
          </cell>
          <cell r="Y2265" t="str">
            <v>ANGELA 30-JUNE</v>
          </cell>
          <cell r="Z2265" t="str">
            <v>ANGELA' MAIL 4/7/17</v>
          </cell>
          <cell r="AA2265"/>
          <cell r="AB2265">
            <v>42924</v>
          </cell>
          <cell r="AC2265">
            <v>2479</v>
          </cell>
        </row>
        <row r="2266">
          <cell r="B2266">
            <v>3366</v>
          </cell>
          <cell r="C2266" t="str">
            <v>TS-362</v>
          </cell>
          <cell r="D2266" t="str">
            <v>VISCOSE LINEN</v>
          </cell>
          <cell r="E2266" t="str">
            <v>30x30 / 68x68</v>
          </cell>
          <cell r="F2266" t="str">
            <v>V/L 85/15</v>
          </cell>
          <cell r="G2266" t="str">
            <v>85% VISCOSE 15% LINEN</v>
          </cell>
          <cell r="H2266" t="str">
            <v>140CM</v>
          </cell>
          <cell r="I2266">
            <v>124</v>
          </cell>
          <cell r="J2266">
            <v>1.86</v>
          </cell>
          <cell r="K2266">
            <v>2.04</v>
          </cell>
          <cell r="L2266">
            <v>1.88</v>
          </cell>
          <cell r="M2266">
            <v>2.0699999999999998</v>
          </cell>
          <cell r="N2266">
            <v>1.9</v>
          </cell>
          <cell r="O2266">
            <v>2.1</v>
          </cell>
          <cell r="P2266"/>
          <cell r="Q2266"/>
          <cell r="R2266">
            <v>2.0499999999999998</v>
          </cell>
          <cell r="S2266">
            <v>2.15</v>
          </cell>
          <cell r="T2266"/>
          <cell r="U2266"/>
          <cell r="V2266">
            <v>15</v>
          </cell>
          <cell r="W2266"/>
          <cell r="X2266" t="str">
            <v>GAVIN</v>
          </cell>
          <cell r="Y2266" t="str">
            <v>GAVIN 7-JULY</v>
          </cell>
          <cell r="Z2266" t="str">
            <v>GAVIN SEND VIA SKYPE 7/7/17</v>
          </cell>
          <cell r="AA2266"/>
          <cell r="AB2266">
            <v>42923</v>
          </cell>
          <cell r="AC2266">
            <v>3366</v>
          </cell>
        </row>
        <row r="2267">
          <cell r="B2267">
            <v>3365</v>
          </cell>
          <cell r="C2267" t="str">
            <v>L-070717</v>
          </cell>
          <cell r="D2267" t="str">
            <v>VISCOSE LINEN</v>
          </cell>
          <cell r="E2267" t="str">
            <v>30x30 / 68x68</v>
          </cell>
          <cell r="F2267" t="str">
            <v>V/L 85/15</v>
          </cell>
          <cell r="G2267" t="str">
            <v>85% VISCOSE 15% LINEN</v>
          </cell>
          <cell r="H2267" t="str">
            <v>52/53</v>
          </cell>
          <cell r="I2267">
            <v>125</v>
          </cell>
          <cell r="J2267">
            <v>2.25</v>
          </cell>
          <cell r="K2267"/>
          <cell r="L2267">
            <v>2.29</v>
          </cell>
          <cell r="M2267"/>
          <cell r="N2267">
            <v>2.29</v>
          </cell>
          <cell r="O2267"/>
          <cell r="P2267"/>
          <cell r="Q2267"/>
          <cell r="R2267">
            <v>2.8</v>
          </cell>
          <cell r="S2267"/>
          <cell r="T2267"/>
          <cell r="U2267"/>
          <cell r="V2267"/>
          <cell r="W2267"/>
          <cell r="X2267" t="str">
            <v>LIVALTEX</v>
          </cell>
          <cell r="Y2267"/>
          <cell r="Z2267" t="str">
            <v>ROSE' MAIL IN 7/7/17</v>
          </cell>
          <cell r="AA2267"/>
          <cell r="AB2267">
            <v>42923</v>
          </cell>
          <cell r="AC2267">
            <v>3365</v>
          </cell>
        </row>
        <row r="2268">
          <cell r="B2268">
            <v>3364</v>
          </cell>
          <cell r="C2268" t="str">
            <v>BG3703</v>
          </cell>
          <cell r="D2268" t="str">
            <v>VISCOSE LINEN</v>
          </cell>
          <cell r="E2268" t="str">
            <v>30x30 / 68x68</v>
          </cell>
          <cell r="F2268" t="str">
            <v>V/L 85/15</v>
          </cell>
          <cell r="G2268" t="str">
            <v>85% VISCOSE 15% LINEN</v>
          </cell>
          <cell r="H2268" t="str">
            <v>54/55</v>
          </cell>
          <cell r="I2268">
            <v>115</v>
          </cell>
          <cell r="J2268">
            <v>2</v>
          </cell>
          <cell r="K2268">
            <v>2.35</v>
          </cell>
          <cell r="L2268">
            <v>2.0299999999999998</v>
          </cell>
          <cell r="M2268">
            <v>2.4</v>
          </cell>
          <cell r="N2268">
            <v>2.0499999999999998</v>
          </cell>
          <cell r="O2268">
            <v>2.4500000000000002</v>
          </cell>
          <cell r="P2268"/>
          <cell r="Q2268"/>
          <cell r="R2268">
            <v>2.2000000000000002</v>
          </cell>
          <cell r="S2268">
            <v>2.65</v>
          </cell>
          <cell r="T2268"/>
          <cell r="U2268"/>
          <cell r="V2268">
            <v>15</v>
          </cell>
          <cell r="W2268"/>
          <cell r="X2268" t="str">
            <v>ANN</v>
          </cell>
          <cell r="Y2268" t="str">
            <v>ANN 3-JULY</v>
          </cell>
          <cell r="Z2268" t="str">
            <v>ANN' MAIL 5/7/15</v>
          </cell>
          <cell r="AA2268"/>
          <cell r="AB2268">
            <v>42923</v>
          </cell>
          <cell r="AC2268">
            <v>3364</v>
          </cell>
        </row>
        <row r="2269">
          <cell r="B2269">
            <v>3363</v>
          </cell>
          <cell r="C2269" t="str">
            <v>OLP-1762203BX</v>
          </cell>
          <cell r="D2269" t="str">
            <v xml:space="preserve">COTTON NYLON TWILL </v>
          </cell>
          <cell r="E2269" t="str">
            <v>32x140 / 165x94 - CARBON PEACH</v>
          </cell>
          <cell r="F2269" t="str">
            <v xml:space="preserve">C/N </v>
          </cell>
          <cell r="G2269" t="str">
            <v>COTTON NYLON</v>
          </cell>
          <cell r="H2269" t="str">
            <v>57/58</v>
          </cell>
          <cell r="I2269">
            <v>194</v>
          </cell>
          <cell r="J2269">
            <v>3.01</v>
          </cell>
          <cell r="K2269"/>
          <cell r="L2269">
            <v>3.1</v>
          </cell>
          <cell r="M2269"/>
          <cell r="N2269">
            <v>3.35</v>
          </cell>
          <cell r="O2269"/>
          <cell r="P2269"/>
          <cell r="Q2269"/>
          <cell r="R2269">
            <v>3.65</v>
          </cell>
          <cell r="S2269"/>
          <cell r="T2269"/>
          <cell r="U2269"/>
          <cell r="V2269">
            <v>15</v>
          </cell>
          <cell r="W2269"/>
          <cell r="X2269" t="str">
            <v>OWEN</v>
          </cell>
          <cell r="Y2269" t="str">
            <v>OWEN 28-JUNE</v>
          </cell>
          <cell r="Z2269" t="str">
            <v>SANDY' MAIL 3/7/17</v>
          </cell>
          <cell r="AA2269"/>
          <cell r="AB2269">
            <v>42919</v>
          </cell>
          <cell r="AC2269">
            <v>3363</v>
          </cell>
        </row>
        <row r="2270">
          <cell r="B2270">
            <v>3362</v>
          </cell>
          <cell r="C2270" t="str">
            <v>OLP-1762104JC</v>
          </cell>
          <cell r="D2270" t="str">
            <v>LACE</v>
          </cell>
          <cell r="E2270"/>
          <cell r="F2270" t="str">
            <v>N/S 92/8</v>
          </cell>
          <cell r="G2270" t="str">
            <v>92% NYLON 8% SPANDEX</v>
          </cell>
          <cell r="H2270" t="str">
            <v>57/58</v>
          </cell>
          <cell r="I2270">
            <v>133</v>
          </cell>
          <cell r="J2270">
            <v>2.12</v>
          </cell>
          <cell r="K2270"/>
          <cell r="L2270">
            <v>2.2000000000000002</v>
          </cell>
          <cell r="M2270"/>
          <cell r="N2270">
            <v>2.35</v>
          </cell>
          <cell r="O2270"/>
          <cell r="P2270"/>
          <cell r="Q2270"/>
          <cell r="R2270">
            <v>2.5</v>
          </cell>
          <cell r="S2270"/>
          <cell r="T2270"/>
          <cell r="U2270"/>
          <cell r="V2270">
            <v>15</v>
          </cell>
          <cell r="W2270"/>
          <cell r="X2270" t="str">
            <v>OWEN</v>
          </cell>
          <cell r="Y2270" t="str">
            <v>OWEN 28-JUNE</v>
          </cell>
          <cell r="Z2270" t="str">
            <v>SANDY' MAIL 3/7/17</v>
          </cell>
          <cell r="AA2270"/>
          <cell r="AB2270">
            <v>42919</v>
          </cell>
          <cell r="AC2270">
            <v>3362</v>
          </cell>
        </row>
        <row r="2271">
          <cell r="B2271">
            <v>3361</v>
          </cell>
          <cell r="C2271" t="str">
            <v>OLP-1762103DH</v>
          </cell>
          <cell r="D2271" t="str">
            <v xml:space="preserve">RAYON POLY TWILL </v>
          </cell>
          <cell r="E2271" t="str">
            <v>21x150D / 115x78</v>
          </cell>
          <cell r="F2271" t="str">
            <v>R/T 70/30</v>
          </cell>
          <cell r="G2271" t="str">
            <v>70% RAYON 30% POLYESTER</v>
          </cell>
          <cell r="H2271" t="str">
            <v>57/58</v>
          </cell>
          <cell r="I2271">
            <v>190</v>
          </cell>
          <cell r="J2271">
            <v>2.4500000000000002</v>
          </cell>
          <cell r="K2271"/>
          <cell r="L2271">
            <v>2.5</v>
          </cell>
          <cell r="M2271"/>
          <cell r="N2271">
            <v>2.62</v>
          </cell>
          <cell r="O2271"/>
          <cell r="P2271"/>
          <cell r="Q2271"/>
          <cell r="R2271">
            <v>2.82</v>
          </cell>
          <cell r="S2271"/>
          <cell r="T2271"/>
          <cell r="U2271"/>
          <cell r="V2271">
            <v>15</v>
          </cell>
          <cell r="W2271"/>
          <cell r="X2271" t="str">
            <v>OWEN</v>
          </cell>
          <cell r="Y2271" t="str">
            <v>OWEN 28-JUNE</v>
          </cell>
          <cell r="Z2271" t="str">
            <v>SANDY' MAIL 3/7/17</v>
          </cell>
          <cell r="AA2271"/>
          <cell r="AB2271">
            <v>42919</v>
          </cell>
          <cell r="AC2271">
            <v>3361</v>
          </cell>
        </row>
        <row r="2272">
          <cell r="B2272">
            <v>2413</v>
          </cell>
          <cell r="C2272" t="str">
            <v>HLT1412</v>
          </cell>
          <cell r="D2272" t="str">
            <v>LACE</v>
          </cell>
          <cell r="E2272"/>
          <cell r="F2272" t="str">
            <v>T 100%</v>
          </cell>
          <cell r="G2272" t="str">
            <v>100% POLYESTER</v>
          </cell>
          <cell r="H2272" t="str">
            <v>125CM</v>
          </cell>
          <cell r="I2272"/>
          <cell r="J2272">
            <v>5.33</v>
          </cell>
          <cell r="K2272"/>
          <cell r="L2272">
            <v>5.43</v>
          </cell>
          <cell r="M2272"/>
          <cell r="N2272">
            <v>5.5299999999999994</v>
          </cell>
          <cell r="O2272"/>
          <cell r="P2272"/>
          <cell r="Q2272"/>
          <cell r="R2272">
            <v>5.629999999999999</v>
          </cell>
          <cell r="S2272"/>
          <cell r="T2272"/>
          <cell r="U2272"/>
          <cell r="V2272"/>
          <cell r="W2272"/>
          <cell r="X2272" t="str">
            <v>CANDY</v>
          </cell>
          <cell r="Y2272" t="str">
            <v>CANDY 30-JUNE</v>
          </cell>
          <cell r="Z2272" t="str">
            <v>CANDY' MAIL 1/7/17</v>
          </cell>
          <cell r="AA2272"/>
          <cell r="AB2272">
            <v>42917</v>
          </cell>
          <cell r="AC2272">
            <v>2413</v>
          </cell>
        </row>
        <row r="2273">
          <cell r="B2273">
            <v>2412</v>
          </cell>
          <cell r="C2273" t="str">
            <v>HLT1417</v>
          </cell>
          <cell r="D2273" t="str">
            <v>LACE</v>
          </cell>
          <cell r="E2273"/>
          <cell r="F2273" t="str">
            <v>T 100%</v>
          </cell>
          <cell r="G2273" t="str">
            <v>100% POLYESTER</v>
          </cell>
          <cell r="H2273" t="str">
            <v>125CM</v>
          </cell>
          <cell r="I2273"/>
          <cell r="J2273">
            <v>4</v>
          </cell>
          <cell r="K2273"/>
          <cell r="L2273">
            <v>4.0999999999999996</v>
          </cell>
          <cell r="M2273"/>
          <cell r="N2273">
            <v>4.1999999999999993</v>
          </cell>
          <cell r="O2273"/>
          <cell r="P2273"/>
          <cell r="Q2273"/>
          <cell r="R2273">
            <v>4.2999999999999989</v>
          </cell>
          <cell r="S2273"/>
          <cell r="T2273"/>
          <cell r="U2273"/>
          <cell r="V2273"/>
          <cell r="W2273"/>
          <cell r="X2273" t="str">
            <v>CANDY</v>
          </cell>
          <cell r="Y2273" t="str">
            <v>CANDY 30-JUNE</v>
          </cell>
          <cell r="Z2273" t="str">
            <v>CANDY' MAIL 1/7/17</v>
          </cell>
          <cell r="AA2273"/>
          <cell r="AB2273">
            <v>42917</v>
          </cell>
          <cell r="AC2273">
            <v>2412</v>
          </cell>
        </row>
        <row r="2274">
          <cell r="B2274">
            <v>2411</v>
          </cell>
          <cell r="C2274" t="str">
            <v>HLT1418</v>
          </cell>
          <cell r="D2274" t="str">
            <v>LACE</v>
          </cell>
          <cell r="E2274"/>
          <cell r="F2274" t="str">
            <v>T 100%</v>
          </cell>
          <cell r="G2274" t="str">
            <v>100% POLYESTER</v>
          </cell>
          <cell r="H2274" t="str">
            <v>125CM</v>
          </cell>
          <cell r="I2274"/>
          <cell r="J2274">
            <v>4</v>
          </cell>
          <cell r="K2274"/>
          <cell r="L2274">
            <v>4.0999999999999996</v>
          </cell>
          <cell r="M2274"/>
          <cell r="N2274">
            <v>4.1999999999999993</v>
          </cell>
          <cell r="O2274"/>
          <cell r="P2274"/>
          <cell r="Q2274"/>
          <cell r="R2274">
            <v>4.2999999999999989</v>
          </cell>
          <cell r="S2274"/>
          <cell r="T2274"/>
          <cell r="U2274"/>
          <cell r="V2274"/>
          <cell r="W2274"/>
          <cell r="X2274" t="str">
            <v>CANDY</v>
          </cell>
          <cell r="Y2274" t="str">
            <v>CANDY 30-JUNE</v>
          </cell>
          <cell r="Z2274" t="str">
            <v>CANDY' MAIL 1/7/17</v>
          </cell>
          <cell r="AA2274"/>
          <cell r="AB2274">
            <v>42917</v>
          </cell>
          <cell r="AC2274">
            <v>2411</v>
          </cell>
        </row>
        <row r="2275">
          <cell r="B2275">
            <v>2409</v>
          </cell>
          <cell r="C2275" t="str">
            <v>HLT1416</v>
          </cell>
          <cell r="D2275" t="str">
            <v>LACE</v>
          </cell>
          <cell r="E2275"/>
          <cell r="F2275" t="str">
            <v>T 100%</v>
          </cell>
          <cell r="G2275" t="str">
            <v>100% POLYESTER</v>
          </cell>
          <cell r="H2275" t="str">
            <v>125CM</v>
          </cell>
          <cell r="I2275"/>
          <cell r="J2275">
            <v>3.73</v>
          </cell>
          <cell r="K2275"/>
          <cell r="L2275">
            <v>3.83</v>
          </cell>
          <cell r="M2275"/>
          <cell r="N2275">
            <v>3.93</v>
          </cell>
          <cell r="O2275"/>
          <cell r="P2275"/>
          <cell r="Q2275"/>
          <cell r="R2275">
            <v>4.03</v>
          </cell>
          <cell r="S2275"/>
          <cell r="T2275"/>
          <cell r="U2275"/>
          <cell r="V2275"/>
          <cell r="W2275"/>
          <cell r="X2275" t="str">
            <v>CANDY</v>
          </cell>
          <cell r="Y2275" t="str">
            <v>CANDY 30-JUNE</v>
          </cell>
          <cell r="Z2275" t="str">
            <v>CANDY' MAIL 1/7/17</v>
          </cell>
          <cell r="AA2275"/>
          <cell r="AB2275">
            <v>42917</v>
          </cell>
          <cell r="AC2275">
            <v>2409</v>
          </cell>
        </row>
        <row r="2276">
          <cell r="B2276">
            <v>3360</v>
          </cell>
          <cell r="C2276" t="str">
            <v>M-E</v>
          </cell>
          <cell r="D2276" t="str">
            <v>LACE</v>
          </cell>
          <cell r="E2276"/>
          <cell r="F2276" t="str">
            <v>N/T/S 70/25/5</v>
          </cell>
          <cell r="G2276" t="str">
            <v>NYLON/POLYESTER/SPX 70/25/5</v>
          </cell>
          <cell r="H2276" t="str">
            <v>57/58</v>
          </cell>
          <cell r="I2276">
            <v>260</v>
          </cell>
          <cell r="J2276">
            <v>3.6</v>
          </cell>
          <cell r="K2276"/>
          <cell r="L2276"/>
          <cell r="M2276"/>
          <cell r="N2276">
            <v>3.65</v>
          </cell>
          <cell r="O2276"/>
          <cell r="P2276"/>
          <cell r="Q2276"/>
          <cell r="R2276">
            <v>4.2</v>
          </cell>
          <cell r="S2276"/>
          <cell r="T2276"/>
          <cell r="U2276"/>
          <cell r="V2276">
            <v>15</v>
          </cell>
          <cell r="W2276"/>
          <cell r="X2276" t="str">
            <v>LIVALTEX</v>
          </cell>
          <cell r="Y2276" t="str">
            <v>LIVALTEX 28-JUNE</v>
          </cell>
          <cell r="Z2276" t="str">
            <v>ROSE' MAIL 28/6/17</v>
          </cell>
          <cell r="AA2276"/>
          <cell r="AB2276">
            <v>42916</v>
          </cell>
          <cell r="AC2276">
            <v>3360</v>
          </cell>
        </row>
        <row r="2277">
          <cell r="B2277">
            <v>3359</v>
          </cell>
          <cell r="C2277" t="str">
            <v>M-D</v>
          </cell>
          <cell r="D2277" t="str">
            <v>LACE</v>
          </cell>
          <cell r="E2277"/>
          <cell r="F2277" t="str">
            <v>N/T 65/35</v>
          </cell>
          <cell r="G2277" t="str">
            <v>NYLON/POLYESTER 65/35</v>
          </cell>
          <cell r="H2277" t="str">
            <v>57/58</v>
          </cell>
          <cell r="I2277">
            <v>205</v>
          </cell>
          <cell r="J2277">
            <v>2.95</v>
          </cell>
          <cell r="K2277"/>
          <cell r="L2277"/>
          <cell r="M2277"/>
          <cell r="N2277">
            <v>2.98</v>
          </cell>
          <cell r="O2277"/>
          <cell r="P2277"/>
          <cell r="Q2277"/>
          <cell r="R2277">
            <v>3.53</v>
          </cell>
          <cell r="S2277"/>
          <cell r="T2277"/>
          <cell r="U2277"/>
          <cell r="V2277">
            <v>15</v>
          </cell>
          <cell r="W2277"/>
          <cell r="X2277" t="str">
            <v>LIVALTEX</v>
          </cell>
          <cell r="Y2277" t="str">
            <v>LIVALTEX 28-JUNE</v>
          </cell>
          <cell r="Z2277" t="str">
            <v>ROSE' MAIL 28/6/17</v>
          </cell>
          <cell r="AA2277"/>
          <cell r="AB2277">
            <v>42916</v>
          </cell>
          <cell r="AC2277">
            <v>3359</v>
          </cell>
        </row>
        <row r="2278">
          <cell r="B2278">
            <v>3358</v>
          </cell>
          <cell r="C2278" t="str">
            <v>M-C</v>
          </cell>
          <cell r="D2278" t="str">
            <v>LACE</v>
          </cell>
          <cell r="E2278"/>
          <cell r="F2278" t="str">
            <v>N/T/S 60/35/5</v>
          </cell>
          <cell r="G2278" t="str">
            <v>NYLON/POLYESTER/SPX 60/35/5</v>
          </cell>
          <cell r="H2278" t="str">
            <v>57/58</v>
          </cell>
          <cell r="I2278">
            <v>250</v>
          </cell>
          <cell r="J2278">
            <v>3.41</v>
          </cell>
          <cell r="K2278"/>
          <cell r="L2278"/>
          <cell r="M2278"/>
          <cell r="N2278">
            <v>3.46</v>
          </cell>
          <cell r="O2278"/>
          <cell r="P2278"/>
          <cell r="Q2278"/>
          <cell r="R2278">
            <v>4.01</v>
          </cell>
          <cell r="S2278"/>
          <cell r="T2278"/>
          <cell r="U2278"/>
          <cell r="V2278">
            <v>15</v>
          </cell>
          <cell r="W2278"/>
          <cell r="X2278" t="str">
            <v>LIVALTEX</v>
          </cell>
          <cell r="Y2278" t="str">
            <v>LIVALTEX 28-JUNE</v>
          </cell>
          <cell r="Z2278" t="str">
            <v>ROSE' MAIL 28/6/17</v>
          </cell>
          <cell r="AA2278"/>
          <cell r="AB2278">
            <v>42916</v>
          </cell>
          <cell r="AC2278">
            <v>3358</v>
          </cell>
        </row>
        <row r="2279">
          <cell r="B2279">
            <v>3357</v>
          </cell>
          <cell r="C2279" t="str">
            <v xml:space="preserve">M-B </v>
          </cell>
          <cell r="D2279" t="str">
            <v>LACE</v>
          </cell>
          <cell r="E2279"/>
          <cell r="F2279" t="str">
            <v>T/N/S 50/40/10</v>
          </cell>
          <cell r="G2279" t="str">
            <v>POLYESTER/NYLON/SPX 50/40/10</v>
          </cell>
          <cell r="H2279" t="str">
            <v>57/58</v>
          </cell>
          <cell r="I2279">
            <v>190</v>
          </cell>
          <cell r="J2279">
            <v>2.8</v>
          </cell>
          <cell r="K2279"/>
          <cell r="L2279"/>
          <cell r="M2279"/>
          <cell r="N2279">
            <v>2.85</v>
          </cell>
          <cell r="O2279"/>
          <cell r="P2279"/>
          <cell r="Q2279"/>
          <cell r="R2279">
            <v>3.4</v>
          </cell>
          <cell r="S2279"/>
          <cell r="T2279"/>
          <cell r="U2279"/>
          <cell r="V2279">
            <v>15</v>
          </cell>
          <cell r="W2279"/>
          <cell r="X2279" t="str">
            <v>LIVALTEX</v>
          </cell>
          <cell r="Y2279" t="str">
            <v>LIVALTEX 28-JUNE</v>
          </cell>
          <cell r="Z2279" t="str">
            <v>ROSE' MAIL 28/6/17</v>
          </cell>
          <cell r="AA2279"/>
          <cell r="AB2279">
            <v>42916</v>
          </cell>
          <cell r="AC2279">
            <v>3357</v>
          </cell>
        </row>
        <row r="2280">
          <cell r="B2280">
            <v>3356</v>
          </cell>
          <cell r="C2280" t="str">
            <v>M-A</v>
          </cell>
          <cell r="D2280" t="str">
            <v>LACE</v>
          </cell>
          <cell r="E2280"/>
          <cell r="F2280" t="str">
            <v>N/R/S 65/25/5</v>
          </cell>
          <cell r="G2280" t="str">
            <v xml:space="preserve">NYLON/VISCOSE/SPX 65/25/5 </v>
          </cell>
          <cell r="H2280" t="str">
            <v>57/58</v>
          </cell>
          <cell r="I2280">
            <v>280</v>
          </cell>
          <cell r="J2280">
            <v>4.07</v>
          </cell>
          <cell r="K2280"/>
          <cell r="L2280"/>
          <cell r="M2280"/>
          <cell r="N2280">
            <v>4.12</v>
          </cell>
          <cell r="O2280"/>
          <cell r="P2280"/>
          <cell r="Q2280"/>
          <cell r="R2280">
            <v>4.67</v>
          </cell>
          <cell r="S2280"/>
          <cell r="T2280"/>
          <cell r="U2280"/>
          <cell r="V2280">
            <v>15</v>
          </cell>
          <cell r="W2280"/>
          <cell r="X2280" t="str">
            <v>LIVALTEX</v>
          </cell>
          <cell r="Y2280" t="str">
            <v>LIVALTEX 28-JUNE</v>
          </cell>
          <cell r="Z2280" t="str">
            <v>ROSE' MAIL 28/6/17</v>
          </cell>
          <cell r="AA2280"/>
          <cell r="AB2280">
            <v>42916</v>
          </cell>
          <cell r="AC2280">
            <v>3356</v>
          </cell>
        </row>
        <row r="2281">
          <cell r="B2281">
            <v>3355</v>
          </cell>
          <cell r="C2281" t="str">
            <v>BG3696</v>
          </cell>
          <cell r="D2281" t="str">
            <v>BOTTOM TWILL</v>
          </cell>
          <cell r="E2281"/>
          <cell r="F2281" t="str">
            <v>R/T 85/15</v>
          </cell>
          <cell r="G2281" t="str">
            <v>85%RAYON 15%POLYESTER</v>
          </cell>
          <cell r="H2281" t="str">
            <v>57/58</v>
          </cell>
          <cell r="I2281">
            <v>200</v>
          </cell>
          <cell r="J2281">
            <v>2.25</v>
          </cell>
          <cell r="K2281">
            <v>2.75</v>
          </cell>
          <cell r="L2281">
            <v>2.2799999999999998</v>
          </cell>
          <cell r="M2281">
            <v>2.8</v>
          </cell>
          <cell r="N2281">
            <v>2.2999999999999998</v>
          </cell>
          <cell r="O2281"/>
          <cell r="P2281"/>
          <cell r="Q2281"/>
          <cell r="R2281">
            <v>2.5</v>
          </cell>
          <cell r="S2281"/>
          <cell r="T2281"/>
          <cell r="U2281"/>
          <cell r="V2281">
            <v>15</v>
          </cell>
          <cell r="W2281"/>
          <cell r="X2281" t="str">
            <v>ANN</v>
          </cell>
          <cell r="Y2281" t="str">
            <v>ANN 30-JUNE</v>
          </cell>
          <cell r="Z2281" t="str">
            <v>ANN' MAIL 30/6/17</v>
          </cell>
          <cell r="AA2281"/>
          <cell r="AB2281">
            <v>42916</v>
          </cell>
          <cell r="AC2281">
            <v>3355</v>
          </cell>
        </row>
        <row r="2282">
          <cell r="B2282">
            <v>3354</v>
          </cell>
          <cell r="C2282" t="str">
            <v>XP116-1</v>
          </cell>
          <cell r="D2282" t="str">
            <v>LACE</v>
          </cell>
          <cell r="E2282"/>
          <cell r="F2282" t="str">
            <v>T 100%</v>
          </cell>
          <cell r="G2282" t="str">
            <v>100% POLYESTER</v>
          </cell>
          <cell r="H2282" t="str">
            <v>120CM</v>
          </cell>
          <cell r="I2282">
            <v>231</v>
          </cell>
          <cell r="J2282">
            <v>4.7</v>
          </cell>
          <cell r="K2282"/>
          <cell r="L2282">
            <v>4.75</v>
          </cell>
          <cell r="M2282"/>
          <cell r="N2282">
            <v>4.8</v>
          </cell>
          <cell r="O2282"/>
          <cell r="P2282"/>
          <cell r="Q2282"/>
          <cell r="R2282">
            <v>4.9000000000000004</v>
          </cell>
          <cell r="S2282"/>
          <cell r="T2282"/>
          <cell r="U2282"/>
          <cell r="V2282"/>
          <cell r="W2282" t="str">
            <v>DEVELOP TO REPLACE AMW1306 FROM TERRY QUILL</v>
          </cell>
          <cell r="X2282" t="str">
            <v>ANGELA</v>
          </cell>
          <cell r="Y2282" t="str">
            <v>ANGELA 23-JUNE</v>
          </cell>
          <cell r="Z2282" t="str">
            <v>ANGELA' MAIL 26/6/17</v>
          </cell>
          <cell r="AA2282"/>
          <cell r="AB2282">
            <v>42916</v>
          </cell>
          <cell r="AC2282">
            <v>3354</v>
          </cell>
        </row>
        <row r="2283">
          <cell r="B2283">
            <v>3353</v>
          </cell>
          <cell r="C2283" t="str">
            <v>XP116</v>
          </cell>
          <cell r="D2283" t="str">
            <v>CHEMICAL LACE</v>
          </cell>
          <cell r="E2283"/>
          <cell r="F2283" t="str">
            <v>T 100%</v>
          </cell>
          <cell r="G2283" t="str">
            <v>100% POLYESTER</v>
          </cell>
          <cell r="H2283" t="str">
            <v>120CM</v>
          </cell>
          <cell r="I2283">
            <v>252</v>
          </cell>
          <cell r="J2283">
            <v>5.4</v>
          </cell>
          <cell r="K2283"/>
          <cell r="L2283">
            <v>5.4</v>
          </cell>
          <cell r="M2283"/>
          <cell r="N2283">
            <v>5.5</v>
          </cell>
          <cell r="O2283"/>
          <cell r="P2283"/>
          <cell r="Q2283"/>
          <cell r="R2283">
            <v>5.5</v>
          </cell>
          <cell r="S2283"/>
          <cell r="T2283"/>
          <cell r="U2283"/>
          <cell r="V2283"/>
          <cell r="W2283" t="str">
            <v>DEVELOP TO REPLACE AMW1306 FROM TERRY QUILL</v>
          </cell>
          <cell r="X2283" t="str">
            <v>ANGELA</v>
          </cell>
          <cell r="Y2283" t="str">
            <v>ANGELA 23-JUNE</v>
          </cell>
          <cell r="Z2283" t="str">
            <v>ANGELA' MAIL 26/6/17</v>
          </cell>
          <cell r="AA2283"/>
          <cell r="AB2283">
            <v>42916</v>
          </cell>
          <cell r="AC2283">
            <v>3353</v>
          </cell>
        </row>
        <row r="2284">
          <cell r="B2284">
            <v>3352</v>
          </cell>
          <cell r="C2284" t="str">
            <v>TS-203</v>
          </cell>
          <cell r="D2284" t="str">
            <v>SINGLE JERSEY</v>
          </cell>
          <cell r="E2284"/>
          <cell r="F2284" t="str">
            <v>R/S 96/4</v>
          </cell>
          <cell r="G2284" t="str">
            <v>96% RAYON 4% SPANDEX</v>
          </cell>
          <cell r="H2284" t="str">
            <v>61/62</v>
          </cell>
          <cell r="I2284">
            <v>180</v>
          </cell>
          <cell r="J2284">
            <v>1.64</v>
          </cell>
          <cell r="K2284">
            <v>1.86</v>
          </cell>
          <cell r="L2284">
            <v>1.66</v>
          </cell>
          <cell r="M2284">
            <v>1.88</v>
          </cell>
          <cell r="N2284">
            <v>1.68</v>
          </cell>
          <cell r="O2284">
            <v>1.9</v>
          </cell>
          <cell r="P2284"/>
          <cell r="Q2284"/>
          <cell r="R2284">
            <v>1.8</v>
          </cell>
          <cell r="S2284">
            <v>2.12</v>
          </cell>
          <cell r="T2284"/>
          <cell r="U2284"/>
          <cell r="V2284">
            <v>15</v>
          </cell>
          <cell r="W2284"/>
          <cell r="X2284" t="str">
            <v>GAVIN</v>
          </cell>
          <cell r="Y2284" t="str">
            <v>GAVIN 29-JUNE</v>
          </cell>
          <cell r="Z2284" t="str">
            <v>SEND VIA WECHAT 29/6/17</v>
          </cell>
          <cell r="AA2284"/>
          <cell r="AB2284">
            <v>42915</v>
          </cell>
          <cell r="AC2284">
            <v>3352</v>
          </cell>
        </row>
        <row r="2285">
          <cell r="B2285">
            <v>3352</v>
          </cell>
          <cell r="C2285" t="str">
            <v>TS-369</v>
          </cell>
          <cell r="D2285" t="str">
            <v>SINGLE JERSEY</v>
          </cell>
          <cell r="E2285"/>
          <cell r="F2285" t="str">
            <v>R/S 96/4</v>
          </cell>
          <cell r="G2285" t="str">
            <v>96% RAYON 4% SPANDEX</v>
          </cell>
          <cell r="H2285" t="str">
            <v>61/62</v>
          </cell>
          <cell r="I2285">
            <v>180</v>
          </cell>
          <cell r="J2285">
            <v>1.64</v>
          </cell>
          <cell r="K2285">
            <v>1.86</v>
          </cell>
          <cell r="L2285">
            <v>1.66</v>
          </cell>
          <cell r="M2285">
            <v>1.88</v>
          </cell>
          <cell r="N2285">
            <v>1.68</v>
          </cell>
          <cell r="O2285">
            <v>1.9</v>
          </cell>
          <cell r="P2285"/>
          <cell r="Q2285"/>
          <cell r="R2285">
            <v>1.8</v>
          </cell>
          <cell r="S2285">
            <v>2.12</v>
          </cell>
          <cell r="T2285"/>
          <cell r="U2285"/>
          <cell r="V2285">
            <v>15</v>
          </cell>
          <cell r="W2285" t="str">
            <v>CHANGE THE MILL CODE FROM TS-203 TO TS-369</v>
          </cell>
          <cell r="X2285" t="str">
            <v>GAVIN</v>
          </cell>
          <cell r="Y2285" t="str">
            <v>GAVIN 29-JUNE</v>
          </cell>
          <cell r="Z2285" t="str">
            <v>SEND VIA WECHAT 29/6/17</v>
          </cell>
          <cell r="AA2285"/>
          <cell r="AB2285">
            <v>42915</v>
          </cell>
          <cell r="AC2285">
            <v>3352</v>
          </cell>
        </row>
        <row r="2286">
          <cell r="B2286">
            <v>3351</v>
          </cell>
          <cell r="C2286" t="str">
            <v>TS-361</v>
          </cell>
          <cell r="D2286" t="str">
            <v xml:space="preserve">TWILL </v>
          </cell>
          <cell r="E2286"/>
          <cell r="F2286" t="str">
            <v>T/R 10/90</v>
          </cell>
          <cell r="G2286" t="str">
            <v>90% RAYON 10% POLYESTER</v>
          </cell>
          <cell r="H2286" t="str">
            <v>57/58</v>
          </cell>
          <cell r="I2286">
            <v>190</v>
          </cell>
          <cell r="J2286">
            <v>2.21</v>
          </cell>
          <cell r="K2286">
            <v>2.39</v>
          </cell>
          <cell r="L2286">
            <v>2.23</v>
          </cell>
          <cell r="M2286">
            <v>2.42</v>
          </cell>
          <cell r="N2286">
            <v>2.25</v>
          </cell>
          <cell r="O2286">
            <v>2.4500000000000002</v>
          </cell>
          <cell r="P2286"/>
          <cell r="Q2286"/>
          <cell r="R2286"/>
          <cell r="S2286"/>
          <cell r="T2286"/>
          <cell r="U2286"/>
          <cell r="V2286">
            <v>15</v>
          </cell>
          <cell r="W2286"/>
          <cell r="X2286" t="str">
            <v>GAVIN</v>
          </cell>
          <cell r="Y2286" t="str">
            <v>GAVIN 27-JUNE</v>
          </cell>
          <cell r="Z2286" t="str">
            <v>GAVIN' MAIL 27/6/17</v>
          </cell>
          <cell r="AA2286"/>
          <cell r="AB2286">
            <v>42915</v>
          </cell>
          <cell r="AC2286">
            <v>3351</v>
          </cell>
        </row>
        <row r="2287">
          <cell r="B2287">
            <v>3350</v>
          </cell>
          <cell r="C2287" t="str">
            <v>TS-360</v>
          </cell>
          <cell r="D2287" t="str">
            <v>COTTON YARNDYED</v>
          </cell>
          <cell r="E2287"/>
          <cell r="F2287" t="str">
            <v>C 100%</v>
          </cell>
          <cell r="G2287" t="str">
            <v>100% COTTON</v>
          </cell>
          <cell r="H2287" t="str">
            <v>57/58</v>
          </cell>
          <cell r="I2287">
            <v>116</v>
          </cell>
          <cell r="J2287">
            <v>1.54</v>
          </cell>
          <cell r="K2287"/>
          <cell r="L2287">
            <v>1.56</v>
          </cell>
          <cell r="M2287"/>
          <cell r="N2287">
            <v>1.58</v>
          </cell>
          <cell r="O2287"/>
          <cell r="P2287"/>
          <cell r="Q2287"/>
          <cell r="R2287"/>
          <cell r="S2287"/>
          <cell r="T2287"/>
          <cell r="U2287"/>
          <cell r="V2287">
            <v>15</v>
          </cell>
          <cell r="W2287"/>
          <cell r="X2287" t="str">
            <v>GAVIN</v>
          </cell>
          <cell r="Y2287" t="str">
            <v>GAVIN 27-JUNE</v>
          </cell>
          <cell r="Z2287" t="str">
            <v>GAVIN' MAIL 27/6/17</v>
          </cell>
          <cell r="AA2287"/>
          <cell r="AB2287">
            <v>42915</v>
          </cell>
          <cell r="AC2287">
            <v>3350</v>
          </cell>
        </row>
        <row r="2288">
          <cell r="B2288">
            <v>3349</v>
          </cell>
          <cell r="C2288" t="str">
            <v>TS-359</v>
          </cell>
          <cell r="D2288" t="str">
            <v>POLY TWILL</v>
          </cell>
          <cell r="E2288"/>
          <cell r="F2288" t="str">
            <v>T 100%</v>
          </cell>
          <cell r="G2288" t="str">
            <v>100% POLYESTER</v>
          </cell>
          <cell r="H2288" t="str">
            <v>57/58</v>
          </cell>
          <cell r="I2288">
            <v>98</v>
          </cell>
          <cell r="J2288">
            <v>1.56</v>
          </cell>
          <cell r="K2288">
            <v>1.54</v>
          </cell>
          <cell r="L2288">
            <v>1.58</v>
          </cell>
          <cell r="M2288">
            <v>1.57</v>
          </cell>
          <cell r="N2288">
            <v>1.6</v>
          </cell>
          <cell r="O2288">
            <v>1.8</v>
          </cell>
          <cell r="P2288"/>
          <cell r="Q2288"/>
          <cell r="R2288">
            <v>1.75</v>
          </cell>
          <cell r="S2288">
            <v>2.0499999999999998</v>
          </cell>
          <cell r="T2288"/>
          <cell r="U2288"/>
          <cell r="V2288">
            <v>15</v>
          </cell>
          <cell r="W2288"/>
          <cell r="X2288" t="str">
            <v>GAVIN</v>
          </cell>
          <cell r="Y2288" t="str">
            <v>GAVIN 27-JUNE</v>
          </cell>
          <cell r="Z2288" t="str">
            <v>GAVIN' MAIL 27/6/17</v>
          </cell>
          <cell r="AA2288"/>
          <cell r="AB2288">
            <v>42915</v>
          </cell>
          <cell r="AC2288">
            <v>3349</v>
          </cell>
        </row>
        <row r="2289">
          <cell r="B2289">
            <v>3348</v>
          </cell>
          <cell r="C2289" t="str">
            <v>TS-358</v>
          </cell>
          <cell r="D2289" t="str">
            <v>POLY TWILL</v>
          </cell>
          <cell r="E2289"/>
          <cell r="F2289" t="str">
            <v>T 100%</v>
          </cell>
          <cell r="G2289" t="str">
            <v>100% POLYESTER</v>
          </cell>
          <cell r="H2289" t="str">
            <v>57/58</v>
          </cell>
          <cell r="I2289">
            <v>120</v>
          </cell>
          <cell r="J2289">
            <v>1.61</v>
          </cell>
          <cell r="K2289">
            <v>1.79</v>
          </cell>
          <cell r="L2289">
            <v>1.63</v>
          </cell>
          <cell r="M2289">
            <v>1.82</v>
          </cell>
          <cell r="N2289">
            <v>1.65</v>
          </cell>
          <cell r="O2289">
            <v>1.85</v>
          </cell>
          <cell r="P2289"/>
          <cell r="Q2289"/>
          <cell r="R2289">
            <v>1.8</v>
          </cell>
          <cell r="S2289">
            <v>2.1</v>
          </cell>
          <cell r="T2289"/>
          <cell r="U2289"/>
          <cell r="V2289">
            <v>15</v>
          </cell>
          <cell r="W2289"/>
          <cell r="X2289" t="str">
            <v>GAVIN</v>
          </cell>
          <cell r="Y2289" t="str">
            <v>GAVIN 27-JUNE</v>
          </cell>
          <cell r="Z2289" t="str">
            <v>GAVIN' MAIL 27/6/17</v>
          </cell>
          <cell r="AA2289"/>
          <cell r="AB2289">
            <v>42915</v>
          </cell>
          <cell r="AC2289">
            <v>3348</v>
          </cell>
        </row>
        <row r="2290">
          <cell r="B2290">
            <v>2803</v>
          </cell>
          <cell r="C2290" t="str">
            <v>BG3432</v>
          </cell>
          <cell r="D2290" t="str">
            <v>RAYON DOBBY</v>
          </cell>
          <cell r="E2290" t="str">
            <v>60 x 60</v>
          </cell>
          <cell r="F2290" t="str">
            <v>R 100%</v>
          </cell>
          <cell r="G2290" t="str">
            <v>100% RAYON</v>
          </cell>
          <cell r="H2290" t="str">
            <v>53/54</v>
          </cell>
          <cell r="I2290">
            <v>84</v>
          </cell>
          <cell r="J2290">
            <v>2</v>
          </cell>
          <cell r="K2290">
            <v>2.35</v>
          </cell>
          <cell r="L2290"/>
          <cell r="M2290"/>
          <cell r="N2290">
            <v>2.0499999999999998</v>
          </cell>
          <cell r="O2290">
            <v>2.4500000000000002</v>
          </cell>
          <cell r="P2290"/>
          <cell r="Q2290"/>
          <cell r="R2290">
            <v>2.25</v>
          </cell>
          <cell r="S2290">
            <v>2.7</v>
          </cell>
          <cell r="T2290"/>
          <cell r="U2290"/>
          <cell r="V2290">
            <v>15</v>
          </cell>
          <cell r="W2290"/>
          <cell r="X2290" t="str">
            <v>ANN</v>
          </cell>
          <cell r="Y2290" t="str">
            <v>ANN 22-FEB</v>
          </cell>
          <cell r="Z2290" t="str">
            <v>ANN' MAIL 23/2/17 - CONFIRMED KEEP PRICES VIA WECHAT 28/6/17</v>
          </cell>
          <cell r="AA2290"/>
          <cell r="AB2290">
            <v>42914</v>
          </cell>
          <cell r="AC2290">
            <v>2803</v>
          </cell>
        </row>
        <row r="2291">
          <cell r="B2291">
            <v>2120</v>
          </cell>
          <cell r="C2291" t="str">
            <v>UD-JCE-151106</v>
          </cell>
          <cell r="D2291" t="str">
            <v>COTTON SATEEN SPANDEX</v>
          </cell>
          <cell r="E2291" t="str">
            <v>32*32+40D</v>
          </cell>
          <cell r="F2291" t="str">
            <v>C/S 97/3</v>
          </cell>
          <cell r="G2291" t="str">
            <v>97% COTTON 3% SPANDEX</v>
          </cell>
          <cell r="H2291" t="str">
            <v>57/58</v>
          </cell>
          <cell r="I2291">
            <v>200</v>
          </cell>
          <cell r="J2291">
            <v>2.1800000000000002</v>
          </cell>
          <cell r="K2291">
            <v>2.36</v>
          </cell>
          <cell r="L2291">
            <v>2.23</v>
          </cell>
          <cell r="M2291">
            <v>2.42</v>
          </cell>
          <cell r="N2291">
            <v>2.2799999999999998</v>
          </cell>
          <cell r="O2291">
            <v>2.52</v>
          </cell>
          <cell r="P2291"/>
          <cell r="Q2291"/>
          <cell r="R2291">
            <v>2.58</v>
          </cell>
          <cell r="S2291">
            <v>2.83</v>
          </cell>
          <cell r="T2291"/>
          <cell r="U2291"/>
          <cell r="V2291">
            <v>15</v>
          </cell>
          <cell r="W2291" t="str">
            <v>AMW2109 / 2118 / 2120 ARE SAME QUALITY</v>
          </cell>
          <cell r="X2291" t="str">
            <v>WANG HUA</v>
          </cell>
          <cell r="Y2291" t="str">
            <v>WANG HUA 26-JUNE</v>
          </cell>
          <cell r="Z2291" t="str">
            <v>WANG HUA' MAIL 26/6/17</v>
          </cell>
          <cell r="AA2291"/>
          <cell r="AB2291">
            <v>42914</v>
          </cell>
          <cell r="AC2291">
            <v>2120</v>
          </cell>
        </row>
        <row r="2292">
          <cell r="B2292">
            <v>2118</v>
          </cell>
          <cell r="C2292" t="str">
            <v>UD-JCE-151037</v>
          </cell>
          <cell r="D2292" t="str">
            <v>COTTON SATEEN SPANDEX</v>
          </cell>
          <cell r="E2292" t="str">
            <v>32*32+40D</v>
          </cell>
          <cell r="F2292" t="str">
            <v>C/S 97/3</v>
          </cell>
          <cell r="G2292" t="str">
            <v>97% COTTON 3% SPANDEX</v>
          </cell>
          <cell r="H2292" t="str">
            <v>57/58</v>
          </cell>
          <cell r="I2292">
            <v>200</v>
          </cell>
          <cell r="J2292">
            <v>2.1800000000000002</v>
          </cell>
          <cell r="K2292">
            <v>2.36</v>
          </cell>
          <cell r="L2292">
            <v>2.23</v>
          </cell>
          <cell r="M2292">
            <v>2.42</v>
          </cell>
          <cell r="N2292">
            <v>2.2799999999999998</v>
          </cell>
          <cell r="O2292">
            <v>2.52</v>
          </cell>
          <cell r="P2292"/>
          <cell r="Q2292"/>
          <cell r="R2292">
            <v>2.58</v>
          </cell>
          <cell r="S2292">
            <v>2.83</v>
          </cell>
          <cell r="T2292"/>
          <cell r="U2292"/>
          <cell r="V2292">
            <v>15</v>
          </cell>
          <cell r="W2292" t="str">
            <v>AMW2109 / 2118 / 2120 ARE SAME QUALITY</v>
          </cell>
          <cell r="X2292" t="str">
            <v>WANG HUA</v>
          </cell>
          <cell r="Y2292" t="str">
            <v>WANG HUA 26-JUNE</v>
          </cell>
          <cell r="Z2292" t="str">
            <v>WANG HUA' MAIL 26/6/17</v>
          </cell>
          <cell r="AA2292"/>
          <cell r="AB2292">
            <v>42914</v>
          </cell>
          <cell r="AC2292">
            <v>2118</v>
          </cell>
        </row>
        <row r="2293">
          <cell r="B2293">
            <v>2109</v>
          </cell>
          <cell r="C2293" t="str">
            <v>UD-JCE-151123</v>
          </cell>
          <cell r="D2293" t="str">
            <v>COTTON SATEEN SPANDEX</v>
          </cell>
          <cell r="E2293" t="str">
            <v>32*32+40D</v>
          </cell>
          <cell r="F2293" t="str">
            <v>C/S 97/3</v>
          </cell>
          <cell r="G2293" t="str">
            <v>97% COTTON 3% SPANDEX</v>
          </cell>
          <cell r="H2293" t="str">
            <v>57/58</v>
          </cell>
          <cell r="I2293">
            <v>200</v>
          </cell>
          <cell r="J2293">
            <v>2.1800000000000002</v>
          </cell>
          <cell r="K2293">
            <v>2.36</v>
          </cell>
          <cell r="L2293">
            <v>2.23</v>
          </cell>
          <cell r="M2293">
            <v>2.42</v>
          </cell>
          <cell r="N2293">
            <v>2.2799999999999998</v>
          </cell>
          <cell r="O2293">
            <v>2.52</v>
          </cell>
          <cell r="P2293"/>
          <cell r="Q2293"/>
          <cell r="R2293">
            <v>2.58</v>
          </cell>
          <cell r="S2293">
            <v>2.83</v>
          </cell>
          <cell r="T2293"/>
          <cell r="U2293"/>
          <cell r="V2293">
            <v>15</v>
          </cell>
          <cell r="W2293" t="str">
            <v>AMW2109 / 2118 / 2120 ARE SAME QUALITY</v>
          </cell>
          <cell r="X2293" t="str">
            <v>WANG HUA</v>
          </cell>
          <cell r="Y2293" t="str">
            <v>WANG HUA 26-JUNE</v>
          </cell>
          <cell r="Z2293" t="str">
            <v>WANG HUA' MAIL 26/6/17</v>
          </cell>
          <cell r="AA2293"/>
          <cell r="AB2293">
            <v>42914</v>
          </cell>
          <cell r="AC2293">
            <v>2109</v>
          </cell>
        </row>
        <row r="2294">
          <cell r="B2294">
            <v>1893</v>
          </cell>
          <cell r="C2294" t="str">
            <v>CF-SP-SDY</v>
          </cell>
          <cell r="D2294" t="str">
            <v>COTTON NYLON SATEEN SPANDEX</v>
          </cell>
          <cell r="E2294"/>
          <cell r="F2294" t="str">
            <v>C/N/S 65/30/5</v>
          </cell>
          <cell r="G2294" t="str">
            <v>65% COTTON 30% NYLON 5% SPANDEX</v>
          </cell>
          <cell r="H2294" t="str">
            <v>49/50</v>
          </cell>
          <cell r="I2294">
            <v>200</v>
          </cell>
          <cell r="J2294">
            <v>3.44</v>
          </cell>
          <cell r="K2294"/>
          <cell r="L2294">
            <v>3.48</v>
          </cell>
          <cell r="M2294"/>
          <cell r="N2294">
            <v>3.48</v>
          </cell>
          <cell r="O2294"/>
          <cell r="P2294"/>
          <cell r="Q2294"/>
          <cell r="R2294">
            <v>3.6</v>
          </cell>
          <cell r="S2294"/>
          <cell r="T2294"/>
          <cell r="U2294"/>
          <cell r="V2294">
            <v>15</v>
          </cell>
          <cell r="W2294"/>
          <cell r="X2294" t="str">
            <v>OWEN</v>
          </cell>
          <cell r="Y2294" t="str">
            <v>OWEN 26-JUNE</v>
          </cell>
          <cell r="Z2294" t="str">
            <v>SANDY' MAIL 27/6/17</v>
          </cell>
          <cell r="AA2294"/>
          <cell r="AB2294">
            <v>42913</v>
          </cell>
          <cell r="AC2294">
            <v>1893</v>
          </cell>
        </row>
        <row r="2295">
          <cell r="B2295">
            <v>1808</v>
          </cell>
          <cell r="C2295" t="str">
            <v>BG2872</v>
          </cell>
          <cell r="D2295" t="str">
            <v>COTTON SATEEN SPANDEX</v>
          </cell>
          <cell r="E2295"/>
          <cell r="F2295" t="str">
            <v>C/S 97/3</v>
          </cell>
          <cell r="G2295" t="str">
            <v>97%COTTON 3%SPANDEX</v>
          </cell>
          <cell r="H2295" t="str">
            <v>57/58</v>
          </cell>
          <cell r="I2295">
            <v>200</v>
          </cell>
          <cell r="J2295">
            <v>2.2999999999999998</v>
          </cell>
          <cell r="K2295">
            <v>2.65</v>
          </cell>
          <cell r="L2295">
            <v>2.33</v>
          </cell>
          <cell r="M2295">
            <v>2.7</v>
          </cell>
          <cell r="N2295">
            <v>2.35</v>
          </cell>
          <cell r="O2295">
            <v>2.73</v>
          </cell>
          <cell r="P2295"/>
          <cell r="Q2295"/>
          <cell r="R2295">
            <v>2.5499999999999998</v>
          </cell>
          <cell r="S2295">
            <v>3</v>
          </cell>
          <cell r="T2295"/>
          <cell r="U2295"/>
          <cell r="V2295">
            <v>15</v>
          </cell>
          <cell r="W2295"/>
          <cell r="X2295" t="str">
            <v>ANN</v>
          </cell>
          <cell r="Y2295" t="str">
            <v>ANN 26-JUNE</v>
          </cell>
          <cell r="Z2295" t="str">
            <v>ANN' MAIL 27/6/17</v>
          </cell>
          <cell r="AA2295"/>
          <cell r="AB2295">
            <v>42913</v>
          </cell>
          <cell r="AC2295">
            <v>1808</v>
          </cell>
        </row>
        <row r="2296">
          <cell r="B2296">
            <v>1579</v>
          </cell>
          <cell r="C2296" t="str">
            <v>BG1512</v>
          </cell>
          <cell r="D2296" t="str">
            <v>HEAVY CREPE</v>
          </cell>
          <cell r="E2296" t="str">
            <v>100D+150D+200D+40D*100D+150D+200D+40D</v>
          </cell>
          <cell r="F2296" t="str">
            <v>T 100%</v>
          </cell>
          <cell r="G2296" t="str">
            <v>100%POLYESTER</v>
          </cell>
          <cell r="H2296" t="str">
            <v>57/58</v>
          </cell>
          <cell r="I2296">
            <v>245</v>
          </cell>
          <cell r="J2296">
            <v>2.9</v>
          </cell>
          <cell r="K2296">
            <v>3.3</v>
          </cell>
          <cell r="L2296">
            <v>2.93</v>
          </cell>
          <cell r="M2296">
            <v>3.35</v>
          </cell>
          <cell r="N2296">
            <v>2.95</v>
          </cell>
          <cell r="O2296"/>
          <cell r="P2296"/>
          <cell r="Q2296"/>
          <cell r="R2296">
            <v>3.05</v>
          </cell>
          <cell r="S2296"/>
          <cell r="T2296"/>
          <cell r="U2296"/>
          <cell r="V2296"/>
          <cell r="W2296"/>
          <cell r="X2296" t="str">
            <v>ANN</v>
          </cell>
          <cell r="Y2296" t="str">
            <v>ANN 26-JUNE</v>
          </cell>
          <cell r="Z2296" t="str">
            <v>ANN' MAIL 27/6/17</v>
          </cell>
          <cell r="AA2296"/>
          <cell r="AB2296">
            <v>42913</v>
          </cell>
          <cell r="AC2296">
            <v>1579</v>
          </cell>
        </row>
        <row r="2297">
          <cell r="B2297">
            <v>652</v>
          </cell>
          <cell r="C2297" t="str">
            <v>'20150552803</v>
          </cell>
          <cell r="D2297" t="str">
            <v>COTTON SATEEN SPANDEX</v>
          </cell>
          <cell r="E2297"/>
          <cell r="F2297" t="str">
            <v>C/S 97/3</v>
          </cell>
          <cell r="G2297" t="str">
            <v>97% COTTON 3% SPANDEX</v>
          </cell>
          <cell r="H2297" t="str">
            <v>57/58</v>
          </cell>
          <cell r="I2297">
            <v>189</v>
          </cell>
          <cell r="J2297">
            <v>3.13</v>
          </cell>
          <cell r="K2297">
            <v>3.27</v>
          </cell>
          <cell r="L2297">
            <v>3.22</v>
          </cell>
          <cell r="M2297">
            <v>3.35</v>
          </cell>
          <cell r="N2297">
            <v>3.22</v>
          </cell>
          <cell r="O2297">
            <v>3.35</v>
          </cell>
          <cell r="P2297"/>
          <cell r="Q2297"/>
          <cell r="R2297">
            <v>3.47</v>
          </cell>
          <cell r="S2297">
            <v>4.0999999999999996</v>
          </cell>
          <cell r="T2297"/>
          <cell r="U2297"/>
          <cell r="V2297">
            <v>15</v>
          </cell>
          <cell r="W2297"/>
          <cell r="X2297" t="str">
            <v>OWEN</v>
          </cell>
          <cell r="Y2297" t="str">
            <v>OWEN 26-JUNE</v>
          </cell>
          <cell r="Z2297" t="str">
            <v>SANDY' MAIL 27/6/17</v>
          </cell>
          <cell r="AA2297"/>
          <cell r="AB2297">
            <v>42913</v>
          </cell>
          <cell r="AC2297">
            <v>652</v>
          </cell>
        </row>
        <row r="2298">
          <cell r="B2298">
            <v>3347</v>
          </cell>
          <cell r="C2298" t="str">
            <v>BG2994</v>
          </cell>
          <cell r="D2298" t="str">
            <v>RAYON DOBBY - AMW1098 / 2791 / 3347 ARE SAME FABRIC</v>
          </cell>
          <cell r="E2298" t="str">
            <v>60s x 60s</v>
          </cell>
          <cell r="F2298" t="str">
            <v>R 100%</v>
          </cell>
          <cell r="G2298" t="str">
            <v>100% RAYON</v>
          </cell>
          <cell r="H2298" t="str">
            <v>54/55</v>
          </cell>
          <cell r="I2298">
            <v>109</v>
          </cell>
          <cell r="J2298">
            <v>2.1</v>
          </cell>
          <cell r="K2298">
            <v>2.2999999999999998</v>
          </cell>
          <cell r="L2298">
            <v>2.15</v>
          </cell>
          <cell r="M2298">
            <v>2.35</v>
          </cell>
          <cell r="N2298">
            <v>2.2000000000000002</v>
          </cell>
          <cell r="O2298">
            <v>2.4</v>
          </cell>
          <cell r="P2298"/>
          <cell r="Q2298"/>
          <cell r="R2298"/>
          <cell r="S2298"/>
          <cell r="T2298"/>
          <cell r="U2298"/>
          <cell r="V2298">
            <v>15</v>
          </cell>
          <cell r="W2298" t="str">
            <v>AMW1098 / 2791 / 3347 ARE SAME FABRIC</v>
          </cell>
          <cell r="X2298" t="str">
            <v>ANN</v>
          </cell>
          <cell r="Y2298" t="str">
            <v>ANN 23-JUNE</v>
          </cell>
          <cell r="Z2298" t="str">
            <v>ANN' MAIL 24/6/17</v>
          </cell>
          <cell r="AA2298"/>
          <cell r="AB2298">
            <v>42910</v>
          </cell>
          <cell r="AC2298">
            <v>3347</v>
          </cell>
        </row>
        <row r="2299">
          <cell r="B2299">
            <v>3346</v>
          </cell>
          <cell r="C2299" t="str">
            <v>BG3413</v>
          </cell>
          <cell r="D2299" t="str">
            <v>RAYON DOBBY</v>
          </cell>
          <cell r="E2299"/>
          <cell r="F2299" t="str">
            <v>R 100%</v>
          </cell>
          <cell r="G2299" t="str">
            <v>100% RAYON</v>
          </cell>
          <cell r="H2299" t="str">
            <v>53/54</v>
          </cell>
          <cell r="I2299">
            <v>101</v>
          </cell>
          <cell r="J2299">
            <v>1.85</v>
          </cell>
          <cell r="K2299">
            <v>2.1</v>
          </cell>
          <cell r="L2299">
            <v>1.88</v>
          </cell>
          <cell r="M2299">
            <v>2.15</v>
          </cell>
          <cell r="N2299">
            <v>1.9</v>
          </cell>
          <cell r="O2299">
            <v>2.2000000000000002</v>
          </cell>
          <cell r="P2299"/>
          <cell r="Q2299"/>
          <cell r="R2299">
            <v>2.1</v>
          </cell>
          <cell r="S2299">
            <v>2.5</v>
          </cell>
          <cell r="T2299"/>
          <cell r="U2299"/>
          <cell r="V2299">
            <v>15</v>
          </cell>
          <cell r="W2299"/>
          <cell r="X2299" t="str">
            <v>ANN</v>
          </cell>
          <cell r="Y2299" t="str">
            <v>ANN 23-JUNE</v>
          </cell>
          <cell r="Z2299" t="str">
            <v>ANN' MAIL 24/6/17</v>
          </cell>
          <cell r="AA2299"/>
          <cell r="AB2299">
            <v>42910</v>
          </cell>
          <cell r="AC2299">
            <v>3346</v>
          </cell>
        </row>
        <row r="2300">
          <cell r="B2300">
            <v>3345</v>
          </cell>
          <cell r="C2300" t="str">
            <v>BG3223</v>
          </cell>
          <cell r="D2300" t="str">
            <v>RAYON DOBBY</v>
          </cell>
          <cell r="E2300"/>
          <cell r="F2300" t="str">
            <v>R 100%</v>
          </cell>
          <cell r="G2300" t="str">
            <v>100% RAYON</v>
          </cell>
          <cell r="H2300" t="str">
            <v>53/54</v>
          </cell>
          <cell r="I2300">
            <v>120</v>
          </cell>
          <cell r="J2300">
            <v>1.85</v>
          </cell>
          <cell r="K2300">
            <v>2.1</v>
          </cell>
          <cell r="L2300">
            <v>1.88</v>
          </cell>
          <cell r="M2300">
            <v>2.15</v>
          </cell>
          <cell r="N2300">
            <v>1.9</v>
          </cell>
          <cell r="O2300">
            <v>2.2000000000000002</v>
          </cell>
          <cell r="P2300"/>
          <cell r="Q2300"/>
          <cell r="R2300">
            <v>2.1</v>
          </cell>
          <cell r="S2300">
            <v>2.5</v>
          </cell>
          <cell r="T2300"/>
          <cell r="U2300"/>
          <cell r="V2300">
            <v>15</v>
          </cell>
          <cell r="W2300"/>
          <cell r="X2300" t="str">
            <v>ANN</v>
          </cell>
          <cell r="Y2300" t="str">
            <v>ANN 23-JUNE</v>
          </cell>
          <cell r="Z2300" t="str">
            <v>ANN' MAIL 24/6/17</v>
          </cell>
          <cell r="AA2300"/>
          <cell r="AB2300">
            <v>42910</v>
          </cell>
          <cell r="AC2300">
            <v>3345</v>
          </cell>
        </row>
        <row r="2301">
          <cell r="B2301">
            <v>3344</v>
          </cell>
          <cell r="C2301" t="str">
            <v>BG3124</v>
          </cell>
          <cell r="D2301" t="str">
            <v>RAYON DOBBY</v>
          </cell>
          <cell r="E2301"/>
          <cell r="F2301" t="str">
            <v>R 100%</v>
          </cell>
          <cell r="G2301" t="str">
            <v>100% RAYON</v>
          </cell>
          <cell r="H2301" t="str">
            <v>53/54</v>
          </cell>
          <cell r="I2301">
            <v>113</v>
          </cell>
          <cell r="J2301">
            <v>1.75</v>
          </cell>
          <cell r="K2301">
            <v>2</v>
          </cell>
          <cell r="L2301">
            <v>1.78</v>
          </cell>
          <cell r="M2301">
            <v>2.0499999999999998</v>
          </cell>
          <cell r="N2301">
            <v>1.8</v>
          </cell>
          <cell r="O2301">
            <v>2.1</v>
          </cell>
          <cell r="P2301"/>
          <cell r="Q2301"/>
          <cell r="R2301">
            <v>2</v>
          </cell>
          <cell r="S2301">
            <v>2.4</v>
          </cell>
          <cell r="T2301"/>
          <cell r="U2301"/>
          <cell r="V2301">
            <v>15</v>
          </cell>
          <cell r="W2301"/>
          <cell r="X2301" t="str">
            <v>ANN</v>
          </cell>
          <cell r="Y2301" t="str">
            <v>ANN 23-JUNE</v>
          </cell>
          <cell r="Z2301" t="str">
            <v>ANN' MAIL 24/6/17</v>
          </cell>
          <cell r="AA2301"/>
          <cell r="AB2301">
            <v>42910</v>
          </cell>
          <cell r="AC2301">
            <v>3344</v>
          </cell>
        </row>
        <row r="2302">
          <cell r="B2302">
            <v>3343</v>
          </cell>
          <cell r="C2302" t="str">
            <v>BG3076</v>
          </cell>
          <cell r="D2302" t="str">
            <v>RAYON DOBBY</v>
          </cell>
          <cell r="E2302"/>
          <cell r="F2302" t="str">
            <v>R 100%</v>
          </cell>
          <cell r="G2302" t="str">
            <v>100% RAYON</v>
          </cell>
          <cell r="H2302" t="str">
            <v>53/54</v>
          </cell>
          <cell r="I2302">
            <v>110</v>
          </cell>
          <cell r="J2302">
            <v>1.75</v>
          </cell>
          <cell r="K2302">
            <v>2</v>
          </cell>
          <cell r="L2302">
            <v>1.78</v>
          </cell>
          <cell r="M2302">
            <v>2.0499999999999998</v>
          </cell>
          <cell r="N2302">
            <v>1.8</v>
          </cell>
          <cell r="O2302">
            <v>2.1</v>
          </cell>
          <cell r="P2302"/>
          <cell r="Q2302"/>
          <cell r="R2302">
            <v>2</v>
          </cell>
          <cell r="S2302">
            <v>2.4</v>
          </cell>
          <cell r="T2302"/>
          <cell r="U2302"/>
          <cell r="V2302">
            <v>15</v>
          </cell>
          <cell r="W2302"/>
          <cell r="X2302" t="str">
            <v>ANN</v>
          </cell>
          <cell r="Y2302" t="str">
            <v>ANN 23-JUNE</v>
          </cell>
          <cell r="Z2302" t="str">
            <v>ANN' MAIL 24/6/17</v>
          </cell>
          <cell r="AA2302"/>
          <cell r="AB2302">
            <v>42910</v>
          </cell>
          <cell r="AC2302">
            <v>3343</v>
          </cell>
        </row>
        <row r="2303">
          <cell r="B2303">
            <v>3342</v>
          </cell>
          <cell r="C2303" t="str">
            <v>OLP-1761709YH</v>
          </cell>
          <cell r="D2303" t="str">
            <v>LINEN BLEND</v>
          </cell>
          <cell r="E2303" t="str">
            <v>30x30 / 68x68</v>
          </cell>
          <cell r="F2303" t="str">
            <v>R/L 85/15</v>
          </cell>
          <cell r="G2303" t="str">
            <v>85% VISCOSE 15% LINEN</v>
          </cell>
          <cell r="H2303" t="str">
            <v>53/54</v>
          </cell>
          <cell r="I2303">
            <v>118</v>
          </cell>
          <cell r="J2303">
            <v>2.1</v>
          </cell>
          <cell r="K2303">
            <v>2.4</v>
          </cell>
          <cell r="L2303">
            <v>2.15</v>
          </cell>
          <cell r="M2303">
            <v>2.52</v>
          </cell>
          <cell r="N2303">
            <v>2.23</v>
          </cell>
          <cell r="O2303">
            <v>2.7</v>
          </cell>
          <cell r="P2303"/>
          <cell r="Q2303"/>
          <cell r="R2303">
            <v>2.4</v>
          </cell>
          <cell r="S2303">
            <v>3.16</v>
          </cell>
          <cell r="T2303"/>
          <cell r="U2303"/>
          <cell r="V2303">
            <v>15</v>
          </cell>
          <cell r="W2303"/>
          <cell r="X2303" t="str">
            <v>OWEN</v>
          </cell>
          <cell r="Y2303" t="str">
            <v>OWEN 23-JUNE</v>
          </cell>
          <cell r="Z2303" t="str">
            <v>SANDY' MAIL 24/6/17</v>
          </cell>
          <cell r="AA2303"/>
          <cell r="AB2303">
            <v>42910</v>
          </cell>
          <cell r="AC2303">
            <v>3342</v>
          </cell>
        </row>
        <row r="2304">
          <cell r="B2304">
            <v>1947</v>
          </cell>
          <cell r="C2304" t="str">
            <v>HLT1078</v>
          </cell>
          <cell r="D2304" t="str">
            <v>CRINKLE</v>
          </cell>
          <cell r="E2304"/>
          <cell r="F2304" t="str">
            <v>T/R 35/65</v>
          </cell>
          <cell r="G2304" t="str">
            <v>65% RAYON 35% POLYESTER</v>
          </cell>
          <cell r="H2304" t="str">
            <v>57/58</v>
          </cell>
          <cell r="I2304">
            <v>92</v>
          </cell>
          <cell r="J2304">
            <v>1.47</v>
          </cell>
          <cell r="K2304"/>
          <cell r="L2304">
            <v>1.57</v>
          </cell>
          <cell r="M2304"/>
          <cell r="N2304">
            <v>1.6700000000000002</v>
          </cell>
          <cell r="O2304"/>
          <cell r="P2304"/>
          <cell r="Q2304"/>
          <cell r="R2304">
            <v>1.7700000000000002</v>
          </cell>
          <cell r="S2304"/>
          <cell r="T2304"/>
          <cell r="U2304"/>
          <cell r="V2304">
            <v>2</v>
          </cell>
          <cell r="W2304"/>
          <cell r="X2304" t="str">
            <v>CANDY</v>
          </cell>
          <cell r="Y2304" t="str">
            <v>CANDY 23-JUNE</v>
          </cell>
          <cell r="Z2304" t="str">
            <v>ALEI' MAIL 24/6/17</v>
          </cell>
          <cell r="AA2304"/>
          <cell r="AB2304">
            <v>42910</v>
          </cell>
          <cell r="AC2304">
            <v>1947</v>
          </cell>
        </row>
        <row r="2305">
          <cell r="B2305" t="str">
            <v>1895C</v>
          </cell>
          <cell r="C2305" t="str">
            <v>TS-028C</v>
          </cell>
          <cell r="D2305" t="str">
            <v>POLY CREPE CHEAP PRICE</v>
          </cell>
          <cell r="E2305"/>
          <cell r="F2305" t="str">
            <v>T 100%</v>
          </cell>
          <cell r="G2305" t="str">
            <v>100% POLYESTER</v>
          </cell>
          <cell r="H2305" t="str">
            <v>57/58</v>
          </cell>
          <cell r="I2305">
            <v>116</v>
          </cell>
          <cell r="J2305">
            <v>1.03</v>
          </cell>
          <cell r="K2305">
            <v>1.28</v>
          </cell>
          <cell r="L2305">
            <v>1.03</v>
          </cell>
          <cell r="M2305">
            <v>1.28</v>
          </cell>
          <cell r="N2305">
            <v>1.08</v>
          </cell>
          <cell r="O2305">
            <v>1.33</v>
          </cell>
          <cell r="P2305"/>
          <cell r="Q2305"/>
          <cell r="R2305"/>
          <cell r="S2305"/>
          <cell r="T2305"/>
          <cell r="U2305"/>
          <cell r="V2305">
            <v>15</v>
          </cell>
          <cell r="W2305" t="str">
            <v>AMW3333 AND AMW1895C ARE SAME</v>
          </cell>
          <cell r="X2305" t="str">
            <v>GAVIN</v>
          </cell>
          <cell r="Y2305" t="str">
            <v>SKYPE</v>
          </cell>
          <cell r="Z2305" t="str">
            <v>DISCUSSED VIA SKYPE</v>
          </cell>
          <cell r="AA2305"/>
          <cell r="AB2305">
            <v>42909</v>
          </cell>
          <cell r="AC2305" t="str">
            <v>1895C</v>
          </cell>
        </row>
        <row r="2306">
          <cell r="B2306">
            <v>3333</v>
          </cell>
          <cell r="C2306" t="str">
            <v>TS-028C</v>
          </cell>
          <cell r="D2306" t="str">
            <v>POLY CREPE CHEAP PRICE</v>
          </cell>
          <cell r="E2306"/>
          <cell r="F2306" t="str">
            <v>T 100%</v>
          </cell>
          <cell r="G2306" t="str">
            <v>100% POLYESTER</v>
          </cell>
          <cell r="H2306" t="str">
            <v>57/58</v>
          </cell>
          <cell r="I2306">
            <v>116</v>
          </cell>
          <cell r="J2306">
            <v>1.03</v>
          </cell>
          <cell r="K2306">
            <v>1.28</v>
          </cell>
          <cell r="L2306">
            <v>1.03</v>
          </cell>
          <cell r="M2306">
            <v>1.28</v>
          </cell>
          <cell r="N2306">
            <v>1.08</v>
          </cell>
          <cell r="O2306">
            <v>1.33</v>
          </cell>
          <cell r="P2306"/>
          <cell r="Q2306"/>
          <cell r="R2306"/>
          <cell r="S2306"/>
          <cell r="T2306"/>
          <cell r="U2306"/>
          <cell r="V2306">
            <v>15</v>
          </cell>
          <cell r="W2306" t="str">
            <v>AMW3333 AND AMW1895C ARE SAME</v>
          </cell>
          <cell r="X2306" t="str">
            <v>GAVIN</v>
          </cell>
          <cell r="Y2306" t="str">
            <v>SKYPE</v>
          </cell>
          <cell r="Z2306" t="str">
            <v>DISCUSSED VIA SKYPE</v>
          </cell>
          <cell r="AA2306"/>
          <cell r="AB2306">
            <v>42909</v>
          </cell>
          <cell r="AC2306">
            <v>3333</v>
          </cell>
        </row>
        <row r="2307">
          <cell r="B2307">
            <v>3341</v>
          </cell>
          <cell r="C2307" t="str">
            <v>OLP-1761506JLH</v>
          </cell>
          <cell r="D2307" t="str">
            <v>COTTON YARNDYED</v>
          </cell>
          <cell r="E2307" t="str">
            <v>40x40 / 88x68</v>
          </cell>
          <cell r="F2307" t="str">
            <v>C 100%</v>
          </cell>
          <cell r="G2307" t="str">
            <v>100% COTTON / 40x40 / 88x68</v>
          </cell>
          <cell r="H2307" t="str">
            <v>57/58</v>
          </cell>
          <cell r="I2307">
            <v>92</v>
          </cell>
          <cell r="J2307">
            <v>1.5</v>
          </cell>
          <cell r="K2307"/>
          <cell r="L2307">
            <v>1.55</v>
          </cell>
          <cell r="M2307"/>
          <cell r="N2307">
            <v>1.63</v>
          </cell>
          <cell r="O2307"/>
          <cell r="P2307"/>
          <cell r="Q2307"/>
          <cell r="R2307">
            <v>1.78</v>
          </cell>
          <cell r="S2307"/>
          <cell r="T2307"/>
          <cell r="U2307"/>
          <cell r="V2307">
            <v>15</v>
          </cell>
          <cell r="W2307"/>
          <cell r="X2307" t="str">
            <v>OWEN</v>
          </cell>
          <cell r="Y2307" t="str">
            <v>OWEN 20-JUNE</v>
          </cell>
          <cell r="Z2307" t="str">
            <v>SANDY' MAIL 21/6/17</v>
          </cell>
          <cell r="AA2307"/>
          <cell r="AB2307">
            <v>42907</v>
          </cell>
          <cell r="AC2307">
            <v>3341</v>
          </cell>
        </row>
        <row r="2308">
          <cell r="B2308">
            <v>3340</v>
          </cell>
          <cell r="C2308" t="str">
            <v>OLP-1761505JLH</v>
          </cell>
          <cell r="D2308" t="str">
            <v>COTTON YARNDYED</v>
          </cell>
          <cell r="E2308" t="str">
            <v>40x40 / 70x67</v>
          </cell>
          <cell r="F2308" t="str">
            <v>C 100%</v>
          </cell>
          <cell r="G2308" t="str">
            <v>100% COTTON / 40x40 / 70x67</v>
          </cell>
          <cell r="H2308" t="str">
            <v>57/58</v>
          </cell>
          <cell r="I2308">
            <v>81</v>
          </cell>
          <cell r="J2308">
            <v>1.4</v>
          </cell>
          <cell r="K2308"/>
          <cell r="L2308">
            <v>1.46</v>
          </cell>
          <cell r="M2308"/>
          <cell r="N2308">
            <v>1.6</v>
          </cell>
          <cell r="O2308"/>
          <cell r="P2308"/>
          <cell r="Q2308"/>
          <cell r="R2308">
            <v>1.75</v>
          </cell>
          <cell r="S2308"/>
          <cell r="T2308"/>
          <cell r="U2308"/>
          <cell r="V2308">
            <v>15</v>
          </cell>
          <cell r="W2308"/>
          <cell r="X2308" t="str">
            <v>OWEN</v>
          </cell>
          <cell r="Y2308" t="str">
            <v>OWEN 20-JUNE</v>
          </cell>
          <cell r="Z2308" t="str">
            <v>SANDY' MAIL 21/6/17</v>
          </cell>
          <cell r="AA2308"/>
          <cell r="AB2308">
            <v>42907</v>
          </cell>
          <cell r="AC2308">
            <v>3340</v>
          </cell>
        </row>
        <row r="2309">
          <cell r="B2309">
            <v>3339</v>
          </cell>
          <cell r="C2309" t="str">
            <v>TS-352</v>
          </cell>
          <cell r="D2309" t="str">
            <v>DOBBY STRIPE</v>
          </cell>
          <cell r="E2309"/>
          <cell r="F2309" t="str">
            <v>C 100%</v>
          </cell>
          <cell r="G2309" t="str">
            <v>100% COTTON</v>
          </cell>
          <cell r="H2309" t="str">
            <v>57/58</v>
          </cell>
          <cell r="I2309">
            <v>63</v>
          </cell>
          <cell r="J2309">
            <v>1.24</v>
          </cell>
          <cell r="K2309">
            <v>1.42</v>
          </cell>
          <cell r="L2309">
            <v>1.26</v>
          </cell>
          <cell r="M2309">
            <v>1.45</v>
          </cell>
          <cell r="N2309">
            <v>1.28</v>
          </cell>
          <cell r="O2309">
            <v>1.48</v>
          </cell>
          <cell r="P2309"/>
          <cell r="Q2309"/>
          <cell r="R2309">
            <v>1.43</v>
          </cell>
          <cell r="S2309">
            <v>1.75</v>
          </cell>
          <cell r="T2309"/>
          <cell r="U2309"/>
          <cell r="V2309">
            <v>15</v>
          </cell>
          <cell r="W2309"/>
          <cell r="X2309" t="str">
            <v>GAVIN</v>
          </cell>
          <cell r="Y2309" t="str">
            <v>GAVIN 17-JUNE</v>
          </cell>
          <cell r="Z2309" t="str">
            <v>GAVIN' MAIL 17/6/17</v>
          </cell>
          <cell r="AA2309"/>
          <cell r="AB2309">
            <v>42903</v>
          </cell>
          <cell r="AC2309">
            <v>3339</v>
          </cell>
        </row>
        <row r="2310">
          <cell r="B2310">
            <v>3338</v>
          </cell>
          <cell r="C2310" t="str">
            <v>HLWP0001</v>
          </cell>
          <cell r="D2310" t="str">
            <v>POLY SOURCE FOR SEARS</v>
          </cell>
          <cell r="E2310"/>
          <cell r="F2310" t="str">
            <v>T 100%</v>
          </cell>
          <cell r="G2310" t="str">
            <v xml:space="preserve">100% POLYESTER CEY </v>
          </cell>
          <cell r="H2310" t="str">
            <v>57/58</v>
          </cell>
          <cell r="I2310">
            <v>220</v>
          </cell>
          <cell r="J2310">
            <v>3</v>
          </cell>
          <cell r="K2310">
            <v>3.12</v>
          </cell>
          <cell r="L2310">
            <v>3.1</v>
          </cell>
          <cell r="M2310">
            <v>3.27</v>
          </cell>
          <cell r="N2310">
            <v>3.2</v>
          </cell>
          <cell r="O2310">
            <v>3.42</v>
          </cell>
          <cell r="P2310"/>
          <cell r="Q2310"/>
          <cell r="R2310">
            <v>3.4000000000000004</v>
          </cell>
          <cell r="S2310">
            <v>3.62</v>
          </cell>
          <cell r="T2310"/>
          <cell r="U2310"/>
          <cell r="V2310">
            <v>15</v>
          </cell>
          <cell r="W2310" t="str">
            <v>HLWP0001 AND HLWP0032 IS SAME</v>
          </cell>
          <cell r="X2310" t="str">
            <v>CANDY</v>
          </cell>
          <cell r="Y2310" t="str">
            <v>CANDY 13-JUNE</v>
          </cell>
          <cell r="Z2310" t="str">
            <v>CANDY' MAIL 13/6/17</v>
          </cell>
          <cell r="AA2310"/>
          <cell r="AB2310">
            <v>42903</v>
          </cell>
          <cell r="AC2310">
            <v>3338</v>
          </cell>
        </row>
        <row r="2311">
          <cell r="B2311">
            <v>3337</v>
          </cell>
          <cell r="C2311" t="str">
            <v>TS-356</v>
          </cell>
          <cell r="D2311" t="str">
            <v>KNIT DOBBY</v>
          </cell>
          <cell r="E2311"/>
          <cell r="F2311" t="str">
            <v>T 100%</v>
          </cell>
          <cell r="G2311" t="str">
            <v>100% POLYESTER (KNIT DOBBY)</v>
          </cell>
          <cell r="H2311" t="str">
            <v>62/63</v>
          </cell>
          <cell r="I2311">
            <v>265</v>
          </cell>
          <cell r="J2311">
            <v>1.94</v>
          </cell>
          <cell r="K2311"/>
          <cell r="L2311">
            <v>1.96</v>
          </cell>
          <cell r="M2311"/>
          <cell r="N2311">
            <v>1.98</v>
          </cell>
          <cell r="O2311"/>
          <cell r="P2311"/>
          <cell r="Q2311"/>
          <cell r="R2311">
            <v>2.13</v>
          </cell>
          <cell r="S2311"/>
          <cell r="T2311"/>
          <cell r="U2311"/>
          <cell r="V2311">
            <v>15</v>
          </cell>
          <cell r="W2311"/>
          <cell r="X2311" t="str">
            <v>GAVIN</v>
          </cell>
          <cell r="Y2311" t="str">
            <v>GAVIN 17-JUNE</v>
          </cell>
          <cell r="Z2311" t="str">
            <v>GAVIN' MAIL 17/6/17</v>
          </cell>
          <cell r="AA2311"/>
          <cell r="AB2311">
            <v>42903</v>
          </cell>
          <cell r="AC2311">
            <v>3337</v>
          </cell>
        </row>
        <row r="2312">
          <cell r="B2312">
            <v>3336</v>
          </cell>
          <cell r="C2312" t="str">
            <v>TS-355</v>
          </cell>
          <cell r="D2312"/>
          <cell r="E2312"/>
          <cell r="F2312" t="str">
            <v>T 100%</v>
          </cell>
          <cell r="G2312" t="str">
            <v xml:space="preserve">100% POLYESTER </v>
          </cell>
          <cell r="H2312" t="str">
            <v>57/58</v>
          </cell>
          <cell r="I2312">
            <v>125</v>
          </cell>
          <cell r="J2312">
            <v>1.26</v>
          </cell>
          <cell r="K2312">
            <v>1.43</v>
          </cell>
          <cell r="L2312">
            <v>1.28</v>
          </cell>
          <cell r="M2312">
            <v>1.47</v>
          </cell>
          <cell r="N2312">
            <v>1.3</v>
          </cell>
          <cell r="O2312">
            <v>1.5</v>
          </cell>
          <cell r="P2312"/>
          <cell r="Q2312"/>
          <cell r="R2312">
            <v>1.45</v>
          </cell>
          <cell r="S2312">
            <v>1.75</v>
          </cell>
          <cell r="T2312"/>
          <cell r="U2312"/>
          <cell r="V2312">
            <v>15</v>
          </cell>
          <cell r="W2312"/>
          <cell r="X2312" t="str">
            <v>GAVIN</v>
          </cell>
          <cell r="Y2312" t="str">
            <v>GAVIN 17-JUNE</v>
          </cell>
          <cell r="Z2312" t="str">
            <v>GAVIN' MAIL 17/6/17</v>
          </cell>
          <cell r="AA2312"/>
          <cell r="AB2312">
            <v>42903</v>
          </cell>
          <cell r="AC2312">
            <v>3336</v>
          </cell>
        </row>
        <row r="2313">
          <cell r="B2313">
            <v>3335</v>
          </cell>
          <cell r="C2313" t="str">
            <v>TS-354</v>
          </cell>
          <cell r="D2313" t="str">
            <v>SCUBA LIGHT WEIGHT</v>
          </cell>
          <cell r="E2313"/>
          <cell r="F2313" t="str">
            <v>T 100%</v>
          </cell>
          <cell r="G2313" t="str">
            <v xml:space="preserve">100% POLYESTER </v>
          </cell>
          <cell r="H2313" t="str">
            <v>57/58</v>
          </cell>
          <cell r="I2313">
            <v>213</v>
          </cell>
          <cell r="J2313">
            <v>1.66</v>
          </cell>
          <cell r="K2313">
            <v>1.84</v>
          </cell>
          <cell r="L2313">
            <v>1.68</v>
          </cell>
          <cell r="M2313">
            <v>1.87</v>
          </cell>
          <cell r="N2313">
            <v>1.7</v>
          </cell>
          <cell r="O2313">
            <v>1.9</v>
          </cell>
          <cell r="P2313"/>
          <cell r="Q2313"/>
          <cell r="R2313">
            <v>1.85</v>
          </cell>
          <cell r="S2313">
            <v>2.15</v>
          </cell>
          <cell r="T2313"/>
          <cell r="U2313"/>
          <cell r="V2313">
            <v>15</v>
          </cell>
          <cell r="W2313"/>
          <cell r="X2313" t="str">
            <v>GAVIN</v>
          </cell>
          <cell r="Y2313" t="str">
            <v>GAVIN 17-JUNE</v>
          </cell>
          <cell r="Z2313" t="str">
            <v>GAVIN' MAIL 17/6/17</v>
          </cell>
          <cell r="AA2313"/>
          <cell r="AB2313">
            <v>42903</v>
          </cell>
          <cell r="AC2313">
            <v>3335</v>
          </cell>
        </row>
        <row r="2314">
          <cell r="B2314">
            <v>3334</v>
          </cell>
          <cell r="C2314" t="str">
            <v>TS-353</v>
          </cell>
          <cell r="D2314" t="str">
            <v>YARNDYED</v>
          </cell>
          <cell r="E2314"/>
          <cell r="F2314" t="str">
            <v>C 100%</v>
          </cell>
          <cell r="G2314" t="str">
            <v>100% COTTON Y/D</v>
          </cell>
          <cell r="H2314" t="str">
            <v>57/58</v>
          </cell>
          <cell r="I2314">
            <v>89</v>
          </cell>
          <cell r="J2314">
            <v>1.66</v>
          </cell>
          <cell r="K2314"/>
          <cell r="L2314">
            <v>1.68</v>
          </cell>
          <cell r="M2314"/>
          <cell r="N2314">
            <v>1.7</v>
          </cell>
          <cell r="O2314"/>
          <cell r="P2314"/>
          <cell r="Q2314"/>
          <cell r="R2314"/>
          <cell r="S2314"/>
          <cell r="T2314"/>
          <cell r="U2314"/>
          <cell r="V2314">
            <v>15</v>
          </cell>
          <cell r="W2314"/>
          <cell r="X2314" t="str">
            <v>GAVIN</v>
          </cell>
          <cell r="Y2314" t="str">
            <v>GAVIN 17-JUNE</v>
          </cell>
          <cell r="Z2314" t="str">
            <v>GAVIN' MAIL 17/6/17</v>
          </cell>
          <cell r="AA2314"/>
          <cell r="AB2314">
            <v>42903</v>
          </cell>
          <cell r="AC2314">
            <v>3334</v>
          </cell>
        </row>
        <row r="2315">
          <cell r="B2315">
            <v>3332</v>
          </cell>
          <cell r="C2315" t="str">
            <v>TS-351B</v>
          </cell>
          <cell r="D2315" t="str">
            <v>PLEATED / EMBOSSE</v>
          </cell>
          <cell r="E2315"/>
          <cell r="F2315" t="str">
            <v>T 100%</v>
          </cell>
          <cell r="G2315" t="str">
            <v>100% POLYESTER (YORYU)WITH EMBOSSE</v>
          </cell>
          <cell r="H2315" t="str">
            <v>57/58</v>
          </cell>
          <cell r="I2315">
            <v>230</v>
          </cell>
          <cell r="J2315">
            <v>2.2599999999999998</v>
          </cell>
          <cell r="K2315"/>
          <cell r="L2315">
            <v>2.2799999999999998</v>
          </cell>
          <cell r="M2315"/>
          <cell r="N2315">
            <v>2.2999999999999998</v>
          </cell>
          <cell r="O2315"/>
          <cell r="P2315"/>
          <cell r="Q2315"/>
          <cell r="R2315">
            <v>2.4500000000000002</v>
          </cell>
          <cell r="S2315"/>
          <cell r="T2315"/>
          <cell r="U2315"/>
          <cell r="V2315">
            <v>15</v>
          </cell>
          <cell r="W2315"/>
          <cell r="X2315" t="str">
            <v>GAVIN</v>
          </cell>
          <cell r="Y2315" t="str">
            <v>GAVIN 17-JUNE</v>
          </cell>
          <cell r="Z2315" t="str">
            <v>GAVIN' MAIL 17/6/17</v>
          </cell>
          <cell r="AA2315"/>
          <cell r="AB2315">
            <v>42903</v>
          </cell>
          <cell r="AC2315">
            <v>3332</v>
          </cell>
        </row>
        <row r="2316">
          <cell r="B2316">
            <v>3331</v>
          </cell>
          <cell r="C2316" t="str">
            <v>JHDKHL170610</v>
          </cell>
          <cell r="D2316" t="str">
            <v>COTTON YARNDYED STRIPED WITH BLACK CLIPPED - HANDLOOM ONLY / DON'T HAVE HANGER</v>
          </cell>
          <cell r="E2316" t="str">
            <v xml:space="preserve">40*40+32/87*72 </v>
          </cell>
          <cell r="F2316" t="str">
            <v>C 100%</v>
          </cell>
          <cell r="G2316" t="str">
            <v>100% COTTON</v>
          </cell>
          <cell r="H2316" t="str">
            <v>57/58</v>
          </cell>
          <cell r="I2316">
            <v>106</v>
          </cell>
          <cell r="J2316"/>
          <cell r="K2316">
            <v>1.91</v>
          </cell>
          <cell r="L2316"/>
          <cell r="M2316">
            <v>1.95</v>
          </cell>
          <cell r="N2316"/>
          <cell r="O2316">
            <v>1.97</v>
          </cell>
          <cell r="P2316"/>
          <cell r="Q2316"/>
          <cell r="R2316"/>
          <cell r="S2316">
            <v>2.17</v>
          </cell>
          <cell r="T2316"/>
          <cell r="U2316"/>
          <cell r="V2316"/>
          <cell r="W2316" t="str">
            <v>DEVELOP HAND-LOOM  TO SUBMIT FOR CUSTOMER FIRST</v>
          </cell>
          <cell r="X2316" t="str">
            <v>DAVID</v>
          </cell>
          <cell r="Y2316" t="str">
            <v>DAVID 17-JUNE</v>
          </cell>
          <cell r="Z2316" t="str">
            <v>DAVID SEND VIA WECHAT 17/6/17</v>
          </cell>
          <cell r="AA2316"/>
          <cell r="AB2316">
            <v>42903</v>
          </cell>
          <cell r="AC2316">
            <v>3331</v>
          </cell>
        </row>
        <row r="2317">
          <cell r="B2317">
            <v>3330</v>
          </cell>
          <cell r="C2317" t="str">
            <v>B-HLP0973 / HLT0973</v>
          </cell>
          <cell r="D2317" t="str">
            <v>CHIFFON FOR LINING</v>
          </cell>
          <cell r="E2317" t="str">
            <v>100D/72FFDYx100/72FFDY</v>
          </cell>
          <cell r="F2317" t="str">
            <v>T 100%</v>
          </cell>
          <cell r="G2317" t="str">
            <v>100% POLYESTER</v>
          </cell>
          <cell r="H2317" t="str">
            <v>152CM</v>
          </cell>
          <cell r="I2317">
            <v>74</v>
          </cell>
          <cell r="J2317">
            <v>0.96</v>
          </cell>
          <cell r="K2317">
            <v>1.2</v>
          </cell>
          <cell r="L2317">
            <v>1.06</v>
          </cell>
          <cell r="M2317">
            <v>1.3</v>
          </cell>
          <cell r="N2317">
            <v>1.1600000000000001</v>
          </cell>
          <cell r="O2317">
            <v>1.4000000000000001</v>
          </cell>
          <cell r="P2317"/>
          <cell r="Q2317"/>
          <cell r="R2317">
            <v>1.36</v>
          </cell>
          <cell r="S2317">
            <v>1.7000000000000002</v>
          </cell>
          <cell r="T2317"/>
          <cell r="U2317"/>
          <cell r="V2317"/>
          <cell r="W2317"/>
          <cell r="X2317" t="str">
            <v>CANDY</v>
          </cell>
          <cell r="Y2317" t="str">
            <v>CANDY 13-JUNE</v>
          </cell>
          <cell r="Z2317" t="str">
            <v>CANDY' MAIL 17/6/17</v>
          </cell>
          <cell r="AA2317"/>
          <cell r="AB2317">
            <v>42903</v>
          </cell>
          <cell r="AC2317">
            <v>3330</v>
          </cell>
        </row>
        <row r="2318">
          <cell r="B2318">
            <v>3296</v>
          </cell>
          <cell r="C2318" t="str">
            <v>HLT5977</v>
          </cell>
          <cell r="D2318" t="str">
            <v>LINING</v>
          </cell>
          <cell r="E2318" t="str">
            <v>75Dx75D</v>
          </cell>
          <cell r="F2318" t="str">
            <v xml:space="preserve">T 100% </v>
          </cell>
          <cell r="G2318" t="str">
            <v>100% POLYESTER</v>
          </cell>
          <cell r="H2318" t="str">
            <v>57/58</v>
          </cell>
          <cell r="I2318" t="str">
            <v>65-70</v>
          </cell>
          <cell r="J2318">
            <v>1.32</v>
          </cell>
          <cell r="K2318">
            <v>1.6</v>
          </cell>
          <cell r="L2318">
            <v>1.37</v>
          </cell>
          <cell r="M2318">
            <v>1.6500000000000001</v>
          </cell>
          <cell r="N2318">
            <v>1.4700000000000002</v>
          </cell>
          <cell r="O2318">
            <v>1.7500000000000002</v>
          </cell>
          <cell r="P2318"/>
          <cell r="Q2318"/>
          <cell r="R2318">
            <v>1.6700000000000002</v>
          </cell>
          <cell r="S2318">
            <v>1.9500000000000002</v>
          </cell>
          <cell r="T2318"/>
          <cell r="U2318"/>
          <cell r="V2318">
            <v>15</v>
          </cell>
          <cell r="W2318"/>
          <cell r="X2318" t="str">
            <v>CANDY</v>
          </cell>
          <cell r="Y2318" t="str">
            <v>CANDY 13-JUNE</v>
          </cell>
          <cell r="Z2318" t="str">
            <v>CANDY' MAIL 13/6/17</v>
          </cell>
          <cell r="AA2318"/>
          <cell r="AB2318">
            <v>42903</v>
          </cell>
          <cell r="AC2318">
            <v>3296</v>
          </cell>
        </row>
        <row r="2319">
          <cell r="B2319">
            <v>3295</v>
          </cell>
          <cell r="C2319" t="str">
            <v>HLT2935-1</v>
          </cell>
          <cell r="D2319"/>
          <cell r="E2319" t="str">
            <v>300Dx300D</v>
          </cell>
          <cell r="F2319" t="str">
            <v>T 100%</v>
          </cell>
          <cell r="G2319" t="str">
            <v>100% POLYESTER</v>
          </cell>
          <cell r="H2319" t="str">
            <v>150CM</v>
          </cell>
          <cell r="I2319">
            <v>185</v>
          </cell>
          <cell r="J2319">
            <v>1.1200000000000001</v>
          </cell>
          <cell r="K2319">
            <v>1.2200000000000002</v>
          </cell>
          <cell r="L2319">
            <v>1.1700000000000002</v>
          </cell>
          <cell r="M2319">
            <v>1.3200000000000003</v>
          </cell>
          <cell r="N2319">
            <v>1.2700000000000002</v>
          </cell>
          <cell r="O2319">
            <v>1.4200000000000004</v>
          </cell>
          <cell r="P2319"/>
          <cell r="Q2319"/>
          <cell r="R2319">
            <v>1.4700000000000002</v>
          </cell>
          <cell r="S2319">
            <v>1.5700000000000003</v>
          </cell>
          <cell r="T2319"/>
          <cell r="U2319"/>
          <cell r="V2319">
            <v>15</v>
          </cell>
          <cell r="W2319"/>
          <cell r="X2319" t="str">
            <v>CANDY</v>
          </cell>
          <cell r="Y2319" t="str">
            <v>CANDY 13-JUNE</v>
          </cell>
          <cell r="Z2319" t="str">
            <v>CANDY' MAIL 13/6/17</v>
          </cell>
          <cell r="AA2319"/>
          <cell r="AB2319">
            <v>42903</v>
          </cell>
          <cell r="AC2319">
            <v>3295</v>
          </cell>
        </row>
        <row r="2320">
          <cell r="B2320">
            <v>2965</v>
          </cell>
          <cell r="C2320" t="str">
            <v>OLP-1731111</v>
          </cell>
          <cell r="D2320" t="str">
            <v>LACE</v>
          </cell>
          <cell r="E2320"/>
          <cell r="F2320" t="str">
            <v>T/S</v>
          </cell>
          <cell r="G2320" t="str">
            <v>92% POLYESTER 8% SPANDEX</v>
          </cell>
          <cell r="H2320">
            <v>59</v>
          </cell>
          <cell r="I2320">
            <v>130</v>
          </cell>
          <cell r="J2320">
            <v>1.78</v>
          </cell>
          <cell r="K2320"/>
          <cell r="L2320"/>
          <cell r="M2320"/>
          <cell r="N2320">
            <v>1.85</v>
          </cell>
          <cell r="O2320"/>
          <cell r="P2320"/>
          <cell r="Q2320"/>
          <cell r="R2320">
            <v>2.0499999999999998</v>
          </cell>
          <cell r="S2320"/>
          <cell r="T2320"/>
          <cell r="U2320"/>
          <cell r="V2320">
            <v>15</v>
          </cell>
          <cell r="W2320"/>
          <cell r="X2320" t="str">
            <v>OWEN</v>
          </cell>
          <cell r="Y2320" t="str">
            <v>OWEN 17-JUNE</v>
          </cell>
          <cell r="Z2320" t="str">
            <v>SANDY' MAIL 17/6/17</v>
          </cell>
          <cell r="AA2320"/>
          <cell r="AB2320">
            <v>42903</v>
          </cell>
          <cell r="AC2320">
            <v>2965</v>
          </cell>
        </row>
        <row r="2321">
          <cell r="B2321">
            <v>3329</v>
          </cell>
          <cell r="C2321" t="str">
            <v>K-2986</v>
          </cell>
          <cell r="D2321" t="str">
            <v xml:space="preserve">PLEATED </v>
          </cell>
          <cell r="E2321"/>
          <cell r="F2321" t="str">
            <v>T 100%</v>
          </cell>
          <cell r="G2321" t="str">
            <v>100% POLYESTER</v>
          </cell>
          <cell r="H2321" t="str">
            <v>57/58</v>
          </cell>
          <cell r="I2321">
            <v>213</v>
          </cell>
          <cell r="J2321">
            <v>3.3</v>
          </cell>
          <cell r="K2321"/>
          <cell r="L2321"/>
          <cell r="M2321"/>
          <cell r="N2321">
            <v>3.35</v>
          </cell>
          <cell r="O2321"/>
          <cell r="P2321"/>
          <cell r="Q2321"/>
          <cell r="R2321">
            <v>3.75</v>
          </cell>
          <cell r="S2321"/>
          <cell r="T2321"/>
          <cell r="U2321"/>
          <cell r="V2321">
            <v>15</v>
          </cell>
          <cell r="W2321"/>
          <cell r="X2321" t="str">
            <v>LIVALTEX</v>
          </cell>
          <cell r="Y2321" t="str">
            <v>LIVALTEX 16-JUNE</v>
          </cell>
          <cell r="Z2321" t="str">
            <v>ROSE' MAIL 16/6/17</v>
          </cell>
          <cell r="AA2321"/>
          <cell r="AB2321">
            <v>42902</v>
          </cell>
          <cell r="AC2321">
            <v>3329</v>
          </cell>
        </row>
        <row r="2322">
          <cell r="B2322">
            <v>3328</v>
          </cell>
          <cell r="C2322" t="str">
            <v>TS-357</v>
          </cell>
          <cell r="D2322" t="str">
            <v>POLY LINING</v>
          </cell>
          <cell r="E2322"/>
          <cell r="F2322" t="str">
            <v>T 100%</v>
          </cell>
          <cell r="G2322" t="str">
            <v>100% POLYESTER</v>
          </cell>
          <cell r="H2322" t="str">
            <v>57/58</v>
          </cell>
          <cell r="I2322">
            <v>90</v>
          </cell>
          <cell r="J2322">
            <v>1.1200000000000001</v>
          </cell>
          <cell r="K2322"/>
          <cell r="L2322">
            <v>1.1499999999999999</v>
          </cell>
          <cell r="M2322"/>
          <cell r="N2322">
            <v>1.1499999999999999</v>
          </cell>
          <cell r="O2322"/>
          <cell r="P2322"/>
          <cell r="Q2322"/>
          <cell r="R2322">
            <v>1.3</v>
          </cell>
          <cell r="S2322"/>
          <cell r="T2322"/>
          <cell r="U2322"/>
          <cell r="V2322">
            <v>15</v>
          </cell>
          <cell r="W2322"/>
          <cell r="X2322" t="str">
            <v>GAVIN</v>
          </cell>
          <cell r="Y2322" t="str">
            <v>GAVIN 16-JUNE</v>
          </cell>
          <cell r="Z2322" t="str">
            <v>GAVIN VIA WECHAT</v>
          </cell>
          <cell r="AA2322"/>
          <cell r="AB2322">
            <v>42902</v>
          </cell>
          <cell r="AC2322">
            <v>3328</v>
          </cell>
        </row>
        <row r="2323">
          <cell r="B2323">
            <v>2791</v>
          </cell>
          <cell r="C2323" t="str">
            <v>BG2994</v>
          </cell>
          <cell r="D2323" t="str">
            <v>RAYON DOBBY - AMW1098 / 2791 / 3347 ARE SAME FABRIC</v>
          </cell>
          <cell r="E2323" t="str">
            <v>60s x 60s</v>
          </cell>
          <cell r="F2323" t="str">
            <v>R 100%</v>
          </cell>
          <cell r="G2323" t="str">
            <v>100% RAYON</v>
          </cell>
          <cell r="H2323" t="str">
            <v>54/55</v>
          </cell>
          <cell r="I2323">
            <v>109</v>
          </cell>
          <cell r="J2323">
            <v>2.1</v>
          </cell>
          <cell r="K2323">
            <v>2.2999999999999998</v>
          </cell>
          <cell r="L2323">
            <v>2.15</v>
          </cell>
          <cell r="M2323">
            <v>2.35</v>
          </cell>
          <cell r="N2323">
            <v>2.2000000000000002</v>
          </cell>
          <cell r="O2323">
            <v>2.4</v>
          </cell>
          <cell r="P2323"/>
          <cell r="Q2323"/>
          <cell r="R2323"/>
          <cell r="S2323"/>
          <cell r="T2323"/>
          <cell r="U2323"/>
          <cell r="V2323">
            <v>15</v>
          </cell>
          <cell r="W2323" t="str">
            <v>AMW1098 / 2791 / 3347 ARE SAME FABRIC</v>
          </cell>
          <cell r="X2323" t="str">
            <v>ANN</v>
          </cell>
          <cell r="Y2323" t="str">
            <v>ANN 16-JUNE</v>
          </cell>
          <cell r="Z2323" t="str">
            <v>ANN' MAIL 16/6/17</v>
          </cell>
          <cell r="AA2323"/>
          <cell r="AB2323">
            <v>42902</v>
          </cell>
          <cell r="AC2323">
            <v>2791</v>
          </cell>
        </row>
        <row r="2324">
          <cell r="B2324">
            <v>2790</v>
          </cell>
          <cell r="C2324" t="str">
            <v>BG2627</v>
          </cell>
          <cell r="D2324" t="str">
            <v>PIGMENT PRINT</v>
          </cell>
          <cell r="E2324" t="str">
            <v>45s x 45s - Pigment print</v>
          </cell>
          <cell r="F2324" t="str">
            <v>T/C 55/45</v>
          </cell>
          <cell r="G2324" t="str">
            <v>55% POLYESTER 45% COTTON</v>
          </cell>
          <cell r="H2324" t="str">
            <v>57/58</v>
          </cell>
          <cell r="I2324">
            <v>80</v>
          </cell>
          <cell r="J2324">
            <v>1.3</v>
          </cell>
          <cell r="K2324">
            <v>1.72</v>
          </cell>
          <cell r="L2324">
            <v>1.33</v>
          </cell>
          <cell r="M2324">
            <v>1.77</v>
          </cell>
          <cell r="N2324">
            <v>1.35</v>
          </cell>
          <cell r="O2324">
            <v>1.82</v>
          </cell>
          <cell r="P2324"/>
          <cell r="Q2324"/>
          <cell r="R2324">
            <v>1.55</v>
          </cell>
          <cell r="S2324">
            <v>2.15</v>
          </cell>
          <cell r="T2324"/>
          <cell r="U2324"/>
          <cell r="V2324">
            <v>15</v>
          </cell>
          <cell r="W2324" t="str">
            <v>print is pigment print</v>
          </cell>
          <cell r="X2324" t="str">
            <v>ANN</v>
          </cell>
          <cell r="Y2324" t="str">
            <v>ANN 16-JUNE</v>
          </cell>
          <cell r="Z2324" t="str">
            <v>ANN' MAIL 16/6/17</v>
          </cell>
          <cell r="AA2324"/>
          <cell r="AB2324">
            <v>42902</v>
          </cell>
          <cell r="AC2324">
            <v>2790</v>
          </cell>
        </row>
        <row r="2325">
          <cell r="B2325">
            <v>2324</v>
          </cell>
          <cell r="C2325" t="str">
            <v>BG3415</v>
          </cell>
          <cell r="D2325" t="str">
            <v>RAYON DOBBY</v>
          </cell>
          <cell r="E2325" t="str">
            <v>60s x 30s</v>
          </cell>
          <cell r="F2325" t="str">
            <v>R 100%</v>
          </cell>
          <cell r="G2325" t="str">
            <v>100% RAYON</v>
          </cell>
          <cell r="H2325" t="str">
            <v>53/54</v>
          </cell>
          <cell r="I2325">
            <v>110</v>
          </cell>
          <cell r="J2325">
            <v>1.75</v>
          </cell>
          <cell r="K2325">
            <v>2</v>
          </cell>
          <cell r="L2325">
            <v>1.78</v>
          </cell>
          <cell r="M2325">
            <v>2.0499999999999998</v>
          </cell>
          <cell r="N2325">
            <v>1.8</v>
          </cell>
          <cell r="O2325">
            <v>2.1</v>
          </cell>
          <cell r="P2325"/>
          <cell r="Q2325"/>
          <cell r="R2325">
            <v>2</v>
          </cell>
          <cell r="S2325">
            <v>2.4</v>
          </cell>
          <cell r="T2325"/>
          <cell r="U2325"/>
          <cell r="V2325">
            <v>15</v>
          </cell>
          <cell r="W2325"/>
          <cell r="X2325" t="str">
            <v>ANN</v>
          </cell>
          <cell r="Y2325" t="str">
            <v>ANN 16-JUNE</v>
          </cell>
          <cell r="Z2325" t="str">
            <v>ANN' MAIL 16/6/17</v>
          </cell>
          <cell r="AA2325"/>
          <cell r="AB2325">
            <v>42902</v>
          </cell>
          <cell r="AC2325">
            <v>2324</v>
          </cell>
        </row>
        <row r="2326">
          <cell r="B2326">
            <v>1097</v>
          </cell>
          <cell r="C2326" t="str">
            <v>BG2997</v>
          </cell>
          <cell r="D2326" t="str">
            <v>RAYON DOBBY</v>
          </cell>
          <cell r="E2326"/>
          <cell r="F2326" t="str">
            <v>R 100%</v>
          </cell>
          <cell r="G2326" t="str">
            <v>100% RAYON</v>
          </cell>
          <cell r="H2326" t="str">
            <v>53/54</v>
          </cell>
          <cell r="I2326">
            <v>110</v>
          </cell>
          <cell r="J2326">
            <v>2</v>
          </cell>
          <cell r="K2326">
            <v>2.25</v>
          </cell>
          <cell r="L2326">
            <v>2.0299999999999998</v>
          </cell>
          <cell r="M2326">
            <v>2.3E-2</v>
          </cell>
          <cell r="N2326">
            <v>2.0499999999999998</v>
          </cell>
          <cell r="O2326">
            <v>2.35</v>
          </cell>
          <cell r="P2326"/>
          <cell r="Q2326"/>
          <cell r="R2326"/>
          <cell r="S2326"/>
          <cell r="T2326"/>
          <cell r="U2326"/>
          <cell r="V2326"/>
          <cell r="W2326" t="str">
            <v>Don't have avaliable greige moq 3000m</v>
          </cell>
          <cell r="X2326" t="str">
            <v>ANN</v>
          </cell>
          <cell r="Y2326" t="str">
            <v>ANN 16-JUNE</v>
          </cell>
          <cell r="Z2326" t="str">
            <v>ANN' MAIL 16/6/17</v>
          </cell>
          <cell r="AA2326"/>
          <cell r="AB2326">
            <v>42902</v>
          </cell>
          <cell r="AC2326">
            <v>1097</v>
          </cell>
        </row>
        <row r="2327">
          <cell r="B2327">
            <v>3327</v>
          </cell>
          <cell r="C2327" t="str">
            <v xml:space="preserve">K-2988A </v>
          </cell>
          <cell r="D2327" t="str">
            <v>VELVET FOIL</v>
          </cell>
          <cell r="E2327"/>
          <cell r="F2327" t="str">
            <v>T/S 95/5</v>
          </cell>
          <cell r="G2327" t="str">
            <v>95% POLYESTER 5% SPAN</v>
          </cell>
          <cell r="H2327" t="str">
            <v>57/58</v>
          </cell>
          <cell r="I2327">
            <v>265</v>
          </cell>
          <cell r="J2327">
            <v>1.78</v>
          </cell>
          <cell r="K2327"/>
          <cell r="L2327"/>
          <cell r="M2327"/>
          <cell r="N2327">
            <v>1.81</v>
          </cell>
          <cell r="O2327"/>
          <cell r="P2327"/>
          <cell r="Q2327"/>
          <cell r="R2327">
            <v>2.16</v>
          </cell>
          <cell r="S2327"/>
          <cell r="T2327"/>
          <cell r="U2327"/>
          <cell r="V2327">
            <v>15</v>
          </cell>
          <cell r="W2327"/>
          <cell r="X2327" t="str">
            <v>LIVALTEX</v>
          </cell>
          <cell r="Y2327" t="str">
            <v>LIVALTEX 23-MAY'</v>
          </cell>
          <cell r="Z2327" t="str">
            <v>ROSE' MAIL 09/6/17</v>
          </cell>
          <cell r="AA2327"/>
          <cell r="AB2327">
            <v>42901</v>
          </cell>
          <cell r="AC2327">
            <v>3327</v>
          </cell>
        </row>
        <row r="2328">
          <cell r="B2328">
            <v>3326</v>
          </cell>
          <cell r="C2328" t="str">
            <v>K-2985</v>
          </cell>
          <cell r="D2328" t="str">
            <v>POLY FOIL PLEATED</v>
          </cell>
          <cell r="E2328"/>
          <cell r="F2328" t="str">
            <v>T 100%</v>
          </cell>
          <cell r="G2328" t="str">
            <v>100% POLYESTER</v>
          </cell>
          <cell r="H2328" t="str">
            <v>57/58</v>
          </cell>
          <cell r="I2328">
            <v>170</v>
          </cell>
          <cell r="J2328">
            <v>2.63</v>
          </cell>
          <cell r="K2328"/>
          <cell r="L2328"/>
          <cell r="M2328"/>
          <cell r="N2328">
            <v>2.68</v>
          </cell>
          <cell r="O2328"/>
          <cell r="P2328"/>
          <cell r="Q2328"/>
          <cell r="R2328">
            <v>3.18</v>
          </cell>
          <cell r="S2328"/>
          <cell r="T2328"/>
          <cell r="U2328"/>
          <cell r="V2328">
            <v>15</v>
          </cell>
          <cell r="W2328"/>
          <cell r="X2328" t="str">
            <v>LIVALTEX</v>
          </cell>
          <cell r="Y2328" t="str">
            <v>LIVALTEX 14-JUNE</v>
          </cell>
          <cell r="Z2328" t="str">
            <v>ROSE' MAIL 14/6/17</v>
          </cell>
          <cell r="AA2328"/>
          <cell r="AB2328">
            <v>42901</v>
          </cell>
          <cell r="AC2328">
            <v>3326</v>
          </cell>
        </row>
        <row r="2329">
          <cell r="B2329">
            <v>3325</v>
          </cell>
          <cell r="C2329" t="str">
            <v>K-2984</v>
          </cell>
          <cell r="D2329" t="str">
            <v>POLY FOIL PLEATED</v>
          </cell>
          <cell r="E2329"/>
          <cell r="F2329" t="str">
            <v>T 100%</v>
          </cell>
          <cell r="G2329" t="str">
            <v>100% POLYESTER</v>
          </cell>
          <cell r="H2329" t="str">
            <v>57/58</v>
          </cell>
          <cell r="I2329">
            <v>64</v>
          </cell>
          <cell r="J2329">
            <v>2.15</v>
          </cell>
          <cell r="K2329"/>
          <cell r="L2329"/>
          <cell r="M2329"/>
          <cell r="N2329">
            <v>2.2000000000000002</v>
          </cell>
          <cell r="O2329"/>
          <cell r="P2329"/>
          <cell r="Q2329"/>
          <cell r="R2329">
            <v>2.7</v>
          </cell>
          <cell r="S2329"/>
          <cell r="T2329"/>
          <cell r="U2329"/>
          <cell r="V2329">
            <v>15</v>
          </cell>
          <cell r="W2329"/>
          <cell r="X2329" t="str">
            <v>LIVALTEX</v>
          </cell>
          <cell r="Y2329" t="str">
            <v>LIVALTEX 14-JUNE</v>
          </cell>
          <cell r="Z2329" t="str">
            <v>ROSE' MAIL 14/6/17</v>
          </cell>
          <cell r="AA2329"/>
          <cell r="AB2329">
            <v>42901</v>
          </cell>
          <cell r="AC2329">
            <v>3325</v>
          </cell>
        </row>
        <row r="2330">
          <cell r="B2330">
            <v>3324</v>
          </cell>
          <cell r="C2330" t="str">
            <v>K-2983</v>
          </cell>
          <cell r="D2330" t="str">
            <v>POLY FOIL PLEATED</v>
          </cell>
          <cell r="E2330"/>
          <cell r="F2330" t="str">
            <v>T 100%</v>
          </cell>
          <cell r="G2330" t="str">
            <v>100% POLYESTER</v>
          </cell>
          <cell r="H2330" t="str">
            <v>57/58</v>
          </cell>
          <cell r="I2330">
            <v>140</v>
          </cell>
          <cell r="J2330">
            <v>2.63</v>
          </cell>
          <cell r="K2330"/>
          <cell r="L2330"/>
          <cell r="M2330"/>
          <cell r="N2330">
            <v>2.68</v>
          </cell>
          <cell r="O2330"/>
          <cell r="P2330"/>
          <cell r="Q2330"/>
          <cell r="R2330">
            <v>3.18</v>
          </cell>
          <cell r="S2330"/>
          <cell r="T2330"/>
          <cell r="U2330"/>
          <cell r="V2330">
            <v>15</v>
          </cell>
          <cell r="W2330"/>
          <cell r="X2330" t="str">
            <v>LIVALTEX</v>
          </cell>
          <cell r="Y2330" t="str">
            <v>LIVALTEX 14-JUNE</v>
          </cell>
          <cell r="Z2330" t="str">
            <v>ROSE' MAIL 14/6/17</v>
          </cell>
          <cell r="AA2330"/>
          <cell r="AB2330">
            <v>42901</v>
          </cell>
          <cell r="AC2330">
            <v>3324</v>
          </cell>
        </row>
        <row r="2331">
          <cell r="B2331">
            <v>3323</v>
          </cell>
          <cell r="C2331" t="str">
            <v>K-2981</v>
          </cell>
          <cell r="D2331" t="str">
            <v>POLY FOIL PLEATED</v>
          </cell>
          <cell r="E2331"/>
          <cell r="F2331" t="str">
            <v>T 100%</v>
          </cell>
          <cell r="G2331" t="str">
            <v>100% POLYESTER</v>
          </cell>
          <cell r="H2331" t="str">
            <v>57/58</v>
          </cell>
          <cell r="I2331">
            <v>152</v>
          </cell>
          <cell r="J2331">
            <v>2.63</v>
          </cell>
          <cell r="K2331"/>
          <cell r="L2331"/>
          <cell r="M2331"/>
          <cell r="N2331">
            <v>2.68</v>
          </cell>
          <cell r="O2331"/>
          <cell r="P2331"/>
          <cell r="Q2331"/>
          <cell r="R2331">
            <v>3.18</v>
          </cell>
          <cell r="S2331"/>
          <cell r="T2331"/>
          <cell r="U2331"/>
          <cell r="V2331">
            <v>15</v>
          </cell>
          <cell r="W2331"/>
          <cell r="X2331" t="str">
            <v>LIVALTEX</v>
          </cell>
          <cell r="Y2331" t="str">
            <v>LIVALTEX 14-JUNE</v>
          </cell>
          <cell r="Z2331" t="str">
            <v>ROSE' MAIL 14/6/17</v>
          </cell>
          <cell r="AA2331"/>
          <cell r="AB2331">
            <v>42901</v>
          </cell>
          <cell r="AC2331">
            <v>3323</v>
          </cell>
        </row>
        <row r="2332">
          <cell r="B2332">
            <v>3322</v>
          </cell>
          <cell r="C2332" t="str">
            <v>UD-JT-151267</v>
          </cell>
          <cell r="D2332" t="str">
            <v>POLY CREPE</v>
          </cell>
          <cell r="E2332" t="str">
            <v>(20D+26D)*150D</v>
          </cell>
          <cell r="F2332" t="str">
            <v>T 100%</v>
          </cell>
          <cell r="G2332" t="str">
            <v>100% POLYESTER</v>
          </cell>
          <cell r="H2332" t="str">
            <v>57/58</v>
          </cell>
          <cell r="I2332">
            <v>118</v>
          </cell>
          <cell r="J2332">
            <v>1.39</v>
          </cell>
          <cell r="K2332">
            <v>1.59</v>
          </cell>
          <cell r="L2332">
            <v>1.44</v>
          </cell>
          <cell r="M2332">
            <v>1.69</v>
          </cell>
          <cell r="N2332">
            <v>1.49</v>
          </cell>
          <cell r="O2332">
            <v>1.76</v>
          </cell>
          <cell r="P2332"/>
          <cell r="Q2332"/>
          <cell r="R2332">
            <v>1.59</v>
          </cell>
          <cell r="S2332">
            <v>1.99</v>
          </cell>
          <cell r="T2332"/>
          <cell r="U2332"/>
          <cell r="V2332"/>
          <cell r="W2332" t="str">
            <v>printeD prices for within 5screens printing Design.</v>
          </cell>
          <cell r="X2332" t="str">
            <v>WANG HUA</v>
          </cell>
          <cell r="Y2332" t="str">
            <v>WANG HUA 14-JUNE</v>
          </cell>
          <cell r="Z2332" t="str">
            <v>WANG HUA' MAIL 13/6/17</v>
          </cell>
          <cell r="AA2332"/>
          <cell r="AB2332">
            <v>42900</v>
          </cell>
          <cell r="AC2332">
            <v>3322</v>
          </cell>
        </row>
        <row r="2333">
          <cell r="B2333">
            <v>3321</v>
          </cell>
          <cell r="C2333" t="str">
            <v>UD-JT-151266</v>
          </cell>
          <cell r="D2333" t="str">
            <v>POLY CREPE</v>
          </cell>
          <cell r="E2333" t="str">
            <v>(20D+26D)*75D</v>
          </cell>
          <cell r="F2333" t="str">
            <v>T 100%</v>
          </cell>
          <cell r="G2333" t="str">
            <v>100% POLYESTER</v>
          </cell>
          <cell r="H2333" t="str">
            <v>57/58</v>
          </cell>
          <cell r="I2333">
            <v>80</v>
          </cell>
          <cell r="J2333">
            <v>1.25</v>
          </cell>
          <cell r="K2333">
            <v>1.45</v>
          </cell>
          <cell r="L2333">
            <v>1.3</v>
          </cell>
          <cell r="M2333">
            <v>1.55</v>
          </cell>
          <cell r="N2333">
            <v>1.35</v>
          </cell>
          <cell r="O2333">
            <v>1.62</v>
          </cell>
          <cell r="P2333"/>
          <cell r="Q2333"/>
          <cell r="R2333">
            <v>1.45</v>
          </cell>
          <cell r="S2333">
            <v>1.85</v>
          </cell>
          <cell r="T2333"/>
          <cell r="U2333"/>
          <cell r="V2333"/>
          <cell r="W2333" t="str">
            <v>printeD prices for within 5screens printing Design.</v>
          </cell>
          <cell r="X2333" t="str">
            <v>WANG HUA</v>
          </cell>
          <cell r="Y2333" t="str">
            <v>WANG HUA 14-JUNE</v>
          </cell>
          <cell r="Z2333" t="str">
            <v>WANG HUA' MAIL 13/6/17</v>
          </cell>
          <cell r="AA2333"/>
          <cell r="AB2333">
            <v>42900</v>
          </cell>
          <cell r="AC2333">
            <v>3321</v>
          </cell>
        </row>
        <row r="2334">
          <cell r="B2334">
            <v>3320</v>
          </cell>
          <cell r="C2334" t="str">
            <v>UD-JT-151265</v>
          </cell>
          <cell r="D2334" t="str">
            <v>POLY RUMPLED SATIN CHIFFON</v>
          </cell>
          <cell r="E2334" t="str">
            <v>(20D+26D)*(20D+26D)</v>
          </cell>
          <cell r="F2334" t="str">
            <v>T 100%</v>
          </cell>
          <cell r="G2334" t="str">
            <v>100% POLYESTER</v>
          </cell>
          <cell r="H2334" t="str">
            <v>57/58</v>
          </cell>
          <cell r="I2334">
            <v>112</v>
          </cell>
          <cell r="J2334">
            <v>1.53</v>
          </cell>
          <cell r="K2334">
            <v>1.73</v>
          </cell>
          <cell r="L2334">
            <v>1.58</v>
          </cell>
          <cell r="M2334">
            <v>1.83</v>
          </cell>
          <cell r="N2334">
            <v>1.63</v>
          </cell>
          <cell r="O2334">
            <v>1.9</v>
          </cell>
          <cell r="P2334"/>
          <cell r="Q2334"/>
          <cell r="R2334">
            <v>1.73</v>
          </cell>
          <cell r="S2334">
            <v>2.13</v>
          </cell>
          <cell r="T2334"/>
          <cell r="U2334"/>
          <cell r="V2334"/>
          <cell r="W2334" t="str">
            <v>printeD prices for within 5screens printing Design.</v>
          </cell>
          <cell r="X2334" t="str">
            <v>WANG HUA</v>
          </cell>
          <cell r="Y2334" t="str">
            <v>WANG HUA 14-JUNE</v>
          </cell>
          <cell r="Z2334" t="str">
            <v>WANG HUA' MAIL 13/6/17</v>
          </cell>
          <cell r="AA2334"/>
          <cell r="AB2334">
            <v>42900</v>
          </cell>
          <cell r="AC2334">
            <v>3320</v>
          </cell>
        </row>
        <row r="2335">
          <cell r="B2335">
            <v>3319</v>
          </cell>
          <cell r="C2335" t="str">
            <v>UD-JT-151264</v>
          </cell>
          <cell r="D2335" t="str">
            <v>POLY RUMPLED SATIN CHIFFON</v>
          </cell>
          <cell r="E2335" t="str">
            <v>50D*75D</v>
          </cell>
          <cell r="F2335" t="str">
            <v>T 100%</v>
          </cell>
          <cell r="G2335" t="str">
            <v>100% POLYESTER</v>
          </cell>
          <cell r="H2335" t="str">
            <v>57/58</v>
          </cell>
          <cell r="I2335">
            <v>120</v>
          </cell>
          <cell r="J2335">
            <v>1.76</v>
          </cell>
          <cell r="K2335">
            <v>1.96</v>
          </cell>
          <cell r="L2335">
            <v>1.81</v>
          </cell>
          <cell r="M2335">
            <v>2.06</v>
          </cell>
          <cell r="N2335">
            <v>1.85</v>
          </cell>
          <cell r="O2335">
            <v>2.12</v>
          </cell>
          <cell r="P2335"/>
          <cell r="Q2335"/>
          <cell r="R2335">
            <v>1.96</v>
          </cell>
          <cell r="S2335">
            <v>2.36</v>
          </cell>
          <cell r="T2335"/>
          <cell r="U2335"/>
          <cell r="V2335"/>
          <cell r="W2335" t="str">
            <v>printeD prices for within 5screens printing Design.</v>
          </cell>
          <cell r="X2335" t="str">
            <v>WANG HUA</v>
          </cell>
          <cell r="Y2335" t="str">
            <v>WANG HUA 14-JUNE</v>
          </cell>
          <cell r="Z2335" t="str">
            <v>WANG HUA' MAIL 13/6/17</v>
          </cell>
          <cell r="AA2335"/>
          <cell r="AB2335">
            <v>42900</v>
          </cell>
          <cell r="AC2335">
            <v>3319</v>
          </cell>
        </row>
        <row r="2336">
          <cell r="B2336">
            <v>3318</v>
          </cell>
          <cell r="C2336" t="str">
            <v>UD-JT-151263</v>
          </cell>
          <cell r="D2336" t="str">
            <v>POLY RUMPLED SATIN CHIFFON</v>
          </cell>
          <cell r="E2336" t="str">
            <v>(15D+15D)*50D</v>
          </cell>
          <cell r="F2336" t="str">
            <v>T 100%</v>
          </cell>
          <cell r="G2336" t="str">
            <v>100% POLYESTER</v>
          </cell>
          <cell r="H2336" t="str">
            <v>57/58</v>
          </cell>
          <cell r="I2336">
            <v>90</v>
          </cell>
          <cell r="J2336">
            <v>1.7</v>
          </cell>
          <cell r="K2336">
            <v>1.9</v>
          </cell>
          <cell r="L2336">
            <v>1.75</v>
          </cell>
          <cell r="M2336">
            <v>2</v>
          </cell>
          <cell r="N2336">
            <v>1.8</v>
          </cell>
          <cell r="O2336">
            <v>2.0699999999999998</v>
          </cell>
          <cell r="P2336"/>
          <cell r="Q2336"/>
          <cell r="R2336">
            <v>1.9</v>
          </cell>
          <cell r="S2336">
            <v>2.2999999999999998</v>
          </cell>
          <cell r="T2336"/>
          <cell r="U2336"/>
          <cell r="V2336"/>
          <cell r="W2336" t="str">
            <v>printeD prices for within 5screens printing Design.</v>
          </cell>
          <cell r="X2336" t="str">
            <v>WANG HUA</v>
          </cell>
          <cell r="Y2336" t="str">
            <v>WANG HUA 14-JUNE</v>
          </cell>
          <cell r="Z2336" t="str">
            <v>WANG HUA' MAIL 13/6/17</v>
          </cell>
          <cell r="AA2336"/>
          <cell r="AB2336">
            <v>42900</v>
          </cell>
          <cell r="AC2336">
            <v>3318</v>
          </cell>
        </row>
        <row r="2337">
          <cell r="B2337">
            <v>3317</v>
          </cell>
          <cell r="C2337" t="str">
            <v>UD-JT-151262</v>
          </cell>
          <cell r="D2337" t="str">
            <v>POLY PEARL CHIFFON</v>
          </cell>
          <cell r="E2337" t="str">
            <v>75D*75D</v>
          </cell>
          <cell r="F2337" t="str">
            <v>T 100%</v>
          </cell>
          <cell r="G2337" t="str">
            <v>100% POLYESTER</v>
          </cell>
          <cell r="H2337" t="str">
            <v>57/58</v>
          </cell>
          <cell r="I2337">
            <v>82</v>
          </cell>
          <cell r="J2337">
            <v>1.36</v>
          </cell>
          <cell r="K2337">
            <v>1.56</v>
          </cell>
          <cell r="L2337">
            <v>1.41</v>
          </cell>
          <cell r="M2337">
            <v>1.66</v>
          </cell>
          <cell r="N2337">
            <v>1.46</v>
          </cell>
          <cell r="O2337">
            <v>1.73</v>
          </cell>
          <cell r="P2337"/>
          <cell r="Q2337"/>
          <cell r="R2337">
            <v>1.56</v>
          </cell>
          <cell r="S2337">
            <v>1.96</v>
          </cell>
          <cell r="T2337"/>
          <cell r="U2337"/>
          <cell r="V2337"/>
          <cell r="W2337" t="str">
            <v>printeD prices for within 5screens printing Design.</v>
          </cell>
          <cell r="X2337" t="str">
            <v>WANG HUA</v>
          </cell>
          <cell r="Y2337" t="str">
            <v>WANG HUA 14-JUNE</v>
          </cell>
          <cell r="Z2337" t="str">
            <v>WANG HUA' MAIL 13/6/17</v>
          </cell>
          <cell r="AA2337"/>
          <cell r="AB2337">
            <v>42900</v>
          </cell>
          <cell r="AC2337">
            <v>3317</v>
          </cell>
        </row>
        <row r="2338">
          <cell r="B2338">
            <v>3316</v>
          </cell>
          <cell r="C2338" t="str">
            <v>UD-JT-151261</v>
          </cell>
          <cell r="D2338" t="str">
            <v xml:space="preserve">POLY SHEARED CHIFFON </v>
          </cell>
          <cell r="E2338" t="str">
            <v>75D*75D</v>
          </cell>
          <cell r="F2338" t="str">
            <v>T 100%</v>
          </cell>
          <cell r="G2338" t="str">
            <v>100% POLYESTER</v>
          </cell>
          <cell r="H2338" t="str">
            <v>57/58</v>
          </cell>
          <cell r="I2338">
            <v>70</v>
          </cell>
          <cell r="J2338">
            <v>1.43</v>
          </cell>
          <cell r="K2338">
            <v>1.63</v>
          </cell>
          <cell r="L2338">
            <v>1.48</v>
          </cell>
          <cell r="M2338">
            <v>1.83</v>
          </cell>
          <cell r="N2338">
            <v>1.53</v>
          </cell>
          <cell r="O2338">
            <v>1.9</v>
          </cell>
          <cell r="P2338"/>
          <cell r="Q2338"/>
          <cell r="R2338">
            <v>1.63</v>
          </cell>
          <cell r="S2338">
            <v>2.0299999999999998</v>
          </cell>
          <cell r="T2338"/>
          <cell r="U2338"/>
          <cell r="V2338"/>
          <cell r="W2338" t="str">
            <v>printeD prices for within 5screens printing Design.</v>
          </cell>
          <cell r="X2338" t="str">
            <v>WANG HUA</v>
          </cell>
          <cell r="Y2338" t="str">
            <v>WANG HUA 14-JUNE</v>
          </cell>
          <cell r="Z2338" t="str">
            <v>WANG HUA' MAIL 13/6/17</v>
          </cell>
          <cell r="AA2338"/>
          <cell r="AB2338">
            <v>42900</v>
          </cell>
          <cell r="AC2338">
            <v>3316</v>
          </cell>
        </row>
        <row r="2339">
          <cell r="B2339">
            <v>3315</v>
          </cell>
          <cell r="C2339" t="str">
            <v>UD-JT-251508</v>
          </cell>
          <cell r="D2339" t="str">
            <v>PRINTED POLY YORYU</v>
          </cell>
          <cell r="E2339" t="str">
            <v>75D*75D</v>
          </cell>
          <cell r="F2339" t="str">
            <v>T 100%</v>
          </cell>
          <cell r="G2339" t="str">
            <v>100%POLYESTER</v>
          </cell>
          <cell r="H2339" t="str">
            <v>57/58</v>
          </cell>
          <cell r="I2339">
            <v>80</v>
          </cell>
          <cell r="J2339">
            <v>1.3</v>
          </cell>
          <cell r="K2339">
            <v>1.5</v>
          </cell>
          <cell r="L2339">
            <v>1.35</v>
          </cell>
          <cell r="M2339">
            <v>1.6</v>
          </cell>
          <cell r="N2339">
            <v>1.4</v>
          </cell>
          <cell r="O2339">
            <v>1.67</v>
          </cell>
          <cell r="P2339"/>
          <cell r="Q2339"/>
          <cell r="R2339">
            <v>1.5</v>
          </cell>
          <cell r="S2339">
            <v>1.9</v>
          </cell>
          <cell r="T2339"/>
          <cell r="U2339"/>
          <cell r="V2339"/>
          <cell r="W2339" t="str">
            <v>printeD prices for within 5screens printing Design.</v>
          </cell>
          <cell r="X2339" t="str">
            <v>WANG HUA</v>
          </cell>
          <cell r="Y2339" t="str">
            <v>WANG HUA 14-JUNE</v>
          </cell>
          <cell r="Z2339" t="str">
            <v>WANG HUA' MAIL 13/6/17</v>
          </cell>
          <cell r="AA2339"/>
          <cell r="AB2339">
            <v>42900</v>
          </cell>
          <cell r="AC2339">
            <v>3315</v>
          </cell>
        </row>
        <row r="2340">
          <cell r="B2340">
            <v>3314</v>
          </cell>
          <cell r="C2340" t="str">
            <v>UD-JT-251507</v>
          </cell>
          <cell r="D2340" t="str">
            <v>PRINTED POLY MOSS CREPE</v>
          </cell>
          <cell r="E2340" t="str">
            <v>75D*75D</v>
          </cell>
          <cell r="F2340" t="str">
            <v>T 100%</v>
          </cell>
          <cell r="G2340" t="str">
            <v>100%POLYESTER</v>
          </cell>
          <cell r="H2340" t="str">
            <v>57/58</v>
          </cell>
          <cell r="I2340">
            <v>118</v>
          </cell>
          <cell r="J2340">
            <v>1.33</v>
          </cell>
          <cell r="K2340">
            <v>1.53</v>
          </cell>
          <cell r="L2340">
            <v>1.38</v>
          </cell>
          <cell r="M2340">
            <v>1.63</v>
          </cell>
          <cell r="N2340">
            <v>1.43</v>
          </cell>
          <cell r="O2340">
            <v>1.7</v>
          </cell>
          <cell r="P2340"/>
          <cell r="Q2340"/>
          <cell r="R2340">
            <v>1.53</v>
          </cell>
          <cell r="S2340">
            <v>1.93</v>
          </cell>
          <cell r="T2340"/>
          <cell r="U2340"/>
          <cell r="V2340"/>
          <cell r="W2340" t="str">
            <v>printeD prices for within 5screens printing Design.</v>
          </cell>
          <cell r="X2340" t="str">
            <v>WANG HUA</v>
          </cell>
          <cell r="Y2340" t="str">
            <v>WANG HUA 14-JUNE</v>
          </cell>
          <cell r="Z2340" t="str">
            <v>WANG HUA' MAIL 13/6/17</v>
          </cell>
          <cell r="AA2340"/>
          <cell r="AB2340">
            <v>42900</v>
          </cell>
          <cell r="AC2340">
            <v>3314</v>
          </cell>
        </row>
        <row r="2341">
          <cell r="B2341">
            <v>3313</v>
          </cell>
          <cell r="C2341" t="str">
            <v>UD-JT-251506</v>
          </cell>
          <cell r="D2341" t="str">
            <v>PRINTED POLY MOSS CREPE</v>
          </cell>
          <cell r="E2341" t="str">
            <v>75D*75D</v>
          </cell>
          <cell r="F2341" t="str">
            <v>T 100%</v>
          </cell>
          <cell r="G2341" t="str">
            <v>100%POLYESTER</v>
          </cell>
          <cell r="H2341" t="str">
            <v>57/58</v>
          </cell>
          <cell r="I2341">
            <v>125</v>
          </cell>
          <cell r="J2341">
            <v>1.39</v>
          </cell>
          <cell r="K2341">
            <v>1.59</v>
          </cell>
          <cell r="L2341">
            <v>1.44</v>
          </cell>
          <cell r="M2341">
            <v>1.69</v>
          </cell>
          <cell r="N2341">
            <v>1.49</v>
          </cell>
          <cell r="O2341">
            <v>1.76</v>
          </cell>
          <cell r="P2341"/>
          <cell r="Q2341"/>
          <cell r="R2341">
            <v>1.59</v>
          </cell>
          <cell r="S2341">
            <v>1.99</v>
          </cell>
          <cell r="T2341"/>
          <cell r="U2341"/>
          <cell r="V2341"/>
          <cell r="W2341" t="str">
            <v>printeD prices for within 5screens printing Design.</v>
          </cell>
          <cell r="X2341" t="str">
            <v>WANG HUA</v>
          </cell>
          <cell r="Y2341" t="str">
            <v>WANG HUA 14-JUNE</v>
          </cell>
          <cell r="Z2341" t="str">
            <v>WANG HUA' MAIL 13/6/17</v>
          </cell>
          <cell r="AA2341"/>
          <cell r="AB2341">
            <v>42900</v>
          </cell>
          <cell r="AC2341">
            <v>3313</v>
          </cell>
        </row>
        <row r="2342">
          <cell r="B2342">
            <v>3312</v>
          </cell>
          <cell r="C2342" t="str">
            <v>UD-JTE-251505</v>
          </cell>
          <cell r="D2342" t="str">
            <v>PRINTED 4-WAY STR.MOSS CREPE</v>
          </cell>
          <cell r="E2342" t="str">
            <v>100D+40D*100D+40D</v>
          </cell>
          <cell r="F2342" t="str">
            <v>T/S 97/3</v>
          </cell>
          <cell r="G2342" t="str">
            <v>97%POLYESTER 3%SPAN</v>
          </cell>
          <cell r="H2342" t="str">
            <v>57/58</v>
          </cell>
          <cell r="I2342">
            <v>130</v>
          </cell>
          <cell r="J2342">
            <v>1.72</v>
          </cell>
          <cell r="K2342">
            <v>1.92</v>
          </cell>
          <cell r="L2342">
            <v>1.77</v>
          </cell>
          <cell r="M2342">
            <v>2.02</v>
          </cell>
          <cell r="N2342">
            <v>1.82</v>
          </cell>
          <cell r="O2342">
            <v>2.1</v>
          </cell>
          <cell r="P2342"/>
          <cell r="Q2342"/>
          <cell r="R2342">
            <v>1.92</v>
          </cell>
          <cell r="S2342">
            <v>2.3199999999999998</v>
          </cell>
          <cell r="T2342"/>
          <cell r="U2342"/>
          <cell r="V2342"/>
          <cell r="W2342" t="str">
            <v>printeD prices for within 5screens printing Design.</v>
          </cell>
          <cell r="X2342" t="str">
            <v>WANG HUA</v>
          </cell>
          <cell r="Y2342" t="str">
            <v>WANG HUA 14-JUNE</v>
          </cell>
          <cell r="Z2342" t="str">
            <v>WANG HUA' MAIL 13/6/17</v>
          </cell>
          <cell r="AA2342"/>
          <cell r="AB2342">
            <v>42900</v>
          </cell>
          <cell r="AC2342">
            <v>3312</v>
          </cell>
        </row>
        <row r="2343">
          <cell r="B2343">
            <v>3311</v>
          </cell>
          <cell r="C2343" t="str">
            <v>UD-JT-251504</v>
          </cell>
          <cell r="D2343" t="str">
            <v>PRINTED POLY 3/1 TWILL</v>
          </cell>
          <cell r="E2343" t="str">
            <v>75D*75D</v>
          </cell>
          <cell r="F2343" t="str">
            <v>T 100%</v>
          </cell>
          <cell r="G2343" t="str">
            <v>100%POLYESTER</v>
          </cell>
          <cell r="H2343" t="str">
            <v>57/58</v>
          </cell>
          <cell r="I2343">
            <v>135</v>
          </cell>
          <cell r="J2343">
            <v>2</v>
          </cell>
          <cell r="K2343">
            <v>2.1</v>
          </cell>
          <cell r="L2343">
            <v>2.0499999999999998</v>
          </cell>
          <cell r="M2343">
            <v>2.2999999999999998</v>
          </cell>
          <cell r="N2343">
            <v>2.1</v>
          </cell>
          <cell r="O2343">
            <v>2.37</v>
          </cell>
          <cell r="P2343"/>
          <cell r="Q2343"/>
          <cell r="R2343">
            <v>2.1</v>
          </cell>
          <cell r="S2343">
            <v>2.5</v>
          </cell>
          <cell r="T2343"/>
          <cell r="U2343"/>
          <cell r="V2343"/>
          <cell r="W2343" t="str">
            <v>printeD prices for within 5screens printing Design.</v>
          </cell>
          <cell r="X2343" t="str">
            <v>WANG HUA</v>
          </cell>
          <cell r="Y2343" t="str">
            <v>WANG HUA 14-JUNE</v>
          </cell>
          <cell r="Z2343" t="str">
            <v>WANG HUA' MAIL 13/6/17</v>
          </cell>
          <cell r="AA2343"/>
          <cell r="AB2343">
            <v>42900</v>
          </cell>
          <cell r="AC2343">
            <v>3311</v>
          </cell>
        </row>
        <row r="2344">
          <cell r="B2344">
            <v>3310</v>
          </cell>
          <cell r="C2344" t="str">
            <v>UD-JTE-251503</v>
          </cell>
          <cell r="D2344" t="str">
            <v>PRINTED POLY/SPAN SEERSUCKER</v>
          </cell>
          <cell r="E2344" t="str">
            <v>[75D*75D+40D]*[75D*75D+40D]</v>
          </cell>
          <cell r="F2344" t="str">
            <v>T/S 97/3</v>
          </cell>
          <cell r="G2344" t="str">
            <v>97%POLYESTER 3%SPAN</v>
          </cell>
          <cell r="H2344" t="str">
            <v>57/58</v>
          </cell>
          <cell r="I2344">
            <v>108</v>
          </cell>
          <cell r="J2344">
            <v>1.5</v>
          </cell>
          <cell r="K2344">
            <v>1.7</v>
          </cell>
          <cell r="L2344">
            <v>1.55</v>
          </cell>
          <cell r="M2344">
            <v>1.8</v>
          </cell>
          <cell r="N2344">
            <v>1.6</v>
          </cell>
          <cell r="O2344">
            <v>1.87</v>
          </cell>
          <cell r="P2344"/>
          <cell r="Q2344"/>
          <cell r="R2344">
            <v>1.7</v>
          </cell>
          <cell r="S2344">
            <v>2.1</v>
          </cell>
          <cell r="T2344"/>
          <cell r="U2344"/>
          <cell r="V2344"/>
          <cell r="W2344" t="str">
            <v>printeD prices for within 5screens printing Design.</v>
          </cell>
          <cell r="X2344" t="str">
            <v>WANG HUA</v>
          </cell>
          <cell r="Y2344" t="str">
            <v>WANG HUA 14-JUNE</v>
          </cell>
          <cell r="Z2344" t="str">
            <v>WANG HUA' MAIL 13/6/17</v>
          </cell>
          <cell r="AA2344"/>
          <cell r="AB2344">
            <v>42900</v>
          </cell>
          <cell r="AC2344">
            <v>3310</v>
          </cell>
        </row>
        <row r="2345">
          <cell r="B2345">
            <v>3309</v>
          </cell>
          <cell r="C2345" t="str">
            <v>UD-JT-251502</v>
          </cell>
          <cell r="D2345" t="str">
            <v>PRINTED DOBBY STRIPE POLY CHIFFON</v>
          </cell>
          <cell r="E2345" t="str">
            <v>75D*75D</v>
          </cell>
          <cell r="F2345" t="str">
            <v>T 100%</v>
          </cell>
          <cell r="G2345" t="str">
            <v>100% POLYESTER</v>
          </cell>
          <cell r="H2345" t="str">
            <v>57/58</v>
          </cell>
          <cell r="I2345">
            <v>70</v>
          </cell>
          <cell r="J2345">
            <v>1.5</v>
          </cell>
          <cell r="K2345">
            <v>1.7</v>
          </cell>
          <cell r="L2345">
            <v>1.55</v>
          </cell>
          <cell r="M2345">
            <v>1.8</v>
          </cell>
          <cell r="N2345">
            <v>1.6</v>
          </cell>
          <cell r="O2345">
            <v>1.87</v>
          </cell>
          <cell r="P2345"/>
          <cell r="Q2345"/>
          <cell r="R2345">
            <v>1.7</v>
          </cell>
          <cell r="S2345">
            <v>2.1</v>
          </cell>
          <cell r="T2345"/>
          <cell r="U2345"/>
          <cell r="V2345"/>
          <cell r="W2345" t="str">
            <v>printeD prices for within 5screens printing Design.</v>
          </cell>
          <cell r="X2345" t="str">
            <v>WANG HUA</v>
          </cell>
          <cell r="Y2345" t="str">
            <v>WANG HUA 14-JUNE</v>
          </cell>
          <cell r="Z2345" t="str">
            <v>WANG HUA' MAIL 13/6/17</v>
          </cell>
          <cell r="AA2345"/>
          <cell r="AB2345">
            <v>42900</v>
          </cell>
          <cell r="AC2345">
            <v>3309</v>
          </cell>
        </row>
        <row r="2346">
          <cell r="B2346">
            <v>3308</v>
          </cell>
          <cell r="C2346" t="str">
            <v>UD-JT-251501</v>
          </cell>
          <cell r="D2346" t="str">
            <v>PRINTED POLY CHIFFON</v>
          </cell>
          <cell r="E2346" t="str">
            <v>(20D+26D)*(20D+26D)</v>
          </cell>
          <cell r="F2346" t="str">
            <v>T 100%</v>
          </cell>
          <cell r="G2346" t="str">
            <v>100% POLYESTER</v>
          </cell>
          <cell r="H2346" t="str">
            <v>57/58</v>
          </cell>
          <cell r="I2346">
            <v>70</v>
          </cell>
          <cell r="J2346">
            <v>1.36</v>
          </cell>
          <cell r="K2346">
            <v>1.56</v>
          </cell>
          <cell r="L2346">
            <v>1.41</v>
          </cell>
          <cell r="M2346">
            <v>1.66</v>
          </cell>
          <cell r="N2346">
            <v>1.46</v>
          </cell>
          <cell r="O2346">
            <v>1.73</v>
          </cell>
          <cell r="P2346"/>
          <cell r="Q2346"/>
          <cell r="R2346">
            <v>1.56</v>
          </cell>
          <cell r="S2346">
            <v>1.96</v>
          </cell>
          <cell r="T2346"/>
          <cell r="U2346"/>
          <cell r="V2346"/>
          <cell r="W2346" t="str">
            <v>printeD prices for within 5screens printing Design.</v>
          </cell>
          <cell r="X2346" t="str">
            <v>WANG HUA</v>
          </cell>
          <cell r="Y2346" t="str">
            <v>WANG HUA 14-JUNE</v>
          </cell>
          <cell r="Z2346" t="str">
            <v>WANG HUA' MAIL 13/6/17</v>
          </cell>
          <cell r="AA2346"/>
          <cell r="AB2346">
            <v>42900</v>
          </cell>
          <cell r="AC2346">
            <v>3308</v>
          </cell>
        </row>
        <row r="2347">
          <cell r="B2347">
            <v>3307</v>
          </cell>
          <cell r="C2347" t="str">
            <v>UD-JT-251500</v>
          </cell>
          <cell r="D2347" t="str">
            <v>PRINTED POLY CHIFFON</v>
          </cell>
          <cell r="E2347" t="str">
            <v>75D*75D</v>
          </cell>
          <cell r="F2347" t="str">
            <v>T 100%</v>
          </cell>
          <cell r="G2347" t="str">
            <v>100% POLYESTER</v>
          </cell>
          <cell r="H2347" t="str">
            <v>57/58</v>
          </cell>
          <cell r="I2347">
            <v>80</v>
          </cell>
          <cell r="J2347">
            <v>1.28</v>
          </cell>
          <cell r="K2347">
            <v>1.48</v>
          </cell>
          <cell r="L2347">
            <v>1.33</v>
          </cell>
          <cell r="M2347">
            <v>1.58</v>
          </cell>
          <cell r="N2347">
            <v>1.38</v>
          </cell>
          <cell r="O2347">
            <v>1.65</v>
          </cell>
          <cell r="P2347"/>
          <cell r="Q2347"/>
          <cell r="R2347">
            <v>1.48</v>
          </cell>
          <cell r="S2347">
            <v>1.88</v>
          </cell>
          <cell r="T2347"/>
          <cell r="U2347"/>
          <cell r="V2347"/>
          <cell r="W2347" t="str">
            <v>printeD prices for within 5screens printing Design.</v>
          </cell>
          <cell r="X2347" t="str">
            <v>WANG HUA</v>
          </cell>
          <cell r="Y2347" t="str">
            <v>WANG HUA 14-JUNE</v>
          </cell>
          <cell r="Z2347" t="str">
            <v>WANG HUA' MAIL 13/6/17</v>
          </cell>
          <cell r="AA2347"/>
          <cell r="AB2347">
            <v>42900</v>
          </cell>
          <cell r="AC2347">
            <v>3307</v>
          </cell>
        </row>
        <row r="2348">
          <cell r="B2348">
            <v>3302</v>
          </cell>
          <cell r="C2348" t="str">
            <v>K-2941</v>
          </cell>
          <cell r="D2348" t="str">
            <v>KNIT DOBBY</v>
          </cell>
          <cell r="E2348"/>
          <cell r="F2348" t="str">
            <v>T/S 97/3</v>
          </cell>
          <cell r="G2348" t="str">
            <v>97% POLYESTER 3% SPANDEX</v>
          </cell>
          <cell r="H2348" t="str">
            <v>60/62</v>
          </cell>
          <cell r="I2348">
            <v>300</v>
          </cell>
          <cell r="J2348">
            <v>2.2000000000000002</v>
          </cell>
          <cell r="K2348"/>
          <cell r="L2348"/>
          <cell r="M2348"/>
          <cell r="N2348">
            <v>2.2400000000000002</v>
          </cell>
          <cell r="O2348"/>
          <cell r="P2348"/>
          <cell r="Q2348"/>
          <cell r="R2348">
            <v>2.59</v>
          </cell>
          <cell r="S2348"/>
          <cell r="T2348"/>
          <cell r="U2348"/>
          <cell r="V2348"/>
          <cell r="W2348"/>
          <cell r="X2348" t="str">
            <v>LIVALTEX</v>
          </cell>
          <cell r="Y2348" t="str">
            <v>LIVALTEX 09-JUNE</v>
          </cell>
          <cell r="Z2348" t="str">
            <v>ROSE' MAIL 09/6/17</v>
          </cell>
          <cell r="AA2348"/>
          <cell r="AB2348">
            <v>42899</v>
          </cell>
          <cell r="AC2348">
            <v>3302</v>
          </cell>
        </row>
        <row r="2349">
          <cell r="B2349">
            <v>3287</v>
          </cell>
          <cell r="C2349" t="str">
            <v>TS-346</v>
          </cell>
          <cell r="D2349" t="str">
            <v>POLY CLIPPED / POLY JACQUARD</v>
          </cell>
          <cell r="E2349" t="str">
            <v>75D+150Dx75D</v>
          </cell>
          <cell r="F2349" t="str">
            <v>T 100%</v>
          </cell>
          <cell r="G2349" t="str">
            <v>100% POLYESTER</v>
          </cell>
          <cell r="H2349" t="str">
            <v>57/58</v>
          </cell>
          <cell r="I2349">
            <v>89</v>
          </cell>
          <cell r="J2349">
            <v>1.32</v>
          </cell>
          <cell r="K2349"/>
          <cell r="L2349">
            <v>1.38</v>
          </cell>
          <cell r="M2349"/>
          <cell r="N2349">
            <v>1.45</v>
          </cell>
          <cell r="O2349"/>
          <cell r="P2349"/>
          <cell r="Q2349"/>
          <cell r="R2349">
            <v>1.8499999999999999</v>
          </cell>
          <cell r="S2349"/>
          <cell r="T2349"/>
          <cell r="U2349"/>
          <cell r="V2349">
            <v>15</v>
          </cell>
          <cell r="W2349" t="str">
            <v>INCLUDED COST TEST</v>
          </cell>
          <cell r="X2349" t="str">
            <v>GAVIN</v>
          </cell>
          <cell r="Y2349" t="str">
            <v>GAVIN 6-JUNE</v>
          </cell>
          <cell r="Z2349" t="str">
            <v>GAVIN' MAIL 13/6/17</v>
          </cell>
          <cell r="AA2349"/>
          <cell r="AB2349">
            <v>42899</v>
          </cell>
          <cell r="AC2349">
            <v>3287</v>
          </cell>
        </row>
        <row r="2350">
          <cell r="B2350">
            <v>2043</v>
          </cell>
          <cell r="C2350" t="str">
            <v>247XS'</v>
          </cell>
          <cell r="D2350" t="str">
            <v>POLY CLIPPED / JACQUARD POLY</v>
          </cell>
          <cell r="E2350"/>
          <cell r="F2350" t="str">
            <v>T 100%</v>
          </cell>
          <cell r="G2350" t="str">
            <v>100% POLYESTER</v>
          </cell>
          <cell r="H2350" t="str">
            <v>57/58</v>
          </cell>
          <cell r="I2350">
            <v>86</v>
          </cell>
          <cell r="J2350">
            <v>1.92</v>
          </cell>
          <cell r="K2350">
            <v>2.2999999999999998</v>
          </cell>
          <cell r="L2350">
            <v>2.0099999999999998</v>
          </cell>
          <cell r="M2350">
            <v>2.38</v>
          </cell>
          <cell r="N2350">
            <v>2.21</v>
          </cell>
          <cell r="O2350">
            <v>2.59</v>
          </cell>
          <cell r="P2350"/>
          <cell r="Q2350"/>
          <cell r="R2350">
            <v>2.61</v>
          </cell>
          <cell r="S2350">
            <v>3.29</v>
          </cell>
          <cell r="T2350"/>
          <cell r="U2350"/>
          <cell r="V2350"/>
          <cell r="W2350" t="str">
            <v>incluDing the test cost</v>
          </cell>
          <cell r="X2350" t="str">
            <v>OWEN</v>
          </cell>
          <cell r="Y2350" t="str">
            <v>OWEN - upDate the price on 12th June</v>
          </cell>
          <cell r="Z2350" t="str">
            <v>SANDY' MAIL 12/6/17</v>
          </cell>
          <cell r="AA2350"/>
          <cell r="AB2350">
            <v>42898</v>
          </cell>
          <cell r="AC2350">
            <v>2043</v>
          </cell>
        </row>
        <row r="2351">
          <cell r="B2351">
            <v>3291</v>
          </cell>
          <cell r="C2351" t="str">
            <v>LX095</v>
          </cell>
          <cell r="D2351" t="str">
            <v>HEAVY CREPE</v>
          </cell>
          <cell r="E2351"/>
          <cell r="F2351" t="str">
            <v>T/S 97/3</v>
          </cell>
          <cell r="G2351" t="str">
            <v>97%POLYESTER 3%SpanDex</v>
          </cell>
          <cell r="H2351" t="str">
            <v>57/58</v>
          </cell>
          <cell r="I2351">
            <v>220</v>
          </cell>
          <cell r="J2351">
            <v>1.8</v>
          </cell>
          <cell r="K2351">
            <v>2</v>
          </cell>
          <cell r="L2351">
            <v>1.83</v>
          </cell>
          <cell r="M2351">
            <v>2.2599999999999998</v>
          </cell>
          <cell r="N2351">
            <v>1.86</v>
          </cell>
          <cell r="O2351">
            <v>2.35</v>
          </cell>
          <cell r="P2351"/>
          <cell r="Q2351"/>
          <cell r="R2351">
            <v>2.1</v>
          </cell>
          <cell r="S2351">
            <v>2.42</v>
          </cell>
          <cell r="T2351"/>
          <cell r="U2351"/>
          <cell r="V2351">
            <v>15</v>
          </cell>
          <cell r="W2351"/>
          <cell r="X2351" t="str">
            <v>TINA</v>
          </cell>
          <cell r="Y2351" t="str">
            <v>TINA 9-JUNE</v>
          </cell>
          <cell r="Z2351" t="str">
            <v>TINA' MAIL 10/6/17</v>
          </cell>
          <cell r="AA2351"/>
          <cell r="AB2351">
            <v>42896</v>
          </cell>
          <cell r="AC2351">
            <v>3291</v>
          </cell>
        </row>
        <row r="2352">
          <cell r="B2352">
            <v>3290</v>
          </cell>
          <cell r="C2352" t="str">
            <v>LX17-606</v>
          </cell>
          <cell r="D2352" t="str">
            <v>CLIPPED DOT</v>
          </cell>
          <cell r="E2352"/>
          <cell r="F2352" t="str">
            <v>T 100%</v>
          </cell>
          <cell r="G2352" t="str">
            <v>100%POLYESTER</v>
          </cell>
          <cell r="H2352" t="str">
            <v>57/58</v>
          </cell>
          <cell r="I2352">
            <v>86</v>
          </cell>
          <cell r="J2352">
            <v>1.37</v>
          </cell>
          <cell r="K2352">
            <v>1.55</v>
          </cell>
          <cell r="L2352">
            <v>1.4</v>
          </cell>
          <cell r="M2352">
            <v>1.59</v>
          </cell>
          <cell r="N2352">
            <v>1.44</v>
          </cell>
          <cell r="O2352">
            <v>1.64</v>
          </cell>
          <cell r="P2352"/>
          <cell r="Q2352"/>
          <cell r="R2352">
            <v>1.49</v>
          </cell>
          <cell r="S2352">
            <v>1.78</v>
          </cell>
          <cell r="T2352"/>
          <cell r="U2352"/>
          <cell r="V2352">
            <v>15</v>
          </cell>
          <cell r="W2352"/>
          <cell r="X2352" t="str">
            <v>TINA</v>
          </cell>
          <cell r="Y2352" t="str">
            <v>TINA 9-JUNE</v>
          </cell>
          <cell r="Z2352" t="str">
            <v>TINA' MAIL 10/6/17</v>
          </cell>
          <cell r="AA2352"/>
          <cell r="AB2352">
            <v>42896</v>
          </cell>
          <cell r="AC2352">
            <v>3290</v>
          </cell>
        </row>
        <row r="2353">
          <cell r="B2353">
            <v>3289</v>
          </cell>
          <cell r="C2353" t="str">
            <v>LX119</v>
          </cell>
          <cell r="D2353"/>
          <cell r="E2353"/>
          <cell r="F2353" t="str">
            <v>T 100%</v>
          </cell>
          <cell r="G2353" t="str">
            <v>100%POLYESTER</v>
          </cell>
          <cell r="H2353" t="str">
            <v>57/58</v>
          </cell>
          <cell r="I2353">
            <v>85</v>
          </cell>
          <cell r="J2353">
            <v>1.1599999999999999</v>
          </cell>
          <cell r="K2353">
            <v>1.28</v>
          </cell>
          <cell r="L2353">
            <v>1.18</v>
          </cell>
          <cell r="M2353">
            <v>1.32</v>
          </cell>
          <cell r="N2353">
            <v>1.2</v>
          </cell>
          <cell r="O2353">
            <v>1.34</v>
          </cell>
          <cell r="P2353"/>
          <cell r="Q2353"/>
          <cell r="R2353">
            <v>1.34</v>
          </cell>
          <cell r="S2353">
            <v>1.48</v>
          </cell>
          <cell r="T2353"/>
          <cell r="U2353"/>
          <cell r="V2353">
            <v>15</v>
          </cell>
          <cell r="W2353"/>
          <cell r="X2353" t="str">
            <v>TINA</v>
          </cell>
          <cell r="Y2353" t="str">
            <v>TINA 9-JUNE</v>
          </cell>
          <cell r="Z2353" t="str">
            <v>TINA' MAIL 10/6/17</v>
          </cell>
          <cell r="AA2353"/>
          <cell r="AB2353">
            <v>42896</v>
          </cell>
          <cell r="AC2353">
            <v>3289</v>
          </cell>
        </row>
        <row r="2354">
          <cell r="B2354">
            <v>3306</v>
          </cell>
          <cell r="C2354" t="str">
            <v>T-2118</v>
          </cell>
          <cell r="D2354"/>
          <cell r="E2354"/>
          <cell r="F2354" t="str">
            <v>T 100%</v>
          </cell>
          <cell r="G2354" t="str">
            <v>100% POLYESTER</v>
          </cell>
          <cell r="H2354" t="str">
            <v>52/54</v>
          </cell>
          <cell r="I2354" t="str">
            <v>155GSM</v>
          </cell>
          <cell r="J2354">
            <v>1.8</v>
          </cell>
          <cell r="K2354"/>
          <cell r="L2354"/>
          <cell r="M2354"/>
          <cell r="N2354">
            <v>1.83</v>
          </cell>
          <cell r="O2354"/>
          <cell r="P2354"/>
          <cell r="Q2354"/>
          <cell r="R2354">
            <v>2.23</v>
          </cell>
          <cell r="S2354"/>
          <cell r="T2354"/>
          <cell r="U2354"/>
          <cell r="V2354"/>
          <cell r="W2354"/>
          <cell r="X2354" t="str">
            <v>LIVALTEX</v>
          </cell>
          <cell r="Y2354" t="str">
            <v>LIVALTEX 09-JUNE</v>
          </cell>
          <cell r="Z2354" t="str">
            <v>ROSE' MAIL 9/6/17</v>
          </cell>
          <cell r="AA2354"/>
          <cell r="AB2354">
            <v>42895</v>
          </cell>
          <cell r="AC2354">
            <v>3306</v>
          </cell>
        </row>
        <row r="2355">
          <cell r="B2355">
            <v>3305</v>
          </cell>
          <cell r="C2355" t="str">
            <v>K-2990</v>
          </cell>
          <cell r="D2355"/>
          <cell r="E2355"/>
          <cell r="F2355" t="str">
            <v>T/S 95/5</v>
          </cell>
          <cell r="G2355" t="str">
            <v>95% POLYESTER 5% SPANDEX knit rib foil</v>
          </cell>
          <cell r="H2355" t="str">
            <v>57/58</v>
          </cell>
          <cell r="I2355" t="str">
            <v>165-170GSM</v>
          </cell>
          <cell r="J2355">
            <v>1.75</v>
          </cell>
          <cell r="K2355"/>
          <cell r="L2355">
            <v>1.75</v>
          </cell>
          <cell r="M2355"/>
          <cell r="N2355">
            <v>1.8</v>
          </cell>
          <cell r="O2355"/>
          <cell r="P2355"/>
          <cell r="Q2355"/>
          <cell r="R2355">
            <v>2.2999999999999998</v>
          </cell>
          <cell r="S2355"/>
          <cell r="T2355">
            <v>2.2999999999999998</v>
          </cell>
          <cell r="U2355"/>
          <cell r="V2355">
            <v>15</v>
          </cell>
          <cell r="W2355"/>
          <cell r="X2355" t="str">
            <v>LIVALTEX</v>
          </cell>
          <cell r="Y2355" t="str">
            <v>LIVALTEX 09-JUNE</v>
          </cell>
          <cell r="Z2355" t="str">
            <v>ROSE' MAIL 9/6/17</v>
          </cell>
          <cell r="AA2355"/>
          <cell r="AB2355">
            <v>42895</v>
          </cell>
          <cell r="AC2355">
            <v>3305</v>
          </cell>
        </row>
        <row r="2356">
          <cell r="B2356">
            <v>3304</v>
          </cell>
          <cell r="C2356" t="str">
            <v>T-2117A</v>
          </cell>
          <cell r="D2356"/>
          <cell r="E2356"/>
          <cell r="F2356" t="str">
            <v>T100%</v>
          </cell>
          <cell r="G2356" t="str">
            <v>100% POLYESTER</v>
          </cell>
          <cell r="H2356" t="str">
            <v>57/58</v>
          </cell>
          <cell r="I2356" t="str">
            <v>125GSM</v>
          </cell>
          <cell r="J2356">
            <v>1.83</v>
          </cell>
          <cell r="K2356"/>
          <cell r="L2356"/>
          <cell r="M2356"/>
          <cell r="N2356">
            <v>1.88</v>
          </cell>
          <cell r="O2356"/>
          <cell r="P2356"/>
          <cell r="Q2356"/>
          <cell r="R2356">
            <v>2.2799999999999998</v>
          </cell>
          <cell r="S2356"/>
          <cell r="T2356"/>
          <cell r="U2356"/>
          <cell r="V2356">
            <v>15</v>
          </cell>
          <cell r="W2356"/>
          <cell r="X2356" t="str">
            <v>LIVALTEX</v>
          </cell>
          <cell r="Y2356" t="str">
            <v>LIVALTEX 09-JUNE</v>
          </cell>
          <cell r="Z2356" t="str">
            <v>ROSE' MAIL 9/6/17</v>
          </cell>
          <cell r="AA2356"/>
          <cell r="AB2356">
            <v>42895</v>
          </cell>
          <cell r="AC2356">
            <v>3304</v>
          </cell>
        </row>
        <row r="2357">
          <cell r="B2357">
            <v>3303</v>
          </cell>
          <cell r="C2357" t="str">
            <v>CY-1748</v>
          </cell>
          <cell r="D2357"/>
          <cell r="E2357"/>
          <cell r="F2357" t="str">
            <v>C 100%</v>
          </cell>
          <cell r="G2357" t="str">
            <v>100%COTTON Y/D DOBBY</v>
          </cell>
          <cell r="H2357" t="str">
            <v>56/57</v>
          </cell>
          <cell r="I2357" t="str">
            <v>126GSM</v>
          </cell>
          <cell r="J2357">
            <v>2.4500000000000002</v>
          </cell>
          <cell r="K2357"/>
          <cell r="L2357"/>
          <cell r="M2357"/>
          <cell r="N2357">
            <v>2.4900000000000002</v>
          </cell>
          <cell r="O2357"/>
          <cell r="P2357"/>
          <cell r="Q2357"/>
          <cell r="R2357">
            <v>2.85</v>
          </cell>
          <cell r="S2357"/>
          <cell r="T2357"/>
          <cell r="U2357"/>
          <cell r="V2357">
            <v>15</v>
          </cell>
          <cell r="W2357"/>
          <cell r="X2357" t="str">
            <v>LIVALTEX</v>
          </cell>
          <cell r="Y2357" t="str">
            <v>LIVALTEX 09-JUNE</v>
          </cell>
          <cell r="Z2357" t="str">
            <v>ROSE' MAIL 9/6/17</v>
          </cell>
          <cell r="AA2357"/>
          <cell r="AB2357">
            <v>42895</v>
          </cell>
          <cell r="AC2357">
            <v>3303</v>
          </cell>
        </row>
        <row r="2358">
          <cell r="B2358">
            <v>3301</v>
          </cell>
          <cell r="C2358" t="str">
            <v>CY-1747</v>
          </cell>
          <cell r="D2358"/>
          <cell r="E2358"/>
          <cell r="F2358" t="str">
            <v>C 100%</v>
          </cell>
          <cell r="G2358" t="str">
            <v>100%COTTON Y/D DOBBY</v>
          </cell>
          <cell r="H2358" t="str">
            <v>56/57</v>
          </cell>
          <cell r="I2358" t="str">
            <v>122GSM</v>
          </cell>
          <cell r="J2358">
            <v>2.52</v>
          </cell>
          <cell r="K2358"/>
          <cell r="L2358"/>
          <cell r="M2358"/>
          <cell r="N2358">
            <v>2.56</v>
          </cell>
          <cell r="O2358"/>
          <cell r="P2358"/>
          <cell r="Q2358"/>
          <cell r="R2358">
            <v>2.91</v>
          </cell>
          <cell r="S2358"/>
          <cell r="T2358"/>
          <cell r="U2358"/>
          <cell r="V2358">
            <v>15</v>
          </cell>
          <cell r="W2358"/>
          <cell r="X2358" t="str">
            <v>LIVALTEX</v>
          </cell>
          <cell r="Y2358" t="str">
            <v>LIVALTEX 09-JUNE</v>
          </cell>
          <cell r="Z2358" t="str">
            <v>ROSE' MAIL 9/6/17</v>
          </cell>
          <cell r="AA2358"/>
          <cell r="AB2358">
            <v>42895</v>
          </cell>
          <cell r="AC2358">
            <v>3301</v>
          </cell>
        </row>
        <row r="2359">
          <cell r="B2359">
            <v>3300</v>
          </cell>
          <cell r="C2359" t="str">
            <v>TS-498</v>
          </cell>
          <cell r="D2359"/>
          <cell r="E2359"/>
          <cell r="F2359" t="str">
            <v>T/S 96/4</v>
          </cell>
          <cell r="G2359" t="str">
            <v>POLYESTER/SPX  96/4</v>
          </cell>
          <cell r="H2359" t="str">
            <v>56/57</v>
          </cell>
          <cell r="I2359" t="str">
            <v>235GSM</v>
          </cell>
          <cell r="J2359">
            <v>2.5</v>
          </cell>
          <cell r="K2359">
            <v>2.9</v>
          </cell>
          <cell r="L2359"/>
          <cell r="M2359"/>
          <cell r="N2359">
            <v>2.5499999999999998</v>
          </cell>
          <cell r="O2359">
            <v>2.93</v>
          </cell>
          <cell r="P2359"/>
          <cell r="Q2359"/>
          <cell r="R2359">
            <v>2.95</v>
          </cell>
          <cell r="S2359">
            <v>3.43</v>
          </cell>
          <cell r="T2359"/>
          <cell r="U2359"/>
          <cell r="V2359">
            <v>15</v>
          </cell>
          <cell r="W2359"/>
          <cell r="X2359" t="str">
            <v>LIVALTEX</v>
          </cell>
          <cell r="Y2359" t="str">
            <v>LIVALTEX 09-JUNE</v>
          </cell>
          <cell r="Z2359" t="str">
            <v>ROSE' MAIL 9/6/17</v>
          </cell>
          <cell r="AA2359"/>
          <cell r="AB2359">
            <v>42895</v>
          </cell>
          <cell r="AC2359">
            <v>3300</v>
          </cell>
        </row>
        <row r="2360">
          <cell r="B2360">
            <v>3299</v>
          </cell>
          <cell r="C2360" t="str">
            <v>SP-591</v>
          </cell>
          <cell r="D2360"/>
          <cell r="E2360"/>
          <cell r="F2360" t="str">
            <v>T/R 80/20</v>
          </cell>
          <cell r="G2360" t="str">
            <v>T/R 80/20</v>
          </cell>
          <cell r="H2360" t="str">
            <v>56/57</v>
          </cell>
          <cell r="I2360" t="str">
            <v>210GSM</v>
          </cell>
          <cell r="J2360">
            <v>3.17</v>
          </cell>
          <cell r="K2360"/>
          <cell r="L2360"/>
          <cell r="M2360"/>
          <cell r="N2360">
            <v>3.22</v>
          </cell>
          <cell r="O2360"/>
          <cell r="P2360"/>
          <cell r="Q2360"/>
          <cell r="R2360">
            <v>3.62</v>
          </cell>
          <cell r="S2360"/>
          <cell r="T2360"/>
          <cell r="U2360"/>
          <cell r="V2360">
            <v>15</v>
          </cell>
          <cell r="W2360"/>
          <cell r="X2360" t="str">
            <v>LIVALTEX</v>
          </cell>
          <cell r="Y2360" t="str">
            <v>LIVALTEX 09-JUNE</v>
          </cell>
          <cell r="Z2360" t="str">
            <v>ROSE' MAIL 9/6/17</v>
          </cell>
          <cell r="AA2360"/>
          <cell r="AB2360">
            <v>42895</v>
          </cell>
          <cell r="AC2360">
            <v>3299</v>
          </cell>
        </row>
        <row r="2361">
          <cell r="B2361">
            <v>3298</v>
          </cell>
          <cell r="C2361" t="str">
            <v>T-2120</v>
          </cell>
          <cell r="D2361" t="str">
            <v>CHIFFON FOIL</v>
          </cell>
          <cell r="E2361"/>
          <cell r="F2361" t="str">
            <v>T100%</v>
          </cell>
          <cell r="G2361" t="str">
            <v>100% POLYESTER CHIFFON FOIL</v>
          </cell>
          <cell r="H2361" t="str">
            <v>57/58</v>
          </cell>
          <cell r="I2361" t="str">
            <v>35GSM</v>
          </cell>
          <cell r="J2361">
            <v>1.6</v>
          </cell>
          <cell r="K2361"/>
          <cell r="L2361"/>
          <cell r="M2361"/>
          <cell r="N2361">
            <v>1.65</v>
          </cell>
          <cell r="O2361"/>
          <cell r="P2361"/>
          <cell r="Q2361"/>
          <cell r="R2361">
            <v>2.0499999999999998</v>
          </cell>
          <cell r="S2361"/>
          <cell r="T2361"/>
          <cell r="U2361"/>
          <cell r="V2361">
            <v>15</v>
          </cell>
          <cell r="W2361"/>
          <cell r="X2361" t="str">
            <v>LIVALTEX</v>
          </cell>
          <cell r="Y2361" t="str">
            <v>LIVALTEX 09-JUNE</v>
          </cell>
          <cell r="Z2361" t="str">
            <v>ROSE' MAIL 9/6/17</v>
          </cell>
          <cell r="AA2361"/>
          <cell r="AB2361">
            <v>42895</v>
          </cell>
          <cell r="AC2361">
            <v>3298</v>
          </cell>
        </row>
        <row r="2362">
          <cell r="B2362">
            <v>3297</v>
          </cell>
          <cell r="C2362" t="str">
            <v>T-2119</v>
          </cell>
          <cell r="D2362"/>
          <cell r="E2362" t="str">
            <v>CHIFFON CRINKLE</v>
          </cell>
          <cell r="F2362" t="str">
            <v>T100%</v>
          </cell>
          <cell r="G2362" t="str">
            <v>100% POLYESTER CHIFFON CRINKLE</v>
          </cell>
          <cell r="H2362" t="str">
            <v>90CM</v>
          </cell>
          <cell r="I2362"/>
          <cell r="J2362">
            <v>2.8</v>
          </cell>
          <cell r="K2362"/>
          <cell r="L2362"/>
          <cell r="M2362"/>
          <cell r="N2362">
            <v>2.85</v>
          </cell>
          <cell r="O2362"/>
          <cell r="P2362"/>
          <cell r="Q2362"/>
          <cell r="R2362">
            <v>3.25</v>
          </cell>
          <cell r="S2362"/>
          <cell r="T2362"/>
          <cell r="U2362"/>
          <cell r="V2362"/>
          <cell r="W2362"/>
          <cell r="X2362" t="str">
            <v>LIVALTEX</v>
          </cell>
          <cell r="Y2362" t="str">
            <v>LIVALTEX 09-JUNE</v>
          </cell>
          <cell r="Z2362" t="str">
            <v>ROSE' MAIL 9/6/17</v>
          </cell>
          <cell r="AA2362"/>
          <cell r="AB2362">
            <v>42895</v>
          </cell>
          <cell r="AC2362">
            <v>3297</v>
          </cell>
        </row>
        <row r="2363">
          <cell r="B2363">
            <v>3294</v>
          </cell>
          <cell r="C2363" t="str">
            <v>K-2991</v>
          </cell>
          <cell r="D2363"/>
          <cell r="E2363" t="str">
            <v>FOIL+CRINKLE</v>
          </cell>
          <cell r="F2363" t="str">
            <v>T100%</v>
          </cell>
          <cell r="G2363" t="str">
            <v>100% POLYESTER FOIL+CRINKLE</v>
          </cell>
          <cell r="H2363" t="str">
            <v>57/58</v>
          </cell>
          <cell r="I2363"/>
          <cell r="J2363">
            <v>2.6</v>
          </cell>
          <cell r="K2363"/>
          <cell r="L2363"/>
          <cell r="M2363"/>
          <cell r="N2363">
            <v>2.65</v>
          </cell>
          <cell r="O2363"/>
          <cell r="P2363"/>
          <cell r="Q2363"/>
          <cell r="R2363">
            <v>3</v>
          </cell>
          <cell r="S2363"/>
          <cell r="T2363"/>
          <cell r="U2363"/>
          <cell r="V2363"/>
          <cell r="W2363"/>
          <cell r="X2363" t="str">
            <v>LIVALTEX</v>
          </cell>
          <cell r="Y2363" t="str">
            <v>LIVALTEX 09-JUNE</v>
          </cell>
          <cell r="Z2363" t="str">
            <v>ROSE' MAIL 9/6/17</v>
          </cell>
          <cell r="AA2363"/>
          <cell r="AB2363">
            <v>42895</v>
          </cell>
          <cell r="AC2363">
            <v>3294</v>
          </cell>
        </row>
        <row r="2364">
          <cell r="B2364">
            <v>3293</v>
          </cell>
          <cell r="C2364" t="str">
            <v>CP-1253</v>
          </cell>
          <cell r="D2364"/>
          <cell r="E2364" t="str">
            <v xml:space="preserve"> 60*60/90*66 W/O embroiDer</v>
          </cell>
          <cell r="F2364" t="str">
            <v>C 100%</v>
          </cell>
          <cell r="G2364" t="str">
            <v>100%COTTON</v>
          </cell>
          <cell r="H2364" t="str">
            <v>54/55</v>
          </cell>
          <cell r="I2364" t="str">
            <v>65GSM</v>
          </cell>
          <cell r="J2364">
            <v>1.8</v>
          </cell>
          <cell r="K2364"/>
          <cell r="L2364"/>
          <cell r="M2364"/>
          <cell r="N2364">
            <v>1.85</v>
          </cell>
          <cell r="O2364"/>
          <cell r="P2364"/>
          <cell r="Q2364"/>
          <cell r="R2364">
            <v>2.25</v>
          </cell>
          <cell r="S2364"/>
          <cell r="T2364"/>
          <cell r="U2364"/>
          <cell r="V2364">
            <v>15</v>
          </cell>
          <cell r="W2364"/>
          <cell r="X2364" t="str">
            <v>LIVALTEX</v>
          </cell>
          <cell r="Y2364" t="str">
            <v>LIVALTEX 09-JUNE</v>
          </cell>
          <cell r="Z2364" t="str">
            <v>ROSE' MAIL 9/6/17</v>
          </cell>
          <cell r="AA2364"/>
          <cell r="AB2364">
            <v>42895</v>
          </cell>
          <cell r="AC2364">
            <v>3293</v>
          </cell>
        </row>
        <row r="2365">
          <cell r="B2365">
            <v>3292</v>
          </cell>
          <cell r="C2365" t="str">
            <v>UD-JT-151264</v>
          </cell>
          <cell r="D2365" t="str">
            <v>RUMPLED SATIN CHIFFON</v>
          </cell>
          <cell r="E2365" t="str">
            <v>50Dx75D</v>
          </cell>
          <cell r="F2365" t="str">
            <v>T 100%</v>
          </cell>
          <cell r="G2365" t="str">
            <v>100% POLYESTER</v>
          </cell>
          <cell r="H2365" t="str">
            <v>57/58</v>
          </cell>
          <cell r="I2365">
            <v>120</v>
          </cell>
          <cell r="J2365">
            <v>1.76</v>
          </cell>
          <cell r="K2365">
            <v>1.96</v>
          </cell>
          <cell r="L2365">
            <v>1.81</v>
          </cell>
          <cell r="M2365">
            <v>2.06</v>
          </cell>
          <cell r="N2365">
            <v>1.85</v>
          </cell>
          <cell r="O2365">
            <v>2.12</v>
          </cell>
          <cell r="P2365"/>
          <cell r="Q2365"/>
          <cell r="R2365">
            <v>1.96</v>
          </cell>
          <cell r="S2365">
            <v>2.36</v>
          </cell>
          <cell r="T2365"/>
          <cell r="U2365"/>
          <cell r="V2365"/>
          <cell r="W2365"/>
          <cell r="X2365" t="str">
            <v>WANG HUA</v>
          </cell>
          <cell r="Y2365" t="str">
            <v>WANG HUA 8-JUNE</v>
          </cell>
          <cell r="Z2365" t="str">
            <v>WANG HUA' MAIL 8-JUNE</v>
          </cell>
          <cell r="AA2365"/>
          <cell r="AB2365">
            <v>42895</v>
          </cell>
          <cell r="AC2365">
            <v>3292</v>
          </cell>
        </row>
        <row r="2366">
          <cell r="B2366">
            <v>726</v>
          </cell>
          <cell r="C2366" t="str">
            <v>TS-121</v>
          </cell>
          <cell r="D2366"/>
          <cell r="E2366"/>
          <cell r="F2366" t="str">
            <v>T/S</v>
          </cell>
          <cell r="G2366" t="str">
            <v>POLYESTER / SPANDEX</v>
          </cell>
          <cell r="H2366" t="str">
            <v>56/57</v>
          </cell>
          <cell r="I2366">
            <v>255</v>
          </cell>
          <cell r="J2366">
            <v>1.78</v>
          </cell>
          <cell r="K2366">
            <v>1.9</v>
          </cell>
          <cell r="L2366">
            <v>1.8</v>
          </cell>
          <cell r="M2366">
            <v>1.96</v>
          </cell>
          <cell r="N2366">
            <v>1.81</v>
          </cell>
          <cell r="O2366">
            <v>2</v>
          </cell>
          <cell r="P2366"/>
          <cell r="Q2366"/>
          <cell r="R2366">
            <v>1.98</v>
          </cell>
          <cell r="S2366">
            <v>2.2799999999999998</v>
          </cell>
          <cell r="T2366"/>
          <cell r="U2366"/>
          <cell r="V2366">
            <v>15</v>
          </cell>
          <cell r="W2366"/>
          <cell r="X2366" t="str">
            <v>GAVIN</v>
          </cell>
          <cell r="Y2366" t="str">
            <v>GAVIN 09-JUNE</v>
          </cell>
          <cell r="Z2366" t="str">
            <v>GAVIN' MAIL 9/6/17</v>
          </cell>
          <cell r="AA2366"/>
          <cell r="AB2366">
            <v>42895</v>
          </cell>
          <cell r="AC2366">
            <v>726</v>
          </cell>
        </row>
        <row r="2367">
          <cell r="B2367">
            <v>594</v>
          </cell>
          <cell r="C2367" t="str">
            <v>TS-122</v>
          </cell>
          <cell r="D2367" t="str">
            <v>TAILORING</v>
          </cell>
          <cell r="E2367"/>
          <cell r="F2367" t="str">
            <v>T 100%</v>
          </cell>
          <cell r="G2367" t="str">
            <v>100% POLYESTER</v>
          </cell>
          <cell r="H2367" t="str">
            <v>57/58</v>
          </cell>
          <cell r="I2367">
            <v>245</v>
          </cell>
          <cell r="J2367">
            <v>2.42</v>
          </cell>
          <cell r="K2367">
            <v>2.54</v>
          </cell>
          <cell r="L2367">
            <v>2.44</v>
          </cell>
          <cell r="M2367">
            <v>2.58</v>
          </cell>
          <cell r="N2367">
            <v>2.4500000000000002</v>
          </cell>
          <cell r="O2367">
            <v>2.6</v>
          </cell>
          <cell r="P2367"/>
          <cell r="Q2367"/>
          <cell r="R2367">
            <v>2.62</v>
          </cell>
          <cell r="S2367">
            <v>2.88</v>
          </cell>
          <cell r="T2367"/>
          <cell r="U2367"/>
          <cell r="V2367">
            <v>15</v>
          </cell>
          <cell r="W2367"/>
          <cell r="X2367" t="str">
            <v>GAVIN</v>
          </cell>
          <cell r="Y2367" t="str">
            <v>GAVIN 09-JUNE</v>
          </cell>
          <cell r="Z2367" t="str">
            <v>GAVIN' MAIL 9/6/17</v>
          </cell>
          <cell r="AA2367"/>
          <cell r="AB2367">
            <v>42895</v>
          </cell>
          <cell r="AC2367">
            <v>594</v>
          </cell>
        </row>
        <row r="2368">
          <cell r="B2368">
            <v>590</v>
          </cell>
          <cell r="C2368" t="str">
            <v>TS-121A</v>
          </cell>
          <cell r="D2368" t="str">
            <v>TAILORING</v>
          </cell>
          <cell r="E2368"/>
          <cell r="F2368" t="str">
            <v>T 100%</v>
          </cell>
          <cell r="G2368" t="str">
            <v>100% POLYESTER</v>
          </cell>
          <cell r="H2368" t="str">
            <v>57/58</v>
          </cell>
          <cell r="I2368">
            <v>227</v>
          </cell>
          <cell r="J2368">
            <v>1.86</v>
          </cell>
          <cell r="K2368">
            <v>2.0299999999999998</v>
          </cell>
          <cell r="L2368">
            <v>1.89</v>
          </cell>
          <cell r="M2368">
            <v>2.06</v>
          </cell>
          <cell r="N2368">
            <v>1.9</v>
          </cell>
          <cell r="O2368">
            <v>2.08</v>
          </cell>
          <cell r="P2368"/>
          <cell r="Q2368"/>
          <cell r="R2368">
            <v>2.06</v>
          </cell>
          <cell r="S2368">
            <v>2.35</v>
          </cell>
          <cell r="T2368"/>
          <cell r="U2368"/>
          <cell r="V2368">
            <v>15</v>
          </cell>
          <cell r="W2368"/>
          <cell r="X2368" t="str">
            <v>GAVIN</v>
          </cell>
          <cell r="Y2368" t="str">
            <v>GAVIN 09-JUNE</v>
          </cell>
          <cell r="Z2368" t="str">
            <v>GAVIN' MAIL 9/6/17</v>
          </cell>
          <cell r="AA2368"/>
          <cell r="AB2368">
            <v>42895</v>
          </cell>
          <cell r="AC2368">
            <v>590</v>
          </cell>
        </row>
        <row r="2369">
          <cell r="B2369">
            <v>3288</v>
          </cell>
          <cell r="C2369" t="str">
            <v>HLT1289</v>
          </cell>
          <cell r="D2369" t="str">
            <v>SCUBA CREPE</v>
          </cell>
          <cell r="E2369"/>
          <cell r="F2369" t="str">
            <v>T/S 95/5</v>
          </cell>
          <cell r="G2369" t="str">
            <v>95% POLYESTER 5%SPANDEX</v>
          </cell>
          <cell r="H2369" t="str">
            <v>155CM</v>
          </cell>
          <cell r="I2369">
            <v>245</v>
          </cell>
          <cell r="J2369">
            <v>2</v>
          </cell>
          <cell r="K2369">
            <v>2.2999999999999998</v>
          </cell>
          <cell r="L2369">
            <v>2.1</v>
          </cell>
          <cell r="M2369">
            <v>2.4299999999999997</v>
          </cell>
          <cell r="N2369">
            <v>2.2000000000000002</v>
          </cell>
          <cell r="O2369">
            <v>2.5</v>
          </cell>
          <cell r="P2369"/>
          <cell r="Q2369"/>
          <cell r="R2369">
            <v>2.3000000000000003</v>
          </cell>
          <cell r="S2369"/>
          <cell r="T2369"/>
          <cell r="U2369"/>
          <cell r="V2369">
            <v>15</v>
          </cell>
          <cell r="W2369"/>
          <cell r="X2369" t="str">
            <v>CANDY</v>
          </cell>
          <cell r="Y2369" t="str">
            <v>CANDY 7-JUNE</v>
          </cell>
          <cell r="Z2369" t="str">
            <v>LEI' MAIL 8/6/17</v>
          </cell>
          <cell r="AA2369"/>
          <cell r="AB2369">
            <v>42894</v>
          </cell>
          <cell r="AC2369">
            <v>3288</v>
          </cell>
        </row>
        <row r="2370">
          <cell r="B2370">
            <v>3287</v>
          </cell>
          <cell r="C2370" t="str">
            <v>TS-346</v>
          </cell>
          <cell r="D2370" t="str">
            <v>POLY CLIPPED</v>
          </cell>
          <cell r="E2370" t="str">
            <v xml:space="preserve">75D+150DX75D POLY CLIPPED </v>
          </cell>
          <cell r="F2370" t="str">
            <v>T 100%</v>
          </cell>
          <cell r="G2370" t="str">
            <v>100% POLYESTER</v>
          </cell>
          <cell r="H2370" t="str">
            <v>57/58</v>
          </cell>
          <cell r="I2370">
            <v>89</v>
          </cell>
          <cell r="J2370">
            <v>1.28</v>
          </cell>
          <cell r="K2370"/>
          <cell r="L2370">
            <v>1.3</v>
          </cell>
          <cell r="M2370"/>
          <cell r="N2370">
            <v>1.32</v>
          </cell>
          <cell r="O2370"/>
          <cell r="P2370"/>
          <cell r="Q2370"/>
          <cell r="R2370">
            <v>1.47</v>
          </cell>
          <cell r="S2370"/>
          <cell r="T2370"/>
          <cell r="U2370"/>
          <cell r="V2370">
            <v>15</v>
          </cell>
          <cell r="W2370"/>
          <cell r="X2370" t="str">
            <v>GAVIN</v>
          </cell>
          <cell r="Y2370" t="str">
            <v>GAVIN 06-JUNE</v>
          </cell>
          <cell r="Z2370" t="str">
            <v>GAVIN' MAIL 6/6/17</v>
          </cell>
          <cell r="AA2370"/>
          <cell r="AB2370">
            <v>42893</v>
          </cell>
          <cell r="AC2370">
            <v>3287</v>
          </cell>
        </row>
        <row r="2371">
          <cell r="B2371">
            <v>3286</v>
          </cell>
          <cell r="C2371" t="str">
            <v>TS-345</v>
          </cell>
          <cell r="D2371" t="str">
            <v>POLY CLIPPED</v>
          </cell>
          <cell r="E2371" t="str">
            <v xml:space="preserve">75D+100Dx75D POLY CLIPPED </v>
          </cell>
          <cell r="F2371" t="str">
            <v>T 100%</v>
          </cell>
          <cell r="G2371" t="str">
            <v>100% POLYESTER</v>
          </cell>
          <cell r="H2371" t="str">
            <v>57/58</v>
          </cell>
          <cell r="I2371">
            <v>60</v>
          </cell>
          <cell r="J2371">
            <v>1.1100000000000001</v>
          </cell>
          <cell r="K2371"/>
          <cell r="L2371">
            <v>1.1299999999999999</v>
          </cell>
          <cell r="M2371"/>
          <cell r="N2371">
            <v>1.1499999999999999</v>
          </cell>
          <cell r="O2371"/>
          <cell r="P2371"/>
          <cell r="Q2371"/>
          <cell r="R2371">
            <v>1.3</v>
          </cell>
          <cell r="S2371"/>
          <cell r="T2371"/>
          <cell r="U2371"/>
          <cell r="V2371">
            <v>15</v>
          </cell>
          <cell r="W2371"/>
          <cell r="X2371" t="str">
            <v>GAVIN</v>
          </cell>
          <cell r="Y2371" t="str">
            <v>GAVIN 06-JUNE</v>
          </cell>
          <cell r="Z2371" t="str">
            <v>GAVIN' MAIL 6/6/17</v>
          </cell>
          <cell r="AA2371"/>
          <cell r="AB2371">
            <v>42893</v>
          </cell>
          <cell r="AC2371">
            <v>3286</v>
          </cell>
        </row>
        <row r="2372">
          <cell r="B2372">
            <v>3285</v>
          </cell>
          <cell r="C2372" t="str">
            <v>TS-344</v>
          </cell>
          <cell r="D2372" t="str">
            <v>POLY CLIPPED</v>
          </cell>
          <cell r="E2372" t="str">
            <v xml:space="preserve">75D+75D POLY CLIPPED </v>
          </cell>
          <cell r="F2372" t="str">
            <v>T 100%</v>
          </cell>
          <cell r="G2372" t="str">
            <v>100% POLYESTER</v>
          </cell>
          <cell r="H2372" t="str">
            <v>57/58</v>
          </cell>
          <cell r="I2372">
            <v>90</v>
          </cell>
          <cell r="J2372">
            <v>1.71</v>
          </cell>
          <cell r="K2372"/>
          <cell r="L2372">
            <v>1.73</v>
          </cell>
          <cell r="M2372"/>
          <cell r="N2372">
            <v>1.75</v>
          </cell>
          <cell r="O2372"/>
          <cell r="P2372"/>
          <cell r="Q2372"/>
          <cell r="R2372">
            <v>1.9</v>
          </cell>
          <cell r="S2372"/>
          <cell r="T2372"/>
          <cell r="U2372"/>
          <cell r="V2372">
            <v>15</v>
          </cell>
          <cell r="W2372"/>
          <cell r="X2372" t="str">
            <v>GAVIN</v>
          </cell>
          <cell r="Y2372" t="str">
            <v>GAVIN 06-JUNE</v>
          </cell>
          <cell r="Z2372" t="str">
            <v>GAVIN' MAIL 6/6/17</v>
          </cell>
          <cell r="AA2372"/>
          <cell r="AB2372">
            <v>42893</v>
          </cell>
          <cell r="AC2372">
            <v>3285</v>
          </cell>
        </row>
        <row r="2373">
          <cell r="B2373">
            <v>2044</v>
          </cell>
          <cell r="C2373" t="str">
            <v>BL6008RBE</v>
          </cell>
          <cell r="D2373" t="str">
            <v>POLY CLIPPED</v>
          </cell>
          <cell r="E2373"/>
          <cell r="F2373" t="str">
            <v>T 100%</v>
          </cell>
          <cell r="G2373" t="str">
            <v>100% POLYESTER</v>
          </cell>
          <cell r="H2373" t="str">
            <v>57/58</v>
          </cell>
          <cell r="I2373">
            <v>80</v>
          </cell>
          <cell r="J2373">
            <v>1.8</v>
          </cell>
          <cell r="K2373">
            <v>2.17</v>
          </cell>
          <cell r="L2373">
            <v>1.85</v>
          </cell>
          <cell r="M2373">
            <v>2.2200000000000002</v>
          </cell>
          <cell r="N2373">
            <v>2</v>
          </cell>
          <cell r="O2373">
            <v>2.37</v>
          </cell>
          <cell r="P2373"/>
          <cell r="Q2373"/>
          <cell r="R2373">
            <v>2.15</v>
          </cell>
          <cell r="S2373">
            <v>2.82</v>
          </cell>
          <cell r="T2373"/>
          <cell r="U2373"/>
          <cell r="V2373"/>
          <cell r="W2373"/>
          <cell r="X2373" t="str">
            <v>OWEN</v>
          </cell>
          <cell r="Y2373" t="str">
            <v>OWEN 7-JUNE</v>
          </cell>
          <cell r="Z2373" t="str">
            <v>SANDY' MAIL 7/6/17</v>
          </cell>
          <cell r="AA2373"/>
          <cell r="AB2373">
            <v>42893</v>
          </cell>
          <cell r="AC2373">
            <v>2044</v>
          </cell>
        </row>
        <row r="2374">
          <cell r="B2374">
            <v>2043</v>
          </cell>
          <cell r="C2374" t="str">
            <v>247XS</v>
          </cell>
          <cell r="D2374" t="str">
            <v>POLY CLIPPED</v>
          </cell>
          <cell r="E2374"/>
          <cell r="F2374" t="str">
            <v>T 100%</v>
          </cell>
          <cell r="G2374" t="str">
            <v>100% POLYESTER</v>
          </cell>
          <cell r="H2374" t="str">
            <v>57/58</v>
          </cell>
          <cell r="I2374">
            <v>86</v>
          </cell>
          <cell r="J2374">
            <v>1.88</v>
          </cell>
          <cell r="K2374">
            <v>2.2599999999999998</v>
          </cell>
          <cell r="L2374">
            <v>1.93</v>
          </cell>
          <cell r="M2374">
            <v>2.2999999999999998</v>
          </cell>
          <cell r="N2374">
            <v>2.08</v>
          </cell>
          <cell r="O2374">
            <v>2.46</v>
          </cell>
          <cell r="P2374"/>
          <cell r="Q2374"/>
          <cell r="R2374">
            <v>2.23</v>
          </cell>
          <cell r="S2374">
            <v>2.9</v>
          </cell>
          <cell r="T2374"/>
          <cell r="U2374"/>
          <cell r="V2374"/>
          <cell r="W2374"/>
          <cell r="X2374" t="str">
            <v>OWEN</v>
          </cell>
          <cell r="Y2374" t="str">
            <v>OWEN 7-JUNE</v>
          </cell>
          <cell r="Z2374" t="str">
            <v>SANDY' MAIL 7/6/17</v>
          </cell>
          <cell r="AA2374"/>
          <cell r="AB2374">
            <v>42893</v>
          </cell>
          <cell r="AC2374">
            <v>2043</v>
          </cell>
        </row>
        <row r="2375">
          <cell r="B2375">
            <v>2713</v>
          </cell>
          <cell r="C2375" t="str">
            <v>HLT3769</v>
          </cell>
          <cell r="D2375"/>
          <cell r="E2375"/>
          <cell r="F2375" t="str">
            <v>C 100%</v>
          </cell>
          <cell r="G2375" t="str">
            <v>100% COTTON</v>
          </cell>
          <cell r="H2375" t="str">
            <v>146CM</v>
          </cell>
          <cell r="I2375">
            <v>84</v>
          </cell>
          <cell r="J2375">
            <v>2.177777777777778</v>
          </cell>
          <cell r="K2375"/>
          <cell r="L2375">
            <v>2.2777777777777781</v>
          </cell>
          <cell r="M2375"/>
          <cell r="N2375">
            <v>2.3777777777777782</v>
          </cell>
          <cell r="O2375"/>
          <cell r="P2375"/>
          <cell r="Q2375"/>
          <cell r="R2375">
            <v>2.5777777777777784</v>
          </cell>
          <cell r="S2375"/>
          <cell r="T2375"/>
          <cell r="U2375"/>
          <cell r="V2375">
            <v>15</v>
          </cell>
          <cell r="W2375"/>
          <cell r="X2375" t="str">
            <v>CANDY</v>
          </cell>
          <cell r="Y2375" t="str">
            <v>CANDY 30-MAY</v>
          </cell>
          <cell r="Z2375" t="str">
            <v>LEI' MAIL 6/6/17</v>
          </cell>
          <cell r="AA2375"/>
          <cell r="AB2375">
            <v>42892</v>
          </cell>
          <cell r="AC2375">
            <v>2713</v>
          </cell>
        </row>
        <row r="2376">
          <cell r="B2376">
            <v>2705</v>
          </cell>
          <cell r="C2376" t="str">
            <v>HLT3776</v>
          </cell>
          <cell r="D2376"/>
          <cell r="E2376"/>
          <cell r="F2376" t="str">
            <v>C 100%</v>
          </cell>
          <cell r="G2376" t="str">
            <v>100% COTTON</v>
          </cell>
          <cell r="H2376" t="str">
            <v>152CM</v>
          </cell>
          <cell r="I2376">
            <v>95</v>
          </cell>
          <cell r="J2376">
            <v>2.088888888888889</v>
          </cell>
          <cell r="K2376"/>
          <cell r="L2376">
            <v>2.1888888888888891</v>
          </cell>
          <cell r="M2376"/>
          <cell r="N2376">
            <v>2.2888888888888892</v>
          </cell>
          <cell r="O2376"/>
          <cell r="P2376"/>
          <cell r="Q2376"/>
          <cell r="R2376">
            <v>2.4888888888888894</v>
          </cell>
          <cell r="S2376"/>
          <cell r="T2376"/>
          <cell r="U2376"/>
          <cell r="V2376">
            <v>15</v>
          </cell>
          <cell r="W2376"/>
          <cell r="X2376" t="str">
            <v>CANDY</v>
          </cell>
          <cell r="Y2376" t="str">
            <v>CANDY 30-MAY</v>
          </cell>
          <cell r="Z2376" t="str">
            <v>LEI' MAIL 6/6/17</v>
          </cell>
          <cell r="AA2376"/>
          <cell r="AB2376">
            <v>42892</v>
          </cell>
          <cell r="AC2376">
            <v>2705</v>
          </cell>
        </row>
        <row r="2377">
          <cell r="B2377">
            <v>2703</v>
          </cell>
          <cell r="C2377" t="str">
            <v xml:space="preserve"> HLT3778</v>
          </cell>
          <cell r="D2377"/>
          <cell r="E2377"/>
          <cell r="F2377" t="str">
            <v>C 100%</v>
          </cell>
          <cell r="G2377" t="str">
            <v>100% COTTON</v>
          </cell>
          <cell r="H2377" t="str">
            <v>145CM</v>
          </cell>
          <cell r="I2377">
            <v>70</v>
          </cell>
          <cell r="J2377">
            <v>1.8666666666666667</v>
          </cell>
          <cell r="K2377"/>
          <cell r="L2377">
            <v>1.9666666666666668</v>
          </cell>
          <cell r="M2377"/>
          <cell r="N2377">
            <v>2.0666666666666669</v>
          </cell>
          <cell r="O2377"/>
          <cell r="P2377"/>
          <cell r="Q2377"/>
          <cell r="R2377">
            <v>2.2666666666666671</v>
          </cell>
          <cell r="S2377"/>
          <cell r="T2377"/>
          <cell r="U2377"/>
          <cell r="V2377">
            <v>15</v>
          </cell>
          <cell r="W2377"/>
          <cell r="X2377" t="str">
            <v>CANDY</v>
          </cell>
          <cell r="Y2377" t="str">
            <v>CANDY 30-MAY</v>
          </cell>
          <cell r="Z2377" t="str">
            <v>LEI' MAIL 6/6/17</v>
          </cell>
          <cell r="AA2377"/>
          <cell r="AB2377">
            <v>42892</v>
          </cell>
          <cell r="AC2377">
            <v>2703</v>
          </cell>
        </row>
        <row r="2378">
          <cell r="B2378">
            <v>3284</v>
          </cell>
          <cell r="C2378" t="str">
            <v>WH0107 (GN1517)</v>
          </cell>
          <cell r="D2378" t="str">
            <v>100% POLY YORYU</v>
          </cell>
          <cell r="E2378" t="str">
            <v>113 X 82 - 75Dx75D</v>
          </cell>
          <cell r="F2378" t="str">
            <v>T 100%</v>
          </cell>
          <cell r="G2378" t="str">
            <v>100% POLYESTER</v>
          </cell>
          <cell r="H2378" t="str">
            <v>57/58</v>
          </cell>
          <cell r="I2378">
            <v>69</v>
          </cell>
          <cell r="J2378">
            <v>1.39</v>
          </cell>
          <cell r="K2378">
            <v>1.83</v>
          </cell>
          <cell r="L2378">
            <v>1.39</v>
          </cell>
          <cell r="M2378">
            <v>1.83</v>
          </cell>
          <cell r="N2378">
            <v>1.39</v>
          </cell>
          <cell r="O2378">
            <v>1.83</v>
          </cell>
          <cell r="P2378"/>
          <cell r="Q2378"/>
          <cell r="R2378">
            <v>1.8069999999999999</v>
          </cell>
          <cell r="S2378">
            <v>2.379</v>
          </cell>
          <cell r="T2378"/>
          <cell r="U2378"/>
          <cell r="V2378">
            <v>15</v>
          </cell>
          <cell r="W2378"/>
          <cell r="X2378" t="str">
            <v>KATHERINE (S)</v>
          </cell>
          <cell r="Y2378" t="str">
            <v>GUYNCO 01-JUNE</v>
          </cell>
          <cell r="Z2378" t="str">
            <v>KATHERINE' MAIL 01/6/17</v>
          </cell>
          <cell r="AA2378"/>
          <cell r="AB2378">
            <v>42891</v>
          </cell>
          <cell r="AC2378">
            <v>3284</v>
          </cell>
        </row>
        <row r="2379">
          <cell r="B2379">
            <v>3283</v>
          </cell>
          <cell r="C2379"/>
          <cell r="D2379" t="str">
            <v>TAFFETA 190T LINING</v>
          </cell>
          <cell r="E2379" t="str">
            <v>190T</v>
          </cell>
          <cell r="F2379" t="str">
            <v>T 100%</v>
          </cell>
          <cell r="G2379" t="str">
            <v>100% POLYESTER</v>
          </cell>
          <cell r="H2379" t="str">
            <v>59/60</v>
          </cell>
          <cell r="I2379"/>
          <cell r="J2379"/>
          <cell r="K2379"/>
          <cell r="L2379"/>
          <cell r="M2379"/>
          <cell r="N2379"/>
          <cell r="O2379"/>
          <cell r="P2379"/>
          <cell r="Q2379"/>
          <cell r="R2379">
            <v>0.59</v>
          </cell>
          <cell r="S2379"/>
          <cell r="T2379"/>
          <cell r="U2379"/>
          <cell r="V2379">
            <v>15</v>
          </cell>
          <cell r="W2379" t="str">
            <v>QUANTITY &gt;1.000M : $0.59/M - BLACK/WHITE: $0.57/M --- QUANTITY &lt; 1.000M: $0.62/M</v>
          </cell>
          <cell r="X2379" t="str">
            <v>KIM THINH PHAT</v>
          </cell>
          <cell r="Y2379" t="str">
            <v>190T KIM THINH PHAT</v>
          </cell>
          <cell r="Z2379" t="str">
            <v>THINH' MAIL 26/6/17</v>
          </cell>
          <cell r="AA2379"/>
          <cell r="AB2379">
            <v>42888</v>
          </cell>
          <cell r="AC2379">
            <v>3283</v>
          </cell>
        </row>
        <row r="2380">
          <cell r="B2380">
            <v>3282</v>
          </cell>
          <cell r="C2380" t="str">
            <v>#16882</v>
          </cell>
          <cell r="D2380" t="str">
            <v>LACE</v>
          </cell>
          <cell r="E2380"/>
          <cell r="F2380" t="str">
            <v xml:space="preserve">N/C  </v>
          </cell>
          <cell r="G2380" t="str">
            <v xml:space="preserve">NYLON COTTON </v>
          </cell>
          <cell r="H2380" t="str">
            <v>150CM</v>
          </cell>
          <cell r="I2380">
            <v>140</v>
          </cell>
          <cell r="J2380">
            <v>2.2999999999999998</v>
          </cell>
          <cell r="K2380"/>
          <cell r="L2380"/>
          <cell r="M2380"/>
          <cell r="N2380">
            <v>2.3499999999999996</v>
          </cell>
          <cell r="O2380"/>
          <cell r="P2380"/>
          <cell r="Q2380"/>
          <cell r="R2380">
            <v>2.4</v>
          </cell>
          <cell r="S2380"/>
          <cell r="T2380"/>
          <cell r="U2380"/>
          <cell r="V2380"/>
          <cell r="W2380"/>
          <cell r="X2380" t="str">
            <v>LIBY</v>
          </cell>
          <cell r="Y2380" t="str">
            <v>LIBY 1-JUNE</v>
          </cell>
          <cell r="Z2380" t="str">
            <v>LIBY' MAIL 1/6/17</v>
          </cell>
          <cell r="AA2380"/>
          <cell r="AB2380">
            <v>42888</v>
          </cell>
          <cell r="AC2380">
            <v>3282</v>
          </cell>
        </row>
        <row r="2381">
          <cell r="B2381">
            <v>3281</v>
          </cell>
          <cell r="C2381" t="str">
            <v>#16614</v>
          </cell>
          <cell r="D2381" t="str">
            <v>LACE</v>
          </cell>
          <cell r="E2381"/>
          <cell r="F2381" t="str">
            <v xml:space="preserve">N/C  </v>
          </cell>
          <cell r="G2381" t="str">
            <v xml:space="preserve">NYLON COTTON </v>
          </cell>
          <cell r="H2381" t="str">
            <v>150CM</v>
          </cell>
          <cell r="I2381">
            <v>113</v>
          </cell>
          <cell r="J2381">
            <v>1.79</v>
          </cell>
          <cell r="K2381"/>
          <cell r="L2381"/>
          <cell r="M2381"/>
          <cell r="N2381">
            <v>1.84</v>
          </cell>
          <cell r="O2381"/>
          <cell r="P2381"/>
          <cell r="Q2381"/>
          <cell r="R2381">
            <v>1.8900000000000001</v>
          </cell>
          <cell r="S2381"/>
          <cell r="T2381"/>
          <cell r="U2381"/>
          <cell r="V2381"/>
          <cell r="W2381"/>
          <cell r="X2381" t="str">
            <v>LIBY</v>
          </cell>
          <cell r="Y2381" t="str">
            <v>LIBY 1-JUNE</v>
          </cell>
          <cell r="Z2381" t="str">
            <v>LIBY' MAIL 1/6/17</v>
          </cell>
          <cell r="AA2381"/>
          <cell r="AB2381">
            <v>42888</v>
          </cell>
          <cell r="AC2381">
            <v>3281</v>
          </cell>
        </row>
        <row r="2382">
          <cell r="B2382">
            <v>3280</v>
          </cell>
          <cell r="C2382" t="str">
            <v>#16421</v>
          </cell>
          <cell r="D2382" t="str">
            <v>LACE</v>
          </cell>
          <cell r="E2382"/>
          <cell r="F2382" t="str">
            <v xml:space="preserve">N/C  </v>
          </cell>
          <cell r="G2382" t="str">
            <v xml:space="preserve">NYLON COTTON </v>
          </cell>
          <cell r="H2382" t="str">
            <v>150CM</v>
          </cell>
          <cell r="I2382">
            <v>121</v>
          </cell>
          <cell r="J2382">
            <v>2.13</v>
          </cell>
          <cell r="K2382"/>
          <cell r="L2382"/>
          <cell r="M2382"/>
          <cell r="N2382">
            <v>2.1799999999999997</v>
          </cell>
          <cell r="O2382"/>
          <cell r="P2382"/>
          <cell r="Q2382"/>
          <cell r="R2382">
            <v>2.23</v>
          </cell>
          <cell r="S2382"/>
          <cell r="T2382"/>
          <cell r="U2382"/>
          <cell r="V2382"/>
          <cell r="W2382"/>
          <cell r="X2382" t="str">
            <v>LIBY</v>
          </cell>
          <cell r="Y2382" t="str">
            <v>LIBY 1-JUNE</v>
          </cell>
          <cell r="Z2382" t="str">
            <v>LIBY' MAIL 1/6/17</v>
          </cell>
          <cell r="AA2382"/>
          <cell r="AB2382">
            <v>42888</v>
          </cell>
          <cell r="AC2382">
            <v>3280</v>
          </cell>
        </row>
        <row r="2383">
          <cell r="B2383">
            <v>3279</v>
          </cell>
          <cell r="C2383" t="str">
            <v>#1865</v>
          </cell>
          <cell r="D2383" t="str">
            <v>LACE</v>
          </cell>
          <cell r="E2383"/>
          <cell r="F2383" t="str">
            <v>N/S</v>
          </cell>
          <cell r="G2383" t="str">
            <v>NYLON SPANDEX</v>
          </cell>
          <cell r="H2383" t="str">
            <v>150CM</v>
          </cell>
          <cell r="I2383">
            <v>132</v>
          </cell>
          <cell r="J2383">
            <v>1.6</v>
          </cell>
          <cell r="K2383"/>
          <cell r="L2383"/>
          <cell r="M2383"/>
          <cell r="N2383">
            <v>1.6500000000000001</v>
          </cell>
          <cell r="O2383"/>
          <cell r="P2383"/>
          <cell r="Q2383"/>
          <cell r="R2383">
            <v>1.7000000000000002</v>
          </cell>
          <cell r="S2383"/>
          <cell r="T2383"/>
          <cell r="U2383"/>
          <cell r="V2383"/>
          <cell r="W2383"/>
          <cell r="X2383" t="str">
            <v>LIBY</v>
          </cell>
          <cell r="Y2383" t="str">
            <v>LIBY 1-JUNE</v>
          </cell>
          <cell r="Z2383" t="str">
            <v>LIBY' MAIL 1/6/17</v>
          </cell>
          <cell r="AA2383"/>
          <cell r="AB2383">
            <v>42888</v>
          </cell>
          <cell r="AC2383">
            <v>3279</v>
          </cell>
        </row>
        <row r="2384">
          <cell r="B2384">
            <v>3278</v>
          </cell>
          <cell r="C2384" t="str">
            <v>#D002</v>
          </cell>
          <cell r="D2384" t="str">
            <v>LACE</v>
          </cell>
          <cell r="E2384"/>
          <cell r="F2384" t="str">
            <v>N/S</v>
          </cell>
          <cell r="G2384" t="str">
            <v>NYLON SPANDEX</v>
          </cell>
          <cell r="H2384" t="str">
            <v>150CM</v>
          </cell>
          <cell r="I2384">
            <v>132</v>
          </cell>
          <cell r="J2384">
            <v>1.87</v>
          </cell>
          <cell r="K2384"/>
          <cell r="L2384"/>
          <cell r="M2384"/>
          <cell r="N2384">
            <v>1.9200000000000002</v>
          </cell>
          <cell r="O2384"/>
          <cell r="P2384"/>
          <cell r="Q2384"/>
          <cell r="R2384">
            <v>1.9700000000000002</v>
          </cell>
          <cell r="S2384"/>
          <cell r="T2384"/>
          <cell r="U2384"/>
          <cell r="V2384"/>
          <cell r="W2384"/>
          <cell r="X2384" t="str">
            <v>LIBY</v>
          </cell>
          <cell r="Y2384" t="str">
            <v>LIBY 1-JUNE</v>
          </cell>
          <cell r="Z2384" t="str">
            <v>LIBY' MAIL 1/6/17</v>
          </cell>
          <cell r="AA2384"/>
          <cell r="AB2384">
            <v>42888</v>
          </cell>
          <cell r="AC2384">
            <v>3278</v>
          </cell>
        </row>
        <row r="2385">
          <cell r="B2385">
            <v>3277</v>
          </cell>
          <cell r="C2385" t="str">
            <v>#16861</v>
          </cell>
          <cell r="D2385" t="str">
            <v>LACE</v>
          </cell>
          <cell r="E2385"/>
          <cell r="F2385" t="str">
            <v>N/C</v>
          </cell>
          <cell r="G2385" t="str">
            <v xml:space="preserve">NYLON COTTON </v>
          </cell>
          <cell r="H2385" t="str">
            <v>150CM</v>
          </cell>
          <cell r="I2385">
            <v>102</v>
          </cell>
          <cell r="J2385">
            <v>1.68</v>
          </cell>
          <cell r="K2385"/>
          <cell r="L2385"/>
          <cell r="M2385"/>
          <cell r="N2385">
            <v>1.73</v>
          </cell>
          <cell r="O2385"/>
          <cell r="P2385"/>
          <cell r="Q2385"/>
          <cell r="R2385">
            <v>1.78</v>
          </cell>
          <cell r="S2385"/>
          <cell r="T2385"/>
          <cell r="U2385"/>
          <cell r="V2385"/>
          <cell r="W2385"/>
          <cell r="X2385" t="str">
            <v>LIBY</v>
          </cell>
          <cell r="Y2385" t="str">
            <v>LIBY 1-JUNE</v>
          </cell>
          <cell r="Z2385" t="str">
            <v>LIBY' MAIL 1/6/17</v>
          </cell>
          <cell r="AA2385"/>
          <cell r="AB2385">
            <v>42888</v>
          </cell>
          <cell r="AC2385">
            <v>3277</v>
          </cell>
        </row>
        <row r="2386">
          <cell r="B2386">
            <v>2229</v>
          </cell>
          <cell r="C2386" t="str">
            <v>GLLYM062203</v>
          </cell>
          <cell r="D2386" t="str">
            <v xml:space="preserve">LINEN  </v>
          </cell>
          <cell r="E2386" t="str">
            <v xml:space="preserve">LINEN  </v>
          </cell>
          <cell r="F2386" t="str">
            <v>L 100%</v>
          </cell>
          <cell r="G2386" t="str">
            <v>100% LINEN ( UN WASHED )</v>
          </cell>
          <cell r="H2386" t="str">
            <v>53/54</v>
          </cell>
          <cell r="I2386">
            <v>136</v>
          </cell>
          <cell r="J2386">
            <v>3.65</v>
          </cell>
          <cell r="K2386">
            <v>3.835</v>
          </cell>
          <cell r="L2386">
            <v>3.66</v>
          </cell>
          <cell r="M2386">
            <v>3.8899999999999997</v>
          </cell>
          <cell r="N2386">
            <v>3.68</v>
          </cell>
          <cell r="O2386">
            <v>3.9666666666666668</v>
          </cell>
          <cell r="P2386"/>
          <cell r="Q2386"/>
          <cell r="R2386">
            <v>3.73</v>
          </cell>
          <cell r="S2386">
            <v>4.32</v>
          </cell>
          <cell r="T2386"/>
          <cell r="U2386"/>
          <cell r="V2386">
            <v>15</v>
          </cell>
          <cell r="W2386" t="str">
            <v>$350 SURCHARGE FROM 4 COLORS PRINT TO 10 COLORS PRINT</v>
          </cell>
          <cell r="X2386" t="str">
            <v>HOWARD</v>
          </cell>
          <cell r="Y2386" t="str">
            <v>HOWARD 31-MAY</v>
          </cell>
          <cell r="Z2386" t="str">
            <v>HOWARD' MAIL 1/6/17</v>
          </cell>
          <cell r="AA2386"/>
          <cell r="AB2386">
            <v>42887</v>
          </cell>
          <cell r="AC2386">
            <v>2229</v>
          </cell>
        </row>
        <row r="2387">
          <cell r="B2387">
            <v>3276</v>
          </cell>
          <cell r="C2387" t="str">
            <v>OLP-1752501YH</v>
          </cell>
          <cell r="D2387" t="str">
            <v>DOUBLE LAYER</v>
          </cell>
          <cell r="E2387"/>
          <cell r="F2387" t="str">
            <v>T/R/S 62/33/5</v>
          </cell>
          <cell r="G2387" t="str">
            <v>62% POLYESTER 33% RAYON 5% SPAN</v>
          </cell>
          <cell r="H2387" t="str">
            <v>57/58</v>
          </cell>
          <cell r="I2387">
            <v>300</v>
          </cell>
          <cell r="J2387">
            <v>4.3</v>
          </cell>
          <cell r="K2387"/>
          <cell r="L2387">
            <v>4.3899999999999997</v>
          </cell>
          <cell r="M2387"/>
          <cell r="N2387">
            <v>4.55</v>
          </cell>
          <cell r="O2387"/>
          <cell r="P2387"/>
          <cell r="Q2387"/>
          <cell r="R2387">
            <v>4.8499999999999996</v>
          </cell>
          <cell r="S2387"/>
          <cell r="T2387"/>
          <cell r="U2387"/>
          <cell r="V2387">
            <v>15</v>
          </cell>
          <cell r="W2387"/>
          <cell r="X2387" t="str">
            <v>OWEN</v>
          </cell>
          <cell r="Y2387" t="str">
            <v>OWEN 30-MAY (RE: SOURCING NEW FABRICS)</v>
          </cell>
          <cell r="Z2387" t="str">
            <v>SANDY' MAIL 31/5/17</v>
          </cell>
          <cell r="AA2387"/>
          <cell r="AB2387">
            <v>42886</v>
          </cell>
          <cell r="AC2387">
            <v>3276</v>
          </cell>
        </row>
        <row r="2388">
          <cell r="B2388">
            <v>2829</v>
          </cell>
          <cell r="C2388" t="str">
            <v>OLP-1721508TB</v>
          </cell>
          <cell r="D2388" t="str">
            <v>LINEN FOIL</v>
          </cell>
          <cell r="E2388" t="str">
            <v>LINEN FOIL</v>
          </cell>
          <cell r="F2388" t="str">
            <v>L 100%</v>
          </cell>
          <cell r="G2388" t="str">
            <v>100% LINEN (with foil)</v>
          </cell>
          <cell r="H2388" t="str">
            <v>53/54</v>
          </cell>
          <cell r="I2388">
            <v>140</v>
          </cell>
          <cell r="J2388">
            <v>4.5</v>
          </cell>
          <cell r="K2388"/>
          <cell r="L2388">
            <v>4.55</v>
          </cell>
          <cell r="M2388"/>
          <cell r="N2388">
            <v>4.7</v>
          </cell>
          <cell r="O2388"/>
          <cell r="P2388"/>
          <cell r="Q2388"/>
          <cell r="R2388">
            <v>4.9000000000000004</v>
          </cell>
          <cell r="S2388"/>
          <cell r="T2388"/>
          <cell r="U2388"/>
          <cell r="V2388">
            <v>15</v>
          </cell>
          <cell r="W2388"/>
          <cell r="X2388" t="str">
            <v>OWEN</v>
          </cell>
          <cell r="Y2388" t="str">
            <v>OWEN 30-MAY</v>
          </cell>
          <cell r="Z2388" t="str">
            <v>SANDY' MAIL 31/5/17</v>
          </cell>
          <cell r="AA2388"/>
          <cell r="AB2388">
            <v>42886</v>
          </cell>
          <cell r="AC2388">
            <v>2829</v>
          </cell>
        </row>
        <row r="2389">
          <cell r="B2389">
            <v>2802</v>
          </cell>
          <cell r="C2389" t="str">
            <v>BG3166</v>
          </cell>
          <cell r="D2389" t="str">
            <v>COTTON WITH DOTS</v>
          </cell>
          <cell r="E2389" t="str">
            <v>60 x60 + 12/ 100 x 80</v>
          </cell>
          <cell r="F2389" t="str">
            <v>C 100%</v>
          </cell>
          <cell r="G2389" t="str">
            <v>100% COTTON</v>
          </cell>
          <cell r="H2389" t="str">
            <v>53/54</v>
          </cell>
          <cell r="I2389">
            <v>65</v>
          </cell>
          <cell r="J2389">
            <v>1.7</v>
          </cell>
          <cell r="K2389">
            <v>1.95</v>
          </cell>
          <cell r="L2389">
            <v>1.73</v>
          </cell>
          <cell r="M2389">
            <v>2</v>
          </cell>
          <cell r="N2389">
            <v>1.75</v>
          </cell>
          <cell r="O2389">
            <v>2.0499999999999998</v>
          </cell>
          <cell r="P2389"/>
          <cell r="Q2389"/>
          <cell r="R2389">
            <v>2</v>
          </cell>
          <cell r="S2389">
            <v>2.5</v>
          </cell>
          <cell r="T2389"/>
          <cell r="U2389"/>
          <cell r="V2389">
            <v>15</v>
          </cell>
          <cell r="W2389"/>
          <cell r="X2389" t="str">
            <v>EDWIN</v>
          </cell>
          <cell r="Y2389" t="str">
            <v>ANN 26-MAY</v>
          </cell>
          <cell r="Z2389" t="str">
            <v>ANN' MAIL 31/5/17</v>
          </cell>
          <cell r="AA2389"/>
          <cell r="AB2389">
            <v>42886</v>
          </cell>
          <cell r="AC2389">
            <v>2802</v>
          </cell>
        </row>
        <row r="2390">
          <cell r="B2390">
            <v>2623</v>
          </cell>
          <cell r="C2390" t="str">
            <v>TS-324</v>
          </cell>
          <cell r="D2390" t="str">
            <v>LINEN RAYON SPANDEX</v>
          </cell>
          <cell r="E2390"/>
          <cell r="F2390" t="str">
            <v>L/R/S 50/45/5</v>
          </cell>
          <cell r="G2390" t="str">
            <v>LINEN/RAYON/SPAN 50/45/5</v>
          </cell>
          <cell r="H2390" t="str">
            <v>54/55</v>
          </cell>
          <cell r="I2390">
            <v>224</v>
          </cell>
          <cell r="J2390">
            <v>2.61</v>
          </cell>
          <cell r="K2390">
            <v>2.79</v>
          </cell>
          <cell r="L2390">
            <v>2.63</v>
          </cell>
          <cell r="M2390">
            <v>2.82</v>
          </cell>
          <cell r="N2390">
            <v>2.65</v>
          </cell>
          <cell r="O2390">
            <v>2.85</v>
          </cell>
          <cell r="P2390"/>
          <cell r="Q2390"/>
          <cell r="R2390">
            <v>2.8</v>
          </cell>
          <cell r="S2390">
            <v>3.1</v>
          </cell>
          <cell r="T2390"/>
          <cell r="U2390"/>
          <cell r="V2390">
            <v>15</v>
          </cell>
          <cell r="W2390"/>
          <cell r="X2390" t="str">
            <v>GAVIN</v>
          </cell>
          <cell r="Y2390" t="str">
            <v>GAVIN 30-MAY</v>
          </cell>
          <cell r="Z2390" t="str">
            <v>GAVIN' MAIL 31/5/17</v>
          </cell>
          <cell r="AA2390"/>
          <cell r="AB2390">
            <v>42886</v>
          </cell>
          <cell r="AC2390">
            <v>2623</v>
          </cell>
        </row>
        <row r="2391">
          <cell r="B2391">
            <v>2621</v>
          </cell>
          <cell r="C2391" t="str">
            <v>TS-321</v>
          </cell>
          <cell r="D2391" t="str">
            <v>LINEN RAYON</v>
          </cell>
          <cell r="E2391"/>
          <cell r="F2391" t="str">
            <v>R/L 70/30</v>
          </cell>
          <cell r="G2391" t="str">
            <v xml:space="preserve">LINEN/RAYON 30/70 </v>
          </cell>
          <cell r="H2391" t="str">
            <v>54/55</v>
          </cell>
          <cell r="I2391">
            <v>194</v>
          </cell>
          <cell r="J2391">
            <v>2.5099999999999998</v>
          </cell>
          <cell r="K2391">
            <v>2.69</v>
          </cell>
          <cell r="L2391">
            <v>2.5299999999999998</v>
          </cell>
          <cell r="M2391">
            <v>2.72</v>
          </cell>
          <cell r="N2391">
            <v>2.5499999999999998</v>
          </cell>
          <cell r="O2391">
            <v>2.75</v>
          </cell>
          <cell r="P2391"/>
          <cell r="Q2391"/>
          <cell r="R2391">
            <v>2.7</v>
          </cell>
          <cell r="S2391">
            <v>3</v>
          </cell>
          <cell r="T2391"/>
          <cell r="U2391"/>
          <cell r="V2391">
            <v>15</v>
          </cell>
          <cell r="W2391"/>
          <cell r="X2391" t="str">
            <v>GAVIN</v>
          </cell>
          <cell r="Y2391" t="str">
            <v>GAVIN 30-MAY</v>
          </cell>
          <cell r="Z2391" t="str">
            <v>GAVIN' MAIL 31/5/17</v>
          </cell>
          <cell r="AA2391"/>
          <cell r="AB2391">
            <v>42886</v>
          </cell>
          <cell r="AC2391">
            <v>2621</v>
          </cell>
        </row>
        <row r="2392">
          <cell r="B2392">
            <v>2594</v>
          </cell>
          <cell r="C2392" t="str">
            <v>TS-311</v>
          </cell>
          <cell r="D2392" t="str">
            <v>COTTON VOILE 60S</v>
          </cell>
          <cell r="E2392"/>
          <cell r="F2392" t="str">
            <v>C 100%</v>
          </cell>
          <cell r="G2392" t="str">
            <v xml:space="preserve">100% COTTON  </v>
          </cell>
          <cell r="H2392" t="str">
            <v>57/58</v>
          </cell>
          <cell r="I2392">
            <v>90</v>
          </cell>
          <cell r="J2392">
            <v>1.1399999999999999</v>
          </cell>
          <cell r="K2392">
            <v>1.32</v>
          </cell>
          <cell r="L2392">
            <v>1.1599999999999999</v>
          </cell>
          <cell r="M2392">
            <v>1.35</v>
          </cell>
          <cell r="N2392">
            <v>1.18</v>
          </cell>
          <cell r="O2392">
            <v>1.38</v>
          </cell>
          <cell r="P2392"/>
          <cell r="Q2392"/>
          <cell r="R2392">
            <v>1.33</v>
          </cell>
          <cell r="S2392">
            <v>1.63</v>
          </cell>
          <cell r="T2392"/>
          <cell r="U2392"/>
          <cell r="V2392">
            <v>15</v>
          </cell>
          <cell r="W2392"/>
          <cell r="X2392" t="str">
            <v>GAVIN</v>
          </cell>
          <cell r="Y2392" t="str">
            <v>GAVIN 30-MAY</v>
          </cell>
          <cell r="Z2392" t="str">
            <v>GAVIN' MAIL 31/5/17</v>
          </cell>
          <cell r="AA2392"/>
          <cell r="AB2392">
            <v>42886</v>
          </cell>
          <cell r="AC2392">
            <v>2594</v>
          </cell>
        </row>
        <row r="2393">
          <cell r="B2393">
            <v>2226</v>
          </cell>
          <cell r="C2393" t="str">
            <v>1652706YH</v>
          </cell>
          <cell r="D2393"/>
          <cell r="E2393"/>
          <cell r="F2393" t="str">
            <v>L/C 55/45</v>
          </cell>
          <cell r="G2393" t="str">
            <v>55% LINEN 45% COTTON</v>
          </cell>
          <cell r="H2393" t="str">
            <v>51/52</v>
          </cell>
          <cell r="I2393">
            <v>150</v>
          </cell>
          <cell r="J2393">
            <v>2.5</v>
          </cell>
          <cell r="K2393">
            <v>2.68</v>
          </cell>
          <cell r="L2393">
            <v>2.5499999999999998</v>
          </cell>
          <cell r="M2393">
            <v>2.8</v>
          </cell>
          <cell r="N2393">
            <v>2.7</v>
          </cell>
          <cell r="O2393">
            <v>3.02</v>
          </cell>
          <cell r="P2393"/>
          <cell r="Q2393"/>
          <cell r="R2393">
            <v>2.85</v>
          </cell>
          <cell r="S2393">
            <v>3.5</v>
          </cell>
          <cell r="T2393"/>
          <cell r="U2393"/>
          <cell r="V2393"/>
          <cell r="W2393"/>
          <cell r="X2393" t="str">
            <v>OWEN</v>
          </cell>
          <cell r="Y2393" t="str">
            <v>OWEN 30-MAY</v>
          </cell>
          <cell r="Z2393" t="str">
            <v>SANDY' MAIL 31/5/17</v>
          </cell>
          <cell r="AA2393"/>
          <cell r="AB2393">
            <v>42886</v>
          </cell>
          <cell r="AC2393">
            <v>2226</v>
          </cell>
        </row>
        <row r="2394">
          <cell r="B2394">
            <v>1481</v>
          </cell>
          <cell r="C2394" t="str">
            <v>BG2581</v>
          </cell>
          <cell r="D2394"/>
          <cell r="E2394"/>
          <cell r="F2394" t="str">
            <v>T 100%</v>
          </cell>
          <cell r="G2394" t="str">
            <v>100% POLYESTER</v>
          </cell>
          <cell r="H2394" t="str">
            <v>57/58</v>
          </cell>
          <cell r="I2394">
            <v>130</v>
          </cell>
          <cell r="J2394">
            <v>1.5</v>
          </cell>
          <cell r="K2394">
            <v>1.75</v>
          </cell>
          <cell r="L2394">
            <v>1.53</v>
          </cell>
          <cell r="M2394">
            <v>1.8</v>
          </cell>
          <cell r="N2394">
            <v>1.55</v>
          </cell>
          <cell r="O2394">
            <v>1.85</v>
          </cell>
          <cell r="P2394"/>
          <cell r="Q2394"/>
          <cell r="R2394">
            <v>1.8</v>
          </cell>
          <cell r="S2394">
            <v>2.25</v>
          </cell>
          <cell r="T2394"/>
          <cell r="U2394"/>
          <cell r="V2394">
            <v>15</v>
          </cell>
          <cell r="W2394"/>
          <cell r="X2394" t="str">
            <v>ANN</v>
          </cell>
          <cell r="Y2394" t="str">
            <v>ANN 26-MAY</v>
          </cell>
          <cell r="Z2394" t="str">
            <v>ANN' MAIL 31/5/17</v>
          </cell>
          <cell r="AA2394"/>
          <cell r="AB2394">
            <v>42886</v>
          </cell>
          <cell r="AC2394">
            <v>1481</v>
          </cell>
        </row>
        <row r="2395">
          <cell r="B2395">
            <v>1012</v>
          </cell>
          <cell r="C2395" t="str">
            <v>OLP-SCA-15081901</v>
          </cell>
          <cell r="D2395" t="str">
            <v>COTTON 60s VOILE</v>
          </cell>
          <cell r="E2395"/>
          <cell r="F2395" t="str">
            <v>C 100%</v>
          </cell>
          <cell r="G2395" t="str">
            <v>100% 60S COTTON</v>
          </cell>
          <cell r="H2395" t="str">
            <v>53/54</v>
          </cell>
          <cell r="I2395">
            <v>72</v>
          </cell>
          <cell r="J2395">
            <v>1.51</v>
          </cell>
          <cell r="K2395">
            <v>1.75</v>
          </cell>
          <cell r="L2395">
            <v>1.6</v>
          </cell>
          <cell r="M2395">
            <v>1.9</v>
          </cell>
          <cell r="N2395">
            <v>1.7</v>
          </cell>
          <cell r="O2395">
            <v>2.0499999999999998</v>
          </cell>
          <cell r="P2395"/>
          <cell r="Q2395"/>
          <cell r="R2395">
            <v>1.85</v>
          </cell>
          <cell r="S2395">
            <v>2.5</v>
          </cell>
          <cell r="T2395"/>
          <cell r="U2395"/>
          <cell r="V2395">
            <v>15</v>
          </cell>
          <cell r="W2395"/>
          <cell r="X2395" t="str">
            <v>OWEN</v>
          </cell>
          <cell r="Y2395" t="str">
            <v>OWEN 30-MAY</v>
          </cell>
          <cell r="Z2395" t="str">
            <v>SANDY' MAIL 31/5/17</v>
          </cell>
          <cell r="AA2395"/>
          <cell r="AB2395">
            <v>42886</v>
          </cell>
          <cell r="AC2395">
            <v>1012</v>
          </cell>
        </row>
        <row r="2396">
          <cell r="B2396">
            <v>1007</v>
          </cell>
          <cell r="C2396" t="str">
            <v>BG2414</v>
          </cell>
          <cell r="D2396" t="str">
            <v>COTTON VOILE 60S</v>
          </cell>
          <cell r="E2396" t="str">
            <v>COTTON VOILE 60S</v>
          </cell>
          <cell r="F2396" t="str">
            <v>C 100%</v>
          </cell>
          <cell r="G2396" t="str">
            <v>100% 60S COTTON VOILE</v>
          </cell>
          <cell r="H2396" t="str">
            <v>54/55</v>
          </cell>
          <cell r="I2396">
            <v>68</v>
          </cell>
          <cell r="J2396">
            <v>1.5</v>
          </cell>
          <cell r="K2396">
            <v>1.8</v>
          </cell>
          <cell r="L2396">
            <v>1.53</v>
          </cell>
          <cell r="M2396">
            <v>1.85</v>
          </cell>
          <cell r="N2396">
            <v>1.55</v>
          </cell>
          <cell r="O2396">
            <v>1.9</v>
          </cell>
          <cell r="P2396"/>
          <cell r="Q2396"/>
          <cell r="R2396">
            <v>1.8</v>
          </cell>
          <cell r="S2396">
            <v>2.2999999999999998</v>
          </cell>
          <cell r="T2396"/>
          <cell r="U2396"/>
          <cell r="V2396">
            <v>15</v>
          </cell>
          <cell r="W2396"/>
          <cell r="X2396" t="str">
            <v>ANN</v>
          </cell>
          <cell r="Y2396" t="str">
            <v>ANN 26-MAY</v>
          </cell>
          <cell r="Z2396" t="str">
            <v>ANN' MAIL 31/5/17</v>
          </cell>
          <cell r="AA2396"/>
          <cell r="AB2396">
            <v>42886</v>
          </cell>
          <cell r="AC2396">
            <v>1007</v>
          </cell>
        </row>
        <row r="2397">
          <cell r="B2397">
            <v>1005</v>
          </cell>
          <cell r="C2397" t="str">
            <v>TS-154</v>
          </cell>
          <cell r="D2397" t="str">
            <v>COTTON VOILE 80S</v>
          </cell>
          <cell r="E2397"/>
          <cell r="F2397" t="str">
            <v>C 100%</v>
          </cell>
          <cell r="G2397" t="str">
            <v>100% 80S COTTON VOILE</v>
          </cell>
          <cell r="H2397" t="str">
            <v>148CM</v>
          </cell>
          <cell r="I2397">
            <v>54</v>
          </cell>
          <cell r="J2397">
            <v>1.31</v>
          </cell>
          <cell r="K2397">
            <v>1.49</v>
          </cell>
          <cell r="L2397">
            <v>1.33</v>
          </cell>
          <cell r="M2397">
            <v>1.52</v>
          </cell>
          <cell r="N2397">
            <v>1.35</v>
          </cell>
          <cell r="O2397">
            <v>1.55</v>
          </cell>
          <cell r="P2397"/>
          <cell r="Q2397"/>
          <cell r="R2397">
            <v>1.5</v>
          </cell>
          <cell r="S2397">
            <v>1.8</v>
          </cell>
          <cell r="T2397"/>
          <cell r="U2397"/>
          <cell r="V2397">
            <v>15</v>
          </cell>
          <cell r="W2397"/>
          <cell r="X2397" t="str">
            <v>GAVIN</v>
          </cell>
          <cell r="Y2397" t="str">
            <v>GAVIN 30-MAY</v>
          </cell>
          <cell r="Z2397" t="str">
            <v>GAVIN' MAIL 31/5/17</v>
          </cell>
          <cell r="AA2397"/>
          <cell r="AB2397">
            <v>42886</v>
          </cell>
          <cell r="AC2397">
            <v>1005</v>
          </cell>
        </row>
        <row r="2398">
          <cell r="B2398">
            <v>3257</v>
          </cell>
          <cell r="C2398" t="str">
            <v>WW-20567</v>
          </cell>
          <cell r="D2398" t="str">
            <v>CHIFFON (ALISON HAYE) - REPLACE 1509</v>
          </cell>
          <cell r="E2398" t="str">
            <v>100D x 100D</v>
          </cell>
          <cell r="F2398" t="str">
            <v>T 100%</v>
          </cell>
          <cell r="G2398" t="str">
            <v>100% POLYESTER</v>
          </cell>
          <cell r="H2398" t="str">
            <v>57/58</v>
          </cell>
          <cell r="I2398">
            <v>72</v>
          </cell>
          <cell r="J2398">
            <v>0.83</v>
          </cell>
          <cell r="K2398">
            <v>1.1299999999999999</v>
          </cell>
          <cell r="L2398">
            <v>0.85</v>
          </cell>
          <cell r="M2398">
            <v>1.1499999999999999</v>
          </cell>
          <cell r="N2398">
            <v>0.85</v>
          </cell>
          <cell r="O2398">
            <v>1.1499999999999999</v>
          </cell>
          <cell r="P2398"/>
          <cell r="Q2398"/>
          <cell r="R2398">
            <v>1</v>
          </cell>
          <cell r="S2398">
            <v>2</v>
          </cell>
          <cell r="T2398"/>
          <cell r="U2398"/>
          <cell r="V2398">
            <v>15</v>
          </cell>
          <cell r="W2398"/>
          <cell r="X2398" t="str">
            <v>PANI</v>
          </cell>
          <cell r="Y2398" t="str">
            <v>PANY 30-MAY</v>
          </cell>
          <cell r="Z2398" t="str">
            <v>AMY SENT VIA WECHAT</v>
          </cell>
          <cell r="AA2398"/>
          <cell r="AB2398">
            <v>42885</v>
          </cell>
          <cell r="AC2398">
            <v>3257</v>
          </cell>
        </row>
        <row r="2399">
          <cell r="B2399">
            <v>3256</v>
          </cell>
          <cell r="C2399" t="str">
            <v>WW-20566</v>
          </cell>
          <cell r="D2399" t="str">
            <v>CHIFFON (ALISON HAYE) - REPLACE 1509</v>
          </cell>
          <cell r="E2399" t="str">
            <v>75D X 75D</v>
          </cell>
          <cell r="F2399" t="str">
            <v>T 100%</v>
          </cell>
          <cell r="G2399" t="str">
            <v>100% POLYESTER</v>
          </cell>
          <cell r="H2399" t="str">
            <v>57/58</v>
          </cell>
          <cell r="I2399">
            <v>70</v>
          </cell>
          <cell r="J2399">
            <v>0.83</v>
          </cell>
          <cell r="K2399">
            <v>1.1299999999999999</v>
          </cell>
          <cell r="L2399">
            <v>0.85</v>
          </cell>
          <cell r="M2399">
            <v>1.1499999999999999</v>
          </cell>
          <cell r="N2399">
            <v>0.85</v>
          </cell>
          <cell r="O2399">
            <v>1.1499999999999999</v>
          </cell>
          <cell r="P2399"/>
          <cell r="Q2399"/>
          <cell r="R2399">
            <v>1</v>
          </cell>
          <cell r="S2399">
            <v>2</v>
          </cell>
          <cell r="T2399"/>
          <cell r="U2399"/>
          <cell r="V2399">
            <v>15</v>
          </cell>
          <cell r="W2399"/>
          <cell r="X2399" t="str">
            <v>PANI</v>
          </cell>
          <cell r="Y2399" t="str">
            <v>PANY 30-MAY</v>
          </cell>
          <cell r="Z2399" t="str">
            <v>AMY SENT VIA WECHAT</v>
          </cell>
          <cell r="AA2399"/>
          <cell r="AB2399">
            <v>42885</v>
          </cell>
          <cell r="AC2399">
            <v>3256</v>
          </cell>
        </row>
        <row r="2400">
          <cell r="B2400">
            <v>3249</v>
          </cell>
          <cell r="C2400" t="str">
            <v>CK5559</v>
          </cell>
          <cell r="D2400" t="str">
            <v>ALISON HAYE RUNNING - CRUSHED VELVET</v>
          </cell>
          <cell r="E2400"/>
          <cell r="F2400" t="str">
            <v>T/S 95/5</v>
          </cell>
          <cell r="G2400" t="str">
            <v>95% POLYESTER 5% SPANDEX</v>
          </cell>
          <cell r="H2400" t="str">
            <v>152CM</v>
          </cell>
          <cell r="I2400">
            <v>252</v>
          </cell>
          <cell r="J2400">
            <v>1.7</v>
          </cell>
          <cell r="K2400"/>
          <cell r="L2400">
            <v>1.7</v>
          </cell>
          <cell r="M2400"/>
          <cell r="N2400">
            <v>1.7</v>
          </cell>
          <cell r="O2400"/>
          <cell r="P2400"/>
          <cell r="Q2400"/>
          <cell r="R2400">
            <v>2</v>
          </cell>
          <cell r="S2400"/>
          <cell r="T2400"/>
          <cell r="U2400"/>
          <cell r="V2400">
            <v>15</v>
          </cell>
          <cell r="W2400"/>
          <cell r="X2400" t="str">
            <v>PANI</v>
          </cell>
          <cell r="Y2400" t="str">
            <v>PANI 26-MAY</v>
          </cell>
          <cell r="Z2400" t="str">
            <v>AMY' MAIL 30/5/17</v>
          </cell>
          <cell r="AA2400"/>
          <cell r="AB2400">
            <v>42885</v>
          </cell>
          <cell r="AC2400">
            <v>3249</v>
          </cell>
        </row>
        <row r="2401">
          <cell r="B2401">
            <v>3246</v>
          </cell>
          <cell r="C2401" t="str">
            <v>WW-21905</v>
          </cell>
          <cell r="D2401" t="str">
            <v>ALISON HAYE RUNNING - POLY TWILL</v>
          </cell>
          <cell r="E2401"/>
          <cell r="F2401" t="str">
            <v>T 100%</v>
          </cell>
          <cell r="G2401" t="str">
            <v>100% POLYESTER</v>
          </cell>
          <cell r="H2401" t="str">
            <v>57/58</v>
          </cell>
          <cell r="I2401">
            <v>125</v>
          </cell>
          <cell r="J2401">
            <v>1.1499999999999999</v>
          </cell>
          <cell r="K2401">
            <v>1.45</v>
          </cell>
          <cell r="L2401">
            <v>1.1499999999999999</v>
          </cell>
          <cell r="M2401">
            <v>1.45</v>
          </cell>
          <cell r="N2401">
            <v>1.1499999999999999</v>
          </cell>
          <cell r="O2401">
            <v>1.45</v>
          </cell>
          <cell r="P2401"/>
          <cell r="Q2401"/>
          <cell r="R2401">
            <v>1.3</v>
          </cell>
          <cell r="S2401">
            <v>2.2999999999999998</v>
          </cell>
          <cell r="T2401"/>
          <cell r="U2401"/>
          <cell r="V2401">
            <v>15</v>
          </cell>
          <cell r="W2401"/>
          <cell r="X2401" t="str">
            <v>PANI</v>
          </cell>
          <cell r="Y2401" t="str">
            <v>PANI 26-MAY</v>
          </cell>
          <cell r="Z2401" t="str">
            <v>AMY' MAIL 30/5/17</v>
          </cell>
          <cell r="AA2401"/>
          <cell r="AB2401">
            <v>42885</v>
          </cell>
          <cell r="AC2401">
            <v>3246</v>
          </cell>
        </row>
        <row r="2402">
          <cell r="B2402">
            <v>3245</v>
          </cell>
          <cell r="C2402" t="str">
            <v>WW-21649</v>
          </cell>
          <cell r="D2402" t="str">
            <v>ALISON HAYE FAB. - SATEEN YORYU</v>
          </cell>
          <cell r="E2402"/>
          <cell r="F2402" t="str">
            <v>T 100%</v>
          </cell>
          <cell r="G2402" t="str">
            <v>100% POLYESTER</v>
          </cell>
          <cell r="H2402" t="str">
            <v>57/58</v>
          </cell>
          <cell r="I2402">
            <v>96</v>
          </cell>
          <cell r="J2402">
            <v>1.35</v>
          </cell>
          <cell r="K2402">
            <v>1.65</v>
          </cell>
          <cell r="L2402">
            <v>1.35</v>
          </cell>
          <cell r="M2402">
            <v>1.65</v>
          </cell>
          <cell r="N2402">
            <v>1.35</v>
          </cell>
          <cell r="O2402">
            <v>1.65</v>
          </cell>
          <cell r="P2402"/>
          <cell r="Q2402"/>
          <cell r="R2402">
            <v>1.5</v>
          </cell>
          <cell r="S2402">
            <v>2.5</v>
          </cell>
          <cell r="T2402"/>
          <cell r="U2402"/>
          <cell r="V2402">
            <v>15</v>
          </cell>
          <cell r="W2402"/>
          <cell r="X2402" t="str">
            <v>PANI</v>
          </cell>
          <cell r="Y2402" t="str">
            <v>PANI 26-MAY</v>
          </cell>
          <cell r="Z2402" t="str">
            <v>AMY' MAIL 30/5/17</v>
          </cell>
          <cell r="AA2402"/>
          <cell r="AB2402">
            <v>42885</v>
          </cell>
          <cell r="AC2402">
            <v>3245</v>
          </cell>
        </row>
        <row r="2403">
          <cell r="B2403">
            <v>3243</v>
          </cell>
          <cell r="C2403" t="str">
            <v>SH884</v>
          </cell>
          <cell r="D2403" t="str">
            <v>ALISON HAYE RUNNING - BUBBLE CREPE SATEEN</v>
          </cell>
          <cell r="E2403"/>
          <cell r="F2403" t="str">
            <v>T 100%</v>
          </cell>
          <cell r="G2403" t="str">
            <v>100% POLYESTER</v>
          </cell>
          <cell r="H2403" t="str">
            <v>150CM</v>
          </cell>
          <cell r="I2403">
            <v>110</v>
          </cell>
          <cell r="J2403">
            <v>1.55</v>
          </cell>
          <cell r="K2403">
            <v>1.85</v>
          </cell>
          <cell r="L2403">
            <v>1.6</v>
          </cell>
          <cell r="M2403">
            <v>1.9</v>
          </cell>
          <cell r="N2403">
            <v>1.6</v>
          </cell>
          <cell r="O2403">
            <v>1.9</v>
          </cell>
          <cell r="P2403"/>
          <cell r="Q2403"/>
          <cell r="R2403">
            <v>1.7</v>
          </cell>
          <cell r="S2403">
            <v>2.7</v>
          </cell>
          <cell r="T2403"/>
          <cell r="U2403"/>
          <cell r="V2403">
            <v>15</v>
          </cell>
          <cell r="W2403"/>
          <cell r="X2403" t="str">
            <v>PANI</v>
          </cell>
          <cell r="Y2403" t="str">
            <v>PANI 26-MAY</v>
          </cell>
          <cell r="Z2403" t="str">
            <v>AMY' MAIL 30/5/17</v>
          </cell>
          <cell r="AA2403"/>
          <cell r="AB2403">
            <v>42885</v>
          </cell>
          <cell r="AC2403">
            <v>3243</v>
          </cell>
        </row>
        <row r="2404">
          <cell r="B2404">
            <v>3242</v>
          </cell>
          <cell r="C2404" t="str">
            <v>WW-21789</v>
          </cell>
          <cell r="D2404" t="str">
            <v>ALISON HAYE RUNNING - BUBBLE CREPE</v>
          </cell>
          <cell r="E2404"/>
          <cell r="F2404" t="str">
            <v>T/S 97/3</v>
          </cell>
          <cell r="G2404" t="str">
            <v>97% POLYESTER 3% SPANDEX</v>
          </cell>
          <cell r="H2404" t="str">
            <v>57/58</v>
          </cell>
          <cell r="I2404">
            <v>130</v>
          </cell>
          <cell r="J2404">
            <v>1.3</v>
          </cell>
          <cell r="K2404">
            <v>1.6</v>
          </cell>
          <cell r="L2404">
            <v>1.3</v>
          </cell>
          <cell r="M2404">
            <v>1.6</v>
          </cell>
          <cell r="N2404">
            <v>1.3</v>
          </cell>
          <cell r="O2404">
            <v>1.6</v>
          </cell>
          <cell r="P2404"/>
          <cell r="Q2404"/>
          <cell r="R2404">
            <v>1.45</v>
          </cell>
          <cell r="S2404">
            <v>2.4500000000000002</v>
          </cell>
          <cell r="T2404"/>
          <cell r="U2404"/>
          <cell r="V2404">
            <v>15</v>
          </cell>
          <cell r="W2404"/>
          <cell r="X2404" t="str">
            <v>PANI</v>
          </cell>
          <cell r="Y2404" t="str">
            <v>PANI 26-MAY</v>
          </cell>
          <cell r="Z2404" t="str">
            <v>AMY' MAIL 30/5/17</v>
          </cell>
          <cell r="AA2404"/>
          <cell r="AB2404">
            <v>42885</v>
          </cell>
          <cell r="AC2404">
            <v>3242</v>
          </cell>
        </row>
        <row r="2405">
          <cell r="B2405">
            <v>3078</v>
          </cell>
          <cell r="C2405" t="str">
            <v>WW-21436</v>
          </cell>
          <cell r="D2405" t="str">
            <v>ALISON HAYE RUNNING - CREPE</v>
          </cell>
          <cell r="E2405"/>
          <cell r="F2405" t="str">
            <v>T 100%</v>
          </cell>
          <cell r="G2405" t="str">
            <v>100% POLYESTER</v>
          </cell>
          <cell r="H2405" t="str">
            <v>57/58</v>
          </cell>
          <cell r="I2405">
            <v>120</v>
          </cell>
          <cell r="J2405">
            <v>1.03</v>
          </cell>
          <cell r="K2405">
            <v>1.28</v>
          </cell>
          <cell r="L2405">
            <v>1.03</v>
          </cell>
          <cell r="M2405">
            <v>1.28</v>
          </cell>
          <cell r="N2405">
            <v>1.08</v>
          </cell>
          <cell r="O2405">
            <v>1.33</v>
          </cell>
          <cell r="P2405"/>
          <cell r="Q2405"/>
          <cell r="R2405">
            <v>1.2</v>
          </cell>
          <cell r="S2405">
            <v>2.2000000000000002</v>
          </cell>
          <cell r="T2405"/>
          <cell r="U2405"/>
          <cell r="V2405">
            <v>15</v>
          </cell>
          <cell r="W2405"/>
          <cell r="X2405" t="str">
            <v>PANI</v>
          </cell>
          <cell r="Y2405" t="str">
            <v>PANI 26-MAY</v>
          </cell>
          <cell r="Z2405" t="str">
            <v>AMY' MAIL 30/5/17</v>
          </cell>
          <cell r="AA2405"/>
          <cell r="AB2405">
            <v>42885</v>
          </cell>
          <cell r="AC2405">
            <v>3078</v>
          </cell>
        </row>
        <row r="2406">
          <cell r="B2406">
            <v>2594</v>
          </cell>
          <cell r="C2406" t="str">
            <v>TS-311</v>
          </cell>
          <cell r="D2406" t="str">
            <v>COTTON VOILE 60S</v>
          </cell>
          <cell r="E2406"/>
          <cell r="F2406" t="str">
            <v>C 100%</v>
          </cell>
          <cell r="G2406" t="str">
            <v xml:space="preserve">100% COTTON  </v>
          </cell>
          <cell r="H2406" t="str">
            <v>57/58</v>
          </cell>
          <cell r="I2406">
            <v>90</v>
          </cell>
          <cell r="J2406"/>
          <cell r="K2406"/>
          <cell r="L2406"/>
          <cell r="M2406"/>
          <cell r="N2406"/>
          <cell r="O2406"/>
          <cell r="P2406"/>
          <cell r="Q2406"/>
          <cell r="R2406"/>
          <cell r="S2406"/>
          <cell r="T2406"/>
          <cell r="U2406"/>
          <cell r="V2406"/>
          <cell r="W2406"/>
          <cell r="X2406" t="str">
            <v>GAVIN</v>
          </cell>
          <cell r="Y2406" t="str">
            <v>HANGER</v>
          </cell>
          <cell r="Z2406"/>
          <cell r="AA2406"/>
          <cell r="AB2406">
            <v>42885</v>
          </cell>
          <cell r="AC2406">
            <v>2594</v>
          </cell>
        </row>
        <row r="2407">
          <cell r="B2407">
            <v>2226</v>
          </cell>
          <cell r="C2407" t="str">
            <v>1652706YH</v>
          </cell>
          <cell r="D2407" t="str">
            <v>LINEN</v>
          </cell>
          <cell r="E2407" t="str">
            <v>LINEN</v>
          </cell>
          <cell r="F2407" t="str">
            <v>L/C 55/45</v>
          </cell>
          <cell r="G2407" t="str">
            <v>55% LINEN 45% COTTON</v>
          </cell>
          <cell r="H2407" t="str">
            <v>51/52</v>
          </cell>
          <cell r="I2407">
            <v>150</v>
          </cell>
          <cell r="J2407"/>
          <cell r="K2407"/>
          <cell r="L2407"/>
          <cell r="M2407"/>
          <cell r="N2407"/>
          <cell r="O2407"/>
          <cell r="P2407"/>
          <cell r="Q2407"/>
          <cell r="R2407"/>
          <cell r="S2407"/>
          <cell r="T2407"/>
          <cell r="U2407"/>
          <cell r="V2407"/>
          <cell r="W2407"/>
          <cell r="X2407" t="str">
            <v>OWEN</v>
          </cell>
          <cell r="Y2407" t="str">
            <v>HANGER</v>
          </cell>
          <cell r="Z2407"/>
          <cell r="AA2407"/>
          <cell r="AB2407">
            <v>42885</v>
          </cell>
          <cell r="AC2407">
            <v>2226</v>
          </cell>
        </row>
        <row r="2408">
          <cell r="B2408">
            <v>3240</v>
          </cell>
          <cell r="C2408" t="str">
            <v>TS-343</v>
          </cell>
          <cell r="D2408" t="str">
            <v>POLY TWILL SPANDEX</v>
          </cell>
          <cell r="E2408" t="str">
            <v>TWILL 2/1</v>
          </cell>
          <cell r="F2408" t="str">
            <v>T/S 94/6</v>
          </cell>
          <cell r="G2408" t="str">
            <v>94% POLYESTER 6% SPANDEX</v>
          </cell>
          <cell r="H2408" t="str">
            <v>57/58</v>
          </cell>
          <cell r="I2408">
            <v>215</v>
          </cell>
          <cell r="J2408" t="str">
            <v xml:space="preserve"> </v>
          </cell>
          <cell r="K2408">
            <v>2.09</v>
          </cell>
          <cell r="L2408">
            <v>1.96</v>
          </cell>
          <cell r="M2408">
            <v>2.12</v>
          </cell>
          <cell r="N2408">
            <v>1.98</v>
          </cell>
          <cell r="O2408">
            <v>2.15</v>
          </cell>
          <cell r="P2408"/>
          <cell r="Q2408"/>
          <cell r="R2408">
            <v>2.15</v>
          </cell>
          <cell r="S2408">
            <v>2.35</v>
          </cell>
          <cell r="T2408"/>
          <cell r="U2408"/>
          <cell r="V2408">
            <v>15</v>
          </cell>
          <cell r="W2408"/>
          <cell r="X2408" t="str">
            <v>GAVIN</v>
          </cell>
          <cell r="Y2408" t="str">
            <v>GAVIN 25-MAY</v>
          </cell>
          <cell r="Z2408" t="str">
            <v>GAVIN'MAIL 27/5/17</v>
          </cell>
          <cell r="AA2408"/>
          <cell r="AB2408">
            <v>42882</v>
          </cell>
          <cell r="AC2408">
            <v>3240</v>
          </cell>
        </row>
        <row r="2409">
          <cell r="B2409">
            <v>3239</v>
          </cell>
          <cell r="C2409" t="str">
            <v>TS-342</v>
          </cell>
          <cell r="D2409" t="str">
            <v>TWO LAYER - TAYLORING</v>
          </cell>
          <cell r="E2409" t="str">
            <v>TWO LAYER</v>
          </cell>
          <cell r="F2409" t="str">
            <v>T/R 80/20</v>
          </cell>
          <cell r="G2409" t="str">
            <v>80% POLYESTER 20% RAYON</v>
          </cell>
          <cell r="H2409" t="str">
            <v>57/58</v>
          </cell>
          <cell r="I2409">
            <v>360</v>
          </cell>
          <cell r="J2409">
            <v>2.56</v>
          </cell>
          <cell r="K2409">
            <v>2.69</v>
          </cell>
          <cell r="L2409">
            <v>2.58</v>
          </cell>
          <cell r="M2409">
            <v>2.72</v>
          </cell>
          <cell r="N2409">
            <v>2.6</v>
          </cell>
          <cell r="O2409">
            <v>2.75</v>
          </cell>
          <cell r="P2409"/>
          <cell r="Q2409"/>
          <cell r="R2409">
            <v>2.75</v>
          </cell>
          <cell r="S2409">
            <v>2.98</v>
          </cell>
          <cell r="T2409"/>
          <cell r="U2409"/>
          <cell r="V2409">
            <v>15</v>
          </cell>
          <cell r="W2409"/>
          <cell r="X2409" t="str">
            <v>GAVIN</v>
          </cell>
          <cell r="Y2409" t="str">
            <v>GAVIN 25-MAY</v>
          </cell>
          <cell r="Z2409" t="str">
            <v>GAVIN'MAIL 27/5/17</v>
          </cell>
          <cell r="AA2409"/>
          <cell r="AB2409">
            <v>42882</v>
          </cell>
          <cell r="AC2409">
            <v>3239</v>
          </cell>
        </row>
        <row r="2410">
          <cell r="B2410">
            <v>3238</v>
          </cell>
          <cell r="C2410" t="str">
            <v>TS-341</v>
          </cell>
          <cell r="D2410" t="str">
            <v>YARNDYED DOBBY -TAYLORING</v>
          </cell>
          <cell r="E2410" t="str">
            <v>YARNDYED DOBBY</v>
          </cell>
          <cell r="F2410" t="str">
            <v>T/C 65/35</v>
          </cell>
          <cell r="G2410" t="str">
            <v>65% POLYESTER 35% COTTON</v>
          </cell>
          <cell r="H2410" t="str">
            <v>51/52</v>
          </cell>
          <cell r="I2410">
            <v>196</v>
          </cell>
          <cell r="J2410">
            <v>9</v>
          </cell>
          <cell r="K2410"/>
          <cell r="L2410">
            <v>1.83</v>
          </cell>
          <cell r="M2410"/>
          <cell r="N2410">
            <v>1.85</v>
          </cell>
          <cell r="O2410"/>
          <cell r="P2410"/>
          <cell r="Q2410"/>
          <cell r="R2410"/>
          <cell r="S2410"/>
          <cell r="T2410"/>
          <cell r="U2410"/>
          <cell r="V2410"/>
          <cell r="W2410"/>
          <cell r="X2410" t="str">
            <v>GAVIN</v>
          </cell>
          <cell r="Y2410" t="str">
            <v>GAVIN 25-MAY</v>
          </cell>
          <cell r="Z2410" t="str">
            <v>GAVIN'MAIL 27/5/17</v>
          </cell>
          <cell r="AA2410"/>
          <cell r="AB2410">
            <v>42882</v>
          </cell>
          <cell r="AC2410">
            <v>3238</v>
          </cell>
        </row>
        <row r="2411">
          <cell r="B2411">
            <v>3273</v>
          </cell>
          <cell r="C2411" t="str">
            <v>M-514</v>
          </cell>
          <cell r="D2411" t="str">
            <v>LACE</v>
          </cell>
          <cell r="E2411"/>
          <cell r="F2411" t="str">
            <v>N/T/S 55/40/5</v>
          </cell>
          <cell r="G2411" t="str">
            <v>55% NYLON 40% POLYESTER 5% SPANDEX</v>
          </cell>
          <cell r="H2411" t="str">
            <v>57/58</v>
          </cell>
          <cell r="I2411"/>
          <cell r="J2411">
            <v>2</v>
          </cell>
          <cell r="K2411"/>
          <cell r="L2411">
            <v>2.0299999999999998</v>
          </cell>
          <cell r="M2411"/>
          <cell r="N2411">
            <v>2.0299999999999998</v>
          </cell>
          <cell r="O2411"/>
          <cell r="P2411"/>
          <cell r="Q2411"/>
          <cell r="R2411"/>
          <cell r="S2411"/>
          <cell r="T2411"/>
          <cell r="U2411"/>
          <cell r="V2411"/>
          <cell r="W2411"/>
          <cell r="X2411" t="str">
            <v>LIVALTEX</v>
          </cell>
          <cell r="Y2411" t="str">
            <v>LIVALTEX 25-MAY</v>
          </cell>
          <cell r="Z2411" t="str">
            <v>ROSE' MAIL 26/5/17</v>
          </cell>
          <cell r="AA2411"/>
          <cell r="AB2411">
            <v>42881</v>
          </cell>
          <cell r="AC2411">
            <v>3273</v>
          </cell>
        </row>
        <row r="2412">
          <cell r="B2412">
            <v>3272</v>
          </cell>
          <cell r="C2412" t="str">
            <v>M-513</v>
          </cell>
          <cell r="D2412" t="str">
            <v>LACE</v>
          </cell>
          <cell r="E2412"/>
          <cell r="F2412" t="str">
            <v>N/T 55/45</v>
          </cell>
          <cell r="G2412" t="str">
            <v>55% NYLON 45% POLYESTER</v>
          </cell>
          <cell r="H2412" t="str">
            <v>57/58</v>
          </cell>
          <cell r="I2412"/>
          <cell r="J2412">
            <v>2.13</v>
          </cell>
          <cell r="K2412"/>
          <cell r="L2412">
            <v>2.15</v>
          </cell>
          <cell r="M2412"/>
          <cell r="N2412">
            <v>2.15</v>
          </cell>
          <cell r="O2412"/>
          <cell r="P2412"/>
          <cell r="Q2412"/>
          <cell r="R2412"/>
          <cell r="S2412"/>
          <cell r="T2412"/>
          <cell r="U2412"/>
          <cell r="V2412"/>
          <cell r="W2412"/>
          <cell r="X2412" t="str">
            <v>LIVALTEX</v>
          </cell>
          <cell r="Y2412" t="str">
            <v>LIVALTEX 25-MAY</v>
          </cell>
          <cell r="Z2412" t="str">
            <v>ROSE' MAIL 26/5/17</v>
          </cell>
          <cell r="AA2412"/>
          <cell r="AB2412">
            <v>42881</v>
          </cell>
          <cell r="AC2412">
            <v>3272</v>
          </cell>
        </row>
        <row r="2413">
          <cell r="B2413">
            <v>3271</v>
          </cell>
          <cell r="C2413" t="str">
            <v>M-512</v>
          </cell>
          <cell r="D2413" t="str">
            <v>LACE</v>
          </cell>
          <cell r="E2413"/>
          <cell r="F2413" t="str">
            <v>N/C 55/45</v>
          </cell>
          <cell r="G2413" t="str">
            <v>55% NYLON 45% COTTON</v>
          </cell>
          <cell r="H2413" t="str">
            <v>57/58</v>
          </cell>
          <cell r="I2413"/>
          <cell r="J2413">
            <v>2.42</v>
          </cell>
          <cell r="K2413"/>
          <cell r="L2413">
            <v>2.4500000000000002</v>
          </cell>
          <cell r="M2413"/>
          <cell r="N2413">
            <v>2.4500000000000002</v>
          </cell>
          <cell r="O2413"/>
          <cell r="P2413"/>
          <cell r="Q2413"/>
          <cell r="R2413"/>
          <cell r="S2413"/>
          <cell r="T2413"/>
          <cell r="U2413"/>
          <cell r="V2413"/>
          <cell r="W2413"/>
          <cell r="X2413" t="str">
            <v>LIVALTEX</v>
          </cell>
          <cell r="Y2413" t="str">
            <v>LIVALTEX 25-MAY</v>
          </cell>
          <cell r="Z2413" t="str">
            <v>ROSE' MAIL 26/5/17</v>
          </cell>
          <cell r="AA2413"/>
          <cell r="AB2413">
            <v>42881</v>
          </cell>
          <cell r="AC2413">
            <v>3271</v>
          </cell>
        </row>
        <row r="2414">
          <cell r="B2414">
            <v>3270</v>
          </cell>
          <cell r="C2414" t="str">
            <v>M-511</v>
          </cell>
          <cell r="D2414" t="str">
            <v>LACE</v>
          </cell>
          <cell r="E2414"/>
          <cell r="F2414" t="str">
            <v>N/T/S 55/40/5</v>
          </cell>
          <cell r="G2414" t="str">
            <v>55% NYLON 40% POLYESTER 5% SPANDEX</v>
          </cell>
          <cell r="H2414" t="str">
            <v>57/58</v>
          </cell>
          <cell r="I2414"/>
          <cell r="J2414">
            <v>2.42</v>
          </cell>
          <cell r="K2414"/>
          <cell r="L2414">
            <v>2.4500000000000002</v>
          </cell>
          <cell r="M2414"/>
          <cell r="N2414">
            <v>2.4500000000000002</v>
          </cell>
          <cell r="O2414"/>
          <cell r="P2414"/>
          <cell r="Q2414"/>
          <cell r="R2414"/>
          <cell r="S2414"/>
          <cell r="T2414"/>
          <cell r="U2414"/>
          <cell r="V2414"/>
          <cell r="W2414"/>
          <cell r="X2414" t="str">
            <v>LIVALTEX</v>
          </cell>
          <cell r="Y2414" t="str">
            <v>LIVALTEX 25-MAY</v>
          </cell>
          <cell r="Z2414" t="str">
            <v>ROSE' MAIL 26/5/17</v>
          </cell>
          <cell r="AA2414"/>
          <cell r="AB2414">
            <v>42881</v>
          </cell>
          <cell r="AC2414">
            <v>3270</v>
          </cell>
        </row>
        <row r="2415">
          <cell r="B2415">
            <v>3269</v>
          </cell>
          <cell r="C2415" t="str">
            <v>M-510</v>
          </cell>
          <cell r="D2415" t="str">
            <v>LACE</v>
          </cell>
          <cell r="E2415"/>
          <cell r="F2415" t="str">
            <v>N/T/S 55/40/5</v>
          </cell>
          <cell r="G2415" t="str">
            <v>55% NYLON 40% POLYESTER 5% SPANDEX</v>
          </cell>
          <cell r="H2415" t="str">
            <v>57/58</v>
          </cell>
          <cell r="I2415"/>
          <cell r="J2415">
            <v>3.13</v>
          </cell>
          <cell r="K2415"/>
          <cell r="L2415">
            <v>3.17</v>
          </cell>
          <cell r="M2415"/>
          <cell r="N2415">
            <v>3.17</v>
          </cell>
          <cell r="O2415"/>
          <cell r="P2415"/>
          <cell r="Q2415"/>
          <cell r="R2415"/>
          <cell r="S2415"/>
          <cell r="T2415"/>
          <cell r="U2415"/>
          <cell r="V2415"/>
          <cell r="W2415"/>
          <cell r="X2415" t="str">
            <v>LIVALTEX</v>
          </cell>
          <cell r="Y2415" t="str">
            <v>LIVALTEX 25-MAY</v>
          </cell>
          <cell r="Z2415" t="str">
            <v>ROSE' MAIL 26/5/17</v>
          </cell>
          <cell r="AA2415"/>
          <cell r="AB2415">
            <v>42881</v>
          </cell>
          <cell r="AC2415">
            <v>3269</v>
          </cell>
        </row>
        <row r="2416">
          <cell r="B2416">
            <v>3268</v>
          </cell>
          <cell r="C2416" t="str">
            <v>M-509</v>
          </cell>
          <cell r="D2416" t="str">
            <v>LACE</v>
          </cell>
          <cell r="E2416"/>
          <cell r="F2416" t="str">
            <v>N/T/S 55/40/5</v>
          </cell>
          <cell r="G2416" t="str">
            <v>55% NYLON 40% POLYESTER 5% SPANDEX</v>
          </cell>
          <cell r="H2416" t="str">
            <v>57/58</v>
          </cell>
          <cell r="I2416"/>
          <cell r="J2416">
            <v>2.54</v>
          </cell>
          <cell r="K2416"/>
          <cell r="L2416">
            <v>2.57</v>
          </cell>
          <cell r="M2416"/>
          <cell r="N2416">
            <v>2.57</v>
          </cell>
          <cell r="O2416"/>
          <cell r="P2416"/>
          <cell r="Q2416"/>
          <cell r="R2416"/>
          <cell r="S2416"/>
          <cell r="T2416"/>
          <cell r="U2416"/>
          <cell r="V2416"/>
          <cell r="W2416"/>
          <cell r="X2416" t="str">
            <v>LIVALTEX</v>
          </cell>
          <cell r="Y2416" t="str">
            <v>LIVALTEX 25-MAY</v>
          </cell>
          <cell r="Z2416" t="str">
            <v>ROSE' MAIL 26/5/17</v>
          </cell>
          <cell r="AA2416"/>
          <cell r="AB2416">
            <v>42881</v>
          </cell>
          <cell r="AC2416">
            <v>3268</v>
          </cell>
        </row>
        <row r="2417">
          <cell r="B2417">
            <v>3267</v>
          </cell>
          <cell r="C2417" t="str">
            <v>M-508</v>
          </cell>
          <cell r="D2417" t="str">
            <v>LACE</v>
          </cell>
          <cell r="E2417"/>
          <cell r="F2417" t="str">
            <v>N/C 65/35</v>
          </cell>
          <cell r="G2417" t="str">
            <v>65% NYLON 35% COTTON</v>
          </cell>
          <cell r="H2417" t="str">
            <v>57/58</v>
          </cell>
          <cell r="I2417"/>
          <cell r="J2417">
            <v>3.3</v>
          </cell>
          <cell r="K2417"/>
          <cell r="L2417">
            <v>3.33</v>
          </cell>
          <cell r="M2417"/>
          <cell r="N2417">
            <v>3.33</v>
          </cell>
          <cell r="O2417"/>
          <cell r="P2417"/>
          <cell r="Q2417"/>
          <cell r="R2417"/>
          <cell r="S2417"/>
          <cell r="T2417"/>
          <cell r="U2417"/>
          <cell r="V2417"/>
          <cell r="W2417"/>
          <cell r="X2417" t="str">
            <v>LIVALTEX</v>
          </cell>
          <cell r="Y2417" t="str">
            <v>LIVALTEX 25-MAY</v>
          </cell>
          <cell r="Z2417" t="str">
            <v>ROSE' MAIL 26/5/17</v>
          </cell>
          <cell r="AA2417"/>
          <cell r="AB2417">
            <v>42881</v>
          </cell>
          <cell r="AC2417">
            <v>3267</v>
          </cell>
        </row>
        <row r="2418">
          <cell r="B2418">
            <v>3266</v>
          </cell>
          <cell r="C2418" t="str">
            <v>M-507</v>
          </cell>
          <cell r="D2418" t="str">
            <v>LACE</v>
          </cell>
          <cell r="E2418"/>
          <cell r="F2418" t="str">
            <v>N/P/S 55/40/5</v>
          </cell>
          <cell r="G2418" t="str">
            <v>55% NYLON 40% POLYESTER 5% SPANDEX</v>
          </cell>
          <cell r="H2418" t="str">
            <v>57/58</v>
          </cell>
          <cell r="I2418"/>
          <cell r="J2418">
            <v>2</v>
          </cell>
          <cell r="K2418"/>
          <cell r="L2418">
            <v>2.0299999999999998</v>
          </cell>
          <cell r="M2418"/>
          <cell r="N2418">
            <v>2.0299999999999998</v>
          </cell>
          <cell r="O2418"/>
          <cell r="P2418"/>
          <cell r="Q2418"/>
          <cell r="R2418"/>
          <cell r="S2418"/>
          <cell r="T2418"/>
          <cell r="U2418"/>
          <cell r="V2418"/>
          <cell r="W2418"/>
          <cell r="X2418" t="str">
            <v>LIVALTEX</v>
          </cell>
          <cell r="Y2418" t="str">
            <v>LIVALTEX 25-MAY</v>
          </cell>
          <cell r="Z2418" t="str">
            <v>ROSE' MAIL 26/5/17</v>
          </cell>
          <cell r="AA2418"/>
          <cell r="AB2418">
            <v>42881</v>
          </cell>
          <cell r="AC2418">
            <v>3266</v>
          </cell>
        </row>
        <row r="2419">
          <cell r="B2419">
            <v>3265</v>
          </cell>
          <cell r="C2419" t="str">
            <v>M-506</v>
          </cell>
          <cell r="D2419" t="str">
            <v>LACE</v>
          </cell>
          <cell r="E2419"/>
          <cell r="F2419" t="str">
            <v>N/C 55/45</v>
          </cell>
          <cell r="G2419" t="str">
            <v>55% NYLON 45% COTTON</v>
          </cell>
          <cell r="H2419" t="str">
            <v>57/58</v>
          </cell>
          <cell r="I2419"/>
          <cell r="J2419">
            <v>2.87</v>
          </cell>
          <cell r="K2419"/>
          <cell r="L2419">
            <v>2.9</v>
          </cell>
          <cell r="M2419"/>
          <cell r="N2419">
            <v>2.9</v>
          </cell>
          <cell r="O2419"/>
          <cell r="P2419"/>
          <cell r="Q2419"/>
          <cell r="R2419"/>
          <cell r="S2419"/>
          <cell r="T2419"/>
          <cell r="U2419"/>
          <cell r="V2419"/>
          <cell r="W2419"/>
          <cell r="X2419" t="str">
            <v>LIVALTEX</v>
          </cell>
          <cell r="Y2419" t="str">
            <v>LIVALTEX 25-MAY</v>
          </cell>
          <cell r="Z2419" t="str">
            <v>ROSE' MAIL 26/5/17</v>
          </cell>
          <cell r="AA2419"/>
          <cell r="AB2419">
            <v>42881</v>
          </cell>
          <cell r="AC2419">
            <v>3265</v>
          </cell>
        </row>
        <row r="2420">
          <cell r="B2420">
            <v>3264</v>
          </cell>
          <cell r="C2420" t="str">
            <v>M-505</v>
          </cell>
          <cell r="D2420" t="str">
            <v>LACE</v>
          </cell>
          <cell r="E2420"/>
          <cell r="F2420" t="str">
            <v>N/T/S</v>
          </cell>
          <cell r="G2420" t="str">
            <v>NYLON POLYESTER SPANDEX</v>
          </cell>
          <cell r="H2420" t="str">
            <v>57/58</v>
          </cell>
          <cell r="I2420"/>
          <cell r="J2420">
            <v>2.14</v>
          </cell>
          <cell r="K2420"/>
          <cell r="L2420">
            <v>2.17</v>
          </cell>
          <cell r="M2420"/>
          <cell r="N2420">
            <v>2.17</v>
          </cell>
          <cell r="O2420"/>
          <cell r="P2420"/>
          <cell r="Q2420"/>
          <cell r="R2420"/>
          <cell r="S2420"/>
          <cell r="T2420"/>
          <cell r="U2420"/>
          <cell r="V2420"/>
          <cell r="W2420"/>
          <cell r="X2420" t="str">
            <v>LIVALTEX</v>
          </cell>
          <cell r="Y2420" t="str">
            <v>LIVALTEX 25-MAY</v>
          </cell>
          <cell r="Z2420" t="str">
            <v>ROSE' MAIL 26/5/17</v>
          </cell>
          <cell r="AA2420"/>
          <cell r="AB2420">
            <v>42881</v>
          </cell>
          <cell r="AC2420">
            <v>3264</v>
          </cell>
        </row>
        <row r="2421">
          <cell r="B2421">
            <v>3263</v>
          </cell>
          <cell r="C2421" t="str">
            <v>M-504</v>
          </cell>
          <cell r="D2421" t="str">
            <v>LACE</v>
          </cell>
          <cell r="E2421"/>
          <cell r="F2421" t="str">
            <v>N/T/S</v>
          </cell>
          <cell r="G2421" t="str">
            <v>NYLON POLYESTER SPANDEX</v>
          </cell>
          <cell r="H2421" t="str">
            <v>57/58</v>
          </cell>
          <cell r="I2421"/>
          <cell r="J2421">
            <v>2.14</v>
          </cell>
          <cell r="K2421"/>
          <cell r="L2421">
            <v>2.17</v>
          </cell>
          <cell r="M2421"/>
          <cell r="N2421">
            <v>2.17</v>
          </cell>
          <cell r="O2421"/>
          <cell r="P2421"/>
          <cell r="Q2421"/>
          <cell r="R2421"/>
          <cell r="S2421"/>
          <cell r="T2421"/>
          <cell r="U2421"/>
          <cell r="V2421"/>
          <cell r="W2421"/>
          <cell r="X2421" t="str">
            <v>LIVALTEX</v>
          </cell>
          <cell r="Y2421" t="str">
            <v>LIVALTEX 25-MAY</v>
          </cell>
          <cell r="Z2421" t="str">
            <v>ROSE' MAIL 26/5/17</v>
          </cell>
          <cell r="AA2421"/>
          <cell r="AB2421">
            <v>42881</v>
          </cell>
          <cell r="AC2421">
            <v>3263</v>
          </cell>
        </row>
        <row r="2422">
          <cell r="B2422">
            <v>3262</v>
          </cell>
          <cell r="C2422" t="str">
            <v>M-503</v>
          </cell>
          <cell r="D2422" t="str">
            <v>LACE</v>
          </cell>
          <cell r="E2422"/>
          <cell r="F2422" t="str">
            <v>N/T 70/30</v>
          </cell>
          <cell r="G2422" t="str">
            <v>70% NYLON 30% POLYESTER</v>
          </cell>
          <cell r="H2422" t="str">
            <v>57/58</v>
          </cell>
          <cell r="I2422"/>
          <cell r="J2422">
            <v>2.93</v>
          </cell>
          <cell r="K2422"/>
          <cell r="L2422">
            <v>2.97</v>
          </cell>
          <cell r="M2422"/>
          <cell r="N2422">
            <v>2.97</v>
          </cell>
          <cell r="O2422"/>
          <cell r="P2422"/>
          <cell r="Q2422"/>
          <cell r="R2422"/>
          <cell r="S2422"/>
          <cell r="T2422"/>
          <cell r="U2422"/>
          <cell r="V2422"/>
          <cell r="W2422"/>
          <cell r="X2422" t="str">
            <v>LIVALTEX</v>
          </cell>
          <cell r="Y2422" t="str">
            <v>LIVALTEX 25-MAY</v>
          </cell>
          <cell r="Z2422" t="str">
            <v>ROSE' MAIL 26/5/17</v>
          </cell>
          <cell r="AA2422"/>
          <cell r="AB2422">
            <v>42881</v>
          </cell>
          <cell r="AC2422">
            <v>3262</v>
          </cell>
        </row>
        <row r="2423">
          <cell r="B2423">
            <v>3261</v>
          </cell>
          <cell r="C2423" t="str">
            <v>M-502</v>
          </cell>
          <cell r="D2423" t="str">
            <v>LACE</v>
          </cell>
          <cell r="E2423"/>
          <cell r="F2423" t="str">
            <v>T/N/S 55/35/10</v>
          </cell>
          <cell r="G2423" t="str">
            <v>35% NYLON 55% POLYESTER 10% SPANDEX</v>
          </cell>
          <cell r="H2423" t="str">
            <v>57/58</v>
          </cell>
          <cell r="I2423"/>
          <cell r="J2423">
            <v>2.14</v>
          </cell>
          <cell r="K2423"/>
          <cell r="L2423">
            <v>2.17</v>
          </cell>
          <cell r="M2423"/>
          <cell r="N2423">
            <v>2.17</v>
          </cell>
          <cell r="O2423"/>
          <cell r="P2423"/>
          <cell r="Q2423"/>
          <cell r="R2423"/>
          <cell r="S2423"/>
          <cell r="T2423"/>
          <cell r="U2423"/>
          <cell r="V2423"/>
          <cell r="W2423"/>
          <cell r="X2423" t="str">
            <v>LIVALTEX</v>
          </cell>
          <cell r="Y2423" t="str">
            <v>LIVALTEX 25-MAY</v>
          </cell>
          <cell r="Z2423" t="str">
            <v>ROSE' MAIL 26/5/17</v>
          </cell>
          <cell r="AA2423"/>
          <cell r="AB2423">
            <v>42881</v>
          </cell>
          <cell r="AC2423">
            <v>3261</v>
          </cell>
        </row>
        <row r="2424">
          <cell r="B2424">
            <v>3260</v>
          </cell>
          <cell r="C2424" t="str">
            <v>M-501</v>
          </cell>
          <cell r="D2424" t="str">
            <v>LACE</v>
          </cell>
          <cell r="E2424"/>
          <cell r="F2424" t="str">
            <v>T/N/S 55/35/10</v>
          </cell>
          <cell r="G2424" t="str">
            <v>35% NYLON 55% POLYESTER 10% SPANDEX</v>
          </cell>
          <cell r="H2424" t="str">
            <v>57/58</v>
          </cell>
          <cell r="I2424"/>
          <cell r="J2424">
            <v>2.14</v>
          </cell>
          <cell r="K2424"/>
          <cell r="L2424">
            <v>2.17</v>
          </cell>
          <cell r="M2424"/>
          <cell r="N2424">
            <v>2.17</v>
          </cell>
          <cell r="O2424"/>
          <cell r="P2424"/>
          <cell r="Q2424"/>
          <cell r="R2424"/>
          <cell r="S2424"/>
          <cell r="T2424"/>
          <cell r="U2424"/>
          <cell r="V2424"/>
          <cell r="W2424"/>
          <cell r="X2424" t="str">
            <v>LIVALTEX</v>
          </cell>
          <cell r="Y2424" t="str">
            <v>LIVALTEX 25-MAY</v>
          </cell>
          <cell r="Z2424" t="str">
            <v>ROSE' MAIL 26/5/17</v>
          </cell>
          <cell r="AA2424"/>
          <cell r="AB2424">
            <v>42881</v>
          </cell>
          <cell r="AC2424">
            <v>3260</v>
          </cell>
        </row>
        <row r="2425">
          <cell r="B2425">
            <v>3259</v>
          </cell>
          <cell r="C2425" t="str">
            <v>M-500</v>
          </cell>
          <cell r="D2425" t="str">
            <v>LACE</v>
          </cell>
          <cell r="E2425"/>
          <cell r="F2425" t="str">
            <v>C/V/N 45/35/20</v>
          </cell>
          <cell r="G2425" t="str">
            <v>35% VISCOSE 45% COTTON 20% NYLON</v>
          </cell>
          <cell r="H2425" t="str">
            <v>57/58</v>
          </cell>
          <cell r="I2425"/>
          <cell r="J2425">
            <v>3.03</v>
          </cell>
          <cell r="K2425"/>
          <cell r="L2425">
            <v>3.06</v>
          </cell>
          <cell r="M2425"/>
          <cell r="N2425">
            <v>3.06</v>
          </cell>
          <cell r="O2425"/>
          <cell r="P2425"/>
          <cell r="Q2425"/>
          <cell r="R2425"/>
          <cell r="S2425"/>
          <cell r="T2425"/>
          <cell r="U2425"/>
          <cell r="V2425"/>
          <cell r="W2425"/>
          <cell r="X2425" t="str">
            <v>LIVALTEX</v>
          </cell>
          <cell r="Y2425" t="str">
            <v>LIVALTEX 25-MAY</v>
          </cell>
          <cell r="Z2425" t="str">
            <v>ROSE' MAIL 26/5/17</v>
          </cell>
          <cell r="AA2425"/>
          <cell r="AB2425">
            <v>42881</v>
          </cell>
          <cell r="AC2425">
            <v>3259</v>
          </cell>
        </row>
        <row r="2426">
          <cell r="B2426">
            <v>3258</v>
          </cell>
          <cell r="C2426" t="str">
            <v>M-499</v>
          </cell>
          <cell r="D2426" t="str">
            <v>LACE</v>
          </cell>
          <cell r="E2426"/>
          <cell r="F2426" t="str">
            <v>N/P 50/50</v>
          </cell>
          <cell r="G2426" t="str">
            <v>50% NYLON 50% POLYESTER</v>
          </cell>
          <cell r="H2426" t="str">
            <v>57/58</v>
          </cell>
          <cell r="I2426"/>
          <cell r="J2426">
            <v>3</v>
          </cell>
          <cell r="K2426"/>
          <cell r="L2426">
            <v>3.03</v>
          </cell>
          <cell r="M2426"/>
          <cell r="N2426">
            <v>3.03</v>
          </cell>
          <cell r="O2426"/>
          <cell r="P2426"/>
          <cell r="Q2426"/>
          <cell r="R2426"/>
          <cell r="S2426"/>
          <cell r="T2426"/>
          <cell r="U2426"/>
          <cell r="V2426"/>
          <cell r="W2426"/>
          <cell r="X2426" t="str">
            <v>LIVALTEX</v>
          </cell>
          <cell r="Y2426" t="str">
            <v>LIVALTEX 25-MAY</v>
          </cell>
          <cell r="Z2426" t="str">
            <v>ROSE' MAIL 26/5/17</v>
          </cell>
          <cell r="AA2426"/>
          <cell r="AB2426">
            <v>42881</v>
          </cell>
          <cell r="AC2426">
            <v>3258</v>
          </cell>
        </row>
        <row r="2427">
          <cell r="B2427">
            <v>3255</v>
          </cell>
          <cell r="C2427" t="str">
            <v>BG1570H</v>
          </cell>
          <cell r="D2427" t="str">
            <v>TWO LAYERS - DOUBLE FACE</v>
          </cell>
          <cell r="E2427"/>
          <cell r="F2427" t="str">
            <v>T/R/S 67/30/3</v>
          </cell>
          <cell r="G2427" t="str">
            <v>67% POLYESTER 30% RAYON 3% SPANDEX</v>
          </cell>
          <cell r="H2427" t="str">
            <v>57/58</v>
          </cell>
          <cell r="I2427">
            <v>295</v>
          </cell>
          <cell r="J2427">
            <v>2.8</v>
          </cell>
          <cell r="K2427">
            <v>3.05</v>
          </cell>
          <cell r="L2427">
            <v>2.83</v>
          </cell>
          <cell r="M2427">
            <v>3.1</v>
          </cell>
          <cell r="N2427">
            <v>2.85</v>
          </cell>
          <cell r="O2427">
            <v>3.15</v>
          </cell>
          <cell r="P2427"/>
          <cell r="Q2427"/>
          <cell r="R2427">
            <v>3</v>
          </cell>
          <cell r="S2427">
            <v>3.45</v>
          </cell>
          <cell r="T2427"/>
          <cell r="U2427"/>
          <cell r="V2427"/>
          <cell r="W2427"/>
          <cell r="X2427" t="str">
            <v>ANN</v>
          </cell>
          <cell r="Y2427" t="str">
            <v>ANN 25-MAY</v>
          </cell>
          <cell r="Z2427" t="str">
            <v>ANN' MAIL 25/5/17</v>
          </cell>
          <cell r="AA2427"/>
          <cell r="AB2427">
            <v>42881</v>
          </cell>
          <cell r="AC2427">
            <v>3255</v>
          </cell>
        </row>
        <row r="2428">
          <cell r="B2428">
            <v>3254</v>
          </cell>
          <cell r="C2428" t="str">
            <v>BG3578</v>
          </cell>
          <cell r="D2428" t="str">
            <v>SUEDE + POLY JERSEY</v>
          </cell>
          <cell r="E2428"/>
          <cell r="F2428" t="str">
            <v>T 100%</v>
          </cell>
          <cell r="G2428" t="str">
            <v>100% POLYESTER</v>
          </cell>
          <cell r="H2428" t="str">
            <v>57/58</v>
          </cell>
          <cell r="I2428">
            <v>368</v>
          </cell>
          <cell r="J2428">
            <v>3.8</v>
          </cell>
          <cell r="K2428">
            <v>4.2</v>
          </cell>
          <cell r="L2428">
            <v>3.85</v>
          </cell>
          <cell r="M2428">
            <v>4.25</v>
          </cell>
          <cell r="N2428">
            <v>3.9</v>
          </cell>
          <cell r="O2428">
            <v>4.3</v>
          </cell>
          <cell r="P2428"/>
          <cell r="Q2428"/>
          <cell r="R2428">
            <v>4.2</v>
          </cell>
          <cell r="S2428">
            <v>4.7</v>
          </cell>
          <cell r="T2428"/>
          <cell r="U2428"/>
          <cell r="V2428"/>
          <cell r="W2428"/>
          <cell r="X2428" t="str">
            <v>ANN</v>
          </cell>
          <cell r="Y2428" t="str">
            <v>ANN 25-MAY</v>
          </cell>
          <cell r="Z2428" t="str">
            <v>ANN' MAIL 25/5/17</v>
          </cell>
          <cell r="AA2428"/>
          <cell r="AB2428">
            <v>42881</v>
          </cell>
          <cell r="AC2428">
            <v>3254</v>
          </cell>
        </row>
        <row r="2429">
          <cell r="B2429">
            <v>3253</v>
          </cell>
          <cell r="C2429" t="str">
            <v>BG3598</v>
          </cell>
          <cell r="D2429" t="str">
            <v xml:space="preserve">SUEDE </v>
          </cell>
          <cell r="E2429"/>
          <cell r="F2429" t="str">
            <v>T 100%</v>
          </cell>
          <cell r="G2429" t="str">
            <v>100% POLYESTER</v>
          </cell>
          <cell r="H2429" t="str">
            <v>57/58</v>
          </cell>
          <cell r="I2429">
            <v>220</v>
          </cell>
          <cell r="J2429">
            <v>3.25</v>
          </cell>
          <cell r="K2429">
            <v>3.65</v>
          </cell>
          <cell r="L2429">
            <v>3.3</v>
          </cell>
          <cell r="M2429">
            <v>3.7</v>
          </cell>
          <cell r="N2429">
            <v>3.35</v>
          </cell>
          <cell r="O2429">
            <v>3.75</v>
          </cell>
          <cell r="P2429"/>
          <cell r="Q2429"/>
          <cell r="R2429">
            <v>3.65</v>
          </cell>
          <cell r="S2429">
            <v>4.1500000000000004</v>
          </cell>
          <cell r="T2429"/>
          <cell r="U2429"/>
          <cell r="V2429"/>
          <cell r="W2429"/>
          <cell r="X2429" t="str">
            <v>ANN</v>
          </cell>
          <cell r="Y2429" t="str">
            <v>ANN 25-MAY</v>
          </cell>
          <cell r="Z2429" t="str">
            <v>ANN' MAIL 25/5/17</v>
          </cell>
          <cell r="AA2429"/>
          <cell r="AB2429">
            <v>42881</v>
          </cell>
          <cell r="AC2429">
            <v>3253</v>
          </cell>
        </row>
        <row r="2430">
          <cell r="B2430">
            <v>3252</v>
          </cell>
          <cell r="C2430" t="str">
            <v>BG3597</v>
          </cell>
          <cell r="D2430" t="str">
            <v>SUEDE</v>
          </cell>
          <cell r="E2430"/>
          <cell r="F2430" t="str">
            <v>T 100%</v>
          </cell>
          <cell r="G2430" t="str">
            <v>100% POLYESTER</v>
          </cell>
          <cell r="H2430" t="str">
            <v>57/58</v>
          </cell>
          <cell r="I2430">
            <v>190</v>
          </cell>
          <cell r="J2430">
            <v>2.85</v>
          </cell>
          <cell r="K2430">
            <v>3.25</v>
          </cell>
          <cell r="L2430">
            <v>2.9</v>
          </cell>
          <cell r="M2430">
            <v>3.3</v>
          </cell>
          <cell r="N2430">
            <v>2.95</v>
          </cell>
          <cell r="O2430">
            <v>3.35</v>
          </cell>
          <cell r="P2430"/>
          <cell r="Q2430"/>
          <cell r="R2430">
            <v>3.25</v>
          </cell>
          <cell r="S2430">
            <v>3.75</v>
          </cell>
          <cell r="T2430"/>
          <cell r="U2430"/>
          <cell r="V2430"/>
          <cell r="W2430"/>
          <cell r="X2430" t="str">
            <v>ANN</v>
          </cell>
          <cell r="Y2430" t="str">
            <v>ANN 25-MAY</v>
          </cell>
          <cell r="Z2430" t="str">
            <v>ANN' MAIL 25/5/17</v>
          </cell>
          <cell r="AA2430"/>
          <cell r="AB2430">
            <v>42881</v>
          </cell>
          <cell r="AC2430">
            <v>3252</v>
          </cell>
        </row>
        <row r="2431">
          <cell r="B2431">
            <v>3251</v>
          </cell>
          <cell r="C2431" t="str">
            <v>BG3588</v>
          </cell>
          <cell r="D2431" t="str">
            <v>SUEDE</v>
          </cell>
          <cell r="E2431"/>
          <cell r="F2431" t="str">
            <v>T 100%</v>
          </cell>
          <cell r="G2431" t="str">
            <v>100% POLYESTER</v>
          </cell>
          <cell r="H2431" t="str">
            <v>57/58</v>
          </cell>
          <cell r="I2431">
            <v>328</v>
          </cell>
          <cell r="J2431">
            <v>4.1500000000000004</v>
          </cell>
          <cell r="K2431">
            <v>4.55</v>
          </cell>
          <cell r="L2431">
            <v>4.2</v>
          </cell>
          <cell r="M2431">
            <v>4.5999999999999996</v>
          </cell>
          <cell r="N2431">
            <v>4.25</v>
          </cell>
          <cell r="O2431">
            <v>4.6500000000000004</v>
          </cell>
          <cell r="P2431"/>
          <cell r="Q2431"/>
          <cell r="R2431">
            <v>4.55</v>
          </cell>
          <cell r="S2431">
            <v>5.05</v>
          </cell>
          <cell r="T2431"/>
          <cell r="U2431"/>
          <cell r="V2431"/>
          <cell r="W2431"/>
          <cell r="X2431" t="str">
            <v>ANN</v>
          </cell>
          <cell r="Y2431" t="str">
            <v>ANN 25-MAY</v>
          </cell>
          <cell r="Z2431" t="str">
            <v>ANN' MAIL 25/5/17</v>
          </cell>
          <cell r="AA2431"/>
          <cell r="AB2431">
            <v>42881</v>
          </cell>
          <cell r="AC2431">
            <v>3251</v>
          </cell>
        </row>
        <row r="2432">
          <cell r="B2432">
            <v>3250</v>
          </cell>
          <cell r="C2432" t="str">
            <v>BG1728</v>
          </cell>
          <cell r="D2432" t="str">
            <v>LIGHT CREPE</v>
          </cell>
          <cell r="E2432"/>
          <cell r="F2432" t="str">
            <v>T 100%</v>
          </cell>
          <cell r="G2432" t="str">
            <v>100% POLYESTER</v>
          </cell>
          <cell r="H2432" t="str">
            <v>57/58</v>
          </cell>
          <cell r="I2432">
            <v>105</v>
          </cell>
          <cell r="J2432">
            <v>1.2</v>
          </cell>
          <cell r="K2432">
            <v>1.55</v>
          </cell>
          <cell r="L2432">
            <v>1.25</v>
          </cell>
          <cell r="M2432">
            <v>1.6</v>
          </cell>
          <cell r="N2432">
            <v>1.28</v>
          </cell>
          <cell r="O2432">
            <v>1.65</v>
          </cell>
          <cell r="P2432"/>
          <cell r="Q2432"/>
          <cell r="R2432">
            <v>1.65</v>
          </cell>
          <cell r="S2432">
            <v>1.95</v>
          </cell>
          <cell r="T2432"/>
          <cell r="U2432"/>
          <cell r="V2432">
            <v>15</v>
          </cell>
          <cell r="W2432"/>
          <cell r="X2432" t="str">
            <v>ANN</v>
          </cell>
          <cell r="Y2432" t="str">
            <v>ANN 25-MAY</v>
          </cell>
          <cell r="Z2432" t="str">
            <v>ANN' MAIL 25/5/17</v>
          </cell>
          <cell r="AA2432"/>
          <cell r="AB2432">
            <v>42881</v>
          </cell>
          <cell r="AC2432">
            <v>3250</v>
          </cell>
        </row>
        <row r="2433">
          <cell r="B2433">
            <v>3236</v>
          </cell>
          <cell r="C2433" t="str">
            <v>SYS-350</v>
          </cell>
          <cell r="D2433" t="str">
            <v xml:space="preserve">YARNDYED DOBBY </v>
          </cell>
          <cell r="E2433" t="str">
            <v>YARNDYED DOBBY</v>
          </cell>
          <cell r="F2433" t="str">
            <v>T/R/S 72/26/2</v>
          </cell>
          <cell r="G2433" t="str">
            <v>72% POLYESTER 26% RAYON 2% SPANDEX</v>
          </cell>
          <cell r="H2433" t="str">
            <v>57/58</v>
          </cell>
          <cell r="I2433">
            <v>265</v>
          </cell>
          <cell r="J2433">
            <v>3.2</v>
          </cell>
          <cell r="K2433"/>
          <cell r="L2433"/>
          <cell r="M2433"/>
          <cell r="N2433">
            <v>3.25</v>
          </cell>
          <cell r="O2433"/>
          <cell r="P2433"/>
          <cell r="Q2433"/>
          <cell r="R2433">
            <v>3.7</v>
          </cell>
          <cell r="S2433"/>
          <cell r="T2433"/>
          <cell r="U2433"/>
          <cell r="V2433">
            <v>15</v>
          </cell>
          <cell r="W2433"/>
          <cell r="X2433" t="str">
            <v>LIVALTEX</v>
          </cell>
          <cell r="Y2433" t="str">
            <v>LIVALTEX 26-MAY</v>
          </cell>
          <cell r="Z2433" t="str">
            <v>ROSE' MAIL 26/5/17</v>
          </cell>
          <cell r="AA2433"/>
          <cell r="AB2433">
            <v>42881</v>
          </cell>
          <cell r="AC2433">
            <v>3236</v>
          </cell>
        </row>
        <row r="2434">
          <cell r="B2434">
            <v>3235</v>
          </cell>
          <cell r="C2434" t="str">
            <v>SYS-351 (T-2049 GrounD)</v>
          </cell>
          <cell r="D2434" t="str">
            <v xml:space="preserve">YARNDYED DOBBY </v>
          </cell>
          <cell r="E2434" t="str">
            <v>YARNDYED DOBBY</v>
          </cell>
          <cell r="F2434" t="str">
            <v>T/R/S</v>
          </cell>
          <cell r="G2434" t="str">
            <v xml:space="preserve">T/R/SPX </v>
          </cell>
          <cell r="H2434" t="str">
            <v>57/58</v>
          </cell>
          <cell r="I2434">
            <v>245</v>
          </cell>
          <cell r="J2434">
            <v>2.95</v>
          </cell>
          <cell r="K2434"/>
          <cell r="L2434"/>
          <cell r="M2434"/>
          <cell r="N2434">
            <v>3</v>
          </cell>
          <cell r="O2434"/>
          <cell r="P2434"/>
          <cell r="Q2434"/>
          <cell r="R2434">
            <v>3.45</v>
          </cell>
          <cell r="S2434"/>
          <cell r="T2434"/>
          <cell r="U2434"/>
          <cell r="V2434">
            <v>15</v>
          </cell>
          <cell r="W2434"/>
          <cell r="X2434" t="str">
            <v>LIVALTEX</v>
          </cell>
          <cell r="Y2434" t="str">
            <v>LIVALTEX 26-MAY</v>
          </cell>
          <cell r="Z2434" t="str">
            <v>ROSE' MAIL 26/5/17</v>
          </cell>
          <cell r="AA2434"/>
          <cell r="AB2434">
            <v>42881</v>
          </cell>
          <cell r="AC2434">
            <v>3235</v>
          </cell>
        </row>
        <row r="2435">
          <cell r="B2435">
            <v>1960</v>
          </cell>
          <cell r="C2435" t="str">
            <v>HLT1523</v>
          </cell>
          <cell r="D2435"/>
          <cell r="E2435"/>
          <cell r="F2435" t="str">
            <v>T 100%</v>
          </cell>
          <cell r="G2435" t="str">
            <v>100% POLYESTER</v>
          </cell>
          <cell r="H2435" t="str">
            <v>57/58</v>
          </cell>
          <cell r="I2435">
            <v>123</v>
          </cell>
          <cell r="J2435">
            <v>1.69</v>
          </cell>
          <cell r="K2435">
            <v>1.88</v>
          </cell>
          <cell r="L2435">
            <v>1.79</v>
          </cell>
          <cell r="M2435">
            <v>1.98</v>
          </cell>
          <cell r="N2435">
            <v>1.8900000000000001</v>
          </cell>
          <cell r="O2435">
            <v>2.1800000000000002</v>
          </cell>
          <cell r="P2435"/>
          <cell r="Q2435"/>
          <cell r="R2435">
            <v>2.0900000000000003</v>
          </cell>
          <cell r="S2435">
            <v>2.3800000000000003</v>
          </cell>
          <cell r="T2435"/>
          <cell r="U2435"/>
          <cell r="V2435">
            <v>15</v>
          </cell>
          <cell r="W2435"/>
          <cell r="X2435" t="str">
            <v>CANDY</v>
          </cell>
          <cell r="Y2435" t="str">
            <v>CANDY 26-MAY</v>
          </cell>
          <cell r="Z2435" t="str">
            <v>CANDY' MAIL 26/5/17</v>
          </cell>
          <cell r="AA2435"/>
          <cell r="AB2435">
            <v>42881</v>
          </cell>
          <cell r="AC2435">
            <v>1960</v>
          </cell>
        </row>
        <row r="2436">
          <cell r="B2436">
            <v>3241</v>
          </cell>
          <cell r="C2436" t="str">
            <v>WF-264</v>
          </cell>
          <cell r="D2436" t="str">
            <v>FLOCKED LACE</v>
          </cell>
          <cell r="E2436" t="str">
            <v>FLOCKED LACE</v>
          </cell>
          <cell r="F2436" t="str">
            <v>R/N/C</v>
          </cell>
          <cell r="G2436" t="str">
            <v>RAYON/NYLON/COTTON</v>
          </cell>
          <cell r="H2436" t="str">
            <v>57/58</v>
          </cell>
          <cell r="I2436"/>
          <cell r="J2436">
            <v>3.91</v>
          </cell>
          <cell r="K2436"/>
          <cell r="L2436"/>
          <cell r="M2436"/>
          <cell r="N2436">
            <v>3.96</v>
          </cell>
          <cell r="O2436"/>
          <cell r="P2436"/>
          <cell r="Q2436"/>
          <cell r="R2436">
            <v>4.51</v>
          </cell>
          <cell r="S2436"/>
          <cell r="T2436"/>
          <cell r="U2436"/>
          <cell r="V2436">
            <v>5</v>
          </cell>
          <cell r="W2436"/>
          <cell r="X2436" t="str">
            <v>LIVALTEX</v>
          </cell>
          <cell r="Y2436" t="str">
            <v>LIVALTEX 25-MAY</v>
          </cell>
          <cell r="Z2436" t="str">
            <v>ROSE' MAIL 25/5/17</v>
          </cell>
          <cell r="AA2436"/>
          <cell r="AB2436">
            <v>42880</v>
          </cell>
          <cell r="AC2436">
            <v>3241</v>
          </cell>
        </row>
        <row r="2437">
          <cell r="B2437">
            <v>3225</v>
          </cell>
          <cell r="C2437" t="str">
            <v>TS-340</v>
          </cell>
          <cell r="D2437" t="str">
            <v>PLEAT METALLIC</v>
          </cell>
          <cell r="E2437"/>
          <cell r="F2437" t="str">
            <v>T 100% METALLIC</v>
          </cell>
          <cell r="G2437" t="str">
            <v xml:space="preserve">POLYESTER METALLIC </v>
          </cell>
          <cell r="H2437" t="str">
            <v>57/58</v>
          </cell>
          <cell r="I2437">
            <v>65</v>
          </cell>
          <cell r="J2437">
            <v>1.51</v>
          </cell>
          <cell r="K2437">
            <v>1.84</v>
          </cell>
          <cell r="L2437">
            <v>1.53</v>
          </cell>
          <cell r="M2437">
            <v>1.87</v>
          </cell>
          <cell r="N2437">
            <v>1.55</v>
          </cell>
          <cell r="O2437">
            <v>1.9</v>
          </cell>
          <cell r="P2437"/>
          <cell r="Q2437"/>
          <cell r="R2437">
            <v>1.7</v>
          </cell>
          <cell r="S2437">
            <v>2.15</v>
          </cell>
          <cell r="T2437"/>
          <cell r="U2437"/>
          <cell r="V2437">
            <v>15</v>
          </cell>
          <cell r="W2437"/>
          <cell r="X2437" t="str">
            <v>GAVIN</v>
          </cell>
          <cell r="Y2437" t="str">
            <v>GAVIN 23-MAY</v>
          </cell>
          <cell r="Z2437" t="str">
            <v>GAVIN' MAIL 24/5/17</v>
          </cell>
          <cell r="AA2437"/>
          <cell r="AB2437">
            <v>42879</v>
          </cell>
          <cell r="AC2437">
            <v>3225</v>
          </cell>
        </row>
        <row r="2438">
          <cell r="B2438">
            <v>3224</v>
          </cell>
          <cell r="C2438" t="str">
            <v>TS-339</v>
          </cell>
          <cell r="D2438" t="str">
            <v>LACE</v>
          </cell>
          <cell r="E2438"/>
          <cell r="F2438" t="str">
            <v>N/S</v>
          </cell>
          <cell r="G2438" t="str">
            <v>NYLON SPANDEX</v>
          </cell>
          <cell r="H2438" t="str">
            <v>57/58</v>
          </cell>
          <cell r="I2438">
            <v>130</v>
          </cell>
          <cell r="J2438">
            <v>2.11</v>
          </cell>
          <cell r="K2438">
            <v>2.39</v>
          </cell>
          <cell r="L2438">
            <v>2.13</v>
          </cell>
          <cell r="M2438">
            <v>2.42</v>
          </cell>
          <cell r="N2438">
            <v>2.15</v>
          </cell>
          <cell r="O2438">
            <v>2.4500000000000002</v>
          </cell>
          <cell r="P2438"/>
          <cell r="Q2438"/>
          <cell r="R2438">
            <v>2.2999999999999998</v>
          </cell>
          <cell r="S2438">
            <v>2.65</v>
          </cell>
          <cell r="T2438"/>
          <cell r="U2438"/>
          <cell r="V2438">
            <v>15</v>
          </cell>
          <cell r="W2438"/>
          <cell r="X2438" t="str">
            <v>GAVIN</v>
          </cell>
          <cell r="Y2438" t="str">
            <v>GAVIN 23-MAY</v>
          </cell>
          <cell r="Z2438" t="str">
            <v>GAVIN' MAIL 24/5/17</v>
          </cell>
          <cell r="AA2438"/>
          <cell r="AB2438">
            <v>42879</v>
          </cell>
          <cell r="AC2438">
            <v>3224</v>
          </cell>
        </row>
        <row r="2439">
          <cell r="B2439">
            <v>3237</v>
          </cell>
          <cell r="C2439" t="str">
            <v>#99021</v>
          </cell>
          <cell r="D2439" t="str">
            <v>LACE</v>
          </cell>
          <cell r="E2439" t="str">
            <v>LACE</v>
          </cell>
          <cell r="F2439" t="str">
            <v>N/S 80/20</v>
          </cell>
          <cell r="G2439" t="str">
            <v>80% NYLON 20% SPANDEX</v>
          </cell>
          <cell r="H2439" t="str">
            <v>155CM</v>
          </cell>
          <cell r="I2439">
            <v>192</v>
          </cell>
          <cell r="J2439"/>
          <cell r="K2439"/>
          <cell r="L2439"/>
          <cell r="M2439"/>
          <cell r="N2439">
            <v>2.62</v>
          </cell>
          <cell r="O2439"/>
          <cell r="P2439"/>
          <cell r="Q2439"/>
          <cell r="R2439">
            <v>2.62</v>
          </cell>
          <cell r="S2439"/>
          <cell r="T2439"/>
          <cell r="U2439"/>
          <cell r="V2439">
            <v>15</v>
          </cell>
          <cell r="W2439" t="str">
            <v>OrDinary Dyeing</v>
          </cell>
          <cell r="X2439" t="str">
            <v>LIBY</v>
          </cell>
          <cell r="Y2439" t="str">
            <v>LIBY 23-MAY</v>
          </cell>
          <cell r="Z2439" t="str">
            <v>LIBY' MAIL 23/5/17</v>
          </cell>
          <cell r="AA2439"/>
          <cell r="AB2439">
            <v>42878</v>
          </cell>
          <cell r="AC2439">
            <v>3237</v>
          </cell>
        </row>
        <row r="2440">
          <cell r="B2440">
            <v>3234</v>
          </cell>
          <cell r="C2440" t="str">
            <v>M-515</v>
          </cell>
          <cell r="D2440" t="str">
            <v>LACE</v>
          </cell>
          <cell r="E2440"/>
          <cell r="F2440" t="str">
            <v>N/S 92/8</v>
          </cell>
          <cell r="G2440" t="str">
            <v>NYLON/SPX 92/8</v>
          </cell>
          <cell r="H2440" t="str">
            <v>57/58</v>
          </cell>
          <cell r="I2440">
            <v>129</v>
          </cell>
          <cell r="J2440">
            <v>2.8</v>
          </cell>
          <cell r="K2440"/>
          <cell r="L2440"/>
          <cell r="M2440"/>
          <cell r="N2440">
            <v>2.85</v>
          </cell>
          <cell r="O2440"/>
          <cell r="P2440"/>
          <cell r="Q2440"/>
          <cell r="R2440">
            <v>3.4</v>
          </cell>
          <cell r="S2440"/>
          <cell r="T2440"/>
          <cell r="U2440"/>
          <cell r="V2440">
            <v>15</v>
          </cell>
          <cell r="W2440"/>
          <cell r="X2440" t="str">
            <v>LIVALTEX</v>
          </cell>
          <cell r="Y2440" t="str">
            <v>LIVALTEX 23-MAY</v>
          </cell>
          <cell r="Z2440" t="str">
            <v>ROSE' MAIL 23/5/17</v>
          </cell>
          <cell r="AA2440"/>
          <cell r="AB2440">
            <v>42878</v>
          </cell>
          <cell r="AC2440">
            <v>3234</v>
          </cell>
        </row>
        <row r="2441">
          <cell r="B2441">
            <v>3228</v>
          </cell>
          <cell r="C2441" t="str">
            <v>SPS-510</v>
          </cell>
          <cell r="D2441"/>
          <cell r="E2441" t="str">
            <v>40/2+40Dx250D+40D</v>
          </cell>
          <cell r="F2441" t="str">
            <v>T/R/S</v>
          </cell>
          <cell r="G2441" t="str">
            <v xml:space="preserve">POLYESTER/RAYON/SPX </v>
          </cell>
          <cell r="H2441" t="str">
            <v>56/57</v>
          </cell>
          <cell r="I2441">
            <v>345</v>
          </cell>
          <cell r="J2441">
            <v>3.9</v>
          </cell>
          <cell r="K2441"/>
          <cell r="L2441"/>
          <cell r="M2441"/>
          <cell r="N2441">
            <v>3.95</v>
          </cell>
          <cell r="O2441"/>
          <cell r="P2441"/>
          <cell r="Q2441"/>
          <cell r="R2441">
            <v>4.5</v>
          </cell>
          <cell r="S2441"/>
          <cell r="T2441"/>
          <cell r="U2441"/>
          <cell r="V2441">
            <v>15</v>
          </cell>
          <cell r="W2441"/>
          <cell r="X2441" t="str">
            <v>LIVALTEX</v>
          </cell>
          <cell r="Y2441" t="str">
            <v>LIVALTEX 23-MAY</v>
          </cell>
          <cell r="Z2441" t="str">
            <v>ROSE' MAIL 23/5/17</v>
          </cell>
          <cell r="AA2441"/>
          <cell r="AB2441">
            <v>42878</v>
          </cell>
          <cell r="AC2441">
            <v>3228</v>
          </cell>
        </row>
        <row r="2442">
          <cell r="B2442">
            <v>3227</v>
          </cell>
          <cell r="C2442" t="str">
            <v>TS-585</v>
          </cell>
          <cell r="D2442"/>
          <cell r="E2442" t="str">
            <v>200D+50D+400Dx200D+50D+40D</v>
          </cell>
          <cell r="F2442" t="str">
            <v>T/S</v>
          </cell>
          <cell r="G2442" t="str">
            <v>POLYESTER/SPX</v>
          </cell>
          <cell r="H2442" t="str">
            <v>56/57</v>
          </cell>
          <cell r="I2442">
            <v>320</v>
          </cell>
          <cell r="J2442">
            <v>3.1</v>
          </cell>
          <cell r="K2442"/>
          <cell r="L2442"/>
          <cell r="M2442"/>
          <cell r="N2442">
            <v>3.15</v>
          </cell>
          <cell r="O2442"/>
          <cell r="P2442"/>
          <cell r="Q2442"/>
          <cell r="R2442">
            <v>3.7</v>
          </cell>
          <cell r="S2442"/>
          <cell r="T2442"/>
          <cell r="U2442"/>
          <cell r="V2442">
            <v>15</v>
          </cell>
          <cell r="W2442"/>
          <cell r="X2442" t="str">
            <v>LIVALTEX</v>
          </cell>
          <cell r="Y2442" t="str">
            <v>LIVALTEX 23-MAY</v>
          </cell>
          <cell r="Z2442" t="str">
            <v>ROSE' MAIL 23/5/17</v>
          </cell>
          <cell r="AA2442"/>
          <cell r="AB2442">
            <v>42878</v>
          </cell>
          <cell r="AC2442">
            <v>3227</v>
          </cell>
        </row>
        <row r="2443">
          <cell r="B2443">
            <v>3226</v>
          </cell>
          <cell r="C2443" t="str">
            <v>SP-671</v>
          </cell>
          <cell r="D2443"/>
          <cell r="E2443" t="str">
            <v>15+15x30</v>
          </cell>
          <cell r="F2443" t="str">
            <v>T/R</v>
          </cell>
          <cell r="G2443" t="str">
            <v>POLYESTER/RAYON</v>
          </cell>
          <cell r="H2443" t="str">
            <v>56/57</v>
          </cell>
          <cell r="I2443">
            <v>110</v>
          </cell>
          <cell r="J2443">
            <v>2.1</v>
          </cell>
          <cell r="K2443"/>
          <cell r="L2443"/>
          <cell r="M2443"/>
          <cell r="N2443">
            <v>2.15</v>
          </cell>
          <cell r="O2443"/>
          <cell r="P2443"/>
          <cell r="Q2443"/>
          <cell r="R2443">
            <v>2.7</v>
          </cell>
          <cell r="S2443"/>
          <cell r="T2443"/>
          <cell r="U2443"/>
          <cell r="V2443">
            <v>15</v>
          </cell>
          <cell r="W2443"/>
          <cell r="X2443" t="str">
            <v>LIVALTEX</v>
          </cell>
          <cell r="Y2443" t="str">
            <v>LIVALTEX 23-MAY</v>
          </cell>
          <cell r="Z2443" t="str">
            <v>ROSE' MAIL 23/5/17</v>
          </cell>
          <cell r="AA2443"/>
          <cell r="AB2443">
            <v>42878</v>
          </cell>
          <cell r="AC2443">
            <v>3226</v>
          </cell>
        </row>
        <row r="2444">
          <cell r="B2444">
            <v>3223</v>
          </cell>
          <cell r="C2444" t="str">
            <v>OLP-1751101JC</v>
          </cell>
          <cell r="D2444" t="str">
            <v>LACE</v>
          </cell>
          <cell r="E2444"/>
          <cell r="F2444" t="str">
            <v>N/S 92/8</v>
          </cell>
          <cell r="G2444" t="str">
            <v>92% NYLON 8% SPANDEX</v>
          </cell>
          <cell r="H2444" t="str">
            <v>57/58</v>
          </cell>
          <cell r="I2444">
            <v>120</v>
          </cell>
          <cell r="J2444">
            <v>2.0299999999999998</v>
          </cell>
          <cell r="K2444"/>
          <cell r="L2444">
            <v>2.1</v>
          </cell>
          <cell r="M2444"/>
          <cell r="N2444">
            <v>2.2000000000000002</v>
          </cell>
          <cell r="O2444"/>
          <cell r="P2444"/>
          <cell r="Q2444"/>
          <cell r="R2444">
            <v>2.35</v>
          </cell>
          <cell r="S2444"/>
          <cell r="T2444"/>
          <cell r="U2444"/>
          <cell r="V2444"/>
          <cell r="W2444"/>
          <cell r="X2444" t="str">
            <v>OWEN</v>
          </cell>
          <cell r="Y2444" t="str">
            <v>OWEN 23-MAY</v>
          </cell>
          <cell r="Z2444" t="str">
            <v>SANDY' MAIL 23/5/17</v>
          </cell>
          <cell r="AA2444"/>
          <cell r="AB2444">
            <v>42878</v>
          </cell>
          <cell r="AC2444">
            <v>3223</v>
          </cell>
        </row>
        <row r="2445">
          <cell r="B2445">
            <v>3222</v>
          </cell>
          <cell r="C2445" t="str">
            <v>BG2308</v>
          </cell>
          <cell r="D2445" t="str">
            <v>TWILL SPANDEX</v>
          </cell>
          <cell r="E2445"/>
          <cell r="F2445" t="str">
            <v>T/S 94/6</v>
          </cell>
          <cell r="G2445" t="str">
            <v>94% POLYESTER 6% SPANDEX</v>
          </cell>
          <cell r="H2445" t="str">
            <v>57/58</v>
          </cell>
          <cell r="I2445">
            <v>195</v>
          </cell>
          <cell r="J2445">
            <v>1.65</v>
          </cell>
          <cell r="K2445">
            <v>1.9</v>
          </cell>
          <cell r="L2445">
            <v>1.68</v>
          </cell>
          <cell r="M2445">
            <v>1.95</v>
          </cell>
          <cell r="N2445">
            <v>1.7</v>
          </cell>
          <cell r="O2445">
            <v>2</v>
          </cell>
          <cell r="P2445"/>
          <cell r="Q2445"/>
          <cell r="R2445">
            <v>1.9</v>
          </cell>
          <cell r="S2445">
            <v>2.2999999999999998</v>
          </cell>
          <cell r="T2445"/>
          <cell r="U2445"/>
          <cell r="V2445"/>
          <cell r="W2445"/>
          <cell r="X2445" t="str">
            <v>ANN</v>
          </cell>
          <cell r="Y2445" t="str">
            <v>ANN 23-MAY</v>
          </cell>
          <cell r="Z2445" t="str">
            <v>ANN' MAIL 23/5/17</v>
          </cell>
          <cell r="AA2445"/>
          <cell r="AB2445">
            <v>42878</v>
          </cell>
          <cell r="AC2445">
            <v>3222</v>
          </cell>
        </row>
        <row r="2446">
          <cell r="B2446">
            <v>3221</v>
          </cell>
          <cell r="C2446" t="str">
            <v>BG1570</v>
          </cell>
          <cell r="D2446" t="str">
            <v>PVL-TAILORING</v>
          </cell>
          <cell r="E2446"/>
          <cell r="F2446" t="str">
            <v>T/R/S 67/30/3</v>
          </cell>
          <cell r="G2446" t="str">
            <v>67% POLYESTER 30% RAYON 3% SPANDEX</v>
          </cell>
          <cell r="H2446" t="str">
            <v>57/58</v>
          </cell>
          <cell r="I2446">
            <v>255</v>
          </cell>
          <cell r="J2446">
            <v>2.8</v>
          </cell>
          <cell r="K2446">
            <v>3.05</v>
          </cell>
          <cell r="L2446">
            <v>2.83</v>
          </cell>
          <cell r="M2446">
            <v>3.1</v>
          </cell>
          <cell r="N2446">
            <v>2.85</v>
          </cell>
          <cell r="O2446">
            <v>3.15</v>
          </cell>
          <cell r="P2446"/>
          <cell r="Q2446"/>
          <cell r="R2446">
            <v>3</v>
          </cell>
          <cell r="S2446">
            <v>3.45</v>
          </cell>
          <cell r="T2446"/>
          <cell r="U2446"/>
          <cell r="V2446"/>
          <cell r="W2446"/>
          <cell r="X2446" t="str">
            <v>ANN</v>
          </cell>
          <cell r="Y2446" t="str">
            <v>ANN 23-MAY</v>
          </cell>
          <cell r="Z2446" t="str">
            <v>ANN' MAIL 23/5/17</v>
          </cell>
          <cell r="AA2446"/>
          <cell r="AB2446">
            <v>42878</v>
          </cell>
          <cell r="AC2446">
            <v>3221</v>
          </cell>
        </row>
        <row r="2447">
          <cell r="B2447">
            <v>3215</v>
          </cell>
          <cell r="C2447" t="str">
            <v>D140813</v>
          </cell>
          <cell r="D2447" t="str">
            <v>YARNDYED SHIRT - POPLIN STRETCH</v>
          </cell>
          <cell r="E2447" t="str">
            <v>40x75D+40D - 144x72</v>
          </cell>
          <cell r="F2447" t="str">
            <v>C/T/S 71/25/4</v>
          </cell>
          <cell r="G2447" t="str">
            <v>CVC SPANDEX 71/25/4</v>
          </cell>
          <cell r="H2447" t="str">
            <v>57/58</v>
          </cell>
          <cell r="I2447">
            <v>115</v>
          </cell>
          <cell r="J2447"/>
          <cell r="K2447">
            <v>1.8044619422572177</v>
          </cell>
          <cell r="L2447"/>
          <cell r="M2447">
            <v>1.837270341207349</v>
          </cell>
          <cell r="N2447"/>
          <cell r="O2447">
            <v>1.8810148731408574</v>
          </cell>
          <cell r="P2447"/>
          <cell r="Q2447"/>
          <cell r="R2447"/>
          <cell r="S2447">
            <v>2.0559930008748903</v>
          </cell>
          <cell r="T2447"/>
          <cell r="U2447"/>
          <cell r="V2447">
            <v>15</v>
          </cell>
          <cell r="W2447"/>
          <cell r="X2447" t="str">
            <v>DAVID</v>
          </cell>
          <cell r="Y2447" t="str">
            <v>DAVID 22-MAY</v>
          </cell>
          <cell r="Z2447" t="str">
            <v>DAVID' MAIL 23/5/17</v>
          </cell>
          <cell r="AA2447"/>
          <cell r="AB2447">
            <v>42878</v>
          </cell>
          <cell r="AC2447">
            <v>3215</v>
          </cell>
        </row>
        <row r="2448">
          <cell r="B2448">
            <v>3195</v>
          </cell>
          <cell r="C2448" t="str">
            <v>Y160916-2</v>
          </cell>
          <cell r="D2448" t="str">
            <v>YARNDYED SHIRT - POPLIN STRETCH</v>
          </cell>
          <cell r="E2448" t="str">
            <v>60x75D+40D - 164x86</v>
          </cell>
          <cell r="F2448" t="str">
            <v>C/T/S 61/34/5</v>
          </cell>
          <cell r="G2448" t="str">
            <v>CVC SPANDEX 61/34/5</v>
          </cell>
          <cell r="H2448" t="str">
            <v>57/58</v>
          </cell>
          <cell r="I2448">
            <v>110</v>
          </cell>
          <cell r="J2448"/>
          <cell r="K2448">
            <v>1.9138232720909887</v>
          </cell>
          <cell r="L2448"/>
          <cell r="M2448">
            <v>1.94663167104112</v>
          </cell>
          <cell r="N2448"/>
          <cell r="O2448">
            <v>1.9903762029746284</v>
          </cell>
          <cell r="P2448"/>
          <cell r="Q2448"/>
          <cell r="R2448"/>
          <cell r="S2448">
            <v>2.1653543307086616</v>
          </cell>
          <cell r="T2448"/>
          <cell r="U2448"/>
          <cell r="V2448">
            <v>15</v>
          </cell>
          <cell r="W2448"/>
          <cell r="X2448" t="str">
            <v>DAVID</v>
          </cell>
          <cell r="Y2448" t="str">
            <v>DAVID 22-MAY</v>
          </cell>
          <cell r="Z2448" t="str">
            <v>DAVID' MAIL 23/5/17</v>
          </cell>
          <cell r="AA2448"/>
          <cell r="AB2448">
            <v>42878</v>
          </cell>
          <cell r="AC2448">
            <v>3195</v>
          </cell>
        </row>
        <row r="2449">
          <cell r="B2449">
            <v>3220</v>
          </cell>
          <cell r="C2449" t="str">
            <v>LX17-515-4</v>
          </cell>
          <cell r="D2449" t="str">
            <v>LACE</v>
          </cell>
          <cell r="E2449"/>
          <cell r="F2449" t="str">
            <v>N/S</v>
          </cell>
          <cell r="G2449" t="str">
            <v>NYLON SPANDEX</v>
          </cell>
          <cell r="H2449" t="str">
            <v>150CM</v>
          </cell>
          <cell r="I2449">
            <v>108</v>
          </cell>
          <cell r="J2449">
            <v>1.87</v>
          </cell>
          <cell r="K2449"/>
          <cell r="L2449">
            <v>1.92</v>
          </cell>
          <cell r="M2449"/>
          <cell r="N2449">
            <v>1.98</v>
          </cell>
          <cell r="O2449"/>
          <cell r="P2449"/>
          <cell r="Q2449"/>
          <cell r="R2449">
            <v>2.04</v>
          </cell>
          <cell r="S2449"/>
          <cell r="T2449"/>
          <cell r="U2449"/>
          <cell r="V2449">
            <v>15</v>
          </cell>
          <cell r="W2449" t="str">
            <v>Less than 1000M， surcharge+$150</v>
          </cell>
          <cell r="X2449" t="str">
            <v>TINA</v>
          </cell>
          <cell r="Y2449" t="str">
            <v>TINA 20-MAY</v>
          </cell>
          <cell r="Z2449" t="str">
            <v>TINA' MAIL 22/5/17</v>
          </cell>
          <cell r="AA2449"/>
          <cell r="AB2449">
            <v>42877</v>
          </cell>
          <cell r="AC2449">
            <v>3220</v>
          </cell>
        </row>
        <row r="2450">
          <cell r="B2450">
            <v>3219</v>
          </cell>
          <cell r="C2450" t="str">
            <v>LX17-515-3</v>
          </cell>
          <cell r="D2450" t="str">
            <v>CHEMICAL LACE</v>
          </cell>
          <cell r="E2450"/>
          <cell r="F2450" t="str">
            <v>T 100%</v>
          </cell>
          <cell r="G2450" t="str">
            <v>100% POLYESTER</v>
          </cell>
          <cell r="H2450" t="str">
            <v>115CM</v>
          </cell>
          <cell r="I2450">
            <v>215</v>
          </cell>
          <cell r="J2450">
            <v>3.47</v>
          </cell>
          <cell r="K2450"/>
          <cell r="L2450">
            <v>3.47</v>
          </cell>
          <cell r="M2450"/>
          <cell r="N2450">
            <v>3.47</v>
          </cell>
          <cell r="O2450"/>
          <cell r="P2450"/>
          <cell r="Q2450"/>
          <cell r="R2450">
            <v>3.47</v>
          </cell>
          <cell r="S2450"/>
          <cell r="T2450"/>
          <cell r="U2450"/>
          <cell r="V2450">
            <v>15</v>
          </cell>
          <cell r="W2450" t="str">
            <v>Less than 1000M， surcharge+$150</v>
          </cell>
          <cell r="X2450" t="str">
            <v>TINA</v>
          </cell>
          <cell r="Y2450" t="str">
            <v>TINA 20-MAY</v>
          </cell>
          <cell r="Z2450" t="str">
            <v>TINA' MAIL 22/5/17</v>
          </cell>
          <cell r="AA2450"/>
          <cell r="AB2450">
            <v>42877</v>
          </cell>
          <cell r="AC2450">
            <v>3219</v>
          </cell>
        </row>
        <row r="2451">
          <cell r="B2451">
            <v>3218</v>
          </cell>
          <cell r="C2451" t="str">
            <v>LX17-515-2</v>
          </cell>
          <cell r="D2451" t="str">
            <v>CHEMICAL LACE</v>
          </cell>
          <cell r="E2451"/>
          <cell r="F2451" t="str">
            <v>T 100%</v>
          </cell>
          <cell r="G2451" t="str">
            <v>100% POLYESTER</v>
          </cell>
          <cell r="H2451" t="str">
            <v>124CM</v>
          </cell>
          <cell r="I2451">
            <v>202</v>
          </cell>
          <cell r="J2451">
            <v>3.45</v>
          </cell>
          <cell r="K2451"/>
          <cell r="L2451">
            <v>3.45</v>
          </cell>
          <cell r="M2451"/>
          <cell r="N2451">
            <v>3.45</v>
          </cell>
          <cell r="O2451"/>
          <cell r="P2451"/>
          <cell r="Q2451"/>
          <cell r="R2451">
            <v>3.45</v>
          </cell>
          <cell r="S2451"/>
          <cell r="T2451"/>
          <cell r="U2451"/>
          <cell r="V2451">
            <v>15</v>
          </cell>
          <cell r="W2451" t="str">
            <v>Less than 1000M， surcharge+$150</v>
          </cell>
          <cell r="X2451" t="str">
            <v>TINA</v>
          </cell>
          <cell r="Y2451" t="str">
            <v>TINA 20-MAY</v>
          </cell>
          <cell r="Z2451" t="str">
            <v>TINA' MAIL 22/5/17</v>
          </cell>
          <cell r="AA2451"/>
          <cell r="AB2451">
            <v>42877</v>
          </cell>
          <cell r="AC2451">
            <v>3218</v>
          </cell>
        </row>
        <row r="2452">
          <cell r="B2452">
            <v>3217</v>
          </cell>
          <cell r="C2452" t="str">
            <v>LX17-515-1</v>
          </cell>
          <cell r="D2452"/>
          <cell r="E2452" t="str">
            <v>150D+40Dx150D+40D</v>
          </cell>
          <cell r="F2452" t="str">
            <v>T/S 97/3</v>
          </cell>
          <cell r="G2452" t="str">
            <v>97% POLYESTER 3% SPANDEX</v>
          </cell>
          <cell r="H2452" t="str">
            <v>57/58</v>
          </cell>
          <cell r="I2452">
            <v>235</v>
          </cell>
          <cell r="J2452">
            <v>1.45</v>
          </cell>
          <cell r="K2452"/>
          <cell r="L2452">
            <v>1.5</v>
          </cell>
          <cell r="M2452"/>
          <cell r="N2452">
            <v>1.54</v>
          </cell>
          <cell r="O2452"/>
          <cell r="P2452"/>
          <cell r="Q2452"/>
          <cell r="R2452">
            <v>1.6</v>
          </cell>
          <cell r="S2452"/>
          <cell r="T2452"/>
          <cell r="U2452"/>
          <cell r="V2452">
            <v>15</v>
          </cell>
          <cell r="W2452" t="str">
            <v>Less than 1000M， surcharge+$150</v>
          </cell>
          <cell r="X2452" t="str">
            <v>TINA</v>
          </cell>
          <cell r="Y2452" t="str">
            <v>TINA 20-MAY</v>
          </cell>
          <cell r="Z2452" t="str">
            <v>TINA' MAIL 22/5/17</v>
          </cell>
          <cell r="AA2452"/>
          <cell r="AB2452">
            <v>42877</v>
          </cell>
          <cell r="AC2452">
            <v>3217</v>
          </cell>
        </row>
        <row r="2453">
          <cell r="B2453">
            <v>3214</v>
          </cell>
          <cell r="C2453" t="str">
            <v>HLT5934</v>
          </cell>
          <cell r="D2453" t="str">
            <v>TAILORING</v>
          </cell>
          <cell r="E2453" t="str">
            <v>32s/2+40D*32s/2+40D</v>
          </cell>
          <cell r="F2453" t="str">
            <v>T/R/S 63/33/4</v>
          </cell>
          <cell r="G2453" t="str">
            <v>63% POLYESTER 33% RAYON 4% SPAN</v>
          </cell>
          <cell r="H2453" t="str">
            <v>57/58</v>
          </cell>
          <cell r="I2453">
            <v>270</v>
          </cell>
          <cell r="J2453">
            <v>2.5299999999999998</v>
          </cell>
          <cell r="K2453"/>
          <cell r="L2453">
            <v>2.63</v>
          </cell>
          <cell r="M2453"/>
          <cell r="N2453">
            <v>2.73</v>
          </cell>
          <cell r="O2453"/>
          <cell r="P2453"/>
          <cell r="Q2453"/>
          <cell r="R2453">
            <v>2.83</v>
          </cell>
          <cell r="S2453"/>
          <cell r="T2453"/>
          <cell r="U2453"/>
          <cell r="V2453">
            <v>15</v>
          </cell>
          <cell r="W2453"/>
          <cell r="X2453" t="str">
            <v>CANDY</v>
          </cell>
          <cell r="Y2453" t="str">
            <v>CANDY 22-MAY</v>
          </cell>
          <cell r="Z2453" t="str">
            <v>CANDY' MAIL 22/5/17</v>
          </cell>
          <cell r="AA2453"/>
          <cell r="AB2453">
            <v>42877</v>
          </cell>
          <cell r="AC2453">
            <v>3214</v>
          </cell>
        </row>
        <row r="2454">
          <cell r="B2454">
            <v>3213</v>
          </cell>
          <cell r="C2454" t="str">
            <v>OLP-1751703FS</v>
          </cell>
          <cell r="D2454" t="str">
            <v>SUEDE</v>
          </cell>
          <cell r="E2454"/>
          <cell r="F2454" t="str">
            <v>T 100%</v>
          </cell>
          <cell r="G2454" t="str">
            <v>100% POLYESTERESESTER</v>
          </cell>
          <cell r="H2454" t="str">
            <v>57/58</v>
          </cell>
          <cell r="I2454">
            <v>135</v>
          </cell>
          <cell r="J2454">
            <v>1.66</v>
          </cell>
          <cell r="K2454"/>
          <cell r="L2454">
            <v>1.72</v>
          </cell>
          <cell r="M2454"/>
          <cell r="N2454">
            <v>1.82</v>
          </cell>
          <cell r="O2454"/>
          <cell r="P2454"/>
          <cell r="Q2454"/>
          <cell r="R2454">
            <v>1.97</v>
          </cell>
          <cell r="S2454"/>
          <cell r="T2454"/>
          <cell r="U2454"/>
          <cell r="V2454">
            <v>15</v>
          </cell>
          <cell r="W2454"/>
          <cell r="X2454" t="str">
            <v>OWEN</v>
          </cell>
          <cell r="Y2454" t="str">
            <v>OWEN19-MAY</v>
          </cell>
          <cell r="Z2454" t="str">
            <v>SANDY' MAIL 22/5/17</v>
          </cell>
          <cell r="AA2454"/>
          <cell r="AB2454">
            <v>42877</v>
          </cell>
          <cell r="AC2454">
            <v>3213</v>
          </cell>
        </row>
        <row r="2455">
          <cell r="B2455">
            <v>3212</v>
          </cell>
          <cell r="C2455" t="str">
            <v>OLP-1751702FS</v>
          </cell>
          <cell r="D2455" t="str">
            <v>SUEDE</v>
          </cell>
          <cell r="E2455"/>
          <cell r="F2455" t="str">
            <v>T 100%</v>
          </cell>
          <cell r="G2455" t="str">
            <v>100% POLYESTERESESTER</v>
          </cell>
          <cell r="H2455" t="str">
            <v>57/58</v>
          </cell>
          <cell r="I2455">
            <v>150</v>
          </cell>
          <cell r="J2455">
            <v>1.27</v>
          </cell>
          <cell r="K2455"/>
          <cell r="L2455">
            <v>1.34</v>
          </cell>
          <cell r="M2455"/>
          <cell r="N2455">
            <v>1.44</v>
          </cell>
          <cell r="O2455"/>
          <cell r="P2455"/>
          <cell r="Q2455"/>
          <cell r="R2455">
            <v>1.59</v>
          </cell>
          <cell r="S2455"/>
          <cell r="T2455"/>
          <cell r="U2455"/>
          <cell r="V2455">
            <v>15</v>
          </cell>
          <cell r="W2455"/>
          <cell r="X2455" t="str">
            <v>OWEN</v>
          </cell>
          <cell r="Y2455" t="str">
            <v>OWEN19-MAY</v>
          </cell>
          <cell r="Z2455" t="str">
            <v>SANDY' MAIL 22/5/17</v>
          </cell>
          <cell r="AA2455"/>
          <cell r="AB2455">
            <v>42877</v>
          </cell>
          <cell r="AC2455">
            <v>3212</v>
          </cell>
        </row>
        <row r="2456">
          <cell r="B2456">
            <v>3211</v>
          </cell>
          <cell r="C2456" t="str">
            <v>OLP-1751701FS</v>
          </cell>
          <cell r="D2456" t="str">
            <v>SUEDE</v>
          </cell>
          <cell r="E2456"/>
          <cell r="F2456" t="str">
            <v>T 100%</v>
          </cell>
          <cell r="G2456" t="str">
            <v>100% POLYESTERESESTER</v>
          </cell>
          <cell r="H2456" t="str">
            <v>57/58</v>
          </cell>
          <cell r="I2456">
            <v>110</v>
          </cell>
          <cell r="J2456">
            <v>1.27</v>
          </cell>
          <cell r="K2456"/>
          <cell r="L2456">
            <v>1.34</v>
          </cell>
          <cell r="M2456"/>
          <cell r="N2456">
            <v>1.44</v>
          </cell>
          <cell r="O2456"/>
          <cell r="P2456"/>
          <cell r="Q2456"/>
          <cell r="R2456">
            <v>1.59</v>
          </cell>
          <cell r="S2456"/>
          <cell r="T2456"/>
          <cell r="U2456"/>
          <cell r="V2456">
            <v>15</v>
          </cell>
          <cell r="W2456"/>
          <cell r="X2456" t="str">
            <v>OWEN</v>
          </cell>
          <cell r="Y2456" t="str">
            <v>OWEN19-MAY</v>
          </cell>
          <cell r="Z2456" t="str">
            <v>SANDY' MAIL 22/5/17</v>
          </cell>
          <cell r="AA2456"/>
          <cell r="AB2456">
            <v>42877</v>
          </cell>
          <cell r="AC2456">
            <v>3211</v>
          </cell>
        </row>
        <row r="2457">
          <cell r="B2457">
            <v>3210</v>
          </cell>
          <cell r="C2457" t="str">
            <v>OLP-0601-20XS</v>
          </cell>
          <cell r="D2457" t="str">
            <v>FOIL</v>
          </cell>
          <cell r="E2457"/>
          <cell r="F2457" t="str">
            <v>T 100%</v>
          </cell>
          <cell r="G2457" t="str">
            <v>100% POLYESTER FOIL</v>
          </cell>
          <cell r="H2457" t="str">
            <v>57/58</v>
          </cell>
          <cell r="I2457">
            <v>120</v>
          </cell>
          <cell r="J2457">
            <v>2.1</v>
          </cell>
          <cell r="K2457"/>
          <cell r="L2457">
            <v>2.16</v>
          </cell>
          <cell r="M2457"/>
          <cell r="N2457">
            <v>2.2599999999999998</v>
          </cell>
          <cell r="O2457"/>
          <cell r="P2457"/>
          <cell r="Q2457"/>
          <cell r="R2457">
            <v>2.41</v>
          </cell>
          <cell r="S2457"/>
          <cell r="T2457"/>
          <cell r="U2457"/>
          <cell r="V2457">
            <v>15</v>
          </cell>
          <cell r="W2457"/>
          <cell r="X2457" t="str">
            <v>OWEN</v>
          </cell>
          <cell r="Y2457" t="str">
            <v>OWEN 20-MAY</v>
          </cell>
          <cell r="Z2457" t="str">
            <v>SANDY' MAIL 22/5/17</v>
          </cell>
          <cell r="AA2457"/>
          <cell r="AB2457">
            <v>42877</v>
          </cell>
          <cell r="AC2457">
            <v>3210</v>
          </cell>
        </row>
        <row r="2458">
          <cell r="B2458">
            <v>3209</v>
          </cell>
          <cell r="C2458" t="str">
            <v>OLP-164XS</v>
          </cell>
          <cell r="D2458" t="str">
            <v>FOIL</v>
          </cell>
          <cell r="E2458"/>
          <cell r="F2458" t="str">
            <v>T 100%</v>
          </cell>
          <cell r="G2458" t="str">
            <v>100% POLYESTER FOIL</v>
          </cell>
          <cell r="H2458" t="str">
            <v>57/58</v>
          </cell>
          <cell r="I2458">
            <v>95</v>
          </cell>
          <cell r="J2458">
            <v>2.25</v>
          </cell>
          <cell r="K2458"/>
          <cell r="L2458">
            <v>2.3199999999999998</v>
          </cell>
          <cell r="M2458"/>
          <cell r="N2458">
            <v>2.42</v>
          </cell>
          <cell r="O2458"/>
          <cell r="P2458"/>
          <cell r="Q2458"/>
          <cell r="R2458">
            <v>2.57</v>
          </cell>
          <cell r="S2458"/>
          <cell r="T2458"/>
          <cell r="U2458"/>
          <cell r="V2458">
            <v>15</v>
          </cell>
          <cell r="W2458"/>
          <cell r="X2458" t="str">
            <v>OWEN</v>
          </cell>
          <cell r="Y2458" t="str">
            <v>OWEN 20-MAY</v>
          </cell>
          <cell r="Z2458" t="str">
            <v>SANDY' MAIL 22/5/17</v>
          </cell>
          <cell r="AA2458"/>
          <cell r="AB2458">
            <v>42877</v>
          </cell>
          <cell r="AC2458">
            <v>3209</v>
          </cell>
        </row>
        <row r="2459">
          <cell r="B2459">
            <v>3208</v>
          </cell>
          <cell r="C2459" t="str">
            <v>OLP-601-19-XS</v>
          </cell>
          <cell r="D2459" t="str">
            <v>FOIL</v>
          </cell>
          <cell r="E2459"/>
          <cell r="F2459" t="str">
            <v>T 100%</v>
          </cell>
          <cell r="G2459" t="str">
            <v>100% POLYESTER FOIL</v>
          </cell>
          <cell r="H2459" t="str">
            <v>57/58</v>
          </cell>
          <cell r="I2459">
            <v>100</v>
          </cell>
          <cell r="J2459">
            <v>2.0099999999999998</v>
          </cell>
          <cell r="K2459"/>
          <cell r="L2459">
            <v>2.09</v>
          </cell>
          <cell r="M2459"/>
          <cell r="N2459">
            <v>2.19</v>
          </cell>
          <cell r="O2459"/>
          <cell r="P2459"/>
          <cell r="Q2459"/>
          <cell r="R2459">
            <v>2.34</v>
          </cell>
          <cell r="S2459"/>
          <cell r="T2459"/>
          <cell r="U2459"/>
          <cell r="V2459">
            <v>15</v>
          </cell>
          <cell r="W2459"/>
          <cell r="X2459" t="str">
            <v>OWEN</v>
          </cell>
          <cell r="Y2459" t="str">
            <v>OWEN 20-MAY</v>
          </cell>
          <cell r="Z2459" t="str">
            <v>SANDY' MAIL 22/5/17</v>
          </cell>
          <cell r="AA2459"/>
          <cell r="AB2459">
            <v>42877</v>
          </cell>
          <cell r="AC2459">
            <v>3208</v>
          </cell>
        </row>
        <row r="2460">
          <cell r="B2460">
            <v>3207</v>
          </cell>
          <cell r="C2460" t="str">
            <v>OLP-011-XS</v>
          </cell>
          <cell r="D2460" t="str">
            <v>FOIL</v>
          </cell>
          <cell r="E2460"/>
          <cell r="F2460" t="str">
            <v>T 100%</v>
          </cell>
          <cell r="G2460" t="str">
            <v>100% POLYESTER FOIL</v>
          </cell>
          <cell r="H2460" t="str">
            <v>57/58</v>
          </cell>
          <cell r="I2460">
            <v>52</v>
          </cell>
          <cell r="J2460">
            <v>1.85</v>
          </cell>
          <cell r="K2460"/>
          <cell r="L2460">
            <v>1.91</v>
          </cell>
          <cell r="M2460"/>
          <cell r="N2460">
            <v>2.0099999999999998</v>
          </cell>
          <cell r="O2460"/>
          <cell r="P2460"/>
          <cell r="Q2460"/>
          <cell r="R2460">
            <v>2.16</v>
          </cell>
          <cell r="S2460"/>
          <cell r="T2460"/>
          <cell r="U2460"/>
          <cell r="V2460">
            <v>15</v>
          </cell>
          <cell r="W2460"/>
          <cell r="X2460" t="str">
            <v>OWEN</v>
          </cell>
          <cell r="Y2460" t="str">
            <v>OWEN 20-MAY</v>
          </cell>
          <cell r="Z2460" t="str">
            <v>SANDY' MAIL 22/5/17</v>
          </cell>
          <cell r="AA2460"/>
          <cell r="AB2460">
            <v>42877</v>
          </cell>
          <cell r="AC2460">
            <v>3207</v>
          </cell>
        </row>
        <row r="2461">
          <cell r="B2461">
            <v>3206</v>
          </cell>
          <cell r="C2461" t="str">
            <v>OLP-093-FS</v>
          </cell>
          <cell r="D2461" t="str">
            <v>FOIL</v>
          </cell>
          <cell r="E2461"/>
          <cell r="F2461" t="str">
            <v>T 100%</v>
          </cell>
          <cell r="G2461" t="str">
            <v>100% POLYESTER FOIL</v>
          </cell>
          <cell r="H2461" t="str">
            <v>57/58</v>
          </cell>
          <cell r="I2461">
            <v>85</v>
          </cell>
          <cell r="J2461">
            <v>2.56</v>
          </cell>
          <cell r="K2461"/>
          <cell r="L2461">
            <v>2.62</v>
          </cell>
          <cell r="M2461"/>
          <cell r="N2461">
            <v>2.72</v>
          </cell>
          <cell r="O2461"/>
          <cell r="P2461"/>
          <cell r="Q2461"/>
          <cell r="R2461">
            <v>2.87</v>
          </cell>
          <cell r="S2461"/>
          <cell r="T2461"/>
          <cell r="U2461"/>
          <cell r="V2461">
            <v>15</v>
          </cell>
          <cell r="W2461"/>
          <cell r="X2461" t="str">
            <v>OWEN</v>
          </cell>
          <cell r="Y2461" t="str">
            <v>OWEN 20-MAY</v>
          </cell>
          <cell r="Z2461" t="str">
            <v>SANDY' MAIL 22/5/17</v>
          </cell>
          <cell r="AA2461"/>
          <cell r="AB2461">
            <v>42877</v>
          </cell>
          <cell r="AC2461">
            <v>3206</v>
          </cell>
        </row>
        <row r="2462">
          <cell r="B2462">
            <v>3216</v>
          </cell>
          <cell r="C2462" t="str">
            <v>HLT5910</v>
          </cell>
          <cell r="D2462" t="str">
            <v>LACE</v>
          </cell>
          <cell r="E2462"/>
          <cell r="F2462" t="str">
            <v>T/S 92/8</v>
          </cell>
          <cell r="G2462" t="str">
            <v>92% NYLON 8% SPANDEX</v>
          </cell>
          <cell r="H2462" t="str">
            <v>150CM</v>
          </cell>
          <cell r="I2462">
            <v>125</v>
          </cell>
          <cell r="J2462">
            <v>2.4</v>
          </cell>
          <cell r="K2462"/>
          <cell r="L2462">
            <v>2.5</v>
          </cell>
          <cell r="M2462"/>
          <cell r="N2462">
            <v>2.6</v>
          </cell>
          <cell r="O2462"/>
          <cell r="P2462"/>
          <cell r="Q2462"/>
          <cell r="R2462">
            <v>2.7</v>
          </cell>
          <cell r="S2462"/>
          <cell r="T2462"/>
          <cell r="U2462"/>
          <cell r="V2462">
            <v>15</v>
          </cell>
          <cell r="W2462"/>
          <cell r="X2462" t="str">
            <v>CANDY</v>
          </cell>
          <cell r="Y2462" t="str">
            <v>CANDY 20-MAY</v>
          </cell>
          <cell r="Z2462" t="str">
            <v>LEI' MAIL 20/5/17</v>
          </cell>
          <cell r="AA2462"/>
          <cell r="AB2462">
            <v>42875</v>
          </cell>
          <cell r="AC2462">
            <v>3216</v>
          </cell>
        </row>
        <row r="2463">
          <cell r="B2463">
            <v>3205</v>
          </cell>
          <cell r="C2463" t="str">
            <v>OLP-17042133XS</v>
          </cell>
          <cell r="D2463" t="str">
            <v>SATEEN (DULL)</v>
          </cell>
          <cell r="E2463"/>
          <cell r="F2463" t="str">
            <v>T 100%</v>
          </cell>
          <cell r="G2463" t="str">
            <v>100% POLYESTERESESTER</v>
          </cell>
          <cell r="H2463" t="str">
            <v>57/58</v>
          </cell>
          <cell r="I2463">
            <v>107</v>
          </cell>
          <cell r="J2463">
            <v>1.43</v>
          </cell>
          <cell r="K2463">
            <v>1.73</v>
          </cell>
          <cell r="L2463">
            <v>1.51</v>
          </cell>
          <cell r="M2463">
            <v>1.82</v>
          </cell>
          <cell r="N2463">
            <v>1.66</v>
          </cell>
          <cell r="O2463">
            <v>2.02</v>
          </cell>
          <cell r="P2463"/>
          <cell r="Q2463"/>
          <cell r="R2463">
            <v>1.81</v>
          </cell>
          <cell r="S2463">
            <v>2.4700000000000002</v>
          </cell>
          <cell r="T2463"/>
          <cell r="U2463"/>
          <cell r="V2463">
            <v>15</v>
          </cell>
          <cell r="W2463"/>
          <cell r="X2463" t="str">
            <v>OWEN</v>
          </cell>
          <cell r="Y2463" t="str">
            <v>OWEN19-MAY</v>
          </cell>
          <cell r="Z2463" t="str">
            <v>SANDY' MAIL 22/5/17</v>
          </cell>
          <cell r="AA2463"/>
          <cell r="AB2463">
            <v>42875</v>
          </cell>
          <cell r="AC2463">
            <v>3205</v>
          </cell>
        </row>
        <row r="2464">
          <cell r="B2464">
            <v>3204</v>
          </cell>
          <cell r="C2464" t="str">
            <v>TP6510</v>
          </cell>
          <cell r="D2464" t="str">
            <v>HEAVY CREPE</v>
          </cell>
          <cell r="E2464"/>
          <cell r="F2464" t="str">
            <v>T/S 97/3</v>
          </cell>
          <cell r="G2464" t="str">
            <v>97% POLYESTER 3% SPAN</v>
          </cell>
          <cell r="H2464" t="str">
            <v>57/58</v>
          </cell>
          <cell r="I2464">
            <v>200</v>
          </cell>
          <cell r="J2464">
            <v>1.9</v>
          </cell>
          <cell r="K2464">
            <v>2.2999999999999998</v>
          </cell>
          <cell r="L2464">
            <v>1.95</v>
          </cell>
          <cell r="M2464">
            <v>2.35</v>
          </cell>
          <cell r="N2464">
            <v>2</v>
          </cell>
          <cell r="O2464">
            <v>2.4</v>
          </cell>
          <cell r="P2464"/>
          <cell r="Q2464"/>
          <cell r="R2464">
            <v>2.1</v>
          </cell>
          <cell r="S2464">
            <v>2.5</v>
          </cell>
          <cell r="T2464"/>
          <cell r="U2464"/>
          <cell r="V2464"/>
          <cell r="W2464"/>
          <cell r="X2464" t="str">
            <v>FUTURE TEXTILE</v>
          </cell>
          <cell r="Y2464" t="str">
            <v>DANIEL MAIL 23/5/17</v>
          </cell>
          <cell r="Z2464" t="str">
            <v>DANIEL MAIL 23/5/17</v>
          </cell>
          <cell r="AA2464"/>
          <cell r="AB2464">
            <v>42874</v>
          </cell>
          <cell r="AC2464">
            <v>3204</v>
          </cell>
        </row>
        <row r="2465">
          <cell r="B2465">
            <v>3200</v>
          </cell>
          <cell r="C2465" t="str">
            <v>FY-492</v>
          </cell>
          <cell r="D2465" t="str">
            <v>LINEN YARNDYED</v>
          </cell>
          <cell r="E2465" t="str">
            <v>10*10/44*38 YARN DYED</v>
          </cell>
          <cell r="F2465" t="str">
            <v>L/R 55/45</v>
          </cell>
          <cell r="G2465" t="str">
            <v>55% LINEN 45%RAYON</v>
          </cell>
          <cell r="H2465" t="str">
            <v>52/53</v>
          </cell>
          <cell r="I2465">
            <v>178</v>
          </cell>
          <cell r="J2465">
            <v>2.62</v>
          </cell>
          <cell r="K2465"/>
          <cell r="L2465"/>
          <cell r="M2465"/>
          <cell r="N2465">
            <v>2.67</v>
          </cell>
          <cell r="O2465"/>
          <cell r="P2465"/>
          <cell r="Q2465"/>
          <cell r="R2465">
            <v>3.02</v>
          </cell>
          <cell r="S2465"/>
          <cell r="T2465"/>
          <cell r="U2465"/>
          <cell r="V2465">
            <v>15</v>
          </cell>
          <cell r="W2465"/>
          <cell r="X2465" t="str">
            <v>LIVALTEX</v>
          </cell>
          <cell r="Y2465" t="str">
            <v>LIVALTEX 16-FEB</v>
          </cell>
          <cell r="Z2465" t="str">
            <v>ROSE' MAIL 8/4/17</v>
          </cell>
          <cell r="AA2465"/>
          <cell r="AB2465">
            <v>42873</v>
          </cell>
          <cell r="AC2465">
            <v>3200</v>
          </cell>
        </row>
        <row r="2466">
          <cell r="B2466">
            <v>3199</v>
          </cell>
          <cell r="C2466" t="str">
            <v>FY-493STRIPE</v>
          </cell>
          <cell r="D2466" t="str">
            <v>LINEN YARNDYED</v>
          </cell>
          <cell r="E2466" t="str">
            <v>21*21/60*50 YARN DYED</v>
          </cell>
          <cell r="F2466" t="str">
            <v>L/C 55/45</v>
          </cell>
          <cell r="G2466" t="str">
            <v>55% LINEN 45%COTTON</v>
          </cell>
          <cell r="H2466" t="str">
            <v>55/56</v>
          </cell>
          <cell r="I2466">
            <v>121</v>
          </cell>
          <cell r="J2466">
            <v>2.1</v>
          </cell>
          <cell r="K2466"/>
          <cell r="L2466"/>
          <cell r="M2466"/>
          <cell r="N2466">
            <v>2.15</v>
          </cell>
          <cell r="O2466"/>
          <cell r="P2466"/>
          <cell r="Q2466"/>
          <cell r="R2466">
            <v>2.5</v>
          </cell>
          <cell r="S2466"/>
          <cell r="T2466"/>
          <cell r="U2466"/>
          <cell r="V2466">
            <v>15</v>
          </cell>
          <cell r="W2466"/>
          <cell r="X2466" t="str">
            <v>LIVALTEX</v>
          </cell>
          <cell r="Y2466" t="str">
            <v>LIVALTEX 16-FEB</v>
          </cell>
          <cell r="Z2466" t="str">
            <v>ROSE' MAIL 8/4/17</v>
          </cell>
          <cell r="AA2466"/>
          <cell r="AB2466">
            <v>42873</v>
          </cell>
          <cell r="AC2466">
            <v>3199</v>
          </cell>
        </row>
        <row r="2467">
          <cell r="B2467">
            <v>3198</v>
          </cell>
          <cell r="C2467" t="str">
            <v>FY-557</v>
          </cell>
          <cell r="D2467" t="str">
            <v>LINEN YARNDYED</v>
          </cell>
          <cell r="E2467" t="str">
            <v>10*10/44*38 YARN DYED</v>
          </cell>
          <cell r="F2467" t="str">
            <v>L/R 55/45</v>
          </cell>
          <cell r="G2467" t="str">
            <v>55% LINEN 45%RAYON</v>
          </cell>
          <cell r="H2467" t="str">
            <v>52/53</v>
          </cell>
          <cell r="I2467">
            <v>178</v>
          </cell>
          <cell r="J2467">
            <v>2.62</v>
          </cell>
          <cell r="K2467"/>
          <cell r="L2467"/>
          <cell r="M2467"/>
          <cell r="N2467">
            <v>2.67</v>
          </cell>
          <cell r="O2467"/>
          <cell r="P2467"/>
          <cell r="Q2467"/>
          <cell r="R2467">
            <v>3.02</v>
          </cell>
          <cell r="S2467"/>
          <cell r="T2467"/>
          <cell r="U2467"/>
          <cell r="V2467">
            <v>15</v>
          </cell>
          <cell r="W2467"/>
          <cell r="X2467" t="str">
            <v>LIVALTEX</v>
          </cell>
          <cell r="Y2467" t="str">
            <v>LIVALTEX 16-FEB</v>
          </cell>
          <cell r="Z2467" t="str">
            <v>ROSE' MAIL 8/4/17</v>
          </cell>
          <cell r="AA2467"/>
          <cell r="AB2467">
            <v>42873</v>
          </cell>
          <cell r="AC2467">
            <v>3198</v>
          </cell>
        </row>
        <row r="2468">
          <cell r="B2468">
            <v>3197</v>
          </cell>
          <cell r="C2468" t="str">
            <v>FY-493B</v>
          </cell>
          <cell r="D2468" t="str">
            <v>LINEN YARNDYED</v>
          </cell>
          <cell r="E2468" t="str">
            <v>21*21/60*50 YARN DYED</v>
          </cell>
          <cell r="F2468" t="str">
            <v>L/R 55/45</v>
          </cell>
          <cell r="G2468" t="str">
            <v>55% LINEN 45%COTTON</v>
          </cell>
          <cell r="H2468" t="str">
            <v>55/56</v>
          </cell>
          <cell r="I2468">
            <v>123</v>
          </cell>
          <cell r="J2468">
            <v>2.1</v>
          </cell>
          <cell r="K2468"/>
          <cell r="L2468"/>
          <cell r="M2468"/>
          <cell r="N2468">
            <v>2.15</v>
          </cell>
          <cell r="O2468"/>
          <cell r="P2468"/>
          <cell r="Q2468"/>
          <cell r="R2468">
            <v>2.5</v>
          </cell>
          <cell r="S2468"/>
          <cell r="T2468"/>
          <cell r="U2468"/>
          <cell r="V2468">
            <v>15</v>
          </cell>
          <cell r="W2468"/>
          <cell r="X2468" t="str">
            <v>LIVALTEX</v>
          </cell>
          <cell r="Y2468" t="str">
            <v>LIVALTEX 16-FEB</v>
          </cell>
          <cell r="Z2468" t="str">
            <v>ROSE' MAIL 8/4/17</v>
          </cell>
          <cell r="AA2468"/>
          <cell r="AB2468">
            <v>42873</v>
          </cell>
          <cell r="AC2468">
            <v>3197</v>
          </cell>
        </row>
        <row r="2469">
          <cell r="B2469">
            <v>3381</v>
          </cell>
          <cell r="C2469" t="str">
            <v>T004</v>
          </cell>
          <cell r="D2469" t="str">
            <v>POLY CREPE</v>
          </cell>
          <cell r="E2469" t="str">
            <v>75D*75D</v>
          </cell>
          <cell r="F2469" t="str">
            <v>T 100%</v>
          </cell>
          <cell r="G2469" t="str">
            <v>100%POLYESTER</v>
          </cell>
          <cell r="H2469" t="str">
            <v>57/58</v>
          </cell>
          <cell r="I2469">
            <v>120</v>
          </cell>
          <cell r="J2469">
            <v>1.2</v>
          </cell>
          <cell r="K2469">
            <v>1.43</v>
          </cell>
          <cell r="L2469">
            <v>1.22</v>
          </cell>
          <cell r="M2469">
            <v>1.5</v>
          </cell>
          <cell r="N2469">
            <v>1.23</v>
          </cell>
          <cell r="O2469">
            <v>1.55</v>
          </cell>
          <cell r="P2469"/>
          <cell r="Q2469"/>
          <cell r="R2469">
            <v>1.42</v>
          </cell>
          <cell r="S2469">
            <v>2.0499999999999998</v>
          </cell>
          <cell r="T2469"/>
          <cell r="U2469"/>
          <cell r="V2469">
            <v>15</v>
          </cell>
          <cell r="W2469"/>
          <cell r="X2469" t="str">
            <v>TERESA</v>
          </cell>
          <cell r="Y2469" t="str">
            <v>TERESA 10-JULY</v>
          </cell>
          <cell r="Z2469" t="str">
            <v>TERESA' MAIL 10/7/17</v>
          </cell>
          <cell r="AA2469"/>
          <cell r="AB2469">
            <v>42872</v>
          </cell>
          <cell r="AC2469">
            <v>3381</v>
          </cell>
        </row>
        <row r="2470">
          <cell r="B2470">
            <v>3380</v>
          </cell>
          <cell r="C2470" t="str">
            <v>T014</v>
          </cell>
          <cell r="D2470" t="str">
            <v>CDC</v>
          </cell>
          <cell r="E2470" t="str">
            <v>20+26D x 75D</v>
          </cell>
          <cell r="F2470" t="str">
            <v>T 100%</v>
          </cell>
          <cell r="G2470" t="str">
            <v>100%POLYESTER</v>
          </cell>
          <cell r="H2470" t="str">
            <v>57/58</v>
          </cell>
          <cell r="I2470">
            <v>70</v>
          </cell>
          <cell r="J2470">
            <v>1.1299999999999999</v>
          </cell>
          <cell r="K2470">
            <v>1.39</v>
          </cell>
          <cell r="L2470">
            <v>1.1499999999999999</v>
          </cell>
          <cell r="M2470">
            <v>1.44</v>
          </cell>
          <cell r="N2470">
            <v>1.17</v>
          </cell>
          <cell r="O2470">
            <v>1.5</v>
          </cell>
          <cell r="P2470"/>
          <cell r="Q2470"/>
          <cell r="R2470">
            <v>1.25</v>
          </cell>
          <cell r="S2470">
            <v>1.96</v>
          </cell>
          <cell r="T2470"/>
          <cell r="U2470"/>
          <cell r="V2470">
            <v>15</v>
          </cell>
          <cell r="W2470"/>
          <cell r="X2470" t="str">
            <v>TERESA</v>
          </cell>
          <cell r="Y2470" t="str">
            <v>TERESA 10-JULY</v>
          </cell>
          <cell r="Z2470" t="str">
            <v>TERESA' MAIL 10/7/17</v>
          </cell>
          <cell r="AA2470"/>
          <cell r="AB2470">
            <v>42872</v>
          </cell>
          <cell r="AC2470">
            <v>3380</v>
          </cell>
        </row>
        <row r="2471">
          <cell r="B2471">
            <v>3196</v>
          </cell>
          <cell r="C2471" t="str">
            <v>LX17-59</v>
          </cell>
          <cell r="D2471" t="str">
            <v>LACE</v>
          </cell>
          <cell r="E2471"/>
          <cell r="F2471" t="str">
            <v>N/S</v>
          </cell>
          <cell r="G2471" t="str">
            <v>NYLON SPANDEX</v>
          </cell>
          <cell r="H2471" t="str">
            <v>150CM</v>
          </cell>
          <cell r="I2471">
            <v>125</v>
          </cell>
          <cell r="J2471">
            <v>2.5</v>
          </cell>
          <cell r="K2471"/>
          <cell r="L2471">
            <v>2.5</v>
          </cell>
          <cell r="M2471"/>
          <cell r="N2471">
            <v>2.5</v>
          </cell>
          <cell r="O2471"/>
          <cell r="P2471"/>
          <cell r="Q2471"/>
          <cell r="R2471">
            <v>2.5</v>
          </cell>
          <cell r="S2471"/>
          <cell r="T2471"/>
          <cell r="U2471"/>
          <cell r="V2471">
            <v>15</v>
          </cell>
          <cell r="W2471"/>
          <cell r="X2471" t="str">
            <v>TINA</v>
          </cell>
          <cell r="Y2471" t="str">
            <v>TINA 12-MAY</v>
          </cell>
          <cell r="Z2471" t="str">
            <v>TINA' MAIL 12/5/17</v>
          </cell>
          <cell r="AA2471"/>
          <cell r="AB2471">
            <v>42872</v>
          </cell>
          <cell r="AC2471">
            <v>3196</v>
          </cell>
        </row>
        <row r="2472">
          <cell r="B2472">
            <v>3194</v>
          </cell>
          <cell r="C2472" t="str">
            <v>OLP-175904RBE</v>
          </cell>
          <cell r="D2472"/>
          <cell r="E2472"/>
          <cell r="F2472" t="str">
            <v>T/S</v>
          </cell>
          <cell r="G2472" t="str">
            <v>POLYESTER SPANDEX</v>
          </cell>
          <cell r="H2472" t="str">
            <v>57/58</v>
          </cell>
          <cell r="I2472">
            <v>125</v>
          </cell>
          <cell r="J2472">
            <v>1.63</v>
          </cell>
          <cell r="K2472">
            <v>1.94</v>
          </cell>
          <cell r="L2472">
            <v>1.7</v>
          </cell>
          <cell r="M2472">
            <v>2.02</v>
          </cell>
          <cell r="N2472">
            <v>1.8</v>
          </cell>
          <cell r="O2472">
            <v>2.17</v>
          </cell>
          <cell r="P2472"/>
          <cell r="Q2472"/>
          <cell r="R2472">
            <v>1.95</v>
          </cell>
          <cell r="S2472">
            <v>2.57</v>
          </cell>
          <cell r="T2472"/>
          <cell r="U2472"/>
          <cell r="V2472">
            <v>15</v>
          </cell>
          <cell r="W2472"/>
          <cell r="X2472" t="str">
            <v>OWEN</v>
          </cell>
          <cell r="Y2472" t="str">
            <v>OWEN 16-MAY</v>
          </cell>
          <cell r="Z2472" t="str">
            <v>SANDY' MAIL 16/5/17</v>
          </cell>
          <cell r="AA2472"/>
          <cell r="AB2472">
            <v>42872</v>
          </cell>
          <cell r="AC2472">
            <v>3194</v>
          </cell>
        </row>
        <row r="2473">
          <cell r="B2473">
            <v>3193</v>
          </cell>
          <cell r="C2473" t="str">
            <v>OLP-175903RBE</v>
          </cell>
          <cell r="D2473"/>
          <cell r="E2473"/>
          <cell r="F2473" t="str">
            <v>T/S</v>
          </cell>
          <cell r="G2473" t="str">
            <v>POLYESTER SPANDEX</v>
          </cell>
          <cell r="H2473" t="str">
            <v>57/58</v>
          </cell>
          <cell r="I2473">
            <v>125</v>
          </cell>
          <cell r="J2473">
            <v>1.35</v>
          </cell>
          <cell r="K2473">
            <v>1.7</v>
          </cell>
          <cell r="L2473">
            <v>1.42</v>
          </cell>
          <cell r="M2473">
            <v>1.78</v>
          </cell>
          <cell r="N2473">
            <v>1.52</v>
          </cell>
          <cell r="O2473">
            <v>1.93</v>
          </cell>
          <cell r="P2473"/>
          <cell r="Q2473"/>
          <cell r="R2473">
            <v>1.67</v>
          </cell>
          <cell r="S2473">
            <v>2.33</v>
          </cell>
          <cell r="T2473"/>
          <cell r="U2473"/>
          <cell r="V2473">
            <v>15</v>
          </cell>
          <cell r="W2473"/>
          <cell r="X2473" t="str">
            <v>OWEN</v>
          </cell>
          <cell r="Y2473" t="str">
            <v>OWEN 16-MAY</v>
          </cell>
          <cell r="Z2473" t="str">
            <v>SANDY' MAIL 16/5/17</v>
          </cell>
          <cell r="AA2473"/>
          <cell r="AB2473">
            <v>42872</v>
          </cell>
          <cell r="AC2473">
            <v>3193</v>
          </cell>
        </row>
        <row r="2474">
          <cell r="B2474">
            <v>3192</v>
          </cell>
          <cell r="C2474" t="str">
            <v>OLP-175902RBE</v>
          </cell>
          <cell r="D2474"/>
          <cell r="E2474"/>
          <cell r="F2474" t="str">
            <v>T/S</v>
          </cell>
          <cell r="G2474" t="str">
            <v>POLYESTER SPANDEX</v>
          </cell>
          <cell r="H2474" t="str">
            <v>57/58</v>
          </cell>
          <cell r="I2474">
            <v>115</v>
          </cell>
          <cell r="J2474">
            <v>1.35</v>
          </cell>
          <cell r="K2474">
            <v>1.65</v>
          </cell>
          <cell r="L2474">
            <v>1.4</v>
          </cell>
          <cell r="M2474">
            <v>1.7</v>
          </cell>
          <cell r="N2474">
            <v>1.5</v>
          </cell>
          <cell r="O2474">
            <v>1.85</v>
          </cell>
          <cell r="P2474"/>
          <cell r="Q2474"/>
          <cell r="R2474">
            <v>1.65</v>
          </cell>
          <cell r="S2474">
            <v>2.25</v>
          </cell>
          <cell r="T2474"/>
          <cell r="U2474"/>
          <cell r="V2474">
            <v>15</v>
          </cell>
          <cell r="W2474"/>
          <cell r="X2474" t="str">
            <v>OWEN</v>
          </cell>
          <cell r="Y2474" t="str">
            <v>OWEN 16-MAY</v>
          </cell>
          <cell r="Z2474" t="str">
            <v>SANDY' MAIL 16/5/17</v>
          </cell>
          <cell r="AA2474"/>
          <cell r="AB2474">
            <v>42872</v>
          </cell>
          <cell r="AC2474">
            <v>3192</v>
          </cell>
        </row>
        <row r="2475">
          <cell r="B2475">
            <v>3191</v>
          </cell>
          <cell r="C2475" t="str">
            <v>OLP-175901RBE</v>
          </cell>
          <cell r="D2475"/>
          <cell r="E2475"/>
          <cell r="F2475" t="str">
            <v>T/S</v>
          </cell>
          <cell r="G2475" t="str">
            <v>POLYESTER SPANDEX</v>
          </cell>
          <cell r="H2475" t="str">
            <v>57/58</v>
          </cell>
          <cell r="I2475">
            <v>110</v>
          </cell>
          <cell r="J2475">
            <v>1.25</v>
          </cell>
          <cell r="K2475">
            <v>1.6</v>
          </cell>
          <cell r="L2475">
            <v>1.3</v>
          </cell>
          <cell r="M2475">
            <v>1.65</v>
          </cell>
          <cell r="N2475">
            <v>1.4</v>
          </cell>
          <cell r="O2475">
            <v>1.8</v>
          </cell>
          <cell r="P2475"/>
          <cell r="Q2475"/>
          <cell r="R2475">
            <v>1.55</v>
          </cell>
          <cell r="S2475">
            <v>2.2000000000000002</v>
          </cell>
          <cell r="T2475"/>
          <cell r="U2475"/>
          <cell r="V2475">
            <v>15</v>
          </cell>
          <cell r="W2475"/>
          <cell r="X2475" t="str">
            <v>OWEN</v>
          </cell>
          <cell r="Y2475" t="str">
            <v>OWEN 16-MAY</v>
          </cell>
          <cell r="Z2475" t="str">
            <v>SANDY' MAIL 16/5/17</v>
          </cell>
          <cell r="AA2475"/>
          <cell r="AB2475">
            <v>42872</v>
          </cell>
          <cell r="AC2475">
            <v>3191</v>
          </cell>
        </row>
        <row r="2476">
          <cell r="B2476">
            <v>3190</v>
          </cell>
          <cell r="C2476" t="str">
            <v>FL170505-2</v>
          </cell>
          <cell r="D2476" t="str">
            <v>LACE</v>
          </cell>
          <cell r="E2476"/>
          <cell r="F2476" t="str">
            <v>TC</v>
          </cell>
          <cell r="G2476" t="str">
            <v>POLYESTER COTTON</v>
          </cell>
          <cell r="H2476" t="str">
            <v>135CM</v>
          </cell>
          <cell r="I2476">
            <v>330</v>
          </cell>
          <cell r="J2476">
            <v>3.06</v>
          </cell>
          <cell r="K2476"/>
          <cell r="L2476"/>
          <cell r="M2476"/>
          <cell r="N2476">
            <v>3.17</v>
          </cell>
          <cell r="O2476"/>
          <cell r="P2476"/>
          <cell r="Q2476"/>
          <cell r="R2476">
            <v>3.34</v>
          </cell>
          <cell r="S2476"/>
          <cell r="T2476"/>
          <cell r="U2476"/>
          <cell r="V2476">
            <v>8</v>
          </cell>
          <cell r="W2476" t="str">
            <v>For DTM,MOQ is 300Y/color if unDer MOQ,surchagre is 30USD/color</v>
          </cell>
          <cell r="X2476" t="str">
            <v>SCALER</v>
          </cell>
          <cell r="Y2476" t="str">
            <v>SCALER 16-MAY</v>
          </cell>
          <cell r="Z2476" t="str">
            <v>SCALER' MAIL 16/5/17</v>
          </cell>
          <cell r="AA2476"/>
          <cell r="AB2476">
            <v>42872</v>
          </cell>
          <cell r="AC2476">
            <v>3190</v>
          </cell>
        </row>
        <row r="2477">
          <cell r="B2477">
            <v>3189</v>
          </cell>
          <cell r="C2477" t="str">
            <v>FL170505-1</v>
          </cell>
          <cell r="D2477" t="str">
            <v>LACE</v>
          </cell>
          <cell r="E2477"/>
          <cell r="F2477" t="str">
            <v>TC</v>
          </cell>
          <cell r="G2477" t="str">
            <v>POLYESTER COTTON</v>
          </cell>
          <cell r="H2477" t="str">
            <v>135CM</v>
          </cell>
          <cell r="I2477">
            <v>300</v>
          </cell>
          <cell r="J2477">
            <v>2.87</v>
          </cell>
          <cell r="K2477"/>
          <cell r="L2477"/>
          <cell r="M2477"/>
          <cell r="N2477">
            <v>2.97</v>
          </cell>
          <cell r="O2477"/>
          <cell r="P2477"/>
          <cell r="Q2477"/>
          <cell r="R2477">
            <v>3.14</v>
          </cell>
          <cell r="S2477"/>
          <cell r="T2477"/>
          <cell r="U2477"/>
          <cell r="V2477">
            <v>15</v>
          </cell>
          <cell r="W2477" t="str">
            <v>For DTM,MOQ is 300Y/color if unDer MOQ,surchagre is 30USD/color</v>
          </cell>
          <cell r="X2477" t="str">
            <v>SCALER</v>
          </cell>
          <cell r="Y2477" t="str">
            <v>SCALER 16-MAY</v>
          </cell>
          <cell r="Z2477" t="str">
            <v>SCALER' MAIL 16/5/17</v>
          </cell>
          <cell r="AA2477"/>
          <cell r="AB2477">
            <v>42871</v>
          </cell>
          <cell r="AC2477">
            <v>3189</v>
          </cell>
        </row>
        <row r="2478">
          <cell r="B2478">
            <v>3188</v>
          </cell>
          <cell r="C2478" t="str">
            <v>HLT2744</v>
          </cell>
          <cell r="D2478" t="str">
            <v>SATEEN DULL</v>
          </cell>
          <cell r="E2478"/>
          <cell r="F2478" t="str">
            <v>T 100%</v>
          </cell>
          <cell r="G2478" t="str">
            <v>100% POLYESTER</v>
          </cell>
          <cell r="H2478" t="str">
            <v>60/61</v>
          </cell>
          <cell r="I2478">
            <v>58</v>
          </cell>
          <cell r="J2478">
            <v>1.8930735930735929</v>
          </cell>
          <cell r="K2478">
            <v>2.0995670995670994</v>
          </cell>
          <cell r="L2478">
            <v>1.993073593073593</v>
          </cell>
          <cell r="M2478">
            <v>2.1995670995670995</v>
          </cell>
          <cell r="N2478">
            <v>2.0930735930735929</v>
          </cell>
          <cell r="O2478">
            <v>2.2995670995670996</v>
          </cell>
          <cell r="P2478"/>
          <cell r="Q2478"/>
          <cell r="R2478">
            <v>2.193073593073593</v>
          </cell>
          <cell r="S2478">
            <v>2.4995670995670998</v>
          </cell>
          <cell r="T2478"/>
          <cell r="U2478"/>
          <cell r="V2478">
            <v>15</v>
          </cell>
          <cell r="W2478"/>
          <cell r="X2478" t="str">
            <v>CANDY</v>
          </cell>
          <cell r="Y2478" t="str">
            <v>CANDY 9-MAY</v>
          </cell>
          <cell r="Z2478" t="str">
            <v>CANDY' MAIL 9/5/17</v>
          </cell>
          <cell r="AA2478"/>
          <cell r="AB2478">
            <v>42871</v>
          </cell>
          <cell r="AC2478">
            <v>3188</v>
          </cell>
        </row>
        <row r="2479">
          <cell r="B2479">
            <v>3187</v>
          </cell>
          <cell r="C2479" t="str">
            <v>HLT2758</v>
          </cell>
          <cell r="D2479" t="str">
            <v>SATEEN DULL</v>
          </cell>
          <cell r="E2479"/>
          <cell r="F2479" t="str">
            <v>T 100%</v>
          </cell>
          <cell r="G2479" t="str">
            <v>100% POLYESTER</v>
          </cell>
          <cell r="H2479" t="str">
            <v>55/56</v>
          </cell>
          <cell r="I2479">
            <v>108</v>
          </cell>
          <cell r="J2479">
            <v>1.4385281385281385</v>
          </cell>
          <cell r="K2479">
            <v>1.6320346320346319</v>
          </cell>
          <cell r="L2479">
            <v>1.5385281385281386</v>
          </cell>
          <cell r="M2479">
            <v>1.732034632034632</v>
          </cell>
          <cell r="N2479">
            <v>1.6385281385281387</v>
          </cell>
          <cell r="O2479">
            <v>1.8320346320346321</v>
          </cell>
          <cell r="P2479"/>
          <cell r="Q2479"/>
          <cell r="R2479">
            <v>1.7385281385281388</v>
          </cell>
          <cell r="S2479">
            <v>2.0320346320346321</v>
          </cell>
          <cell r="T2479"/>
          <cell r="U2479"/>
          <cell r="V2479">
            <v>15</v>
          </cell>
          <cell r="W2479"/>
          <cell r="X2479" t="str">
            <v>CANDY</v>
          </cell>
          <cell r="Y2479" t="str">
            <v>CANDY 9-MAY</v>
          </cell>
          <cell r="Z2479" t="str">
            <v>CANDY' MAIL 9/5/17</v>
          </cell>
          <cell r="AA2479"/>
          <cell r="AB2479">
            <v>42871</v>
          </cell>
          <cell r="AC2479">
            <v>3187</v>
          </cell>
        </row>
        <row r="2480">
          <cell r="B2480">
            <v>3186</v>
          </cell>
          <cell r="C2480" t="str">
            <v>HLT2742</v>
          </cell>
          <cell r="D2480" t="str">
            <v>SATEEN DULL</v>
          </cell>
          <cell r="E2480"/>
          <cell r="F2480" t="str">
            <v>T/S 98/2</v>
          </cell>
          <cell r="G2480" t="str">
            <v>98% POLYESTER 2%SPANDEX</v>
          </cell>
          <cell r="H2480" t="str">
            <v>57/58</v>
          </cell>
          <cell r="I2480">
            <v>84</v>
          </cell>
          <cell r="J2480">
            <v>1.5251082251082251</v>
          </cell>
          <cell r="K2480">
            <v>1.7186147186147187</v>
          </cell>
          <cell r="L2480">
            <v>1.6251082251082252</v>
          </cell>
          <cell r="M2480">
            <v>1.8186147186147188</v>
          </cell>
          <cell r="N2480">
            <v>1.7251082251082253</v>
          </cell>
          <cell r="O2480">
            <v>1.9186147186147189</v>
          </cell>
          <cell r="P2480"/>
          <cell r="Q2480"/>
          <cell r="R2480">
            <v>1.8251082251082253</v>
          </cell>
          <cell r="S2480">
            <v>2.1186147186147188</v>
          </cell>
          <cell r="T2480"/>
          <cell r="U2480"/>
          <cell r="V2480">
            <v>15</v>
          </cell>
          <cell r="W2480"/>
          <cell r="X2480" t="str">
            <v>CANDY</v>
          </cell>
          <cell r="Y2480" t="str">
            <v>CANDY 9-MAY</v>
          </cell>
          <cell r="Z2480" t="str">
            <v>CANDY' MAIL 9/5/17</v>
          </cell>
          <cell r="AA2480"/>
          <cell r="AB2480">
            <v>42871</v>
          </cell>
          <cell r="AC2480">
            <v>3186</v>
          </cell>
        </row>
        <row r="2481">
          <cell r="B2481">
            <v>3185</v>
          </cell>
          <cell r="C2481" t="str">
            <v>HLT5072</v>
          </cell>
          <cell r="D2481" t="str">
            <v>SATEEN DULL</v>
          </cell>
          <cell r="E2481"/>
          <cell r="F2481" t="str">
            <v>T 100%</v>
          </cell>
          <cell r="G2481" t="str">
            <v>100% POLYESTER</v>
          </cell>
          <cell r="H2481" t="str">
            <v>152CM</v>
          </cell>
          <cell r="I2481">
            <v>174</v>
          </cell>
          <cell r="J2481">
            <v>1.7619047619047619</v>
          </cell>
          <cell r="K2481">
            <v>1.8917748917748918</v>
          </cell>
          <cell r="L2481">
            <v>1.861904761904762</v>
          </cell>
          <cell r="M2481">
            <v>1.9917748917748919</v>
          </cell>
          <cell r="N2481">
            <v>1.961904761904762</v>
          </cell>
          <cell r="O2481">
            <v>2.0917748917748917</v>
          </cell>
          <cell r="P2481"/>
          <cell r="Q2481"/>
          <cell r="R2481">
            <v>2.0619047619047621</v>
          </cell>
          <cell r="S2481">
            <v>2.2917748917748919</v>
          </cell>
          <cell r="T2481"/>
          <cell r="U2481"/>
          <cell r="V2481">
            <v>15</v>
          </cell>
          <cell r="W2481"/>
          <cell r="X2481" t="str">
            <v>CANDY</v>
          </cell>
          <cell r="Y2481" t="str">
            <v>CANDY 9-MAY</v>
          </cell>
          <cell r="Z2481" t="str">
            <v>CANDY' MAIL 9/5/17</v>
          </cell>
          <cell r="AA2481"/>
          <cell r="AB2481">
            <v>42871</v>
          </cell>
          <cell r="AC2481">
            <v>3185</v>
          </cell>
        </row>
        <row r="2482">
          <cell r="B2482">
            <v>3184</v>
          </cell>
          <cell r="C2482" t="str">
            <v>HLT2618</v>
          </cell>
          <cell r="D2482" t="str">
            <v>SATEEN DULL</v>
          </cell>
          <cell r="E2482"/>
          <cell r="F2482" t="str">
            <v>T 100%</v>
          </cell>
          <cell r="G2482" t="str">
            <v>100% POLYESTER</v>
          </cell>
          <cell r="H2482" t="str">
            <v>57/58</v>
          </cell>
          <cell r="I2482">
            <v>105</v>
          </cell>
          <cell r="J2482">
            <v>1.5251082251082251</v>
          </cell>
          <cell r="K2482">
            <v>1.7186147186147187</v>
          </cell>
          <cell r="L2482">
            <v>1.6251082251082252</v>
          </cell>
          <cell r="M2482">
            <v>1.8186147186147188</v>
          </cell>
          <cell r="N2482">
            <v>1.7251082251082253</v>
          </cell>
          <cell r="O2482">
            <v>1.9186147186147189</v>
          </cell>
          <cell r="P2482"/>
          <cell r="Q2482"/>
          <cell r="R2482">
            <v>1.8251082251082253</v>
          </cell>
          <cell r="S2482">
            <v>2.1186147186147188</v>
          </cell>
          <cell r="T2482"/>
          <cell r="U2482"/>
          <cell r="V2482">
            <v>15</v>
          </cell>
          <cell r="W2482"/>
          <cell r="X2482" t="str">
            <v>CANDY</v>
          </cell>
          <cell r="Y2482" t="str">
            <v>CANDY 9-MAY</v>
          </cell>
          <cell r="Z2482" t="str">
            <v>CANDY' MAIL 9/5/17</v>
          </cell>
          <cell r="AA2482"/>
          <cell r="AB2482">
            <v>42871</v>
          </cell>
          <cell r="AC2482">
            <v>3184</v>
          </cell>
        </row>
        <row r="2483">
          <cell r="B2483">
            <v>3183</v>
          </cell>
          <cell r="C2483" t="str">
            <v>TS-338</v>
          </cell>
          <cell r="D2483" t="str">
            <v>SATEEN DULL</v>
          </cell>
          <cell r="E2483"/>
          <cell r="F2483" t="str">
            <v>T/S 95/5</v>
          </cell>
          <cell r="G2483" t="str">
            <v xml:space="preserve">95/5 POLYESTER SPAN SATIN </v>
          </cell>
          <cell r="H2483" t="str">
            <v>57/58</v>
          </cell>
          <cell r="I2483" t="str">
            <v>91GSM</v>
          </cell>
          <cell r="J2483">
            <v>1.1599999999999999</v>
          </cell>
          <cell r="K2483">
            <v>1.35</v>
          </cell>
          <cell r="L2483">
            <v>1.18</v>
          </cell>
          <cell r="M2483">
            <v>1.38</v>
          </cell>
          <cell r="N2483">
            <v>1.2</v>
          </cell>
          <cell r="O2483">
            <v>1.4</v>
          </cell>
          <cell r="P2483"/>
          <cell r="Q2483"/>
          <cell r="R2483">
            <v>1.35</v>
          </cell>
          <cell r="S2483">
            <v>1.65</v>
          </cell>
          <cell r="T2483"/>
          <cell r="U2483"/>
          <cell r="V2483">
            <v>15</v>
          </cell>
          <cell r="W2483"/>
          <cell r="X2483" t="str">
            <v>GAVIN</v>
          </cell>
          <cell r="Y2483" t="str">
            <v>GAVIN 8-MAY</v>
          </cell>
          <cell r="Z2483" t="str">
            <v>GAVIN' MAIL 15/5/17</v>
          </cell>
          <cell r="AA2483"/>
          <cell r="AB2483">
            <v>42871</v>
          </cell>
          <cell r="AC2483">
            <v>3183</v>
          </cell>
        </row>
        <row r="2484">
          <cell r="B2484">
            <v>3182</v>
          </cell>
          <cell r="C2484" t="str">
            <v>TS-337</v>
          </cell>
          <cell r="D2484" t="str">
            <v>SATEEN SHINY</v>
          </cell>
          <cell r="E2484"/>
          <cell r="F2484" t="str">
            <v>T/S 95/5</v>
          </cell>
          <cell r="G2484" t="str">
            <v xml:space="preserve">95/5 POLYESTER SPAN SATIN </v>
          </cell>
          <cell r="H2484" t="str">
            <v>57/58</v>
          </cell>
          <cell r="I2484">
            <v>95</v>
          </cell>
          <cell r="J2484">
            <v>1.03</v>
          </cell>
          <cell r="K2484">
            <v>1.22</v>
          </cell>
          <cell r="L2484">
            <v>1.05</v>
          </cell>
          <cell r="M2484">
            <v>1.25</v>
          </cell>
          <cell r="N2484">
            <v>1.07</v>
          </cell>
          <cell r="O2484">
            <v>1.27</v>
          </cell>
          <cell r="P2484"/>
          <cell r="Q2484"/>
          <cell r="R2484">
            <v>1.22</v>
          </cell>
          <cell r="S2484">
            <v>1.52</v>
          </cell>
          <cell r="T2484"/>
          <cell r="U2484"/>
          <cell r="V2484">
            <v>15</v>
          </cell>
          <cell r="W2484"/>
          <cell r="X2484" t="str">
            <v>GAVIN</v>
          </cell>
          <cell r="Y2484" t="str">
            <v>GAVIN 8-MAY</v>
          </cell>
          <cell r="Z2484" t="str">
            <v>GAVIN' MAIL 15/5/17</v>
          </cell>
          <cell r="AA2484"/>
          <cell r="AB2484">
            <v>42871</v>
          </cell>
          <cell r="AC2484">
            <v>3182</v>
          </cell>
        </row>
        <row r="2485">
          <cell r="B2485">
            <v>1805</v>
          </cell>
          <cell r="C2485" t="str">
            <v>YH74B24</v>
          </cell>
          <cell r="D2485" t="str">
            <v>MESH</v>
          </cell>
          <cell r="E2485"/>
          <cell r="F2485" t="str">
            <v>T 100%</v>
          </cell>
          <cell r="G2485" t="str">
            <v>100% POLYESTER</v>
          </cell>
          <cell r="H2485" t="str">
            <v>57/58</v>
          </cell>
          <cell r="I2485">
            <v>32</v>
          </cell>
          <cell r="J2485">
            <v>0.25</v>
          </cell>
          <cell r="K2485">
            <v>0.8</v>
          </cell>
          <cell r="L2485">
            <v>0.25</v>
          </cell>
          <cell r="M2485">
            <v>0.85</v>
          </cell>
          <cell r="N2485">
            <v>0.26</v>
          </cell>
          <cell r="O2485">
            <v>1.2</v>
          </cell>
          <cell r="P2485"/>
          <cell r="Q2485"/>
          <cell r="R2485">
            <v>0.27</v>
          </cell>
          <cell r="S2485">
            <v>1.5</v>
          </cell>
          <cell r="T2485"/>
          <cell r="U2485"/>
          <cell r="V2485">
            <v>15</v>
          </cell>
          <cell r="W2485"/>
          <cell r="X2485" t="str">
            <v>ANGELA</v>
          </cell>
          <cell r="Y2485" t="str">
            <v>ANGELA 15-MAY</v>
          </cell>
          <cell r="Z2485" t="str">
            <v>ANGELA' MAIL 15/5/17</v>
          </cell>
          <cell r="AA2485"/>
          <cell r="AB2485">
            <v>42870</v>
          </cell>
          <cell r="AC2485">
            <v>1805</v>
          </cell>
        </row>
        <row r="2486">
          <cell r="B2486">
            <v>1639</v>
          </cell>
          <cell r="C2486" t="str">
            <v>TS-141</v>
          </cell>
          <cell r="D2486" t="str">
            <v>SCUBA</v>
          </cell>
          <cell r="E2486"/>
          <cell r="F2486" t="str">
            <v>T/S 96/4</v>
          </cell>
          <cell r="G2486" t="str">
            <v>96% POLYESTER 4% SPANDEX (SCUBA)</v>
          </cell>
          <cell r="H2486" t="str">
            <v>150CM</v>
          </cell>
          <cell r="I2486">
            <v>250</v>
          </cell>
          <cell r="J2486">
            <v>1.66</v>
          </cell>
          <cell r="K2486">
            <v>1.89</v>
          </cell>
          <cell r="L2486">
            <v>1.68</v>
          </cell>
          <cell r="M2486">
            <v>1.92</v>
          </cell>
          <cell r="N2486">
            <v>1.7</v>
          </cell>
          <cell r="O2486">
            <v>1.95</v>
          </cell>
          <cell r="P2486"/>
          <cell r="Q2486"/>
          <cell r="R2486">
            <v>1.85</v>
          </cell>
          <cell r="S2486">
            <v>2.1</v>
          </cell>
          <cell r="T2486"/>
          <cell r="U2486"/>
          <cell r="V2486">
            <v>15</v>
          </cell>
          <cell r="W2486"/>
          <cell r="X2486" t="str">
            <v>GAVIN</v>
          </cell>
          <cell r="Y2486" t="str">
            <v>GAVIN 15-MAY</v>
          </cell>
          <cell r="Z2486" t="str">
            <v>GAVIN' MAIL 15/5/17</v>
          </cell>
          <cell r="AA2486"/>
          <cell r="AB2486">
            <v>42870</v>
          </cell>
          <cell r="AC2486">
            <v>1639</v>
          </cell>
        </row>
        <row r="2487">
          <cell r="B2487">
            <v>3203</v>
          </cell>
          <cell r="C2487" t="str">
            <v>TS-587  /  R-130517-C</v>
          </cell>
          <cell r="D2487" t="str">
            <v>SATEEN</v>
          </cell>
          <cell r="E2487"/>
          <cell r="F2487" t="str">
            <v>T/S</v>
          </cell>
          <cell r="G2487" t="str">
            <v>POLYESTER SPANDEX</v>
          </cell>
          <cell r="H2487" t="str">
            <v>56/57</v>
          </cell>
          <cell r="I2487">
            <v>107</v>
          </cell>
          <cell r="J2487">
            <v>1.3</v>
          </cell>
          <cell r="K2487"/>
          <cell r="L2487"/>
          <cell r="M2487"/>
          <cell r="N2487">
            <v>1.35</v>
          </cell>
          <cell r="O2487"/>
          <cell r="P2487"/>
          <cell r="Q2487"/>
          <cell r="R2487">
            <v>1.8</v>
          </cell>
          <cell r="S2487"/>
          <cell r="T2487"/>
          <cell r="U2487"/>
          <cell r="V2487"/>
          <cell r="W2487"/>
          <cell r="X2487" t="str">
            <v>LIVALTEX</v>
          </cell>
          <cell r="Y2487" t="str">
            <v>LIVALTEX 13-MAY (PHOTO)</v>
          </cell>
          <cell r="Z2487" t="str">
            <v>ROSE' MAIL 13/5/17</v>
          </cell>
          <cell r="AA2487"/>
          <cell r="AB2487">
            <v>42868</v>
          </cell>
          <cell r="AC2487">
            <v>3203</v>
          </cell>
        </row>
        <row r="2488">
          <cell r="B2488">
            <v>3202</v>
          </cell>
          <cell r="C2488" t="str">
            <v>TS-588  / R-130517-B</v>
          </cell>
          <cell r="D2488" t="str">
            <v>SATEEN</v>
          </cell>
          <cell r="E2488"/>
          <cell r="F2488" t="str">
            <v>T/S 98/2</v>
          </cell>
          <cell r="G2488" t="str">
            <v>98% POLYESTER 2% SPANDEX</v>
          </cell>
          <cell r="H2488" t="str">
            <v>56/57</v>
          </cell>
          <cell r="I2488">
            <v>110</v>
          </cell>
          <cell r="J2488">
            <v>1.5</v>
          </cell>
          <cell r="K2488"/>
          <cell r="L2488"/>
          <cell r="M2488"/>
          <cell r="N2488">
            <v>1.55</v>
          </cell>
          <cell r="O2488"/>
          <cell r="P2488"/>
          <cell r="Q2488"/>
          <cell r="R2488">
            <v>3</v>
          </cell>
          <cell r="S2488"/>
          <cell r="T2488"/>
          <cell r="U2488"/>
          <cell r="V2488"/>
          <cell r="W2488"/>
          <cell r="X2488" t="str">
            <v>LIVALTEX</v>
          </cell>
          <cell r="Y2488" t="str">
            <v>LIVALTEX 13-MAY (PHOTO)</v>
          </cell>
          <cell r="Z2488" t="str">
            <v>ROSE' MAIL 13/5/17</v>
          </cell>
          <cell r="AA2488"/>
          <cell r="AB2488">
            <v>42868</v>
          </cell>
          <cell r="AC2488">
            <v>3202</v>
          </cell>
        </row>
        <row r="2489">
          <cell r="B2489">
            <v>3201</v>
          </cell>
          <cell r="C2489" t="str">
            <v>TS-586  /  R-130517-A</v>
          </cell>
          <cell r="D2489" t="str">
            <v>SATEEN</v>
          </cell>
          <cell r="E2489"/>
          <cell r="F2489" t="str">
            <v>T/S</v>
          </cell>
          <cell r="G2489" t="str">
            <v>POLYESTER SPANDEX</v>
          </cell>
          <cell r="H2489" t="str">
            <v>56/57</v>
          </cell>
          <cell r="I2489">
            <v>93</v>
          </cell>
          <cell r="J2489">
            <v>1.43</v>
          </cell>
          <cell r="K2489"/>
          <cell r="L2489"/>
          <cell r="M2489"/>
          <cell r="N2489">
            <v>1.48</v>
          </cell>
          <cell r="O2489"/>
          <cell r="P2489"/>
          <cell r="Q2489"/>
          <cell r="R2489">
            <v>1.93</v>
          </cell>
          <cell r="S2489"/>
          <cell r="T2489"/>
          <cell r="U2489"/>
          <cell r="V2489"/>
          <cell r="W2489"/>
          <cell r="X2489" t="str">
            <v>LIVALTEX</v>
          </cell>
          <cell r="Y2489" t="str">
            <v>LIVALTEX 13-MAY (PHOTO)</v>
          </cell>
          <cell r="Z2489" t="str">
            <v>ROSE' MAIL 13/5/17</v>
          </cell>
          <cell r="AA2489"/>
          <cell r="AB2489">
            <v>42868</v>
          </cell>
          <cell r="AC2489">
            <v>3201</v>
          </cell>
        </row>
        <row r="2490">
          <cell r="B2490">
            <v>2225</v>
          </cell>
          <cell r="C2490" t="str">
            <v>OLP-1652702YH</v>
          </cell>
          <cell r="D2490" t="str">
            <v>LINEN COTTON</v>
          </cell>
          <cell r="E2490"/>
          <cell r="F2490" t="str">
            <v>L/C 55/45</v>
          </cell>
          <cell r="G2490" t="str">
            <v xml:space="preserve">55% LINEN 45% COTTON </v>
          </cell>
          <cell r="H2490" t="str">
            <v>51/52</v>
          </cell>
          <cell r="I2490">
            <v>155</v>
          </cell>
          <cell r="J2490">
            <v>2.35</v>
          </cell>
          <cell r="K2490">
            <v>2.6</v>
          </cell>
          <cell r="L2490">
            <v>2.42</v>
          </cell>
          <cell r="M2490">
            <v>2.68</v>
          </cell>
          <cell r="N2490">
            <v>2.52</v>
          </cell>
          <cell r="O2490">
            <v>2.9</v>
          </cell>
          <cell r="P2490"/>
          <cell r="Q2490"/>
          <cell r="R2490">
            <v>2.77</v>
          </cell>
          <cell r="S2490">
            <v>3.3</v>
          </cell>
          <cell r="T2490"/>
          <cell r="U2490"/>
          <cell r="V2490"/>
          <cell r="W2490"/>
          <cell r="X2490" t="str">
            <v>OWEN</v>
          </cell>
          <cell r="Y2490" t="str">
            <v>OWEN 11-MAY</v>
          </cell>
          <cell r="Z2490" t="str">
            <v>SANDY' MAIL 12/5/17</v>
          </cell>
          <cell r="AA2490"/>
          <cell r="AB2490">
            <v>42867</v>
          </cell>
          <cell r="AC2490">
            <v>2225</v>
          </cell>
        </row>
        <row r="2491">
          <cell r="B2491">
            <v>3177</v>
          </cell>
          <cell r="C2491" t="str">
            <v>OLP-175604XS</v>
          </cell>
          <cell r="D2491" t="str">
            <v>SATEEN</v>
          </cell>
          <cell r="E2491"/>
          <cell r="F2491" t="str">
            <v>T/S</v>
          </cell>
          <cell r="G2491" t="str">
            <v>POLYESTER/SPANDEX</v>
          </cell>
          <cell r="H2491" t="str">
            <v>57/58</v>
          </cell>
          <cell r="I2491">
            <v>90</v>
          </cell>
          <cell r="J2491">
            <v>1.1499999999999999</v>
          </cell>
          <cell r="K2491">
            <v>1.45</v>
          </cell>
          <cell r="L2491">
            <v>1.23</v>
          </cell>
          <cell r="M2491">
            <v>1.52</v>
          </cell>
          <cell r="N2491">
            <v>1.35</v>
          </cell>
          <cell r="O2491">
            <v>1.72</v>
          </cell>
          <cell r="P2491"/>
          <cell r="Q2491"/>
          <cell r="R2491">
            <v>1.5</v>
          </cell>
          <cell r="S2491">
            <v>2.02</v>
          </cell>
          <cell r="T2491"/>
          <cell r="U2491"/>
          <cell r="V2491">
            <v>15</v>
          </cell>
          <cell r="W2491"/>
          <cell r="X2491" t="str">
            <v>OWEN</v>
          </cell>
          <cell r="Y2491" t="str">
            <v>OWEN 9-MAY</v>
          </cell>
          <cell r="Z2491" t="str">
            <v>SANDY' MAIL 11/5/17</v>
          </cell>
          <cell r="AA2491"/>
          <cell r="AB2491">
            <v>42866</v>
          </cell>
          <cell r="AC2491">
            <v>3177</v>
          </cell>
        </row>
        <row r="2492">
          <cell r="B2492">
            <v>3176</v>
          </cell>
          <cell r="C2492" t="str">
            <v>OLP-175603YH</v>
          </cell>
          <cell r="D2492" t="str">
            <v>CREPE</v>
          </cell>
          <cell r="E2492"/>
          <cell r="F2492" t="str">
            <v>T/R/S 63/33/4</v>
          </cell>
          <cell r="G2492" t="str">
            <v>63% POLYESTER 33% VISCOSE 4% SPANDEX</v>
          </cell>
          <cell r="H2492" t="str">
            <v>57/58</v>
          </cell>
          <cell r="I2492">
            <v>230</v>
          </cell>
          <cell r="J2492">
            <v>3.1</v>
          </cell>
          <cell r="K2492"/>
          <cell r="L2492">
            <v>3.18</v>
          </cell>
          <cell r="M2492"/>
          <cell r="N2492">
            <v>3.33</v>
          </cell>
          <cell r="O2492"/>
          <cell r="P2492"/>
          <cell r="Q2492"/>
          <cell r="R2492">
            <v>3.48</v>
          </cell>
          <cell r="S2492"/>
          <cell r="T2492"/>
          <cell r="U2492"/>
          <cell r="V2492">
            <v>15</v>
          </cell>
          <cell r="W2492"/>
          <cell r="X2492" t="str">
            <v>OWEN</v>
          </cell>
          <cell r="Y2492" t="str">
            <v>OWEN 9-MAY</v>
          </cell>
          <cell r="Z2492" t="str">
            <v>SANDY' MAIL 11/5/17</v>
          </cell>
          <cell r="AA2492"/>
          <cell r="AB2492">
            <v>42866</v>
          </cell>
          <cell r="AC2492">
            <v>3176</v>
          </cell>
        </row>
        <row r="2493">
          <cell r="B2493">
            <v>3175</v>
          </cell>
          <cell r="C2493" t="str">
            <v>OLP-175602YH</v>
          </cell>
          <cell r="D2493" t="str">
            <v>CREPE</v>
          </cell>
          <cell r="E2493"/>
          <cell r="F2493" t="str">
            <v>T/R/S 71/22/7</v>
          </cell>
          <cell r="G2493" t="str">
            <v>71% POLYESTER 22% VISCOSE 7% SPANDEX</v>
          </cell>
          <cell r="H2493" t="str">
            <v>57/58</v>
          </cell>
          <cell r="I2493">
            <v>160</v>
          </cell>
          <cell r="J2493">
            <v>2.76</v>
          </cell>
          <cell r="K2493"/>
          <cell r="L2493">
            <v>2.83</v>
          </cell>
          <cell r="M2493"/>
          <cell r="N2493">
            <v>2.98</v>
          </cell>
          <cell r="O2493"/>
          <cell r="P2493"/>
          <cell r="Q2493"/>
          <cell r="R2493">
            <v>3.13</v>
          </cell>
          <cell r="S2493"/>
          <cell r="T2493"/>
          <cell r="U2493"/>
          <cell r="V2493">
            <v>15</v>
          </cell>
          <cell r="W2493"/>
          <cell r="X2493" t="str">
            <v>OWEN</v>
          </cell>
          <cell r="Y2493" t="str">
            <v>OWEN 9-MAY</v>
          </cell>
          <cell r="Z2493" t="str">
            <v>SANDY' MAIL 11/5/17</v>
          </cell>
          <cell r="AA2493"/>
          <cell r="AB2493">
            <v>42866</v>
          </cell>
          <cell r="AC2493">
            <v>3175</v>
          </cell>
        </row>
        <row r="2494">
          <cell r="B2494">
            <v>3174</v>
          </cell>
          <cell r="C2494" t="str">
            <v>OLP-175601JC(XH-6725)</v>
          </cell>
          <cell r="D2494" t="str">
            <v>LACE</v>
          </cell>
          <cell r="E2494"/>
          <cell r="F2494" t="str">
            <v>C/N/S 60/35/5</v>
          </cell>
          <cell r="G2494" t="str">
            <v>60% COTTON 35% NYLON 5% SPANDEX</v>
          </cell>
          <cell r="H2494" t="str">
            <v>53/54</v>
          </cell>
          <cell r="I2494">
            <v>130</v>
          </cell>
          <cell r="J2494">
            <v>2.5</v>
          </cell>
          <cell r="K2494"/>
          <cell r="L2494">
            <v>2.58</v>
          </cell>
          <cell r="M2494"/>
          <cell r="N2494">
            <v>2.73</v>
          </cell>
          <cell r="O2494"/>
          <cell r="P2494"/>
          <cell r="Q2494"/>
          <cell r="R2494">
            <v>2.88</v>
          </cell>
          <cell r="S2494"/>
          <cell r="T2494"/>
          <cell r="U2494"/>
          <cell r="V2494"/>
          <cell r="W2494"/>
          <cell r="X2494" t="str">
            <v>OWEN</v>
          </cell>
          <cell r="Y2494" t="str">
            <v>OWEN 9-MAY</v>
          </cell>
          <cell r="Z2494" t="str">
            <v>SANDY' MAIL 11/5/17</v>
          </cell>
          <cell r="AA2494"/>
          <cell r="AB2494">
            <v>42866</v>
          </cell>
          <cell r="AC2494">
            <v>3174</v>
          </cell>
        </row>
        <row r="2495">
          <cell r="B2495">
            <v>634</v>
          </cell>
          <cell r="C2495" t="str">
            <v>BGDM395#S</v>
          </cell>
          <cell r="D2495" t="str">
            <v>LACE</v>
          </cell>
          <cell r="E2495"/>
          <cell r="F2495" t="str">
            <v>C/N 60/40</v>
          </cell>
          <cell r="G2495" t="str">
            <v>60% COTTON 40% NYLON</v>
          </cell>
          <cell r="H2495" t="str">
            <v>57/58</v>
          </cell>
          <cell r="I2495">
            <v>125</v>
          </cell>
          <cell r="J2495">
            <v>2.85</v>
          </cell>
          <cell r="K2495"/>
          <cell r="L2495"/>
          <cell r="M2495"/>
          <cell r="N2495">
            <v>2.9</v>
          </cell>
          <cell r="O2495"/>
          <cell r="P2495"/>
          <cell r="Q2495"/>
          <cell r="R2495">
            <v>3.05</v>
          </cell>
          <cell r="S2495"/>
          <cell r="T2495"/>
          <cell r="U2495"/>
          <cell r="V2495"/>
          <cell r="W2495"/>
          <cell r="X2495" t="str">
            <v>ANN</v>
          </cell>
          <cell r="Y2495" t="str">
            <v>ANN 10-MAY</v>
          </cell>
          <cell r="Z2495" t="str">
            <v>ANN SENT VIA WECHAT (IN FOLDER)</v>
          </cell>
          <cell r="AA2495"/>
          <cell r="AB2495">
            <v>42865</v>
          </cell>
          <cell r="AC2495">
            <v>634</v>
          </cell>
        </row>
        <row r="2496">
          <cell r="B2496">
            <v>3181</v>
          </cell>
          <cell r="C2496" t="str">
            <v>LX116</v>
          </cell>
          <cell r="D2496" t="str">
            <v>SATEEN</v>
          </cell>
          <cell r="E2496"/>
          <cell r="F2496" t="str">
            <v>T/S 98/2</v>
          </cell>
          <cell r="G2496" t="str">
            <v>98% POLYESTER 2% SPANDEX</v>
          </cell>
          <cell r="H2496" t="str">
            <v>57/58</v>
          </cell>
          <cell r="I2496" t="str">
            <v>85-95</v>
          </cell>
          <cell r="J2496">
            <v>1.65</v>
          </cell>
          <cell r="K2496">
            <v>1.8</v>
          </cell>
          <cell r="L2496">
            <v>1.68</v>
          </cell>
          <cell r="M2496">
            <v>1.83</v>
          </cell>
          <cell r="N2496">
            <v>1.7</v>
          </cell>
          <cell r="O2496">
            <v>1.86</v>
          </cell>
          <cell r="P2496"/>
          <cell r="Q2496"/>
          <cell r="R2496">
            <v>1.78</v>
          </cell>
          <cell r="S2496">
            <v>2.0299999999999998</v>
          </cell>
          <cell r="T2496"/>
          <cell r="U2496"/>
          <cell r="V2496">
            <v>15</v>
          </cell>
          <cell r="W2496"/>
          <cell r="X2496" t="str">
            <v>TINA</v>
          </cell>
          <cell r="Y2496" t="str">
            <v>TINA 9-MAY</v>
          </cell>
          <cell r="Z2496" t="str">
            <v>TINA' MAIL 9/5/17</v>
          </cell>
          <cell r="AA2496"/>
          <cell r="AB2496">
            <v>42864</v>
          </cell>
          <cell r="AC2496">
            <v>3181</v>
          </cell>
        </row>
        <row r="2497">
          <cell r="B2497">
            <v>3173</v>
          </cell>
          <cell r="C2497" t="str">
            <v>HLT5631</v>
          </cell>
          <cell r="D2497" t="str">
            <v>TWO LAYER (DOUBLE LAYER)</v>
          </cell>
          <cell r="E2497" t="str">
            <v>32s/1+40Dsp*100D+40D</v>
          </cell>
          <cell r="F2497" t="str">
            <v>T/R/S 73/23/4 - 32S TR + 40D x 100D +40D</v>
          </cell>
          <cell r="G2497" t="str">
            <v>73% POLYESTER 23% RAYON 4% SPANDEX</v>
          </cell>
          <cell r="H2497" t="str">
            <v>57/58</v>
          </cell>
          <cell r="I2497">
            <v>300</v>
          </cell>
          <cell r="J2497">
            <v>3.17</v>
          </cell>
          <cell r="K2497"/>
          <cell r="L2497">
            <v>3.27</v>
          </cell>
          <cell r="M2497"/>
          <cell r="N2497">
            <v>3.37</v>
          </cell>
          <cell r="O2497"/>
          <cell r="P2497"/>
          <cell r="Q2497"/>
          <cell r="R2497">
            <v>3.47</v>
          </cell>
          <cell r="S2497"/>
          <cell r="T2497"/>
          <cell r="U2497"/>
          <cell r="V2497">
            <v>15</v>
          </cell>
          <cell r="W2497"/>
          <cell r="X2497" t="str">
            <v>CANDY</v>
          </cell>
          <cell r="Y2497" t="str">
            <v>CANDY 17-MAY</v>
          </cell>
          <cell r="Z2497" t="str">
            <v>LEI WANG' MAIIL 17/5/17</v>
          </cell>
          <cell r="AA2497"/>
          <cell r="AB2497">
            <v>42864</v>
          </cell>
          <cell r="AC2497">
            <v>3173</v>
          </cell>
        </row>
        <row r="2498">
          <cell r="B2498">
            <v>3172</v>
          </cell>
          <cell r="C2498" t="str">
            <v>BG2487</v>
          </cell>
          <cell r="D2498"/>
          <cell r="E2498" t="str">
            <v>40s x 40s / 108x84</v>
          </cell>
          <cell r="F2498" t="str">
            <v>C 100%</v>
          </cell>
          <cell r="G2498" t="str">
            <v>100% COTTON</v>
          </cell>
          <cell r="H2498" t="str">
            <v>57/58</v>
          </cell>
          <cell r="I2498">
            <v>112</v>
          </cell>
          <cell r="J2498">
            <v>2</v>
          </cell>
          <cell r="K2498">
            <v>2.35</v>
          </cell>
          <cell r="L2498">
            <v>2.02</v>
          </cell>
          <cell r="M2498">
            <v>2.42</v>
          </cell>
          <cell r="N2498">
            <v>2.0499999999999998</v>
          </cell>
          <cell r="O2498">
            <v>2.4500000000000002</v>
          </cell>
          <cell r="P2498"/>
          <cell r="Q2498"/>
          <cell r="R2498">
            <v>2.5</v>
          </cell>
          <cell r="S2498">
            <v>2.9</v>
          </cell>
          <cell r="T2498"/>
          <cell r="U2498"/>
          <cell r="V2498">
            <v>15</v>
          </cell>
          <cell r="W2498"/>
          <cell r="X2498" t="str">
            <v>ANN</v>
          </cell>
          <cell r="Y2498" t="str">
            <v>ANN 5-MAY</v>
          </cell>
          <cell r="Z2498" t="str">
            <v>ANN' MAIL 7/5/17</v>
          </cell>
          <cell r="AA2498"/>
          <cell r="AB2498">
            <v>42864</v>
          </cell>
          <cell r="AC2498">
            <v>3172</v>
          </cell>
        </row>
        <row r="2499">
          <cell r="B2499">
            <v>3171</v>
          </cell>
          <cell r="C2499" t="str">
            <v>BG1519</v>
          </cell>
          <cell r="D2499"/>
          <cell r="E2499" t="str">
            <v>50D x 75D</v>
          </cell>
          <cell r="F2499" t="str">
            <v>T 100%</v>
          </cell>
          <cell r="G2499" t="str">
            <v>100% POLYESTER</v>
          </cell>
          <cell r="H2499" t="str">
            <v>57/58</v>
          </cell>
          <cell r="I2499">
            <v>100</v>
          </cell>
          <cell r="J2499">
            <v>1.48</v>
          </cell>
          <cell r="K2499">
            <v>1.83</v>
          </cell>
          <cell r="L2499">
            <v>1.5</v>
          </cell>
          <cell r="M2499">
            <v>1.9</v>
          </cell>
          <cell r="N2499">
            <v>1.53</v>
          </cell>
          <cell r="O2499">
            <v>1.93</v>
          </cell>
          <cell r="P2499"/>
          <cell r="Q2499"/>
          <cell r="R2499">
            <v>1.73</v>
          </cell>
          <cell r="S2499">
            <v>2.23</v>
          </cell>
          <cell r="T2499"/>
          <cell r="U2499"/>
          <cell r="V2499">
            <v>15</v>
          </cell>
          <cell r="W2499"/>
          <cell r="X2499" t="str">
            <v>ANN</v>
          </cell>
          <cell r="Y2499" t="str">
            <v>ANN 5-MAY</v>
          </cell>
          <cell r="Z2499" t="str">
            <v>ANN' MAIL 7/5/17</v>
          </cell>
          <cell r="AA2499"/>
          <cell r="AB2499">
            <v>42864</v>
          </cell>
          <cell r="AC2499">
            <v>3171</v>
          </cell>
        </row>
        <row r="2500">
          <cell r="B2500">
            <v>3170</v>
          </cell>
          <cell r="C2500" t="str">
            <v>HLT5817</v>
          </cell>
          <cell r="D2500"/>
          <cell r="E2500"/>
          <cell r="F2500" t="str">
            <v>T/S 95/5</v>
          </cell>
          <cell r="G2500" t="str">
            <v>95% POLYESTER 5% SPAN</v>
          </cell>
          <cell r="H2500" t="str">
            <v>160 CM</v>
          </cell>
          <cell r="I2500">
            <v>250</v>
          </cell>
          <cell r="J2500">
            <v>1.8933333333333333</v>
          </cell>
          <cell r="K2500"/>
          <cell r="L2500">
            <v>1.9933333333333334</v>
          </cell>
          <cell r="M2500"/>
          <cell r="N2500">
            <v>2.0933333333333333</v>
          </cell>
          <cell r="O2500"/>
          <cell r="P2500"/>
          <cell r="Q2500"/>
          <cell r="R2500">
            <v>2.1933333333333334</v>
          </cell>
          <cell r="S2500"/>
          <cell r="T2500"/>
          <cell r="U2500"/>
          <cell r="V2500">
            <v>15</v>
          </cell>
          <cell r="W2500"/>
          <cell r="X2500" t="str">
            <v>CANDY</v>
          </cell>
          <cell r="Y2500" t="str">
            <v>CANDY 5-MAY</v>
          </cell>
          <cell r="Z2500" t="str">
            <v>CANDY' MAIL 9/5/17</v>
          </cell>
          <cell r="AA2500"/>
          <cell r="AB2500">
            <v>42864</v>
          </cell>
          <cell r="AC2500">
            <v>3170</v>
          </cell>
        </row>
        <row r="2501">
          <cell r="B2501">
            <v>3169</v>
          </cell>
          <cell r="C2501" t="str">
            <v>HLT5816</v>
          </cell>
          <cell r="D2501"/>
          <cell r="E2501"/>
          <cell r="F2501" t="str">
            <v>T/S 95/5</v>
          </cell>
          <cell r="G2501" t="str">
            <v>95% POLYESTER 5% SPAN</v>
          </cell>
          <cell r="H2501" t="str">
            <v>160 CM</v>
          </cell>
          <cell r="I2501">
            <v>225</v>
          </cell>
          <cell r="J2501">
            <v>1.6373333333333333</v>
          </cell>
          <cell r="K2501"/>
          <cell r="L2501">
            <v>1.7373333333333334</v>
          </cell>
          <cell r="M2501"/>
          <cell r="N2501">
            <v>1.8373333333333335</v>
          </cell>
          <cell r="O2501"/>
          <cell r="P2501"/>
          <cell r="Q2501"/>
          <cell r="R2501">
            <v>1.9373333333333336</v>
          </cell>
          <cell r="S2501"/>
          <cell r="T2501"/>
          <cell r="U2501"/>
          <cell r="V2501">
            <v>15</v>
          </cell>
          <cell r="W2501"/>
          <cell r="X2501" t="str">
            <v>CANDY</v>
          </cell>
          <cell r="Y2501" t="str">
            <v>CANDY 5-MAY</v>
          </cell>
          <cell r="Z2501" t="str">
            <v>CANDY' MAIL 9/5/17</v>
          </cell>
          <cell r="AA2501"/>
          <cell r="AB2501">
            <v>42864</v>
          </cell>
          <cell r="AC2501">
            <v>3169</v>
          </cell>
        </row>
        <row r="2502">
          <cell r="B2502">
            <v>3168</v>
          </cell>
          <cell r="C2502" t="str">
            <v>HLT5815</v>
          </cell>
          <cell r="D2502"/>
          <cell r="E2502"/>
          <cell r="F2502" t="str">
            <v>T/S 90/10</v>
          </cell>
          <cell r="G2502" t="str">
            <v>90% POLYESTER 10% SPAN</v>
          </cell>
          <cell r="H2502" t="str">
            <v>154 CM</v>
          </cell>
          <cell r="I2502">
            <v>260</v>
          </cell>
          <cell r="J2502">
            <v>2.1066666666666669</v>
          </cell>
          <cell r="K2502"/>
          <cell r="L2502">
            <v>2.206666666666667</v>
          </cell>
          <cell r="M2502"/>
          <cell r="N2502">
            <v>2.3066666666666671</v>
          </cell>
          <cell r="O2502"/>
          <cell r="P2502"/>
          <cell r="Q2502"/>
          <cell r="R2502">
            <v>2.4066666666666672</v>
          </cell>
          <cell r="S2502"/>
          <cell r="T2502"/>
          <cell r="U2502"/>
          <cell r="V2502">
            <v>15</v>
          </cell>
          <cell r="W2502"/>
          <cell r="X2502" t="str">
            <v>CANDY</v>
          </cell>
          <cell r="Y2502" t="str">
            <v>CANDY 5-MAY</v>
          </cell>
          <cell r="Z2502" t="str">
            <v>CANDY' MAIL 9/5/17</v>
          </cell>
          <cell r="AA2502"/>
          <cell r="AB2502">
            <v>42864</v>
          </cell>
          <cell r="AC2502">
            <v>3168</v>
          </cell>
        </row>
        <row r="2503">
          <cell r="B2503">
            <v>3167</v>
          </cell>
          <cell r="C2503" t="str">
            <v>HLT5814</v>
          </cell>
          <cell r="D2503"/>
          <cell r="E2503"/>
          <cell r="F2503" t="str">
            <v>T/S 90/10</v>
          </cell>
          <cell r="G2503" t="str">
            <v>90% POLYESTER 10% SPAN</v>
          </cell>
          <cell r="H2503" t="str">
            <v>160 CM</v>
          </cell>
          <cell r="I2503">
            <v>210</v>
          </cell>
          <cell r="J2503">
            <v>1.8226666666666667</v>
          </cell>
          <cell r="K2503"/>
          <cell r="L2503">
            <v>1.9226666666666667</v>
          </cell>
          <cell r="M2503"/>
          <cell r="N2503">
            <v>2.0226666666666668</v>
          </cell>
          <cell r="O2503"/>
          <cell r="P2503"/>
          <cell r="Q2503"/>
          <cell r="R2503">
            <v>2.1226666666666669</v>
          </cell>
          <cell r="S2503"/>
          <cell r="T2503"/>
          <cell r="U2503"/>
          <cell r="V2503">
            <v>15</v>
          </cell>
          <cell r="W2503"/>
          <cell r="X2503" t="str">
            <v>CANDY</v>
          </cell>
          <cell r="Y2503" t="str">
            <v>CANDY 5-MAY</v>
          </cell>
          <cell r="Z2503" t="str">
            <v>CANDY' MAIL 9/5/17</v>
          </cell>
          <cell r="AA2503"/>
          <cell r="AB2503">
            <v>42864</v>
          </cell>
          <cell r="AC2503">
            <v>3167</v>
          </cell>
        </row>
        <row r="2504">
          <cell r="B2504">
            <v>3166</v>
          </cell>
          <cell r="C2504" t="str">
            <v>HLT5813</v>
          </cell>
          <cell r="D2504"/>
          <cell r="E2504"/>
          <cell r="F2504" t="str">
            <v>T/S 95/5</v>
          </cell>
          <cell r="G2504" t="str">
            <v>95% POLYESTER 5% SPAN</v>
          </cell>
          <cell r="H2504" t="str">
            <v>160 CM</v>
          </cell>
          <cell r="I2504">
            <v>240</v>
          </cell>
          <cell r="J2504">
            <v>1.7333333333333334</v>
          </cell>
          <cell r="K2504"/>
          <cell r="L2504">
            <v>1.8333333333333335</v>
          </cell>
          <cell r="M2504"/>
          <cell r="N2504">
            <v>1.9333333333333336</v>
          </cell>
          <cell r="O2504"/>
          <cell r="P2504"/>
          <cell r="Q2504"/>
          <cell r="R2504">
            <v>2.0333333333333337</v>
          </cell>
          <cell r="S2504"/>
          <cell r="T2504"/>
          <cell r="U2504"/>
          <cell r="V2504">
            <v>15</v>
          </cell>
          <cell r="W2504"/>
          <cell r="X2504" t="str">
            <v>CANDY</v>
          </cell>
          <cell r="Y2504" t="str">
            <v>CANDY 5-MAY</v>
          </cell>
          <cell r="Z2504" t="str">
            <v>CANDY' MAIL 9/5/17</v>
          </cell>
          <cell r="AA2504"/>
          <cell r="AB2504">
            <v>42864</v>
          </cell>
          <cell r="AC2504">
            <v>3166</v>
          </cell>
        </row>
        <row r="2505">
          <cell r="B2505">
            <v>3165</v>
          </cell>
          <cell r="C2505" t="str">
            <v>HLT5270</v>
          </cell>
          <cell r="D2505"/>
          <cell r="E2505"/>
          <cell r="F2505" t="str">
            <v>T/R/S 65/33/2</v>
          </cell>
          <cell r="G2505" t="str">
            <v>65% POLYESTER 33% RAYON 2% SPAN</v>
          </cell>
          <cell r="H2505">
            <v>56</v>
          </cell>
          <cell r="I2505">
            <v>220</v>
          </cell>
          <cell r="J2505">
            <v>2.9333333333333331</v>
          </cell>
          <cell r="K2505"/>
          <cell r="L2505">
            <v>3.0333333333333332</v>
          </cell>
          <cell r="M2505"/>
          <cell r="N2505">
            <v>3.1333333333333333</v>
          </cell>
          <cell r="O2505"/>
          <cell r="P2505"/>
          <cell r="Q2505"/>
          <cell r="R2505">
            <v>3.2333333333333334</v>
          </cell>
          <cell r="S2505"/>
          <cell r="T2505"/>
          <cell r="U2505"/>
          <cell r="V2505">
            <v>15</v>
          </cell>
          <cell r="W2505"/>
          <cell r="X2505" t="str">
            <v>CANDY</v>
          </cell>
          <cell r="Y2505" t="str">
            <v>CANDY 5-MAY</v>
          </cell>
          <cell r="Z2505" t="str">
            <v>CANDY' MAIL 9/5/17</v>
          </cell>
          <cell r="AA2505"/>
          <cell r="AB2505">
            <v>42864</v>
          </cell>
          <cell r="AC2505">
            <v>3165</v>
          </cell>
        </row>
        <row r="2506">
          <cell r="B2506">
            <v>3164</v>
          </cell>
          <cell r="C2506" t="str">
            <v>HLT5269</v>
          </cell>
          <cell r="D2506"/>
          <cell r="E2506"/>
          <cell r="F2506" t="str">
            <v>T/R/S 68/29/3</v>
          </cell>
          <cell r="G2506" t="str">
            <v>68% POLYESTER 29% RAYON 3% SPAN</v>
          </cell>
          <cell r="H2506">
            <v>56</v>
          </cell>
          <cell r="I2506">
            <v>283</v>
          </cell>
          <cell r="J2506">
            <v>3.0666666666666669</v>
          </cell>
          <cell r="K2506"/>
          <cell r="L2506">
            <v>3.166666666666667</v>
          </cell>
          <cell r="M2506"/>
          <cell r="N2506">
            <v>3.2666666666666671</v>
          </cell>
          <cell r="O2506"/>
          <cell r="P2506"/>
          <cell r="Q2506"/>
          <cell r="R2506">
            <v>3.3666666666666671</v>
          </cell>
          <cell r="S2506"/>
          <cell r="T2506"/>
          <cell r="U2506"/>
          <cell r="V2506">
            <v>15</v>
          </cell>
          <cell r="W2506"/>
          <cell r="X2506" t="str">
            <v>CANDY</v>
          </cell>
          <cell r="Y2506" t="str">
            <v>CANDY 5-MAY</v>
          </cell>
          <cell r="Z2506" t="str">
            <v>CANDY' MAIL 9/5/17</v>
          </cell>
          <cell r="AA2506"/>
          <cell r="AB2506">
            <v>42864</v>
          </cell>
          <cell r="AC2506">
            <v>3164</v>
          </cell>
        </row>
        <row r="2507">
          <cell r="B2507">
            <v>3163</v>
          </cell>
          <cell r="C2507" t="str">
            <v>HLT5268</v>
          </cell>
          <cell r="D2507"/>
          <cell r="E2507"/>
          <cell r="F2507" t="str">
            <v>C/T/S 50/48/2</v>
          </cell>
          <cell r="G2507" t="str">
            <v>50% COTTON 48% POLYESTER 2% SPAN</v>
          </cell>
          <cell r="H2507">
            <v>56</v>
          </cell>
          <cell r="I2507">
            <v>230</v>
          </cell>
          <cell r="J2507">
            <v>3.6666666666666665</v>
          </cell>
          <cell r="K2507"/>
          <cell r="L2507">
            <v>3.7666666666666666</v>
          </cell>
          <cell r="M2507"/>
          <cell r="N2507">
            <v>3.8666666666666667</v>
          </cell>
          <cell r="O2507"/>
          <cell r="P2507"/>
          <cell r="Q2507"/>
          <cell r="R2507">
            <v>3.9666666666666668</v>
          </cell>
          <cell r="S2507"/>
          <cell r="T2507"/>
          <cell r="U2507"/>
          <cell r="V2507">
            <v>15</v>
          </cell>
          <cell r="W2507"/>
          <cell r="X2507" t="str">
            <v>CANDY</v>
          </cell>
          <cell r="Y2507" t="str">
            <v>CANDY 5-MAY</v>
          </cell>
          <cell r="Z2507" t="str">
            <v>CANDY' MAIL 9/5/17</v>
          </cell>
          <cell r="AA2507"/>
          <cell r="AB2507">
            <v>42864</v>
          </cell>
          <cell r="AC2507">
            <v>3163</v>
          </cell>
        </row>
        <row r="2508">
          <cell r="B2508">
            <v>3162</v>
          </cell>
          <cell r="C2508" t="str">
            <v>HLT5266</v>
          </cell>
          <cell r="D2508"/>
          <cell r="E2508"/>
          <cell r="F2508" t="str">
            <v>T/R/S 65/33/2</v>
          </cell>
          <cell r="G2508" t="str">
            <v>65% POLYESTER 33% RAYON 2% SPAN</v>
          </cell>
          <cell r="H2508">
            <v>56</v>
          </cell>
          <cell r="I2508">
            <v>238</v>
          </cell>
          <cell r="J2508">
            <v>2.9333333333333331</v>
          </cell>
          <cell r="K2508"/>
          <cell r="L2508">
            <v>3.0333333333333332</v>
          </cell>
          <cell r="M2508"/>
          <cell r="N2508">
            <v>3.1333333333333333</v>
          </cell>
          <cell r="O2508"/>
          <cell r="P2508"/>
          <cell r="Q2508"/>
          <cell r="R2508">
            <v>3.2333333333333334</v>
          </cell>
          <cell r="S2508"/>
          <cell r="T2508"/>
          <cell r="U2508"/>
          <cell r="V2508">
            <v>15</v>
          </cell>
          <cell r="W2508"/>
          <cell r="X2508" t="str">
            <v>CANDY</v>
          </cell>
          <cell r="Y2508" t="str">
            <v>CANDY 5-MAY</v>
          </cell>
          <cell r="Z2508" t="str">
            <v>CANDY' MAIL 9/5/17</v>
          </cell>
          <cell r="AA2508"/>
          <cell r="AB2508">
            <v>42864</v>
          </cell>
          <cell r="AC2508">
            <v>3162</v>
          </cell>
        </row>
        <row r="2509">
          <cell r="B2509">
            <v>3161</v>
          </cell>
          <cell r="C2509" t="str">
            <v>HLT5262</v>
          </cell>
          <cell r="D2509"/>
          <cell r="E2509"/>
          <cell r="F2509" t="str">
            <v>T/R/S 65/33/2</v>
          </cell>
          <cell r="G2509" t="str">
            <v>65% POLYESTER 33% RAYON 2% SPAN</v>
          </cell>
          <cell r="H2509">
            <v>56</v>
          </cell>
          <cell r="I2509">
            <v>205</v>
          </cell>
          <cell r="J2509">
            <v>2.9333333333333331</v>
          </cell>
          <cell r="K2509"/>
          <cell r="L2509">
            <v>3.0333333333333332</v>
          </cell>
          <cell r="M2509"/>
          <cell r="N2509">
            <v>3.1333333333333333</v>
          </cell>
          <cell r="O2509"/>
          <cell r="P2509"/>
          <cell r="Q2509"/>
          <cell r="R2509">
            <v>3.2333333333333334</v>
          </cell>
          <cell r="S2509"/>
          <cell r="T2509"/>
          <cell r="U2509"/>
          <cell r="V2509">
            <v>15</v>
          </cell>
          <cell r="W2509"/>
          <cell r="X2509" t="str">
            <v>CANDY</v>
          </cell>
          <cell r="Y2509" t="str">
            <v>CANDY 5-MAY</v>
          </cell>
          <cell r="Z2509" t="str">
            <v>CANDY' MAIL 9/5/17</v>
          </cell>
          <cell r="AA2509"/>
          <cell r="AB2509">
            <v>42864</v>
          </cell>
          <cell r="AC2509">
            <v>3161</v>
          </cell>
        </row>
        <row r="2510">
          <cell r="B2510">
            <v>3160</v>
          </cell>
          <cell r="C2510" t="str">
            <v>HLT5257</v>
          </cell>
          <cell r="D2510"/>
          <cell r="E2510"/>
          <cell r="F2510" t="str">
            <v>T/R/S 65/33/2</v>
          </cell>
          <cell r="G2510" t="str">
            <v>65% POLYESTER 33% RAYON 2% SPAN</v>
          </cell>
          <cell r="H2510">
            <v>56</v>
          </cell>
          <cell r="I2510">
            <v>215</v>
          </cell>
          <cell r="J2510">
            <v>2.9333333333333331</v>
          </cell>
          <cell r="K2510"/>
          <cell r="L2510">
            <v>3.0333333333333332</v>
          </cell>
          <cell r="M2510"/>
          <cell r="N2510">
            <v>3.1333333333333333</v>
          </cell>
          <cell r="O2510"/>
          <cell r="P2510"/>
          <cell r="Q2510"/>
          <cell r="R2510">
            <v>3.2333333333333334</v>
          </cell>
          <cell r="S2510"/>
          <cell r="T2510"/>
          <cell r="U2510"/>
          <cell r="V2510">
            <v>15</v>
          </cell>
          <cell r="W2510"/>
          <cell r="X2510" t="str">
            <v>CANDY</v>
          </cell>
          <cell r="Y2510" t="str">
            <v>CANDY 5-MAY</v>
          </cell>
          <cell r="Z2510" t="str">
            <v>CANDY' MAIL 9/5/17</v>
          </cell>
          <cell r="AA2510"/>
          <cell r="AB2510">
            <v>42864</v>
          </cell>
          <cell r="AC2510">
            <v>3160</v>
          </cell>
        </row>
        <row r="2511">
          <cell r="B2511">
            <v>3159</v>
          </cell>
          <cell r="C2511" t="str">
            <v>HLT5253</v>
          </cell>
          <cell r="D2511"/>
          <cell r="E2511"/>
          <cell r="F2511" t="str">
            <v>C/T 70/30</v>
          </cell>
          <cell r="G2511" t="str">
            <v>30% POLYESTER 70% COTTON</v>
          </cell>
          <cell r="H2511">
            <v>56</v>
          </cell>
          <cell r="I2511">
            <v>325</v>
          </cell>
          <cell r="J2511">
            <v>3.7733333333333334</v>
          </cell>
          <cell r="K2511"/>
          <cell r="L2511">
            <v>3.8733333333333335</v>
          </cell>
          <cell r="M2511"/>
          <cell r="N2511">
            <v>3.9733333333333336</v>
          </cell>
          <cell r="O2511"/>
          <cell r="P2511"/>
          <cell r="Q2511"/>
          <cell r="R2511">
            <v>4.0733333333333333</v>
          </cell>
          <cell r="S2511"/>
          <cell r="T2511"/>
          <cell r="U2511"/>
          <cell r="V2511">
            <v>15</v>
          </cell>
          <cell r="W2511"/>
          <cell r="X2511" t="str">
            <v>CANDY</v>
          </cell>
          <cell r="Y2511" t="str">
            <v>CANDY 5-MAY</v>
          </cell>
          <cell r="Z2511" t="str">
            <v>CANDY' MAIL 9/5/17</v>
          </cell>
          <cell r="AA2511"/>
          <cell r="AB2511">
            <v>42864</v>
          </cell>
          <cell r="AC2511">
            <v>3159</v>
          </cell>
        </row>
        <row r="2512">
          <cell r="B2512">
            <v>3158</v>
          </cell>
          <cell r="C2512" t="str">
            <v>HLT5252</v>
          </cell>
          <cell r="D2512"/>
          <cell r="E2512"/>
          <cell r="F2512" t="str">
            <v>T/R/S 74/22/4</v>
          </cell>
          <cell r="G2512" t="str">
            <v>74% POLYESTER 22% RAYON 4% SPAN</v>
          </cell>
          <cell r="H2512">
            <v>56</v>
          </cell>
          <cell r="I2512">
            <v>225</v>
          </cell>
          <cell r="J2512">
            <v>3.0666666666666669</v>
          </cell>
          <cell r="K2512"/>
          <cell r="L2512">
            <v>3.166666666666667</v>
          </cell>
          <cell r="M2512"/>
          <cell r="N2512">
            <v>3.2666666666666671</v>
          </cell>
          <cell r="O2512"/>
          <cell r="P2512"/>
          <cell r="Q2512"/>
          <cell r="R2512">
            <v>3.3666666666666671</v>
          </cell>
          <cell r="S2512"/>
          <cell r="T2512"/>
          <cell r="U2512"/>
          <cell r="V2512">
            <v>15</v>
          </cell>
          <cell r="W2512"/>
          <cell r="X2512" t="str">
            <v>CANDY</v>
          </cell>
          <cell r="Y2512" t="str">
            <v>CANDY 5-MAY</v>
          </cell>
          <cell r="Z2512" t="str">
            <v>CANDY' MAIL 9/5/17</v>
          </cell>
          <cell r="AA2512"/>
          <cell r="AB2512">
            <v>42864</v>
          </cell>
          <cell r="AC2512">
            <v>3158</v>
          </cell>
        </row>
        <row r="2513">
          <cell r="B2513">
            <v>3157</v>
          </cell>
          <cell r="C2513" t="str">
            <v>HLT5251</v>
          </cell>
          <cell r="D2513"/>
          <cell r="E2513"/>
          <cell r="F2513" t="str">
            <v>T/R 65/35</v>
          </cell>
          <cell r="G2513" t="str">
            <v>65% POLYESTER 35% RAYON</v>
          </cell>
          <cell r="H2513">
            <v>56</v>
          </cell>
          <cell r="I2513">
            <v>250</v>
          </cell>
          <cell r="J2513">
            <v>2.8666666666666667</v>
          </cell>
          <cell r="K2513"/>
          <cell r="L2513">
            <v>2.9666666666666668</v>
          </cell>
          <cell r="M2513"/>
          <cell r="N2513">
            <v>3.0666666666666669</v>
          </cell>
          <cell r="O2513"/>
          <cell r="P2513"/>
          <cell r="Q2513"/>
          <cell r="R2513">
            <v>3.166666666666667</v>
          </cell>
          <cell r="S2513"/>
          <cell r="T2513"/>
          <cell r="U2513"/>
          <cell r="V2513">
            <v>15</v>
          </cell>
          <cell r="W2513"/>
          <cell r="X2513" t="str">
            <v>CANDY</v>
          </cell>
          <cell r="Y2513" t="str">
            <v>CANDY 5-MAY</v>
          </cell>
          <cell r="Z2513" t="str">
            <v>CANDY' MAIL 9/5/17</v>
          </cell>
          <cell r="AA2513"/>
          <cell r="AB2513">
            <v>42864</v>
          </cell>
          <cell r="AC2513">
            <v>3157</v>
          </cell>
        </row>
        <row r="2514">
          <cell r="B2514">
            <v>3156</v>
          </cell>
          <cell r="C2514" t="str">
            <v>HLT5250</v>
          </cell>
          <cell r="D2514"/>
          <cell r="E2514"/>
          <cell r="F2514" t="str">
            <v>T/R/S 65/33/2</v>
          </cell>
          <cell r="G2514" t="str">
            <v>65% POLYESTER 33% RAYON 2% SPAN</v>
          </cell>
          <cell r="H2514">
            <v>56</v>
          </cell>
          <cell r="I2514">
            <v>220</v>
          </cell>
          <cell r="J2514">
            <v>3.0666666666666669</v>
          </cell>
          <cell r="K2514"/>
          <cell r="L2514">
            <v>3.166666666666667</v>
          </cell>
          <cell r="M2514"/>
          <cell r="N2514">
            <v>3.2666666666666671</v>
          </cell>
          <cell r="O2514"/>
          <cell r="P2514"/>
          <cell r="Q2514"/>
          <cell r="R2514">
            <v>3.3666666666666671</v>
          </cell>
          <cell r="S2514"/>
          <cell r="T2514"/>
          <cell r="U2514"/>
          <cell r="V2514">
            <v>15</v>
          </cell>
          <cell r="W2514"/>
          <cell r="X2514" t="str">
            <v>CANDY</v>
          </cell>
          <cell r="Y2514" t="str">
            <v>CANDY 5-MAY</v>
          </cell>
          <cell r="Z2514" t="str">
            <v>CANDY' MAIL 9/5/17</v>
          </cell>
          <cell r="AA2514"/>
          <cell r="AB2514">
            <v>42864</v>
          </cell>
          <cell r="AC2514">
            <v>3156</v>
          </cell>
        </row>
        <row r="2515">
          <cell r="B2515">
            <v>3155</v>
          </cell>
          <cell r="C2515" t="str">
            <v>HLT5248</v>
          </cell>
          <cell r="D2515"/>
          <cell r="E2515"/>
          <cell r="F2515" t="str">
            <v>T/R 65/35</v>
          </cell>
          <cell r="G2515" t="str">
            <v>65% POLYESTER 35% RAYON</v>
          </cell>
          <cell r="H2515">
            <v>56</v>
          </cell>
          <cell r="I2515">
            <v>178</v>
          </cell>
          <cell r="J2515">
            <v>2.7333333333333334</v>
          </cell>
          <cell r="K2515"/>
          <cell r="L2515">
            <v>2.8333333333333335</v>
          </cell>
          <cell r="M2515"/>
          <cell r="N2515">
            <v>2.9333333333333336</v>
          </cell>
          <cell r="O2515"/>
          <cell r="P2515"/>
          <cell r="Q2515"/>
          <cell r="R2515">
            <v>3.0333333333333337</v>
          </cell>
          <cell r="S2515"/>
          <cell r="T2515"/>
          <cell r="U2515"/>
          <cell r="V2515">
            <v>15</v>
          </cell>
          <cell r="W2515"/>
          <cell r="X2515" t="str">
            <v>CANDY</v>
          </cell>
          <cell r="Y2515" t="str">
            <v>CANDY 5-MAY</v>
          </cell>
          <cell r="Z2515" t="str">
            <v>CANDY' MAIL 9/5/17</v>
          </cell>
          <cell r="AA2515"/>
          <cell r="AB2515">
            <v>42864</v>
          </cell>
          <cell r="AC2515">
            <v>3155</v>
          </cell>
        </row>
        <row r="2516">
          <cell r="B2516">
            <v>3154</v>
          </cell>
          <cell r="C2516" t="str">
            <v>HLT5246</v>
          </cell>
          <cell r="D2516"/>
          <cell r="E2516"/>
          <cell r="F2516" t="str">
            <v>T/R 65/35</v>
          </cell>
          <cell r="G2516" t="str">
            <v>65% POLYESTER 35% RAYON</v>
          </cell>
          <cell r="H2516">
            <v>56</v>
          </cell>
          <cell r="I2516">
            <v>186</v>
          </cell>
          <cell r="J2516">
            <v>2.7333333333333334</v>
          </cell>
          <cell r="K2516"/>
          <cell r="L2516">
            <v>2.8333333333333335</v>
          </cell>
          <cell r="M2516"/>
          <cell r="N2516">
            <v>2.9333333333333336</v>
          </cell>
          <cell r="O2516"/>
          <cell r="P2516"/>
          <cell r="Q2516"/>
          <cell r="R2516">
            <v>3.0333333333333337</v>
          </cell>
          <cell r="S2516"/>
          <cell r="T2516"/>
          <cell r="U2516"/>
          <cell r="V2516">
            <v>15</v>
          </cell>
          <cell r="W2516"/>
          <cell r="X2516" t="str">
            <v>CANDY</v>
          </cell>
          <cell r="Y2516" t="str">
            <v>CANDY 5-MAY</v>
          </cell>
          <cell r="Z2516" t="str">
            <v>CANDY' MAIL 9/5/17</v>
          </cell>
          <cell r="AA2516"/>
          <cell r="AB2516">
            <v>42864</v>
          </cell>
          <cell r="AC2516">
            <v>3154</v>
          </cell>
        </row>
        <row r="2517">
          <cell r="B2517">
            <v>3153</v>
          </cell>
          <cell r="C2517" t="str">
            <v>HLT5244</v>
          </cell>
          <cell r="D2517"/>
          <cell r="E2517"/>
          <cell r="F2517" t="str">
            <v>T/R/S 70/27/3</v>
          </cell>
          <cell r="G2517" t="str">
            <v>70% POLYESTER 27% RAYON 3% SPAN</v>
          </cell>
          <cell r="H2517">
            <v>56</v>
          </cell>
          <cell r="I2517">
            <v>410</v>
          </cell>
          <cell r="J2517">
            <v>3.0666666666666669</v>
          </cell>
          <cell r="K2517"/>
          <cell r="L2517">
            <v>3.166666666666667</v>
          </cell>
          <cell r="M2517"/>
          <cell r="N2517">
            <v>3.2666666666666671</v>
          </cell>
          <cell r="O2517"/>
          <cell r="P2517"/>
          <cell r="Q2517"/>
          <cell r="R2517">
            <v>3.3666666666666671</v>
          </cell>
          <cell r="S2517"/>
          <cell r="T2517"/>
          <cell r="U2517"/>
          <cell r="V2517">
            <v>15</v>
          </cell>
          <cell r="W2517"/>
          <cell r="X2517" t="str">
            <v>CANDY</v>
          </cell>
          <cell r="Y2517" t="str">
            <v>CANDY 5-MAY</v>
          </cell>
          <cell r="Z2517" t="str">
            <v>CANDY' MAIL 9/5/17</v>
          </cell>
          <cell r="AA2517"/>
          <cell r="AB2517">
            <v>42864</v>
          </cell>
          <cell r="AC2517">
            <v>3153</v>
          </cell>
        </row>
        <row r="2518">
          <cell r="B2518">
            <v>3152</v>
          </cell>
          <cell r="C2518" t="str">
            <v>HLT5243</v>
          </cell>
          <cell r="D2518"/>
          <cell r="E2518"/>
          <cell r="F2518" t="str">
            <v>T/R/S 65/32/3</v>
          </cell>
          <cell r="G2518" t="str">
            <v>65% POLYESTER 32% RAYON 3% SPAN</v>
          </cell>
          <cell r="H2518">
            <v>56</v>
          </cell>
          <cell r="I2518">
            <v>280</v>
          </cell>
          <cell r="J2518">
            <v>3.0666666666666669</v>
          </cell>
          <cell r="K2518"/>
          <cell r="L2518">
            <v>3.166666666666667</v>
          </cell>
          <cell r="M2518"/>
          <cell r="N2518">
            <v>3.2666666666666671</v>
          </cell>
          <cell r="O2518"/>
          <cell r="P2518"/>
          <cell r="Q2518"/>
          <cell r="R2518">
            <v>3.3666666666666671</v>
          </cell>
          <cell r="S2518"/>
          <cell r="T2518"/>
          <cell r="U2518"/>
          <cell r="V2518">
            <v>15</v>
          </cell>
          <cell r="W2518"/>
          <cell r="X2518" t="str">
            <v>CANDY</v>
          </cell>
          <cell r="Y2518" t="str">
            <v>CANDY 5-MAY</v>
          </cell>
          <cell r="Z2518" t="str">
            <v>CANDY' MAIL 9/5/17</v>
          </cell>
          <cell r="AA2518"/>
          <cell r="AB2518">
            <v>42864</v>
          </cell>
          <cell r="AC2518">
            <v>3152</v>
          </cell>
        </row>
        <row r="2519">
          <cell r="B2519">
            <v>3151</v>
          </cell>
          <cell r="C2519" t="str">
            <v>HLT5242</v>
          </cell>
          <cell r="D2519"/>
          <cell r="E2519"/>
          <cell r="F2519" t="str">
            <v>T/R 65/35</v>
          </cell>
          <cell r="G2519" t="str">
            <v>65% POLYESTER 35% RAYON</v>
          </cell>
          <cell r="H2519">
            <v>56</v>
          </cell>
          <cell r="I2519">
            <v>195</v>
          </cell>
          <cell r="J2519">
            <v>2.7333333333333334</v>
          </cell>
          <cell r="K2519"/>
          <cell r="L2519">
            <v>2.8333333333333335</v>
          </cell>
          <cell r="M2519"/>
          <cell r="N2519">
            <v>2.9333333333333336</v>
          </cell>
          <cell r="O2519"/>
          <cell r="P2519"/>
          <cell r="Q2519"/>
          <cell r="R2519">
            <v>3.0333333333333337</v>
          </cell>
          <cell r="S2519"/>
          <cell r="T2519"/>
          <cell r="U2519"/>
          <cell r="V2519">
            <v>15</v>
          </cell>
          <cell r="W2519"/>
          <cell r="X2519" t="str">
            <v>CANDY</v>
          </cell>
          <cell r="Y2519" t="str">
            <v>CANDY 5-MAY</v>
          </cell>
          <cell r="Z2519" t="str">
            <v>CANDY' MAIL 9/5/17</v>
          </cell>
          <cell r="AA2519"/>
          <cell r="AB2519">
            <v>42864</v>
          </cell>
          <cell r="AC2519">
            <v>3151</v>
          </cell>
        </row>
        <row r="2520">
          <cell r="B2520">
            <v>3150</v>
          </cell>
          <cell r="C2520" t="str">
            <v>HLT5241</v>
          </cell>
          <cell r="D2520"/>
          <cell r="E2520"/>
          <cell r="F2520" t="str">
            <v>T/R 65/35</v>
          </cell>
          <cell r="G2520" t="str">
            <v>65% POLYESTER 35% RAYON</v>
          </cell>
          <cell r="H2520">
            <v>56</v>
          </cell>
          <cell r="I2520">
            <v>195</v>
          </cell>
          <cell r="J2520">
            <v>2.7333333333333334</v>
          </cell>
          <cell r="K2520"/>
          <cell r="L2520">
            <v>2.8333333333333335</v>
          </cell>
          <cell r="M2520"/>
          <cell r="N2520">
            <v>2.9333333333333336</v>
          </cell>
          <cell r="O2520"/>
          <cell r="P2520"/>
          <cell r="Q2520"/>
          <cell r="R2520">
            <v>3.0333333333333337</v>
          </cell>
          <cell r="S2520"/>
          <cell r="T2520"/>
          <cell r="U2520"/>
          <cell r="V2520">
            <v>15</v>
          </cell>
          <cell r="W2520"/>
          <cell r="X2520" t="str">
            <v>CANDY</v>
          </cell>
          <cell r="Y2520" t="str">
            <v>CANDY 5-MAY</v>
          </cell>
          <cell r="Z2520" t="str">
            <v>CANDY' MAIL 9/5/17</v>
          </cell>
          <cell r="AA2520"/>
          <cell r="AB2520">
            <v>42864</v>
          </cell>
          <cell r="AC2520">
            <v>3150</v>
          </cell>
        </row>
        <row r="2521">
          <cell r="B2521">
            <v>3149</v>
          </cell>
          <cell r="C2521" t="str">
            <v>HLT5237</v>
          </cell>
          <cell r="D2521"/>
          <cell r="E2521"/>
          <cell r="F2521" t="str">
            <v>T/R/S 65/32/3</v>
          </cell>
          <cell r="G2521" t="str">
            <v>65% POLYESTER 32% RAYON 3% SPAN</v>
          </cell>
          <cell r="H2521">
            <v>56</v>
          </cell>
          <cell r="I2521">
            <v>280</v>
          </cell>
          <cell r="J2521">
            <v>3.0666666666666669</v>
          </cell>
          <cell r="K2521"/>
          <cell r="L2521">
            <v>3.166666666666667</v>
          </cell>
          <cell r="M2521"/>
          <cell r="N2521">
            <v>3.2666666666666671</v>
          </cell>
          <cell r="O2521"/>
          <cell r="P2521"/>
          <cell r="Q2521"/>
          <cell r="R2521">
            <v>3.3666666666666671</v>
          </cell>
          <cell r="S2521"/>
          <cell r="T2521"/>
          <cell r="U2521"/>
          <cell r="V2521">
            <v>15</v>
          </cell>
          <cell r="W2521"/>
          <cell r="X2521" t="str">
            <v>CANDY</v>
          </cell>
          <cell r="Y2521" t="str">
            <v>CANDY 5-MAY</v>
          </cell>
          <cell r="Z2521" t="str">
            <v>CANDY' MAIL 9/5/17</v>
          </cell>
          <cell r="AA2521"/>
          <cell r="AB2521">
            <v>42864</v>
          </cell>
          <cell r="AC2521">
            <v>3149</v>
          </cell>
        </row>
        <row r="2522">
          <cell r="B2522">
            <v>3148</v>
          </cell>
          <cell r="C2522" t="str">
            <v>HLT5231</v>
          </cell>
          <cell r="D2522"/>
          <cell r="E2522"/>
          <cell r="F2522" t="str">
            <v>T/R 65/35</v>
          </cell>
          <cell r="G2522" t="str">
            <v>65% POLYESTER 35% RAYON</v>
          </cell>
          <cell r="H2522">
            <v>56</v>
          </cell>
          <cell r="I2522">
            <v>195</v>
          </cell>
          <cell r="J2522">
            <v>2.7333333333333334</v>
          </cell>
          <cell r="K2522"/>
          <cell r="L2522">
            <v>2.8333333333333335</v>
          </cell>
          <cell r="M2522"/>
          <cell r="N2522">
            <v>2.9333333333333336</v>
          </cell>
          <cell r="O2522"/>
          <cell r="P2522"/>
          <cell r="Q2522"/>
          <cell r="R2522">
            <v>3.0333333333333337</v>
          </cell>
          <cell r="S2522"/>
          <cell r="T2522"/>
          <cell r="U2522"/>
          <cell r="V2522">
            <v>15</v>
          </cell>
          <cell r="W2522"/>
          <cell r="X2522" t="str">
            <v>CANDY</v>
          </cell>
          <cell r="Y2522" t="str">
            <v>CANDY 5-MAY</v>
          </cell>
          <cell r="Z2522" t="str">
            <v>CANDY' MAIL 9/5/17</v>
          </cell>
          <cell r="AA2522"/>
          <cell r="AB2522">
            <v>42864</v>
          </cell>
          <cell r="AC2522">
            <v>3148</v>
          </cell>
        </row>
        <row r="2523">
          <cell r="B2523">
            <v>3147</v>
          </cell>
          <cell r="C2523" t="str">
            <v>HLT3479</v>
          </cell>
          <cell r="D2523"/>
          <cell r="E2523"/>
          <cell r="F2523" t="str">
            <v>T/R/S 62/33/5</v>
          </cell>
          <cell r="G2523" t="str">
            <v>62% POLYESTER 33% RAYON 5% SPAN</v>
          </cell>
          <cell r="H2523" t="str">
            <v>150 CM</v>
          </cell>
          <cell r="I2523">
            <v>280</v>
          </cell>
          <cell r="J2523">
            <v>3.0666666666666669</v>
          </cell>
          <cell r="K2523"/>
          <cell r="L2523">
            <v>3.166666666666667</v>
          </cell>
          <cell r="M2523"/>
          <cell r="N2523">
            <v>3.2666666666666671</v>
          </cell>
          <cell r="O2523"/>
          <cell r="P2523"/>
          <cell r="Q2523"/>
          <cell r="R2523">
            <v>3.3666666666666671</v>
          </cell>
          <cell r="S2523"/>
          <cell r="T2523"/>
          <cell r="U2523"/>
          <cell r="V2523">
            <v>15</v>
          </cell>
          <cell r="W2523"/>
          <cell r="X2523" t="str">
            <v>CANDY</v>
          </cell>
          <cell r="Y2523" t="str">
            <v>CANDY 5-MAY</v>
          </cell>
          <cell r="Z2523" t="str">
            <v>CANDY' MAIL 9/5/17</v>
          </cell>
          <cell r="AA2523"/>
          <cell r="AB2523">
            <v>42864</v>
          </cell>
          <cell r="AC2523">
            <v>3147</v>
          </cell>
        </row>
        <row r="2524">
          <cell r="B2524">
            <v>3146</v>
          </cell>
          <cell r="C2524" t="str">
            <v>HLT3471</v>
          </cell>
          <cell r="D2524"/>
          <cell r="E2524"/>
          <cell r="F2524" t="str">
            <v>T/R/S 63/33/4</v>
          </cell>
          <cell r="G2524" t="str">
            <v>63% POLYESTER 33% RAYON 4% SPAN</v>
          </cell>
          <cell r="H2524" t="str">
            <v>142 CM</v>
          </cell>
          <cell r="I2524">
            <v>280</v>
          </cell>
          <cell r="J2524">
            <v>3.0666666666666669</v>
          </cell>
          <cell r="K2524"/>
          <cell r="L2524">
            <v>3.166666666666667</v>
          </cell>
          <cell r="M2524"/>
          <cell r="N2524">
            <v>3.2666666666666671</v>
          </cell>
          <cell r="O2524"/>
          <cell r="P2524"/>
          <cell r="Q2524"/>
          <cell r="R2524">
            <v>3.3666666666666671</v>
          </cell>
          <cell r="S2524"/>
          <cell r="T2524"/>
          <cell r="U2524"/>
          <cell r="V2524">
            <v>15</v>
          </cell>
          <cell r="W2524"/>
          <cell r="X2524" t="str">
            <v>CANDY</v>
          </cell>
          <cell r="Y2524" t="str">
            <v>CANDY 5-MAY</v>
          </cell>
          <cell r="Z2524" t="str">
            <v>CANDY' MAIL 9/5/17</v>
          </cell>
          <cell r="AA2524"/>
          <cell r="AB2524">
            <v>42864</v>
          </cell>
          <cell r="AC2524">
            <v>3146</v>
          </cell>
        </row>
        <row r="2525">
          <cell r="B2525">
            <v>3145</v>
          </cell>
          <cell r="C2525" t="str">
            <v>HLT3446</v>
          </cell>
          <cell r="D2525"/>
          <cell r="E2525"/>
          <cell r="F2525" t="str">
            <v>T/R/S 63/33/4</v>
          </cell>
          <cell r="G2525" t="str">
            <v>63% POLYESTER 33% RAYON 4% SPAN</v>
          </cell>
          <cell r="H2525" t="str">
            <v>142 CM</v>
          </cell>
          <cell r="I2525">
            <v>280</v>
          </cell>
          <cell r="J2525">
            <v>3.0666666666666669</v>
          </cell>
          <cell r="K2525"/>
          <cell r="L2525">
            <v>3.166666666666667</v>
          </cell>
          <cell r="M2525"/>
          <cell r="N2525">
            <v>3.2666666666666671</v>
          </cell>
          <cell r="O2525"/>
          <cell r="P2525"/>
          <cell r="Q2525"/>
          <cell r="R2525">
            <v>3.3666666666666671</v>
          </cell>
          <cell r="S2525"/>
          <cell r="T2525"/>
          <cell r="U2525"/>
          <cell r="V2525">
            <v>15</v>
          </cell>
          <cell r="W2525"/>
          <cell r="X2525" t="str">
            <v>CANDY</v>
          </cell>
          <cell r="Y2525" t="str">
            <v>CANDY 5-MAY</v>
          </cell>
          <cell r="Z2525" t="str">
            <v>CANDY' MAIL 9/5/17</v>
          </cell>
          <cell r="AA2525"/>
          <cell r="AB2525">
            <v>42864</v>
          </cell>
          <cell r="AC2525">
            <v>3145</v>
          </cell>
        </row>
        <row r="2526">
          <cell r="B2526">
            <v>3144</v>
          </cell>
          <cell r="C2526" t="str">
            <v>HLT3441</v>
          </cell>
          <cell r="D2526"/>
          <cell r="E2526"/>
          <cell r="F2526" t="str">
            <v>T/R/S 63/33/4</v>
          </cell>
          <cell r="G2526" t="str">
            <v>63% POLYESTER 33% RAYON 4% SPAN</v>
          </cell>
          <cell r="H2526" t="str">
            <v>48/50</v>
          </cell>
          <cell r="I2526">
            <v>280</v>
          </cell>
          <cell r="J2526">
            <v>3.0666666666666669</v>
          </cell>
          <cell r="K2526"/>
          <cell r="L2526">
            <v>3.166666666666667</v>
          </cell>
          <cell r="M2526"/>
          <cell r="N2526">
            <v>3.2666666666666671</v>
          </cell>
          <cell r="O2526"/>
          <cell r="P2526"/>
          <cell r="Q2526"/>
          <cell r="R2526">
            <v>3.3666666666666671</v>
          </cell>
          <cell r="S2526"/>
          <cell r="T2526"/>
          <cell r="U2526"/>
          <cell r="V2526">
            <v>15</v>
          </cell>
          <cell r="W2526"/>
          <cell r="X2526" t="str">
            <v>CANDY</v>
          </cell>
          <cell r="Y2526" t="str">
            <v>CANDY 5-MAY</v>
          </cell>
          <cell r="Z2526" t="str">
            <v>CANDY' MAIL 9/5/17</v>
          </cell>
          <cell r="AA2526"/>
          <cell r="AB2526">
            <v>42864</v>
          </cell>
          <cell r="AC2526">
            <v>3144</v>
          </cell>
        </row>
        <row r="2527">
          <cell r="B2527">
            <v>3143</v>
          </cell>
          <cell r="C2527" t="str">
            <v>HLT3440</v>
          </cell>
          <cell r="D2527"/>
          <cell r="E2527"/>
          <cell r="F2527" t="str">
            <v>T/R/S 63/33/4</v>
          </cell>
          <cell r="G2527" t="str">
            <v>63% POLYESTER 33% RAYON 4% SPAN</v>
          </cell>
          <cell r="H2527" t="str">
            <v>142 CM</v>
          </cell>
          <cell r="I2527">
            <v>280</v>
          </cell>
          <cell r="J2527">
            <v>3.0666666666666669</v>
          </cell>
          <cell r="K2527"/>
          <cell r="L2527">
            <v>3.166666666666667</v>
          </cell>
          <cell r="M2527"/>
          <cell r="N2527">
            <v>3.2666666666666671</v>
          </cell>
          <cell r="O2527"/>
          <cell r="P2527"/>
          <cell r="Q2527"/>
          <cell r="R2527">
            <v>3.3666666666666671</v>
          </cell>
          <cell r="S2527"/>
          <cell r="T2527"/>
          <cell r="U2527"/>
          <cell r="V2527">
            <v>15</v>
          </cell>
          <cell r="W2527"/>
          <cell r="X2527" t="str">
            <v>CANDY</v>
          </cell>
          <cell r="Y2527" t="str">
            <v>CANDY 5-MAY</v>
          </cell>
          <cell r="Z2527" t="str">
            <v>CANDY' MAIL 9/5/17</v>
          </cell>
          <cell r="AA2527"/>
          <cell r="AB2527">
            <v>42864</v>
          </cell>
          <cell r="AC2527">
            <v>3143</v>
          </cell>
        </row>
        <row r="2528">
          <cell r="B2528">
            <v>3142</v>
          </cell>
          <cell r="C2528" t="str">
            <v>HLT3438</v>
          </cell>
          <cell r="D2528"/>
          <cell r="E2528"/>
          <cell r="F2528" t="str">
            <v>T/R 65/35</v>
          </cell>
          <cell r="G2528" t="str">
            <v>65% POLYESTER 35% RAYON</v>
          </cell>
          <cell r="H2528" t="str">
            <v>145 CM</v>
          </cell>
          <cell r="I2528">
            <v>320</v>
          </cell>
          <cell r="J2528">
            <v>2.7333333333333334</v>
          </cell>
          <cell r="K2528"/>
          <cell r="L2528">
            <v>2.8333333333333335</v>
          </cell>
          <cell r="M2528"/>
          <cell r="N2528">
            <v>2.9333333333333336</v>
          </cell>
          <cell r="O2528"/>
          <cell r="P2528"/>
          <cell r="Q2528"/>
          <cell r="R2528">
            <v>3.0333333333333337</v>
          </cell>
          <cell r="S2528"/>
          <cell r="T2528"/>
          <cell r="U2528"/>
          <cell r="V2528">
            <v>15</v>
          </cell>
          <cell r="W2528"/>
          <cell r="X2528" t="str">
            <v>CANDY</v>
          </cell>
          <cell r="Y2528" t="str">
            <v>CANDY 5-MAY</v>
          </cell>
          <cell r="Z2528" t="str">
            <v>CANDY' MAIL 9/5/17</v>
          </cell>
          <cell r="AA2528"/>
          <cell r="AB2528">
            <v>42864</v>
          </cell>
          <cell r="AC2528">
            <v>3142</v>
          </cell>
        </row>
        <row r="2529">
          <cell r="B2529">
            <v>3141</v>
          </cell>
          <cell r="C2529" t="str">
            <v>HLT3437</v>
          </cell>
          <cell r="D2529"/>
          <cell r="E2529"/>
          <cell r="F2529" t="str">
            <v>T/R 65/35</v>
          </cell>
          <cell r="G2529" t="str">
            <v>65% POLYESTER 35% RAYON</v>
          </cell>
          <cell r="H2529">
            <v>57</v>
          </cell>
          <cell r="I2529">
            <v>260</v>
          </cell>
          <cell r="J2529">
            <v>2.7333333333333334</v>
          </cell>
          <cell r="K2529"/>
          <cell r="L2529">
            <v>2.8333333333333335</v>
          </cell>
          <cell r="M2529"/>
          <cell r="N2529">
            <v>2.9333333333333336</v>
          </cell>
          <cell r="O2529"/>
          <cell r="P2529"/>
          <cell r="Q2529"/>
          <cell r="R2529">
            <v>3.0333333333333337</v>
          </cell>
          <cell r="S2529"/>
          <cell r="T2529"/>
          <cell r="U2529"/>
          <cell r="V2529">
            <v>15</v>
          </cell>
          <cell r="W2529"/>
          <cell r="X2529" t="str">
            <v>CANDY</v>
          </cell>
          <cell r="Y2529" t="str">
            <v>CANDY 5-MAY</v>
          </cell>
          <cell r="Z2529" t="str">
            <v>CANDY' MAIL 9/5/17</v>
          </cell>
          <cell r="AA2529"/>
          <cell r="AB2529">
            <v>42864</v>
          </cell>
          <cell r="AC2529">
            <v>3141</v>
          </cell>
        </row>
        <row r="2530">
          <cell r="B2530">
            <v>3140</v>
          </cell>
          <cell r="C2530" t="str">
            <v>HLT3436</v>
          </cell>
          <cell r="D2530"/>
          <cell r="E2530"/>
          <cell r="F2530" t="str">
            <v>T/R/S 62/32/3</v>
          </cell>
          <cell r="G2530" t="str">
            <v>62% POLYESTER 32% RAYON 3% SPAN</v>
          </cell>
          <cell r="H2530" t="str">
            <v>145 CM</v>
          </cell>
          <cell r="I2530">
            <v>270</v>
          </cell>
          <cell r="J2530">
            <v>3.0666666666666669</v>
          </cell>
          <cell r="K2530"/>
          <cell r="L2530">
            <v>3.166666666666667</v>
          </cell>
          <cell r="M2530"/>
          <cell r="N2530">
            <v>3.2666666666666671</v>
          </cell>
          <cell r="O2530"/>
          <cell r="P2530"/>
          <cell r="Q2530"/>
          <cell r="R2530">
            <v>3.3666666666666671</v>
          </cell>
          <cell r="S2530"/>
          <cell r="T2530"/>
          <cell r="U2530"/>
          <cell r="V2530">
            <v>15</v>
          </cell>
          <cell r="W2530"/>
          <cell r="X2530" t="str">
            <v>CANDY</v>
          </cell>
          <cell r="Y2530" t="str">
            <v>CANDY 5-MAY</v>
          </cell>
          <cell r="Z2530" t="str">
            <v>CANDY' MAIL 9/5/17</v>
          </cell>
          <cell r="AA2530"/>
          <cell r="AB2530">
            <v>42864</v>
          </cell>
          <cell r="AC2530">
            <v>3140</v>
          </cell>
        </row>
        <row r="2531">
          <cell r="B2531">
            <v>3139</v>
          </cell>
          <cell r="C2531" t="str">
            <v>HLT3433</v>
          </cell>
          <cell r="D2531"/>
          <cell r="E2531"/>
          <cell r="F2531" t="str">
            <v>T/R/S 63/33/4</v>
          </cell>
          <cell r="G2531" t="str">
            <v>63% POLYESTER 33% RAYON 4% SPAN</v>
          </cell>
          <cell r="H2531" t="str">
            <v>57/58</v>
          </cell>
          <cell r="I2531">
            <v>290</v>
          </cell>
          <cell r="J2531">
            <v>3.0666666666666669</v>
          </cell>
          <cell r="K2531"/>
          <cell r="L2531">
            <v>3.166666666666667</v>
          </cell>
          <cell r="M2531"/>
          <cell r="N2531">
            <v>3.2666666666666671</v>
          </cell>
          <cell r="O2531"/>
          <cell r="P2531"/>
          <cell r="Q2531"/>
          <cell r="R2531">
            <v>3.3666666666666671</v>
          </cell>
          <cell r="S2531"/>
          <cell r="T2531"/>
          <cell r="U2531"/>
          <cell r="V2531">
            <v>15</v>
          </cell>
          <cell r="W2531"/>
          <cell r="X2531" t="str">
            <v>CANDY</v>
          </cell>
          <cell r="Y2531" t="str">
            <v>CANDY 5-MAY</v>
          </cell>
          <cell r="Z2531" t="str">
            <v>CANDY' MAIL 9/5/17</v>
          </cell>
          <cell r="AA2531"/>
          <cell r="AB2531">
            <v>42864</v>
          </cell>
          <cell r="AC2531">
            <v>3139</v>
          </cell>
        </row>
        <row r="2532">
          <cell r="B2532">
            <v>3138</v>
          </cell>
          <cell r="C2532" t="str">
            <v>HLT3432</v>
          </cell>
          <cell r="D2532"/>
          <cell r="E2532"/>
          <cell r="F2532" t="str">
            <v>T/R/S 63/34/3</v>
          </cell>
          <cell r="G2532" t="str">
            <v>63% POLYESTER 34% RAYON 3% SPAN</v>
          </cell>
          <cell r="H2532" t="str">
            <v>57/58</v>
          </cell>
          <cell r="I2532">
            <v>280</v>
          </cell>
          <cell r="J2532">
            <v>3.0666666666666669</v>
          </cell>
          <cell r="K2532"/>
          <cell r="L2532">
            <v>3.166666666666667</v>
          </cell>
          <cell r="M2532"/>
          <cell r="N2532">
            <v>3.2666666666666671</v>
          </cell>
          <cell r="O2532"/>
          <cell r="P2532"/>
          <cell r="Q2532"/>
          <cell r="R2532">
            <v>3.3666666666666671</v>
          </cell>
          <cell r="S2532"/>
          <cell r="T2532"/>
          <cell r="U2532"/>
          <cell r="V2532">
            <v>15</v>
          </cell>
          <cell r="W2532"/>
          <cell r="X2532" t="str">
            <v>CANDY</v>
          </cell>
          <cell r="Y2532" t="str">
            <v>CANDY 5-MAY</v>
          </cell>
          <cell r="Z2532" t="str">
            <v>CANDY' MAIL 9/5/17</v>
          </cell>
          <cell r="AA2532"/>
          <cell r="AB2532">
            <v>42864</v>
          </cell>
          <cell r="AC2532">
            <v>3138</v>
          </cell>
        </row>
        <row r="2533">
          <cell r="B2533">
            <v>3137</v>
          </cell>
          <cell r="C2533" t="str">
            <v>HLT3431</v>
          </cell>
          <cell r="D2533"/>
          <cell r="E2533"/>
          <cell r="F2533" t="str">
            <v>T/R/S 65/32/3</v>
          </cell>
          <cell r="G2533" t="str">
            <v>65% POLYESTER 32% RAYON 3% SPAN</v>
          </cell>
          <cell r="H2533" t="str">
            <v>145 CM</v>
          </cell>
          <cell r="I2533">
            <v>310</v>
          </cell>
          <cell r="J2533">
            <v>3.0666666666666669</v>
          </cell>
          <cell r="K2533"/>
          <cell r="L2533">
            <v>3.166666666666667</v>
          </cell>
          <cell r="M2533"/>
          <cell r="N2533">
            <v>3.2666666666666671</v>
          </cell>
          <cell r="O2533"/>
          <cell r="P2533"/>
          <cell r="Q2533"/>
          <cell r="R2533">
            <v>3.3666666666666671</v>
          </cell>
          <cell r="S2533"/>
          <cell r="T2533"/>
          <cell r="U2533"/>
          <cell r="V2533">
            <v>15</v>
          </cell>
          <cell r="W2533"/>
          <cell r="X2533" t="str">
            <v>CANDY</v>
          </cell>
          <cell r="Y2533" t="str">
            <v>CANDY 5-MAY</v>
          </cell>
          <cell r="Z2533" t="str">
            <v>CANDY' MAIL 9/5/17</v>
          </cell>
          <cell r="AA2533"/>
          <cell r="AB2533">
            <v>42864</v>
          </cell>
          <cell r="AC2533">
            <v>3137</v>
          </cell>
        </row>
        <row r="2534">
          <cell r="B2534">
            <v>3136</v>
          </cell>
          <cell r="C2534" t="str">
            <v>HLT3430</v>
          </cell>
          <cell r="D2534"/>
          <cell r="E2534"/>
          <cell r="F2534" t="str">
            <v>T/R/S 63/34/3</v>
          </cell>
          <cell r="G2534" t="str">
            <v>63% POLYESTER 34% RAYON 3% SPAN</v>
          </cell>
          <cell r="H2534" t="str">
            <v>56/57</v>
          </cell>
          <cell r="I2534">
            <v>280</v>
          </cell>
          <cell r="J2534">
            <v>3.0666666666666669</v>
          </cell>
          <cell r="K2534"/>
          <cell r="L2534">
            <v>3.166666666666667</v>
          </cell>
          <cell r="M2534"/>
          <cell r="N2534">
            <v>3.2666666666666671</v>
          </cell>
          <cell r="O2534"/>
          <cell r="P2534"/>
          <cell r="Q2534"/>
          <cell r="R2534">
            <v>3.3666666666666671</v>
          </cell>
          <cell r="S2534"/>
          <cell r="T2534"/>
          <cell r="U2534"/>
          <cell r="V2534">
            <v>15</v>
          </cell>
          <cell r="W2534"/>
          <cell r="X2534" t="str">
            <v>CANDY</v>
          </cell>
          <cell r="Y2534" t="str">
            <v>CANDY 5-MAY</v>
          </cell>
          <cell r="Z2534" t="str">
            <v>CANDY' MAIL 9/5/17</v>
          </cell>
          <cell r="AA2534"/>
          <cell r="AB2534">
            <v>42864</v>
          </cell>
          <cell r="AC2534">
            <v>3136</v>
          </cell>
        </row>
        <row r="2535">
          <cell r="B2535">
            <v>2801</v>
          </cell>
          <cell r="C2535" t="str">
            <v>BG2718p</v>
          </cell>
          <cell r="D2535"/>
          <cell r="E2535" t="str">
            <v>60s x 60s / 90x88 CREPE</v>
          </cell>
          <cell r="F2535" t="str">
            <v>C 100%</v>
          </cell>
          <cell r="G2535" t="str">
            <v>100% COTTON</v>
          </cell>
          <cell r="H2535" t="str">
            <v>50/51</v>
          </cell>
          <cell r="I2535">
            <v>85</v>
          </cell>
          <cell r="J2535">
            <v>2.2999999999999998</v>
          </cell>
          <cell r="K2535">
            <v>3.05</v>
          </cell>
          <cell r="L2535">
            <v>2.3199999999999998</v>
          </cell>
          <cell r="M2535">
            <v>3.12</v>
          </cell>
          <cell r="N2535">
            <v>2.35</v>
          </cell>
          <cell r="O2535">
            <v>3.15</v>
          </cell>
          <cell r="P2535"/>
          <cell r="Q2535"/>
          <cell r="R2535">
            <v>2.5499999999999998</v>
          </cell>
          <cell r="S2535">
            <v>3.45</v>
          </cell>
          <cell r="T2535"/>
          <cell r="U2535"/>
          <cell r="V2535">
            <v>15</v>
          </cell>
          <cell r="W2535"/>
          <cell r="X2535" t="str">
            <v>ANN</v>
          </cell>
          <cell r="Y2535" t="str">
            <v>ANN 5-MAY</v>
          </cell>
          <cell r="Z2535" t="str">
            <v>ANN' MAIL 7/5/17</v>
          </cell>
          <cell r="AA2535"/>
          <cell r="AB2535">
            <v>42864</v>
          </cell>
          <cell r="AC2535">
            <v>2801</v>
          </cell>
        </row>
        <row r="2536">
          <cell r="B2536">
            <v>1076</v>
          </cell>
          <cell r="C2536" t="str">
            <v>ST-4421</v>
          </cell>
          <cell r="D2536"/>
          <cell r="E2536"/>
          <cell r="F2536" t="str">
            <v>T 100%</v>
          </cell>
          <cell r="G2536" t="str">
            <v>100%POLYESTER</v>
          </cell>
          <cell r="H2536" t="str">
            <v>57/58</v>
          </cell>
          <cell r="I2536">
            <v>80</v>
          </cell>
          <cell r="J2536">
            <v>0.95</v>
          </cell>
          <cell r="K2536">
            <v>1.2</v>
          </cell>
          <cell r="L2536">
            <v>0.98</v>
          </cell>
          <cell r="M2536">
            <v>1.23</v>
          </cell>
          <cell r="N2536">
            <v>1</v>
          </cell>
          <cell r="O2536">
            <v>1.28</v>
          </cell>
          <cell r="P2536"/>
          <cell r="Q2536"/>
          <cell r="R2536">
            <v>1.05</v>
          </cell>
          <cell r="S2536">
            <v>1.3</v>
          </cell>
          <cell r="T2536"/>
          <cell r="U2536"/>
          <cell r="V2536">
            <v>15</v>
          </cell>
          <cell r="W2536"/>
          <cell r="X2536" t="str">
            <v>SIGER</v>
          </cell>
          <cell r="Y2536" t="str">
            <v>SIGER 5-MAY</v>
          </cell>
          <cell r="Z2536" t="str">
            <v>CARA' MAIL 8/5/17</v>
          </cell>
          <cell r="AA2536"/>
          <cell r="AB2536">
            <v>42864</v>
          </cell>
          <cell r="AC2536">
            <v>1076</v>
          </cell>
        </row>
        <row r="2537">
          <cell r="B2537"/>
          <cell r="C2537" t="str">
            <v>BG3557</v>
          </cell>
          <cell r="D2537"/>
          <cell r="E2537"/>
          <cell r="F2537" t="str">
            <v>T/S 97/3</v>
          </cell>
          <cell r="G2537" t="str">
            <v>97% POLYESTER 30% SPANDEX</v>
          </cell>
          <cell r="H2537" t="str">
            <v>57/58</v>
          </cell>
          <cell r="I2537">
            <v>87</v>
          </cell>
          <cell r="J2537">
            <v>1.35</v>
          </cell>
          <cell r="K2537">
            <v>1.7</v>
          </cell>
          <cell r="L2537">
            <v>1.37</v>
          </cell>
          <cell r="M2537">
            <v>1.77</v>
          </cell>
          <cell r="N2537">
            <v>1.4</v>
          </cell>
          <cell r="O2537">
            <v>1.8</v>
          </cell>
          <cell r="P2537"/>
          <cell r="Q2537"/>
          <cell r="R2537">
            <v>1.6</v>
          </cell>
          <cell r="S2537">
            <v>2.1</v>
          </cell>
          <cell r="T2537"/>
          <cell r="U2537"/>
          <cell r="V2537"/>
          <cell r="W2537"/>
          <cell r="X2537" t="str">
            <v>ANN</v>
          </cell>
          <cell r="Y2537" t="str">
            <v>ANN 5-MAY</v>
          </cell>
          <cell r="Z2537" t="str">
            <v>ANN' MAIL 7/5/17</v>
          </cell>
          <cell r="AA2537"/>
          <cell r="AB2537">
            <v>42864</v>
          </cell>
          <cell r="AC2537">
            <v>0</v>
          </cell>
        </row>
        <row r="2538">
          <cell r="B2538"/>
          <cell r="C2538" t="str">
            <v>BG1239</v>
          </cell>
          <cell r="D2538"/>
          <cell r="E2538"/>
          <cell r="F2538" t="str">
            <v>T/S 97/3</v>
          </cell>
          <cell r="G2538" t="str">
            <v>97% POLYESTER 3% SPANDEX</v>
          </cell>
          <cell r="H2538" t="str">
            <v>57/58</v>
          </cell>
          <cell r="I2538">
            <v>100</v>
          </cell>
          <cell r="J2538">
            <v>1.42</v>
          </cell>
          <cell r="K2538">
            <v>1.77</v>
          </cell>
          <cell r="L2538">
            <v>1.44</v>
          </cell>
          <cell r="M2538">
            <v>1.84</v>
          </cell>
          <cell r="N2538">
            <v>1.47</v>
          </cell>
          <cell r="O2538">
            <v>1.87</v>
          </cell>
          <cell r="P2538"/>
          <cell r="Q2538"/>
          <cell r="R2538">
            <v>1.67</v>
          </cell>
          <cell r="S2538">
            <v>2.17</v>
          </cell>
          <cell r="T2538"/>
          <cell r="U2538"/>
          <cell r="V2538"/>
          <cell r="W2538"/>
          <cell r="X2538" t="str">
            <v>ANN</v>
          </cell>
          <cell r="Y2538" t="str">
            <v>ANN 5-MAY</v>
          </cell>
          <cell r="Z2538" t="str">
            <v>ANN' MAIL 7/5/17</v>
          </cell>
          <cell r="AA2538"/>
          <cell r="AB2538">
            <v>42864</v>
          </cell>
          <cell r="AC2538">
            <v>0</v>
          </cell>
        </row>
        <row r="2539">
          <cell r="B2539"/>
          <cell r="C2539" t="str">
            <v>BG3553</v>
          </cell>
          <cell r="D2539"/>
          <cell r="E2539"/>
          <cell r="F2539" t="str">
            <v>T/S 97/3</v>
          </cell>
          <cell r="G2539" t="str">
            <v>97% POLYESTER 30% SPANDEX</v>
          </cell>
          <cell r="H2539" t="str">
            <v>57/58</v>
          </cell>
          <cell r="I2539">
            <v>88</v>
          </cell>
          <cell r="J2539">
            <v>1.53</v>
          </cell>
          <cell r="K2539">
            <v>1.87</v>
          </cell>
          <cell r="L2539">
            <v>1.55</v>
          </cell>
          <cell r="M2539">
            <v>1.94</v>
          </cell>
          <cell r="N2539">
            <v>1.58</v>
          </cell>
          <cell r="O2539">
            <v>1.97</v>
          </cell>
          <cell r="P2539"/>
          <cell r="Q2539"/>
          <cell r="R2539">
            <v>1.78</v>
          </cell>
          <cell r="S2539">
            <v>2.27</v>
          </cell>
          <cell r="T2539"/>
          <cell r="U2539"/>
          <cell r="V2539"/>
          <cell r="W2539"/>
          <cell r="X2539" t="str">
            <v>ANN</v>
          </cell>
          <cell r="Y2539" t="str">
            <v>ANN 5-MAY</v>
          </cell>
          <cell r="Z2539" t="str">
            <v>ANN' MAIL 7/5/17</v>
          </cell>
          <cell r="AA2539"/>
          <cell r="AB2539">
            <v>42864</v>
          </cell>
          <cell r="AC2539">
            <v>0</v>
          </cell>
        </row>
        <row r="2540">
          <cell r="B2540"/>
          <cell r="C2540" t="str">
            <v>BG2600</v>
          </cell>
          <cell r="D2540"/>
          <cell r="E2540" t="str">
            <v>60s x 60s / 90 x 62 DOBBY</v>
          </cell>
          <cell r="F2540" t="str">
            <v>R 100%</v>
          </cell>
          <cell r="G2540" t="str">
            <v>100% RAYON</v>
          </cell>
          <cell r="H2540" t="str">
            <v>53/54</v>
          </cell>
          <cell r="I2540">
            <v>66</v>
          </cell>
          <cell r="J2540">
            <v>1.6</v>
          </cell>
          <cell r="K2540">
            <v>1.95</v>
          </cell>
          <cell r="L2540">
            <v>1.62</v>
          </cell>
          <cell r="M2540">
            <v>2.02</v>
          </cell>
          <cell r="N2540">
            <v>1.65</v>
          </cell>
          <cell r="O2540">
            <v>2.0499999999999998</v>
          </cell>
          <cell r="P2540"/>
          <cell r="Q2540"/>
          <cell r="R2540">
            <v>1.85</v>
          </cell>
          <cell r="S2540">
            <v>2.35</v>
          </cell>
          <cell r="T2540"/>
          <cell r="U2540"/>
          <cell r="V2540"/>
          <cell r="W2540"/>
          <cell r="X2540" t="str">
            <v>ANN</v>
          </cell>
          <cell r="Y2540" t="str">
            <v>ANN 5-MAY</v>
          </cell>
          <cell r="Z2540" t="str">
            <v>ANN' MAIL 7/5/17</v>
          </cell>
          <cell r="AA2540"/>
          <cell r="AB2540">
            <v>42864</v>
          </cell>
          <cell r="AC2540">
            <v>0</v>
          </cell>
        </row>
        <row r="2541">
          <cell r="B2541"/>
          <cell r="C2541" t="str">
            <v>BG3676</v>
          </cell>
          <cell r="D2541"/>
          <cell r="E2541" t="str">
            <v>26Dx26Dx75D</v>
          </cell>
          <cell r="F2541" t="str">
            <v>T 100%</v>
          </cell>
          <cell r="G2541" t="str">
            <v>100% POLYESTER</v>
          </cell>
          <cell r="H2541" t="str">
            <v>57/58</v>
          </cell>
          <cell r="I2541">
            <v>92</v>
          </cell>
          <cell r="J2541">
            <v>1.95</v>
          </cell>
          <cell r="K2541">
            <v>2.2999999999999998</v>
          </cell>
          <cell r="L2541">
            <v>1.97</v>
          </cell>
          <cell r="M2541">
            <v>2.37</v>
          </cell>
          <cell r="N2541">
            <v>2</v>
          </cell>
          <cell r="O2541">
            <v>2.4</v>
          </cell>
          <cell r="P2541"/>
          <cell r="Q2541"/>
          <cell r="R2541">
            <v>2.2000000000000002</v>
          </cell>
          <cell r="S2541">
            <v>2.7</v>
          </cell>
          <cell r="T2541"/>
          <cell r="U2541"/>
          <cell r="V2541"/>
          <cell r="W2541"/>
          <cell r="X2541" t="str">
            <v>ANN</v>
          </cell>
          <cell r="Y2541" t="str">
            <v>ANN 5-MAY</v>
          </cell>
          <cell r="Z2541" t="str">
            <v>ANN' MAIL 7/5/17</v>
          </cell>
          <cell r="AA2541"/>
          <cell r="AB2541">
            <v>42864</v>
          </cell>
          <cell r="AC2541">
            <v>0</v>
          </cell>
        </row>
        <row r="2542">
          <cell r="B2542"/>
          <cell r="C2542" t="str">
            <v>BG3023</v>
          </cell>
          <cell r="D2542"/>
          <cell r="E2542" t="str">
            <v>75D x 30s</v>
          </cell>
          <cell r="F2542" t="str">
            <v>V 100%</v>
          </cell>
          <cell r="G2542" t="str">
            <v>100% VISCOSE</v>
          </cell>
          <cell r="H2542" t="str">
            <v>53/54</v>
          </cell>
          <cell r="I2542">
            <v>140</v>
          </cell>
          <cell r="J2542">
            <v>3.4</v>
          </cell>
          <cell r="K2542">
            <v>3.7</v>
          </cell>
          <cell r="L2542">
            <v>3.42</v>
          </cell>
          <cell r="M2542">
            <v>3.77</v>
          </cell>
          <cell r="N2542">
            <v>3.45</v>
          </cell>
          <cell r="O2542">
            <v>3.8</v>
          </cell>
          <cell r="P2542"/>
          <cell r="Q2542"/>
          <cell r="R2542">
            <v>3.65</v>
          </cell>
          <cell r="S2542">
            <v>4.0999999999999996</v>
          </cell>
          <cell r="T2542"/>
          <cell r="U2542"/>
          <cell r="V2542"/>
          <cell r="W2542"/>
          <cell r="X2542" t="str">
            <v>ANN</v>
          </cell>
          <cell r="Y2542" t="str">
            <v>ANN 5-MAY</v>
          </cell>
          <cell r="Z2542" t="str">
            <v>ANN' MAIL 7/5/17</v>
          </cell>
          <cell r="AA2542"/>
          <cell r="AB2542">
            <v>42864</v>
          </cell>
          <cell r="AC2542">
            <v>0</v>
          </cell>
        </row>
        <row r="2543">
          <cell r="B2543">
            <v>3135</v>
          </cell>
          <cell r="C2543" t="str">
            <v>T2262-S</v>
          </cell>
          <cell r="D2543" t="str">
            <v>LACE</v>
          </cell>
          <cell r="E2543"/>
          <cell r="F2543" t="str">
            <v>C/N 60/40</v>
          </cell>
          <cell r="G2543" t="str">
            <v>60% COTTON 40% NYLON</v>
          </cell>
          <cell r="H2543" t="str">
            <v>140CM</v>
          </cell>
          <cell r="I2543">
            <v>108</v>
          </cell>
          <cell r="J2543">
            <v>1.4</v>
          </cell>
          <cell r="K2543"/>
          <cell r="L2543">
            <v>1.4</v>
          </cell>
          <cell r="M2543"/>
          <cell r="N2543">
            <v>1.5</v>
          </cell>
          <cell r="O2543"/>
          <cell r="P2543"/>
          <cell r="Q2543"/>
          <cell r="R2543">
            <v>1.5</v>
          </cell>
          <cell r="S2543"/>
          <cell r="T2543"/>
          <cell r="U2543"/>
          <cell r="V2543">
            <v>15</v>
          </cell>
          <cell r="W2543"/>
          <cell r="X2543" t="str">
            <v>ANGELA</v>
          </cell>
          <cell r="Y2543" t="str">
            <v>ANGELA 8-MAY</v>
          </cell>
          <cell r="Z2543" t="str">
            <v>ANGELA' MAIL 8/5/17</v>
          </cell>
          <cell r="AA2543"/>
          <cell r="AB2543">
            <v>42863</v>
          </cell>
          <cell r="AC2543">
            <v>3135</v>
          </cell>
        </row>
        <row r="2544">
          <cell r="B2544">
            <v>3134</v>
          </cell>
          <cell r="C2544" t="str">
            <v>T2261-S</v>
          </cell>
          <cell r="D2544" t="str">
            <v>LACE</v>
          </cell>
          <cell r="E2544"/>
          <cell r="F2544" t="str">
            <v>C/N 60/40</v>
          </cell>
          <cell r="G2544" t="str">
            <v>60% COTTON 40% NYLON</v>
          </cell>
          <cell r="H2544" t="str">
            <v>110CM</v>
          </cell>
          <cell r="I2544">
            <v>118</v>
          </cell>
          <cell r="J2544">
            <v>1.4</v>
          </cell>
          <cell r="K2544"/>
          <cell r="L2544">
            <v>1.4</v>
          </cell>
          <cell r="M2544"/>
          <cell r="N2544">
            <v>1.5</v>
          </cell>
          <cell r="O2544"/>
          <cell r="P2544"/>
          <cell r="Q2544"/>
          <cell r="R2544">
            <v>1.5</v>
          </cell>
          <cell r="S2544"/>
          <cell r="T2544"/>
          <cell r="U2544"/>
          <cell r="V2544">
            <v>15</v>
          </cell>
          <cell r="W2544"/>
          <cell r="X2544" t="str">
            <v>ANGELA</v>
          </cell>
          <cell r="Y2544" t="str">
            <v>ANGELA 8-MAY</v>
          </cell>
          <cell r="Z2544" t="str">
            <v>ANGELA' MAIL 8/5/17</v>
          </cell>
          <cell r="AA2544"/>
          <cell r="AB2544">
            <v>42863</v>
          </cell>
          <cell r="AC2544">
            <v>3134</v>
          </cell>
        </row>
        <row r="2545">
          <cell r="B2545">
            <v>3133</v>
          </cell>
          <cell r="C2545" t="str">
            <v>T2031-M</v>
          </cell>
          <cell r="D2545" t="str">
            <v>LACE</v>
          </cell>
          <cell r="E2545"/>
          <cell r="F2545" t="str">
            <v>C/N 60/40</v>
          </cell>
          <cell r="G2545" t="str">
            <v>60% COTTON 40% NYLON</v>
          </cell>
          <cell r="H2545" t="str">
            <v>150CM</v>
          </cell>
          <cell r="I2545">
            <v>117</v>
          </cell>
          <cell r="J2545">
            <v>1.8</v>
          </cell>
          <cell r="K2545"/>
          <cell r="L2545">
            <v>1.8</v>
          </cell>
          <cell r="M2545"/>
          <cell r="N2545">
            <v>1.9</v>
          </cell>
          <cell r="O2545"/>
          <cell r="P2545"/>
          <cell r="Q2545"/>
          <cell r="R2545">
            <v>2</v>
          </cell>
          <cell r="S2545"/>
          <cell r="T2545"/>
          <cell r="U2545"/>
          <cell r="V2545">
            <v>15</v>
          </cell>
          <cell r="W2545"/>
          <cell r="X2545" t="str">
            <v>ANGELA</v>
          </cell>
          <cell r="Y2545" t="str">
            <v>ANGELA 8-MAY</v>
          </cell>
          <cell r="Z2545" t="str">
            <v>ANGELA' MAIL 8/5/17</v>
          </cell>
          <cell r="AA2545"/>
          <cell r="AB2545">
            <v>42863</v>
          </cell>
          <cell r="AC2545">
            <v>3133</v>
          </cell>
        </row>
        <row r="2546">
          <cell r="B2546">
            <v>3132</v>
          </cell>
          <cell r="C2546" t="str">
            <v>UD-JC-351321</v>
          </cell>
          <cell r="D2546" t="str">
            <v>Y/D PEACHED</v>
          </cell>
          <cell r="E2546" t="str">
            <v xml:space="preserve"> (Y/D POPLIN PEACHED)40*40 120*80</v>
          </cell>
          <cell r="F2546" t="str">
            <v>C 100%</v>
          </cell>
          <cell r="G2546" t="str">
            <v>100% COTTON</v>
          </cell>
          <cell r="H2546" t="str">
            <v>63/64</v>
          </cell>
          <cell r="I2546">
            <v>117</v>
          </cell>
          <cell r="J2546">
            <v>1.98</v>
          </cell>
          <cell r="K2546"/>
          <cell r="L2546">
            <v>2</v>
          </cell>
          <cell r="M2546"/>
          <cell r="N2546">
            <v>2.08</v>
          </cell>
          <cell r="O2546"/>
          <cell r="P2546"/>
          <cell r="Q2546"/>
          <cell r="R2546">
            <v>2.2799999999999998</v>
          </cell>
          <cell r="S2546"/>
          <cell r="T2546"/>
          <cell r="U2546"/>
          <cell r="V2546">
            <v>15</v>
          </cell>
          <cell r="W2546" t="str">
            <v>W/O WRINKE FREE FINISHING COST</v>
          </cell>
          <cell r="X2546" t="str">
            <v>WANG HUA</v>
          </cell>
          <cell r="Y2546" t="str">
            <v>WANG HUA 5-MAY</v>
          </cell>
          <cell r="Z2546" t="str">
            <v>WANG HUA MAIL 6/5/17</v>
          </cell>
          <cell r="AA2546"/>
          <cell r="AB2546">
            <v>42863</v>
          </cell>
          <cell r="AC2546">
            <v>3132</v>
          </cell>
        </row>
        <row r="2547">
          <cell r="B2547">
            <v>3131</v>
          </cell>
          <cell r="C2547" t="str">
            <v>UD-JCE-251383</v>
          </cell>
          <cell r="D2547" t="str">
            <v>COTTON SPANDEX SATEEN</v>
          </cell>
          <cell r="E2547" t="str">
            <v xml:space="preserve"> 32x32+40D / 174x54</v>
          </cell>
          <cell r="F2547" t="str">
            <v>C/S 97/3</v>
          </cell>
          <cell r="G2547" t="str">
            <v>97% COTTON 3% SPANDEX</v>
          </cell>
          <cell r="H2547" t="str">
            <v>57/58“</v>
          </cell>
          <cell r="I2547">
            <v>170</v>
          </cell>
          <cell r="J2547">
            <v>2.0499999999999998</v>
          </cell>
          <cell r="K2547">
            <v>2.23</v>
          </cell>
          <cell r="L2547">
            <v>2.0699999999999998</v>
          </cell>
          <cell r="M2547">
            <v>2.25</v>
          </cell>
          <cell r="N2547">
            <v>2.15</v>
          </cell>
          <cell r="O2547">
            <v>2.33</v>
          </cell>
          <cell r="P2547"/>
          <cell r="Q2547"/>
          <cell r="R2547">
            <v>2.4500000000000002</v>
          </cell>
          <cell r="S2547">
            <v>2.78</v>
          </cell>
          <cell r="T2547"/>
          <cell r="U2547"/>
          <cell r="V2547"/>
          <cell r="W2547"/>
          <cell r="X2547" t="str">
            <v>WANG HUA</v>
          </cell>
          <cell r="Y2547" t="str">
            <v>WANG HUA 5-MAY</v>
          </cell>
          <cell r="Z2547" t="str">
            <v>WANG HUA' MAIL 6/5/17</v>
          </cell>
          <cell r="AA2547"/>
          <cell r="AB2547">
            <v>42863</v>
          </cell>
          <cell r="AC2547">
            <v>3131</v>
          </cell>
        </row>
        <row r="2548">
          <cell r="B2548">
            <v>2603</v>
          </cell>
          <cell r="C2548" t="str">
            <v>UD-JC-251355</v>
          </cell>
          <cell r="D2548" t="str">
            <v>GAUZE</v>
          </cell>
          <cell r="E2548"/>
          <cell r="F2548" t="str">
            <v>C 100%</v>
          </cell>
          <cell r="G2548" t="str">
            <v>100% COTTON</v>
          </cell>
          <cell r="H2548" t="str">
            <v>46/48</v>
          </cell>
          <cell r="I2548">
            <v>82</v>
          </cell>
          <cell r="J2548">
            <v>1.38</v>
          </cell>
          <cell r="K2548">
            <v>1.9</v>
          </cell>
          <cell r="L2548">
            <v>1.4</v>
          </cell>
          <cell r="M2548">
            <v>1.92</v>
          </cell>
          <cell r="N2548">
            <v>1.48</v>
          </cell>
          <cell r="O2548">
            <v>2</v>
          </cell>
          <cell r="P2548"/>
          <cell r="Q2548"/>
          <cell r="R2548">
            <v>1.68</v>
          </cell>
          <cell r="S2548">
            <v>2.2000000000000002</v>
          </cell>
          <cell r="T2548"/>
          <cell r="U2548"/>
          <cell r="V2548"/>
          <cell r="W2548"/>
          <cell r="X2548" t="str">
            <v>WANG HUA</v>
          </cell>
          <cell r="Y2548" t="str">
            <v>WANG HUA 5-MAY</v>
          </cell>
          <cell r="Z2548" t="str">
            <v>WANG HUA' MAIL 6/5/17</v>
          </cell>
          <cell r="AA2548"/>
          <cell r="AB2548">
            <v>42863</v>
          </cell>
          <cell r="AC2548">
            <v>2603</v>
          </cell>
        </row>
        <row r="2549">
          <cell r="B2549">
            <v>3125</v>
          </cell>
          <cell r="C2549" t="str">
            <v>R058</v>
          </cell>
          <cell r="D2549" t="str">
            <v>RAYON PLAIN 45</v>
          </cell>
          <cell r="E2549"/>
          <cell r="F2549" t="str">
            <v>R 100%</v>
          </cell>
          <cell r="G2549" t="str">
            <v>100%RAYON</v>
          </cell>
          <cell r="H2549" t="str">
            <v>53/54</v>
          </cell>
          <cell r="I2549">
            <v>110</v>
          </cell>
          <cell r="J2549">
            <v>1.26</v>
          </cell>
          <cell r="K2549">
            <v>1.45</v>
          </cell>
          <cell r="L2549">
            <v>1.28</v>
          </cell>
          <cell r="M2549">
            <v>1.5</v>
          </cell>
          <cell r="N2549">
            <v>1.3</v>
          </cell>
          <cell r="O2549">
            <v>1.56</v>
          </cell>
          <cell r="P2549"/>
          <cell r="Q2549"/>
          <cell r="R2549">
            <v>1.35</v>
          </cell>
          <cell r="S2549">
            <v>2.02</v>
          </cell>
          <cell r="T2549"/>
          <cell r="U2549"/>
          <cell r="V2549">
            <v>15</v>
          </cell>
          <cell r="W2549"/>
          <cell r="X2549" t="str">
            <v>TERESA</v>
          </cell>
          <cell r="Y2549" t="str">
            <v>TERESA 6-MAY</v>
          </cell>
          <cell r="Z2549" t="str">
            <v>TERESA' MAIL 6/5/17</v>
          </cell>
          <cell r="AA2549"/>
          <cell r="AB2549">
            <v>42861</v>
          </cell>
          <cell r="AC2549">
            <v>3125</v>
          </cell>
        </row>
        <row r="2550">
          <cell r="B2550">
            <v>3130</v>
          </cell>
          <cell r="C2550" t="str">
            <v>OLP-175301HYJS</v>
          </cell>
          <cell r="D2550" t="str">
            <v>CUPRO</v>
          </cell>
          <cell r="E2550"/>
          <cell r="F2550" t="str">
            <v>CUPRO / VISCOSE</v>
          </cell>
          <cell r="G2550" t="str">
            <v>60% CUPRO 40% VISCOSE</v>
          </cell>
          <cell r="H2550" t="str">
            <v>53/54</v>
          </cell>
          <cell r="I2550">
            <v>115</v>
          </cell>
          <cell r="J2550">
            <v>4.55</v>
          </cell>
          <cell r="K2550"/>
          <cell r="L2550">
            <v>4.62</v>
          </cell>
          <cell r="M2550"/>
          <cell r="N2550">
            <v>4.72</v>
          </cell>
          <cell r="O2550"/>
          <cell r="P2550"/>
          <cell r="Q2550"/>
          <cell r="R2550">
            <v>4.92</v>
          </cell>
          <cell r="S2550"/>
          <cell r="T2550"/>
          <cell r="U2550"/>
          <cell r="V2550"/>
          <cell r="W2550"/>
          <cell r="X2550" t="str">
            <v>OWEN</v>
          </cell>
          <cell r="Y2550" t="str">
            <v>OWEN 5-MAY</v>
          </cell>
          <cell r="Z2550" t="str">
            <v>SANDY' MAIL 5/5/17</v>
          </cell>
          <cell r="AA2550"/>
          <cell r="AB2550">
            <v>42860</v>
          </cell>
          <cell r="AC2550">
            <v>3130</v>
          </cell>
        </row>
        <row r="2551">
          <cell r="B2551">
            <v>3129</v>
          </cell>
          <cell r="C2551" t="str">
            <v>SL041802</v>
          </cell>
          <cell r="D2551" t="str">
            <v>FLANNEL</v>
          </cell>
          <cell r="E2551" t="str">
            <v xml:space="preserve"> 88 X 68 / 32'S X 32'S FLANNEL, BRUSHED</v>
          </cell>
          <cell r="F2551" t="str">
            <v>C 100%</v>
          </cell>
          <cell r="G2551" t="str">
            <v>100% COTTON</v>
          </cell>
          <cell r="H2551" t="str">
            <v>57/58</v>
          </cell>
          <cell r="I2551">
            <v>105</v>
          </cell>
          <cell r="J2551">
            <v>2</v>
          </cell>
          <cell r="K2551"/>
          <cell r="L2551">
            <v>2.0499999999999998</v>
          </cell>
          <cell r="M2551"/>
          <cell r="N2551">
            <v>2.1</v>
          </cell>
          <cell r="O2551"/>
          <cell r="P2551"/>
          <cell r="Q2551"/>
          <cell r="R2551">
            <v>2.6</v>
          </cell>
          <cell r="S2551"/>
          <cell r="T2551"/>
          <cell r="U2551"/>
          <cell r="V2551"/>
          <cell r="W2551"/>
          <cell r="X2551" t="str">
            <v>CHARLES</v>
          </cell>
          <cell r="Y2551" t="str">
            <v>CHARLES 27-APRIL</v>
          </cell>
          <cell r="Z2551" t="str">
            <v>CHARLES' MAIL 27/4/17</v>
          </cell>
          <cell r="AA2551"/>
          <cell r="AB2551">
            <v>42859</v>
          </cell>
          <cell r="AC2551">
            <v>3129</v>
          </cell>
        </row>
        <row r="2552">
          <cell r="B2552">
            <v>3128</v>
          </cell>
          <cell r="C2552" t="str">
            <v>SL042101</v>
          </cell>
          <cell r="D2552" t="str">
            <v>FLANNEL</v>
          </cell>
          <cell r="E2552" t="str">
            <v xml:space="preserve"> 90 X80 / 40'S X 40'S FLANNEL, HEAVY BRUSHED</v>
          </cell>
          <cell r="F2552" t="str">
            <v>C 100%</v>
          </cell>
          <cell r="G2552" t="str">
            <v>100% COTTON</v>
          </cell>
          <cell r="H2552" t="str">
            <v>57/8</v>
          </cell>
          <cell r="I2552">
            <v>105</v>
          </cell>
          <cell r="J2552">
            <v>1.95</v>
          </cell>
          <cell r="K2552"/>
          <cell r="L2552">
            <v>2</v>
          </cell>
          <cell r="M2552"/>
          <cell r="N2552">
            <v>2.0499999999999998</v>
          </cell>
          <cell r="O2552"/>
          <cell r="P2552"/>
          <cell r="Q2552"/>
          <cell r="R2552">
            <v>2.5</v>
          </cell>
          <cell r="S2552"/>
          <cell r="T2552"/>
          <cell r="U2552"/>
          <cell r="V2552"/>
          <cell r="W2552"/>
          <cell r="X2552" t="str">
            <v>CHARLES</v>
          </cell>
          <cell r="Y2552" t="str">
            <v>CHARLES 27-APRIL</v>
          </cell>
          <cell r="Z2552" t="str">
            <v>CHARLES' MAIL 27/4/17</v>
          </cell>
          <cell r="AA2552"/>
          <cell r="AB2552">
            <v>42859</v>
          </cell>
          <cell r="AC2552">
            <v>3128</v>
          </cell>
        </row>
        <row r="2553">
          <cell r="B2553">
            <v>3127</v>
          </cell>
          <cell r="C2553" t="str">
            <v>TP-592</v>
          </cell>
          <cell r="D2553"/>
          <cell r="E2553"/>
          <cell r="F2553" t="str">
            <v>T/L (LUREX) 90/10</v>
          </cell>
          <cell r="G2553" t="str">
            <v>90% POLYESTER 10% LUREX</v>
          </cell>
          <cell r="H2553" t="str">
            <v>57/58</v>
          </cell>
          <cell r="I2553">
            <v>70</v>
          </cell>
          <cell r="J2553"/>
          <cell r="K2553">
            <v>2.25</v>
          </cell>
          <cell r="L2553"/>
          <cell r="M2553">
            <v>2.2999999999999998</v>
          </cell>
          <cell r="N2553"/>
          <cell r="O2553">
            <v>2.2999999999999998</v>
          </cell>
          <cell r="P2553"/>
          <cell r="Q2553"/>
          <cell r="R2553"/>
          <cell r="S2553">
            <v>2.8</v>
          </cell>
          <cell r="T2553"/>
          <cell r="U2553"/>
          <cell r="V2553"/>
          <cell r="W2553"/>
          <cell r="X2553" t="str">
            <v>LIVALTEX</v>
          </cell>
          <cell r="Y2553" t="str">
            <v>LIVALTEX 28-APRIL</v>
          </cell>
          <cell r="Z2553" t="str">
            <v>ROSE' MAIL 28/4/17</v>
          </cell>
          <cell r="AA2553"/>
          <cell r="AB2553">
            <v>42859</v>
          </cell>
          <cell r="AC2553">
            <v>3127</v>
          </cell>
        </row>
        <row r="2554">
          <cell r="B2554">
            <v>3126</v>
          </cell>
          <cell r="C2554" t="str">
            <v>TP-589</v>
          </cell>
          <cell r="D2554"/>
          <cell r="E2554"/>
          <cell r="F2554" t="str">
            <v>T/L (LUREX) 90/10</v>
          </cell>
          <cell r="G2554" t="str">
            <v>90% POLYESTER 10% LUREX</v>
          </cell>
          <cell r="H2554" t="str">
            <v>57/58</v>
          </cell>
          <cell r="I2554">
            <v>64</v>
          </cell>
          <cell r="J2554"/>
          <cell r="K2554">
            <v>2.25</v>
          </cell>
          <cell r="L2554"/>
          <cell r="M2554">
            <v>2.2999999999999998</v>
          </cell>
          <cell r="N2554"/>
          <cell r="O2554">
            <v>2.2999999999999998</v>
          </cell>
          <cell r="P2554"/>
          <cell r="Q2554"/>
          <cell r="R2554"/>
          <cell r="S2554">
            <v>2.8</v>
          </cell>
          <cell r="T2554"/>
          <cell r="U2554"/>
          <cell r="V2554"/>
          <cell r="W2554"/>
          <cell r="X2554" t="str">
            <v>LIVALTEX</v>
          </cell>
          <cell r="Y2554" t="str">
            <v>LIVALTEX 28-APRIL</v>
          </cell>
          <cell r="Z2554" t="str">
            <v>ROSE' MAIL 28/4/17</v>
          </cell>
          <cell r="AA2554"/>
          <cell r="AB2554">
            <v>42859</v>
          </cell>
          <cell r="AC2554">
            <v>3126</v>
          </cell>
        </row>
        <row r="2555">
          <cell r="B2555">
            <v>3124</v>
          </cell>
          <cell r="C2555" t="str">
            <v>M-446</v>
          </cell>
          <cell r="D2555"/>
          <cell r="E2555"/>
          <cell r="F2555" t="str">
            <v>C/N 60/40</v>
          </cell>
          <cell r="G2555" t="str">
            <v>40% NYLON 60% COTTON</v>
          </cell>
          <cell r="H2555" t="str">
            <v>57/58</v>
          </cell>
          <cell r="I2555"/>
          <cell r="J2555">
            <v>3.35</v>
          </cell>
          <cell r="K2555"/>
          <cell r="L2555">
            <v>4.4000000000000004</v>
          </cell>
          <cell r="M2555"/>
          <cell r="N2555">
            <v>4.4000000000000004</v>
          </cell>
          <cell r="O2555"/>
          <cell r="P2555"/>
          <cell r="Q2555"/>
          <cell r="R2555">
            <v>5</v>
          </cell>
          <cell r="S2555"/>
          <cell r="T2555"/>
          <cell r="U2555"/>
          <cell r="V2555"/>
          <cell r="W2555"/>
          <cell r="X2555" t="str">
            <v>LIVALTEX</v>
          </cell>
          <cell r="Y2555" t="str">
            <v>LIVALTEX 28-APRIL</v>
          </cell>
          <cell r="Z2555" t="str">
            <v>ROSE' MAIL 28/4/17</v>
          </cell>
          <cell r="AA2555"/>
          <cell r="AB2555">
            <v>42859</v>
          </cell>
          <cell r="AC2555">
            <v>3124</v>
          </cell>
        </row>
        <row r="2556">
          <cell r="B2556">
            <v>3123</v>
          </cell>
          <cell r="C2556" t="str">
            <v>M-456</v>
          </cell>
          <cell r="D2556"/>
          <cell r="E2556"/>
          <cell r="F2556" t="str">
            <v>N/C 50/50</v>
          </cell>
          <cell r="G2556" t="str">
            <v>50% NYLON 50% COTTON</v>
          </cell>
          <cell r="H2556" t="str">
            <v>57/58</v>
          </cell>
          <cell r="I2556"/>
          <cell r="J2556">
            <v>3.85</v>
          </cell>
          <cell r="K2556"/>
          <cell r="L2556">
            <v>3.9</v>
          </cell>
          <cell r="M2556"/>
          <cell r="N2556">
            <v>3.9</v>
          </cell>
          <cell r="O2556"/>
          <cell r="P2556"/>
          <cell r="Q2556"/>
          <cell r="R2556">
            <v>4.5</v>
          </cell>
          <cell r="S2556"/>
          <cell r="T2556"/>
          <cell r="U2556"/>
          <cell r="V2556"/>
          <cell r="W2556"/>
          <cell r="X2556" t="str">
            <v>LIVALTEX</v>
          </cell>
          <cell r="Y2556" t="str">
            <v>LIVALTEX 28-APRIL</v>
          </cell>
          <cell r="Z2556" t="str">
            <v>ROSE' MAIL 28/4/17</v>
          </cell>
          <cell r="AA2556"/>
          <cell r="AB2556">
            <v>42859</v>
          </cell>
          <cell r="AC2556">
            <v>3123</v>
          </cell>
        </row>
        <row r="2557">
          <cell r="B2557">
            <v>3122</v>
          </cell>
          <cell r="C2557" t="str">
            <v>M-450</v>
          </cell>
          <cell r="D2557"/>
          <cell r="E2557"/>
          <cell r="F2557" t="str">
            <v>C/N 60/40</v>
          </cell>
          <cell r="G2557" t="str">
            <v>40% NYLON 60% COTTON</v>
          </cell>
          <cell r="H2557" t="str">
            <v>57/58</v>
          </cell>
          <cell r="I2557"/>
          <cell r="J2557">
            <v>3.85</v>
          </cell>
          <cell r="K2557"/>
          <cell r="L2557">
            <v>3.9</v>
          </cell>
          <cell r="M2557"/>
          <cell r="N2557">
            <v>3.9</v>
          </cell>
          <cell r="O2557"/>
          <cell r="P2557"/>
          <cell r="Q2557"/>
          <cell r="R2557">
            <v>4.5</v>
          </cell>
          <cell r="S2557"/>
          <cell r="T2557"/>
          <cell r="U2557"/>
          <cell r="V2557"/>
          <cell r="W2557"/>
          <cell r="X2557" t="str">
            <v>LIVALTEX</v>
          </cell>
          <cell r="Y2557" t="str">
            <v>LIVALTEX 28-APRIL</v>
          </cell>
          <cell r="Z2557" t="str">
            <v>ROSE' MAIL 28/4/17</v>
          </cell>
          <cell r="AA2557"/>
          <cell r="AB2557">
            <v>42859</v>
          </cell>
          <cell r="AC2557">
            <v>3122</v>
          </cell>
        </row>
        <row r="2558">
          <cell r="B2558">
            <v>3121</v>
          </cell>
          <cell r="C2558" t="str">
            <v>KB-313A</v>
          </cell>
          <cell r="D2558"/>
          <cell r="E2558"/>
          <cell r="F2558" t="str">
            <v>T/S 95/5</v>
          </cell>
          <cell r="G2558" t="str">
            <v>95% POLYESTER 5% SPAN</v>
          </cell>
          <cell r="H2558" t="str">
            <v>56/57</v>
          </cell>
          <cell r="I2558">
            <v>330</v>
          </cell>
          <cell r="J2558">
            <v>3.7</v>
          </cell>
          <cell r="K2558"/>
          <cell r="L2558">
            <v>3.75</v>
          </cell>
          <cell r="M2558"/>
          <cell r="N2558">
            <v>3.75</v>
          </cell>
          <cell r="O2558"/>
          <cell r="P2558"/>
          <cell r="Q2558"/>
          <cell r="R2558">
            <v>4.25</v>
          </cell>
          <cell r="S2558"/>
          <cell r="T2558"/>
          <cell r="U2558"/>
          <cell r="V2558"/>
          <cell r="W2558"/>
          <cell r="X2558" t="str">
            <v>LIVALTEX</v>
          </cell>
          <cell r="Y2558" t="str">
            <v>LIVALTEX 28-APRIL</v>
          </cell>
          <cell r="Z2558" t="str">
            <v>ROSE' MAIL 28/4/17</v>
          </cell>
          <cell r="AA2558"/>
          <cell r="AB2558">
            <v>42859</v>
          </cell>
          <cell r="AC2558">
            <v>3121</v>
          </cell>
        </row>
        <row r="2559">
          <cell r="B2559">
            <v>3120</v>
          </cell>
          <cell r="C2559" t="str">
            <v>KB-313B</v>
          </cell>
          <cell r="D2559"/>
          <cell r="E2559"/>
          <cell r="F2559" t="str">
            <v>T/S 95/5</v>
          </cell>
          <cell r="G2559" t="str">
            <v>95% POLYESTER 5% SPAN</v>
          </cell>
          <cell r="H2559" t="str">
            <v>56/57</v>
          </cell>
          <cell r="I2559">
            <v>270</v>
          </cell>
          <cell r="J2559">
            <v>3.6</v>
          </cell>
          <cell r="K2559"/>
          <cell r="L2559">
            <v>3.65</v>
          </cell>
          <cell r="M2559"/>
          <cell r="N2559">
            <v>3.65</v>
          </cell>
          <cell r="O2559"/>
          <cell r="P2559"/>
          <cell r="Q2559"/>
          <cell r="R2559">
            <v>4.1500000000000004</v>
          </cell>
          <cell r="S2559"/>
          <cell r="T2559"/>
          <cell r="U2559"/>
          <cell r="V2559"/>
          <cell r="W2559"/>
          <cell r="X2559" t="str">
            <v>LIVALTEX</v>
          </cell>
          <cell r="Y2559" t="str">
            <v>LIVALTEX 28-APRIL</v>
          </cell>
          <cell r="Z2559" t="str">
            <v>ROSE' MAIL 28/4/17</v>
          </cell>
          <cell r="AA2559"/>
          <cell r="AB2559">
            <v>42859</v>
          </cell>
          <cell r="AC2559">
            <v>3120</v>
          </cell>
        </row>
        <row r="2560">
          <cell r="B2560">
            <v>3119</v>
          </cell>
          <cell r="C2560" t="str">
            <v>M-470</v>
          </cell>
          <cell r="D2560"/>
          <cell r="E2560"/>
          <cell r="F2560" t="str">
            <v>C/N 65/35</v>
          </cell>
          <cell r="G2560" t="str">
            <v>65% COTTON 35% NYLON</v>
          </cell>
          <cell r="H2560" t="str">
            <v>57/58</v>
          </cell>
          <cell r="I2560">
            <v>250</v>
          </cell>
          <cell r="J2560">
            <v>3.55</v>
          </cell>
          <cell r="K2560"/>
          <cell r="L2560">
            <v>3.6</v>
          </cell>
          <cell r="M2560"/>
          <cell r="N2560">
            <v>3.6</v>
          </cell>
          <cell r="O2560"/>
          <cell r="P2560"/>
          <cell r="Q2560"/>
          <cell r="R2560">
            <v>4.2</v>
          </cell>
          <cell r="S2560"/>
          <cell r="T2560"/>
          <cell r="U2560"/>
          <cell r="V2560"/>
          <cell r="W2560"/>
          <cell r="X2560" t="str">
            <v>LIVALTEX</v>
          </cell>
          <cell r="Y2560" t="str">
            <v>LIVALTEX 28-APRIL</v>
          </cell>
          <cell r="Z2560" t="str">
            <v>ROSE' MAIL 28/4/17</v>
          </cell>
          <cell r="AA2560"/>
          <cell r="AB2560">
            <v>42859</v>
          </cell>
          <cell r="AC2560">
            <v>3119</v>
          </cell>
        </row>
        <row r="2561">
          <cell r="B2561">
            <v>3118</v>
          </cell>
          <cell r="C2561" t="str">
            <v>M-477</v>
          </cell>
          <cell r="D2561"/>
          <cell r="E2561"/>
          <cell r="F2561" t="str">
            <v>C/N 65/35</v>
          </cell>
          <cell r="G2561" t="str">
            <v>65% COTTON 35% NYLON</v>
          </cell>
          <cell r="H2561" t="str">
            <v>57/58</v>
          </cell>
          <cell r="I2561">
            <v>250</v>
          </cell>
          <cell r="J2561">
            <v>3.2</v>
          </cell>
          <cell r="K2561"/>
          <cell r="L2561">
            <v>3.25</v>
          </cell>
          <cell r="M2561"/>
          <cell r="N2561">
            <v>3.25</v>
          </cell>
          <cell r="O2561"/>
          <cell r="P2561"/>
          <cell r="Q2561"/>
          <cell r="R2561">
            <v>3.85</v>
          </cell>
          <cell r="S2561"/>
          <cell r="T2561"/>
          <cell r="U2561"/>
          <cell r="V2561"/>
          <cell r="W2561"/>
          <cell r="X2561" t="str">
            <v>LIVALTEX</v>
          </cell>
          <cell r="Y2561" t="str">
            <v>LIVALTEX 28-APRIL</v>
          </cell>
          <cell r="Z2561" t="str">
            <v>ROSE' MAIL 28/4/17</v>
          </cell>
          <cell r="AA2561"/>
          <cell r="AB2561">
            <v>42859</v>
          </cell>
          <cell r="AC2561">
            <v>3118</v>
          </cell>
        </row>
        <row r="2562">
          <cell r="B2562">
            <v>3117</v>
          </cell>
          <cell r="C2562" t="str">
            <v>M-468</v>
          </cell>
          <cell r="D2562"/>
          <cell r="E2562"/>
          <cell r="F2562" t="str">
            <v>C/N 65/35</v>
          </cell>
          <cell r="G2562" t="str">
            <v>65% COTTON 35% NYLON</v>
          </cell>
          <cell r="H2562" t="str">
            <v>57/58</v>
          </cell>
          <cell r="I2562">
            <v>225</v>
          </cell>
          <cell r="J2562">
            <v>3.13</v>
          </cell>
          <cell r="K2562"/>
          <cell r="L2562">
            <v>3.18</v>
          </cell>
          <cell r="M2562"/>
          <cell r="N2562">
            <v>3.18</v>
          </cell>
          <cell r="O2562"/>
          <cell r="P2562"/>
          <cell r="Q2562"/>
          <cell r="R2562">
            <v>3.78</v>
          </cell>
          <cell r="S2562"/>
          <cell r="T2562"/>
          <cell r="U2562"/>
          <cell r="V2562"/>
          <cell r="W2562"/>
          <cell r="X2562" t="str">
            <v>LIVALTEX</v>
          </cell>
          <cell r="Y2562" t="str">
            <v>LIVALTEX 28-APRIL</v>
          </cell>
          <cell r="Z2562" t="str">
            <v>ROSE' MAIL 28/4/17</v>
          </cell>
          <cell r="AA2562"/>
          <cell r="AB2562">
            <v>42859</v>
          </cell>
          <cell r="AC2562">
            <v>3117</v>
          </cell>
        </row>
        <row r="2563">
          <cell r="B2563">
            <v>3116</v>
          </cell>
          <cell r="C2563" t="str">
            <v>K-2905</v>
          </cell>
          <cell r="D2563"/>
          <cell r="E2563"/>
          <cell r="F2563" t="str">
            <v>T/S 85/15</v>
          </cell>
          <cell r="G2563" t="str">
            <v>85% POLYESTER 15% SPAN</v>
          </cell>
          <cell r="H2563" t="str">
            <v>57/58</v>
          </cell>
          <cell r="I2563">
            <v>295</v>
          </cell>
          <cell r="J2563">
            <v>3.1</v>
          </cell>
          <cell r="K2563"/>
          <cell r="L2563">
            <v>3.15</v>
          </cell>
          <cell r="M2563"/>
          <cell r="N2563">
            <v>3.15</v>
          </cell>
          <cell r="O2563"/>
          <cell r="P2563"/>
          <cell r="Q2563"/>
          <cell r="R2563">
            <v>3.75</v>
          </cell>
          <cell r="S2563"/>
          <cell r="T2563"/>
          <cell r="U2563"/>
          <cell r="V2563"/>
          <cell r="W2563"/>
          <cell r="X2563" t="str">
            <v>LIVALTEX</v>
          </cell>
          <cell r="Y2563" t="str">
            <v>LIVALTEX 28-APRIL</v>
          </cell>
          <cell r="Z2563" t="str">
            <v>ROSE' MAIL 28/4/17</v>
          </cell>
          <cell r="AA2563"/>
          <cell r="AB2563">
            <v>42859</v>
          </cell>
          <cell r="AC2563">
            <v>3116</v>
          </cell>
        </row>
        <row r="2564">
          <cell r="B2564">
            <v>3115</v>
          </cell>
          <cell r="C2564" t="str">
            <v>M-453</v>
          </cell>
          <cell r="D2564"/>
          <cell r="E2564"/>
          <cell r="F2564" t="str">
            <v>N/T/S/M 60/35/3/2</v>
          </cell>
          <cell r="G2564" t="str">
            <v>60% NYLON 35% POLYESTER 3% SPAN 2% METALLIC</v>
          </cell>
          <cell r="H2564" t="str">
            <v>57/58</v>
          </cell>
          <cell r="I2564"/>
          <cell r="J2564">
            <v>3.05</v>
          </cell>
          <cell r="K2564"/>
          <cell r="L2564">
            <v>3.1</v>
          </cell>
          <cell r="M2564"/>
          <cell r="N2564">
            <v>3.1</v>
          </cell>
          <cell r="O2564"/>
          <cell r="P2564"/>
          <cell r="Q2564"/>
          <cell r="R2564">
            <v>3.7</v>
          </cell>
          <cell r="S2564"/>
          <cell r="T2564"/>
          <cell r="U2564"/>
          <cell r="V2564"/>
          <cell r="W2564"/>
          <cell r="X2564" t="str">
            <v>LIVALTEX</v>
          </cell>
          <cell r="Y2564" t="str">
            <v>LIVALTEX 28-APRIL</v>
          </cell>
          <cell r="Z2564" t="str">
            <v>ROSE' MAIL 28/4/17</v>
          </cell>
          <cell r="AA2564"/>
          <cell r="AB2564">
            <v>42859</v>
          </cell>
          <cell r="AC2564">
            <v>3115</v>
          </cell>
        </row>
        <row r="2565">
          <cell r="B2565">
            <v>3114</v>
          </cell>
          <cell r="C2565" t="str">
            <v>M-458</v>
          </cell>
          <cell r="D2565"/>
          <cell r="E2565"/>
          <cell r="F2565" t="str">
            <v>N/S 92/8</v>
          </cell>
          <cell r="G2565" t="str">
            <v>92% NYLON 8% SPAN</v>
          </cell>
          <cell r="H2565" t="str">
            <v>57/58</v>
          </cell>
          <cell r="I2565">
            <v>245</v>
          </cell>
          <cell r="J2565">
            <v>3.03</v>
          </cell>
          <cell r="K2565"/>
          <cell r="L2565">
            <v>3.08</v>
          </cell>
          <cell r="M2565"/>
          <cell r="N2565">
            <v>3.08</v>
          </cell>
          <cell r="O2565"/>
          <cell r="P2565"/>
          <cell r="Q2565"/>
          <cell r="R2565">
            <v>3.68</v>
          </cell>
          <cell r="S2565"/>
          <cell r="T2565"/>
          <cell r="U2565"/>
          <cell r="V2565"/>
          <cell r="W2565"/>
          <cell r="X2565" t="str">
            <v>LIVALTEX</v>
          </cell>
          <cell r="Y2565" t="str">
            <v>LIVALTEX 28-APRIL</v>
          </cell>
          <cell r="Z2565" t="str">
            <v>ROSE' MAIL 28/4/17</v>
          </cell>
          <cell r="AA2565"/>
          <cell r="AB2565">
            <v>42859</v>
          </cell>
          <cell r="AC2565">
            <v>3114</v>
          </cell>
        </row>
        <row r="2566">
          <cell r="B2566">
            <v>3113</v>
          </cell>
          <cell r="C2566" t="str">
            <v>M-490</v>
          </cell>
          <cell r="D2566"/>
          <cell r="E2566"/>
          <cell r="F2566" t="str">
            <v>N/C 55/45</v>
          </cell>
          <cell r="G2566" t="str">
            <v>55% NYLON 45% COTTON</v>
          </cell>
          <cell r="H2566" t="str">
            <v>57/58</v>
          </cell>
          <cell r="I2566">
            <v>215</v>
          </cell>
          <cell r="J2566">
            <v>2.95</v>
          </cell>
          <cell r="K2566"/>
          <cell r="L2566">
            <v>3</v>
          </cell>
          <cell r="M2566"/>
          <cell r="N2566">
            <v>3</v>
          </cell>
          <cell r="O2566"/>
          <cell r="P2566"/>
          <cell r="Q2566"/>
          <cell r="R2566">
            <v>3.5</v>
          </cell>
          <cell r="S2566"/>
          <cell r="T2566"/>
          <cell r="U2566"/>
          <cell r="V2566"/>
          <cell r="W2566"/>
          <cell r="X2566" t="str">
            <v>LIVALTEX</v>
          </cell>
          <cell r="Y2566" t="str">
            <v>LIVALTEX 28-APRIL</v>
          </cell>
          <cell r="Z2566" t="str">
            <v>ROSE' MAIL 28/4/17</v>
          </cell>
          <cell r="AA2566"/>
          <cell r="AB2566">
            <v>42859</v>
          </cell>
          <cell r="AC2566">
            <v>3113</v>
          </cell>
        </row>
        <row r="2567">
          <cell r="B2567">
            <v>3112</v>
          </cell>
          <cell r="C2567" t="str">
            <v>M-466</v>
          </cell>
          <cell r="D2567"/>
          <cell r="E2567"/>
          <cell r="F2567" t="str">
            <v>C/N 65/35</v>
          </cell>
          <cell r="G2567" t="str">
            <v>65% COTTON 35% NYLON</v>
          </cell>
          <cell r="H2567" t="str">
            <v>57/58</v>
          </cell>
          <cell r="I2567">
            <v>180</v>
          </cell>
          <cell r="J2567">
            <v>2.9</v>
          </cell>
          <cell r="K2567"/>
          <cell r="L2567">
            <v>2.95</v>
          </cell>
          <cell r="M2567"/>
          <cell r="N2567">
            <v>2.95</v>
          </cell>
          <cell r="O2567"/>
          <cell r="P2567"/>
          <cell r="Q2567"/>
          <cell r="R2567">
            <v>3.55</v>
          </cell>
          <cell r="S2567"/>
          <cell r="T2567"/>
          <cell r="U2567"/>
          <cell r="V2567"/>
          <cell r="W2567"/>
          <cell r="X2567" t="str">
            <v>LIVALTEX</v>
          </cell>
          <cell r="Y2567" t="str">
            <v>LIVALTEX 28-APRIL</v>
          </cell>
          <cell r="Z2567" t="str">
            <v>ROSE' MAIL 28/4/17</v>
          </cell>
          <cell r="AA2567"/>
          <cell r="AB2567">
            <v>42859</v>
          </cell>
          <cell r="AC2567">
            <v>3112</v>
          </cell>
        </row>
        <row r="2568">
          <cell r="B2568">
            <v>3111</v>
          </cell>
          <cell r="C2568" t="str">
            <v>M-475</v>
          </cell>
          <cell r="D2568"/>
          <cell r="E2568"/>
          <cell r="F2568" t="str">
            <v>C/N 65/35</v>
          </cell>
          <cell r="G2568" t="str">
            <v>65% COTTON 35% NYLON</v>
          </cell>
          <cell r="H2568" t="str">
            <v>57/58</v>
          </cell>
          <cell r="I2568">
            <v>210</v>
          </cell>
          <cell r="J2568">
            <v>2.8</v>
          </cell>
          <cell r="K2568"/>
          <cell r="L2568">
            <v>2.85</v>
          </cell>
          <cell r="M2568"/>
          <cell r="N2568">
            <v>2.85</v>
          </cell>
          <cell r="O2568"/>
          <cell r="P2568"/>
          <cell r="Q2568"/>
          <cell r="R2568">
            <v>3.45</v>
          </cell>
          <cell r="S2568"/>
          <cell r="T2568"/>
          <cell r="U2568"/>
          <cell r="V2568"/>
          <cell r="W2568"/>
          <cell r="X2568" t="str">
            <v>LIVALTEX</v>
          </cell>
          <cell r="Y2568" t="str">
            <v>LIVALTEX 28-APRIL</v>
          </cell>
          <cell r="Z2568" t="str">
            <v>ROSE' MAIL 28/4/17</v>
          </cell>
          <cell r="AA2568"/>
          <cell r="AB2568">
            <v>42859</v>
          </cell>
          <cell r="AC2568">
            <v>3111</v>
          </cell>
        </row>
        <row r="2569">
          <cell r="B2569">
            <v>3110</v>
          </cell>
          <cell r="C2569" t="str">
            <v>KB-311B</v>
          </cell>
          <cell r="D2569"/>
          <cell r="E2569"/>
          <cell r="F2569" t="str">
            <v>T 100%</v>
          </cell>
          <cell r="G2569" t="str">
            <v>100% POLYESTER</v>
          </cell>
          <cell r="H2569" t="str">
            <v>57/58</v>
          </cell>
          <cell r="I2569">
            <v>290</v>
          </cell>
          <cell r="J2569">
            <v>2.75</v>
          </cell>
          <cell r="K2569"/>
          <cell r="L2569">
            <v>2.8</v>
          </cell>
          <cell r="M2569"/>
          <cell r="N2569">
            <v>2.8</v>
          </cell>
          <cell r="O2569"/>
          <cell r="P2569"/>
          <cell r="Q2569"/>
          <cell r="R2569">
            <v>3.4</v>
          </cell>
          <cell r="S2569"/>
          <cell r="T2569"/>
          <cell r="U2569"/>
          <cell r="V2569"/>
          <cell r="W2569"/>
          <cell r="X2569" t="str">
            <v>LIVALTEX</v>
          </cell>
          <cell r="Y2569" t="str">
            <v>LIVALTEX 28-APRIL</v>
          </cell>
          <cell r="Z2569" t="str">
            <v>ROSE' MAIL 28/4/17</v>
          </cell>
          <cell r="AA2569"/>
          <cell r="AB2569">
            <v>42859</v>
          </cell>
          <cell r="AC2569">
            <v>3110</v>
          </cell>
        </row>
        <row r="2570">
          <cell r="B2570">
            <v>3109</v>
          </cell>
          <cell r="C2570" t="str">
            <v>KB-311A</v>
          </cell>
          <cell r="D2570"/>
          <cell r="E2570"/>
          <cell r="F2570" t="str">
            <v>T 100%</v>
          </cell>
          <cell r="G2570" t="str">
            <v>100% POLYESTER</v>
          </cell>
          <cell r="H2570" t="str">
            <v>57/58</v>
          </cell>
          <cell r="I2570">
            <v>290</v>
          </cell>
          <cell r="J2570">
            <v>2.75</v>
          </cell>
          <cell r="K2570"/>
          <cell r="L2570">
            <v>2.8</v>
          </cell>
          <cell r="M2570"/>
          <cell r="N2570">
            <v>2.8</v>
          </cell>
          <cell r="O2570"/>
          <cell r="P2570"/>
          <cell r="Q2570"/>
          <cell r="R2570">
            <v>3.4</v>
          </cell>
          <cell r="S2570"/>
          <cell r="T2570"/>
          <cell r="U2570"/>
          <cell r="V2570"/>
          <cell r="W2570"/>
          <cell r="X2570" t="str">
            <v>LIVALTEX</v>
          </cell>
          <cell r="Y2570" t="str">
            <v>LIVALTEX 28-APRIL</v>
          </cell>
          <cell r="Z2570" t="str">
            <v>ROSE' MAIL 28/4/17</v>
          </cell>
          <cell r="AA2570"/>
          <cell r="AB2570">
            <v>42859</v>
          </cell>
          <cell r="AC2570">
            <v>3109</v>
          </cell>
        </row>
        <row r="2571">
          <cell r="B2571">
            <v>3108</v>
          </cell>
          <cell r="C2571" t="str">
            <v>KB-310B</v>
          </cell>
          <cell r="D2571"/>
          <cell r="E2571"/>
          <cell r="F2571" t="str">
            <v>T 100%</v>
          </cell>
          <cell r="G2571" t="str">
            <v>100% POLYESTER</v>
          </cell>
          <cell r="H2571" t="str">
            <v>57/58</v>
          </cell>
          <cell r="I2571">
            <v>275</v>
          </cell>
          <cell r="J2571">
            <v>2.75</v>
          </cell>
          <cell r="K2571"/>
          <cell r="L2571">
            <v>2.8</v>
          </cell>
          <cell r="M2571"/>
          <cell r="N2571">
            <v>2.8</v>
          </cell>
          <cell r="O2571"/>
          <cell r="P2571"/>
          <cell r="Q2571"/>
          <cell r="R2571">
            <v>3.4</v>
          </cell>
          <cell r="S2571"/>
          <cell r="T2571"/>
          <cell r="U2571"/>
          <cell r="V2571"/>
          <cell r="W2571"/>
          <cell r="X2571" t="str">
            <v>LIVALTEX</v>
          </cell>
          <cell r="Y2571" t="str">
            <v>LIVALTEX 28-APRIL</v>
          </cell>
          <cell r="Z2571" t="str">
            <v>ROSE' MAIL 28/4/17</v>
          </cell>
          <cell r="AA2571"/>
          <cell r="AB2571">
            <v>42859</v>
          </cell>
          <cell r="AC2571">
            <v>3108</v>
          </cell>
        </row>
        <row r="2572">
          <cell r="B2572">
            <v>3107</v>
          </cell>
          <cell r="C2572" t="str">
            <v>KB-310A</v>
          </cell>
          <cell r="D2572"/>
          <cell r="E2572"/>
          <cell r="F2572" t="str">
            <v>T 100%</v>
          </cell>
          <cell r="G2572" t="str">
            <v>100% POLYESTER</v>
          </cell>
          <cell r="H2572" t="str">
            <v>57/58</v>
          </cell>
          <cell r="I2572">
            <v>275</v>
          </cell>
          <cell r="J2572">
            <v>2.75</v>
          </cell>
          <cell r="K2572"/>
          <cell r="L2572">
            <v>2.8</v>
          </cell>
          <cell r="M2572"/>
          <cell r="N2572">
            <v>2.8</v>
          </cell>
          <cell r="O2572"/>
          <cell r="P2572"/>
          <cell r="Q2572"/>
          <cell r="R2572">
            <v>3.4</v>
          </cell>
          <cell r="S2572"/>
          <cell r="T2572"/>
          <cell r="U2572"/>
          <cell r="V2572"/>
          <cell r="W2572"/>
          <cell r="X2572" t="str">
            <v>LIVALTEX</v>
          </cell>
          <cell r="Y2572" t="str">
            <v>LIVALTEX 28-APRIL</v>
          </cell>
          <cell r="Z2572" t="str">
            <v>ROSE' MAIL 28/4/17</v>
          </cell>
          <cell r="AA2572"/>
          <cell r="AB2572">
            <v>42859</v>
          </cell>
          <cell r="AC2572">
            <v>3107</v>
          </cell>
        </row>
        <row r="2573">
          <cell r="B2573">
            <v>3106</v>
          </cell>
          <cell r="C2573" t="str">
            <v>K-2958</v>
          </cell>
          <cell r="D2573" t="str">
            <v>PLEAT SILVER FOIL</v>
          </cell>
          <cell r="E2573"/>
          <cell r="F2573" t="str">
            <v>T 100%</v>
          </cell>
          <cell r="G2573" t="str">
            <v>100% POLYESTER</v>
          </cell>
          <cell r="H2573" t="str">
            <v>57/58</v>
          </cell>
          <cell r="I2573">
            <v>135</v>
          </cell>
          <cell r="J2573">
            <v>2.73</v>
          </cell>
          <cell r="K2573"/>
          <cell r="L2573">
            <v>2.78</v>
          </cell>
          <cell r="M2573"/>
          <cell r="N2573">
            <v>2.78</v>
          </cell>
          <cell r="O2573"/>
          <cell r="P2573"/>
          <cell r="Q2573"/>
          <cell r="R2573">
            <v>3.28</v>
          </cell>
          <cell r="S2573"/>
          <cell r="T2573"/>
          <cell r="U2573"/>
          <cell r="V2573"/>
          <cell r="W2573"/>
          <cell r="X2573" t="str">
            <v>LIVALTEX</v>
          </cell>
          <cell r="Y2573" t="str">
            <v>LIVALTEX 28-APRIL</v>
          </cell>
          <cell r="Z2573" t="str">
            <v>ROSE' MAIL 28/4/17</v>
          </cell>
          <cell r="AA2573"/>
          <cell r="AB2573">
            <v>42859</v>
          </cell>
          <cell r="AC2573">
            <v>3106</v>
          </cell>
        </row>
        <row r="2574">
          <cell r="B2574">
            <v>3105</v>
          </cell>
          <cell r="C2574" t="str">
            <v>M-469</v>
          </cell>
          <cell r="D2574"/>
          <cell r="E2574"/>
          <cell r="F2574" t="str">
            <v>C/N 65/35</v>
          </cell>
          <cell r="G2574" t="str">
            <v>65% COTTON 35% NYLON</v>
          </cell>
          <cell r="H2574" t="str">
            <v>57/58</v>
          </cell>
          <cell r="I2574">
            <v>175</v>
          </cell>
          <cell r="J2574">
            <v>2.71</v>
          </cell>
          <cell r="K2574"/>
          <cell r="L2574">
            <v>2.76</v>
          </cell>
          <cell r="M2574"/>
          <cell r="N2574">
            <v>2.76</v>
          </cell>
          <cell r="O2574"/>
          <cell r="P2574"/>
          <cell r="Q2574"/>
          <cell r="R2574">
            <v>3.36</v>
          </cell>
          <cell r="S2574"/>
          <cell r="T2574"/>
          <cell r="U2574"/>
          <cell r="V2574"/>
          <cell r="W2574"/>
          <cell r="X2574" t="str">
            <v>LIVALTEX</v>
          </cell>
          <cell r="Y2574" t="str">
            <v>LIVALTEX 28-APRIL</v>
          </cell>
          <cell r="Z2574" t="str">
            <v>ROSE' MAIL 28/4/17</v>
          </cell>
          <cell r="AA2574"/>
          <cell r="AB2574">
            <v>42859</v>
          </cell>
          <cell r="AC2574">
            <v>3105</v>
          </cell>
        </row>
        <row r="2575">
          <cell r="B2575">
            <v>3104</v>
          </cell>
          <cell r="C2575" t="str">
            <v>SYS-397</v>
          </cell>
          <cell r="D2575"/>
          <cell r="E2575"/>
          <cell r="F2575" t="str">
            <v>T/R/S 88/10/2</v>
          </cell>
          <cell r="G2575" t="str">
            <v>88% POLYESTER 10% RAYON 2% SPAN</v>
          </cell>
          <cell r="H2575" t="str">
            <v>57/58</v>
          </cell>
          <cell r="I2575">
            <v>210</v>
          </cell>
          <cell r="J2575">
            <v>2.7</v>
          </cell>
          <cell r="K2575"/>
          <cell r="L2575">
            <v>2.75</v>
          </cell>
          <cell r="M2575"/>
          <cell r="N2575">
            <v>2.75</v>
          </cell>
          <cell r="O2575"/>
          <cell r="P2575"/>
          <cell r="Q2575"/>
          <cell r="R2575">
            <v>3.35</v>
          </cell>
          <cell r="S2575"/>
          <cell r="T2575"/>
          <cell r="U2575"/>
          <cell r="V2575"/>
          <cell r="W2575"/>
          <cell r="X2575" t="str">
            <v>LIVALTEX</v>
          </cell>
          <cell r="Y2575" t="str">
            <v>LIVALTEX 28-APRIL</v>
          </cell>
          <cell r="Z2575" t="str">
            <v>ROSE' MAIL 28/4/17</v>
          </cell>
          <cell r="AA2575"/>
          <cell r="AB2575">
            <v>42859</v>
          </cell>
          <cell r="AC2575">
            <v>3104</v>
          </cell>
        </row>
        <row r="2576">
          <cell r="B2576">
            <v>3103</v>
          </cell>
          <cell r="C2576" t="str">
            <v>T-2071</v>
          </cell>
          <cell r="D2576"/>
          <cell r="E2576"/>
          <cell r="F2576" t="str">
            <v>T 100%</v>
          </cell>
          <cell r="G2576" t="str">
            <v>100% POLYESTER</v>
          </cell>
          <cell r="H2576" t="str">
            <v>57/58</v>
          </cell>
          <cell r="I2576">
            <v>269</v>
          </cell>
          <cell r="J2576">
            <v>2.68</v>
          </cell>
          <cell r="K2576"/>
          <cell r="L2576">
            <v>2.73</v>
          </cell>
          <cell r="M2576"/>
          <cell r="N2576">
            <v>2.73</v>
          </cell>
          <cell r="O2576"/>
          <cell r="P2576"/>
          <cell r="Q2576"/>
          <cell r="R2576">
            <v>3.33</v>
          </cell>
          <cell r="S2576"/>
          <cell r="T2576"/>
          <cell r="U2576"/>
          <cell r="V2576"/>
          <cell r="W2576"/>
          <cell r="X2576" t="str">
            <v>LIVALTEX</v>
          </cell>
          <cell r="Y2576" t="str">
            <v>LIVALTEX 28-APRIL</v>
          </cell>
          <cell r="Z2576" t="str">
            <v>ROSE' MAIL 28/4/17</v>
          </cell>
          <cell r="AA2576"/>
          <cell r="AB2576">
            <v>42859</v>
          </cell>
          <cell r="AC2576">
            <v>3103</v>
          </cell>
        </row>
        <row r="2577">
          <cell r="B2577">
            <v>3102</v>
          </cell>
          <cell r="C2577" t="str">
            <v>M-452</v>
          </cell>
          <cell r="D2577"/>
          <cell r="E2577"/>
          <cell r="F2577" t="str">
            <v>N/T/S 65/32/3</v>
          </cell>
          <cell r="G2577" t="str">
            <v>65% NYLON 32% POLYESTER 3% SPAN</v>
          </cell>
          <cell r="H2577" t="str">
            <v>57/58</v>
          </cell>
          <cell r="I2577"/>
          <cell r="J2577">
            <v>2.6</v>
          </cell>
          <cell r="K2577"/>
          <cell r="L2577">
            <v>2.65</v>
          </cell>
          <cell r="M2577"/>
          <cell r="N2577">
            <v>2.65</v>
          </cell>
          <cell r="O2577"/>
          <cell r="P2577"/>
          <cell r="Q2577"/>
          <cell r="R2577">
            <v>3.25</v>
          </cell>
          <cell r="S2577"/>
          <cell r="T2577"/>
          <cell r="U2577"/>
          <cell r="V2577"/>
          <cell r="W2577"/>
          <cell r="X2577" t="str">
            <v>LIVALTEX</v>
          </cell>
          <cell r="Y2577" t="str">
            <v>LIVALTEX 28-APRIL</v>
          </cell>
          <cell r="Z2577" t="str">
            <v>ROSE' MAIL 28/4/17</v>
          </cell>
          <cell r="AA2577"/>
          <cell r="AB2577">
            <v>42859</v>
          </cell>
          <cell r="AC2577">
            <v>3102</v>
          </cell>
        </row>
        <row r="2578">
          <cell r="B2578">
            <v>3101</v>
          </cell>
          <cell r="C2578" t="str">
            <v>M-448</v>
          </cell>
          <cell r="D2578"/>
          <cell r="E2578"/>
          <cell r="F2578" t="str">
            <v>C/N 60/40</v>
          </cell>
          <cell r="G2578" t="str">
            <v>40% NYLON 60% COTTON</v>
          </cell>
          <cell r="H2578" t="str">
            <v>57/58</v>
          </cell>
          <cell r="I2578"/>
          <cell r="J2578">
            <v>2.5499999999999998</v>
          </cell>
          <cell r="K2578"/>
          <cell r="L2578">
            <v>2.6</v>
          </cell>
          <cell r="M2578"/>
          <cell r="N2578">
            <v>2.6</v>
          </cell>
          <cell r="O2578"/>
          <cell r="P2578"/>
          <cell r="Q2578"/>
          <cell r="R2578">
            <v>3.2</v>
          </cell>
          <cell r="S2578"/>
          <cell r="T2578"/>
          <cell r="U2578"/>
          <cell r="V2578"/>
          <cell r="W2578"/>
          <cell r="X2578" t="str">
            <v>LIVALTEX</v>
          </cell>
          <cell r="Y2578" t="str">
            <v>LIVALTEX 28-APRIL</v>
          </cell>
          <cell r="Z2578" t="str">
            <v>ROSE' MAIL 28/4/17</v>
          </cell>
          <cell r="AA2578"/>
          <cell r="AB2578">
            <v>42859</v>
          </cell>
          <cell r="AC2578">
            <v>3101</v>
          </cell>
        </row>
        <row r="2579">
          <cell r="B2579">
            <v>3100</v>
          </cell>
          <cell r="C2579" t="str">
            <v>M-480</v>
          </cell>
          <cell r="D2579"/>
          <cell r="E2579"/>
          <cell r="F2579" t="str">
            <v>T/C/N 40/30/30</v>
          </cell>
          <cell r="G2579" t="str">
            <v>30% NYLON 40% POLYESTER 30% COTTON</v>
          </cell>
          <cell r="H2579" t="str">
            <v>57/58</v>
          </cell>
          <cell r="I2579">
            <v>96</v>
          </cell>
          <cell r="J2579">
            <v>2.5499999999999998</v>
          </cell>
          <cell r="K2579"/>
          <cell r="L2579">
            <v>2.6</v>
          </cell>
          <cell r="M2579"/>
          <cell r="N2579">
            <v>2.6</v>
          </cell>
          <cell r="O2579"/>
          <cell r="P2579"/>
          <cell r="Q2579"/>
          <cell r="R2579">
            <v>3.2</v>
          </cell>
          <cell r="S2579"/>
          <cell r="T2579"/>
          <cell r="U2579"/>
          <cell r="V2579"/>
          <cell r="W2579"/>
          <cell r="X2579" t="str">
            <v>LIVALTEX</v>
          </cell>
          <cell r="Y2579" t="str">
            <v>LIVALTEX 28-APRIL</v>
          </cell>
          <cell r="Z2579" t="str">
            <v>ROSE' MAIL 28/4/17</v>
          </cell>
          <cell r="AA2579"/>
          <cell r="AB2579">
            <v>42859</v>
          </cell>
          <cell r="AC2579">
            <v>3100</v>
          </cell>
        </row>
        <row r="2580">
          <cell r="B2580">
            <v>3099</v>
          </cell>
          <cell r="C2580" t="str">
            <v>M-481</v>
          </cell>
          <cell r="D2580"/>
          <cell r="E2580"/>
          <cell r="F2580" t="str">
            <v>C/N/T 45/30/25</v>
          </cell>
          <cell r="G2580" t="str">
            <v>45% COTTON 30% NYLON 25% POLYESTER</v>
          </cell>
          <cell r="H2580" t="str">
            <v>57/58</v>
          </cell>
          <cell r="I2580">
            <v>125</v>
          </cell>
          <cell r="J2580">
            <v>2.5</v>
          </cell>
          <cell r="K2580"/>
          <cell r="L2580">
            <v>2.5499999999999998</v>
          </cell>
          <cell r="M2580"/>
          <cell r="N2580">
            <v>2.5499999999999998</v>
          </cell>
          <cell r="O2580"/>
          <cell r="P2580"/>
          <cell r="Q2580"/>
          <cell r="R2580">
            <v>3.15</v>
          </cell>
          <cell r="S2580"/>
          <cell r="T2580"/>
          <cell r="U2580"/>
          <cell r="V2580"/>
          <cell r="W2580"/>
          <cell r="X2580" t="str">
            <v>LIVALTEX</v>
          </cell>
          <cell r="Y2580" t="str">
            <v>LIVALTEX 28-APRIL</v>
          </cell>
          <cell r="Z2580" t="str">
            <v>ROSE' MAIL 28/4/17</v>
          </cell>
          <cell r="AA2580"/>
          <cell r="AB2580">
            <v>42859</v>
          </cell>
          <cell r="AC2580">
            <v>3099</v>
          </cell>
        </row>
        <row r="2581">
          <cell r="B2581">
            <v>3098</v>
          </cell>
          <cell r="C2581" t="str">
            <v>M-464</v>
          </cell>
          <cell r="D2581"/>
          <cell r="E2581"/>
          <cell r="F2581" t="str">
            <v>N/S 92/8</v>
          </cell>
          <cell r="G2581" t="str">
            <v>92% NYLON 8% SPAN</v>
          </cell>
          <cell r="H2581" t="str">
            <v>57/58</v>
          </cell>
          <cell r="I2581">
            <v>175</v>
          </cell>
          <cell r="J2581">
            <v>2.5</v>
          </cell>
          <cell r="K2581"/>
          <cell r="L2581">
            <v>2.5499999999999998</v>
          </cell>
          <cell r="M2581"/>
          <cell r="N2581">
            <v>2.5499999999999998</v>
          </cell>
          <cell r="O2581"/>
          <cell r="P2581"/>
          <cell r="Q2581"/>
          <cell r="R2581">
            <v>3.15</v>
          </cell>
          <cell r="S2581"/>
          <cell r="T2581"/>
          <cell r="U2581"/>
          <cell r="V2581"/>
          <cell r="W2581"/>
          <cell r="X2581" t="str">
            <v>LIVALTEX</v>
          </cell>
          <cell r="Y2581" t="str">
            <v>LIVALTEX 28-APRIL</v>
          </cell>
          <cell r="Z2581" t="str">
            <v>ROSE' MAIL 28/4/17</v>
          </cell>
          <cell r="AA2581"/>
          <cell r="AB2581">
            <v>42859</v>
          </cell>
          <cell r="AC2581">
            <v>3098</v>
          </cell>
        </row>
        <row r="2582">
          <cell r="B2582">
            <v>3097</v>
          </cell>
          <cell r="C2582" t="str">
            <v>M-463</v>
          </cell>
          <cell r="D2582"/>
          <cell r="E2582"/>
          <cell r="F2582" t="str">
            <v>N/S 92/8</v>
          </cell>
          <cell r="G2582" t="str">
            <v>92% NYLON 8% SPAN</v>
          </cell>
          <cell r="H2582" t="str">
            <v>57/58</v>
          </cell>
          <cell r="I2582">
            <v>190</v>
          </cell>
          <cell r="J2582">
            <v>2.5</v>
          </cell>
          <cell r="K2582"/>
          <cell r="L2582">
            <v>2.5499999999999998</v>
          </cell>
          <cell r="M2582"/>
          <cell r="N2582">
            <v>2.5499999999999998</v>
          </cell>
          <cell r="O2582"/>
          <cell r="P2582"/>
          <cell r="Q2582"/>
          <cell r="R2582">
            <v>3.15</v>
          </cell>
          <cell r="S2582"/>
          <cell r="T2582"/>
          <cell r="U2582"/>
          <cell r="V2582"/>
          <cell r="W2582"/>
          <cell r="X2582" t="str">
            <v>LIVALTEX</v>
          </cell>
          <cell r="Y2582" t="str">
            <v>LIVALTEX 28-APRIL</v>
          </cell>
          <cell r="Z2582" t="str">
            <v>ROSE' MAIL 28/4/17</v>
          </cell>
          <cell r="AA2582"/>
          <cell r="AB2582">
            <v>42859</v>
          </cell>
          <cell r="AC2582">
            <v>3097</v>
          </cell>
        </row>
        <row r="2583">
          <cell r="B2583">
            <v>3096</v>
          </cell>
          <cell r="C2583" t="str">
            <v>T-2069</v>
          </cell>
          <cell r="D2583"/>
          <cell r="E2583" t="str">
            <v>100D x 100D</v>
          </cell>
          <cell r="F2583" t="str">
            <v>T 100%</v>
          </cell>
          <cell r="G2583" t="str">
            <v>100% POLYESTER</v>
          </cell>
          <cell r="H2583" t="str">
            <v>57/58</v>
          </cell>
          <cell r="I2583">
            <v>295</v>
          </cell>
          <cell r="J2583">
            <v>2.48</v>
          </cell>
          <cell r="K2583"/>
          <cell r="L2583">
            <v>2.5299999999999998</v>
          </cell>
          <cell r="M2583"/>
          <cell r="N2583">
            <v>2.5299999999999998</v>
          </cell>
          <cell r="O2583"/>
          <cell r="P2583"/>
          <cell r="Q2583"/>
          <cell r="R2583">
            <v>3.13</v>
          </cell>
          <cell r="S2583"/>
          <cell r="T2583"/>
          <cell r="U2583"/>
          <cell r="V2583"/>
          <cell r="W2583"/>
          <cell r="X2583" t="str">
            <v>LIVALTEX</v>
          </cell>
          <cell r="Y2583" t="str">
            <v>LIVALTEX 28-APRIL</v>
          </cell>
          <cell r="Z2583" t="str">
            <v>ROSE' MAIL 28/4/17</v>
          </cell>
          <cell r="AA2583"/>
          <cell r="AB2583">
            <v>42859</v>
          </cell>
          <cell r="AC2583">
            <v>3096</v>
          </cell>
        </row>
        <row r="2584">
          <cell r="B2584">
            <v>3095</v>
          </cell>
          <cell r="C2584" t="str">
            <v>M-484</v>
          </cell>
          <cell r="D2584"/>
          <cell r="E2584"/>
          <cell r="F2584" t="str">
            <v>C/N 65/35</v>
          </cell>
          <cell r="G2584" t="str">
            <v>65% COTTON 35% NYLON</v>
          </cell>
          <cell r="H2584" t="str">
            <v>57/58</v>
          </cell>
          <cell r="I2584">
            <v>106</v>
          </cell>
          <cell r="J2584">
            <v>2.33</v>
          </cell>
          <cell r="K2584"/>
          <cell r="L2584">
            <v>2.38</v>
          </cell>
          <cell r="M2584"/>
          <cell r="N2584">
            <v>2.38</v>
          </cell>
          <cell r="O2584"/>
          <cell r="P2584"/>
          <cell r="Q2584"/>
          <cell r="R2584">
            <v>2.98</v>
          </cell>
          <cell r="S2584"/>
          <cell r="T2584"/>
          <cell r="U2584"/>
          <cell r="V2584"/>
          <cell r="W2584"/>
          <cell r="X2584" t="str">
            <v>LIVALTEX</v>
          </cell>
          <cell r="Y2584" t="str">
            <v>LIVALTEX 28-APRIL</v>
          </cell>
          <cell r="Z2584" t="str">
            <v>ROSE' MAIL 28/4/17</v>
          </cell>
          <cell r="AA2584"/>
          <cell r="AB2584">
            <v>42859</v>
          </cell>
          <cell r="AC2584">
            <v>3095</v>
          </cell>
        </row>
        <row r="2585">
          <cell r="B2585">
            <v>3094</v>
          </cell>
          <cell r="C2585" t="str">
            <v>M-454</v>
          </cell>
          <cell r="D2585"/>
          <cell r="E2585"/>
          <cell r="F2585" t="str">
            <v>N/T/S 65/32/3</v>
          </cell>
          <cell r="G2585" t="str">
            <v>65% NYLON 32% POLYESTER 3% SPAN</v>
          </cell>
          <cell r="H2585" t="str">
            <v>57/58</v>
          </cell>
          <cell r="I2585"/>
          <cell r="J2585">
            <v>2.2999999999999998</v>
          </cell>
          <cell r="K2585"/>
          <cell r="L2585">
            <v>2.35</v>
          </cell>
          <cell r="M2585"/>
          <cell r="N2585">
            <v>2.35</v>
          </cell>
          <cell r="O2585"/>
          <cell r="P2585"/>
          <cell r="Q2585"/>
          <cell r="R2585">
            <v>2.95</v>
          </cell>
          <cell r="S2585"/>
          <cell r="T2585"/>
          <cell r="U2585"/>
          <cell r="V2585"/>
          <cell r="W2585"/>
          <cell r="X2585" t="str">
            <v>LIVALTEX</v>
          </cell>
          <cell r="Y2585" t="str">
            <v>LIVALTEX 28-APRIL</v>
          </cell>
          <cell r="Z2585" t="str">
            <v>ROSE' MAIL 28/4/17</v>
          </cell>
          <cell r="AA2585"/>
          <cell r="AB2585">
            <v>42859</v>
          </cell>
          <cell r="AC2585">
            <v>3094</v>
          </cell>
        </row>
        <row r="2586">
          <cell r="B2586">
            <v>3093</v>
          </cell>
          <cell r="C2586" t="str">
            <v>TS-518</v>
          </cell>
          <cell r="D2586"/>
          <cell r="E2586"/>
          <cell r="F2586" t="str">
            <v>T/S 97/3</v>
          </cell>
          <cell r="G2586" t="str">
            <v>97% POLYESTER 3% SPAN</v>
          </cell>
          <cell r="H2586" t="str">
            <v>56/57</v>
          </cell>
          <cell r="I2586">
            <v>225</v>
          </cell>
          <cell r="J2586">
            <v>2.25</v>
          </cell>
          <cell r="K2586"/>
          <cell r="L2586">
            <v>2.2999999999999998</v>
          </cell>
          <cell r="M2586"/>
          <cell r="N2586">
            <v>2.2999999999999998</v>
          </cell>
          <cell r="O2586"/>
          <cell r="P2586"/>
          <cell r="Q2586"/>
          <cell r="R2586">
            <v>2.8</v>
          </cell>
          <cell r="S2586"/>
          <cell r="T2586"/>
          <cell r="U2586"/>
          <cell r="V2586"/>
          <cell r="W2586"/>
          <cell r="X2586" t="str">
            <v>LIVALTEX</v>
          </cell>
          <cell r="Y2586" t="str">
            <v>LIVALTEX 28-APRIL</v>
          </cell>
          <cell r="Z2586" t="str">
            <v>ROSE' MAIL 28/4/17</v>
          </cell>
          <cell r="AA2586"/>
          <cell r="AB2586">
            <v>42859</v>
          </cell>
          <cell r="AC2586">
            <v>3093</v>
          </cell>
        </row>
        <row r="2587">
          <cell r="B2587">
            <v>3092</v>
          </cell>
          <cell r="C2587" t="str">
            <v>NP-573</v>
          </cell>
          <cell r="D2587"/>
          <cell r="E2587"/>
          <cell r="F2587" t="str">
            <v>R/N 80/20</v>
          </cell>
          <cell r="G2587" t="str">
            <v>20% NYLON 80% RAYON</v>
          </cell>
          <cell r="H2587" t="str">
            <v>56/57</v>
          </cell>
          <cell r="I2587">
            <v>112</v>
          </cell>
          <cell r="J2587">
            <v>2.2000000000000002</v>
          </cell>
          <cell r="K2587"/>
          <cell r="L2587">
            <v>2.25</v>
          </cell>
          <cell r="M2587"/>
          <cell r="N2587">
            <v>2.25</v>
          </cell>
          <cell r="O2587"/>
          <cell r="P2587"/>
          <cell r="Q2587"/>
          <cell r="R2587">
            <v>2.85</v>
          </cell>
          <cell r="S2587"/>
          <cell r="T2587"/>
          <cell r="U2587"/>
          <cell r="V2587"/>
          <cell r="W2587"/>
          <cell r="X2587" t="str">
            <v>LIVALTEX</v>
          </cell>
          <cell r="Y2587" t="str">
            <v>LIVALTEX 28-APRIL</v>
          </cell>
          <cell r="Z2587" t="str">
            <v>ROSE' MAIL 28/4/17</v>
          </cell>
          <cell r="AA2587"/>
          <cell r="AB2587">
            <v>42859</v>
          </cell>
          <cell r="AC2587">
            <v>3092</v>
          </cell>
        </row>
        <row r="2588">
          <cell r="B2588">
            <v>3091</v>
          </cell>
          <cell r="C2588" t="str">
            <v>M-482</v>
          </cell>
          <cell r="D2588"/>
          <cell r="E2588"/>
          <cell r="F2588" t="str">
            <v>N/V 70/30</v>
          </cell>
          <cell r="G2588" t="str">
            <v>70% NYLON 30% VISCOSE</v>
          </cell>
          <cell r="H2588" t="str">
            <v>57/58</v>
          </cell>
          <cell r="I2588">
            <v>82</v>
          </cell>
          <cell r="J2588">
            <v>2.2000000000000002</v>
          </cell>
          <cell r="K2588"/>
          <cell r="L2588">
            <v>2.25</v>
          </cell>
          <cell r="M2588"/>
          <cell r="N2588">
            <v>2.25</v>
          </cell>
          <cell r="O2588"/>
          <cell r="P2588"/>
          <cell r="Q2588"/>
          <cell r="R2588">
            <v>2.85</v>
          </cell>
          <cell r="S2588"/>
          <cell r="T2588"/>
          <cell r="U2588"/>
          <cell r="V2588"/>
          <cell r="W2588"/>
          <cell r="X2588" t="str">
            <v>LIVALTEX</v>
          </cell>
          <cell r="Y2588" t="str">
            <v>LIVALTEX 28-APRIL</v>
          </cell>
          <cell r="Z2588" t="str">
            <v>ROSE' MAIL 28/4/17</v>
          </cell>
          <cell r="AA2588"/>
          <cell r="AB2588">
            <v>42859</v>
          </cell>
          <cell r="AC2588">
            <v>3091</v>
          </cell>
        </row>
        <row r="2589">
          <cell r="B2589">
            <v>3090</v>
          </cell>
          <cell r="C2589" t="str">
            <v>T-2072</v>
          </cell>
          <cell r="D2589"/>
          <cell r="E2589"/>
          <cell r="F2589" t="str">
            <v>T 100%</v>
          </cell>
          <cell r="G2589" t="str">
            <v>100% POLYESTER</v>
          </cell>
          <cell r="H2589" t="str">
            <v>57/58</v>
          </cell>
          <cell r="I2589">
            <v>217</v>
          </cell>
          <cell r="J2589">
            <v>2.15</v>
          </cell>
          <cell r="K2589"/>
          <cell r="L2589">
            <v>2.2000000000000002</v>
          </cell>
          <cell r="M2589"/>
          <cell r="N2589">
            <v>2.2000000000000002</v>
          </cell>
          <cell r="O2589"/>
          <cell r="P2589"/>
          <cell r="Q2589"/>
          <cell r="R2589">
            <v>2.8</v>
          </cell>
          <cell r="S2589"/>
          <cell r="T2589"/>
          <cell r="U2589"/>
          <cell r="V2589"/>
          <cell r="W2589"/>
          <cell r="X2589" t="str">
            <v>LIVALTEX</v>
          </cell>
          <cell r="Y2589" t="str">
            <v>LIVALTEX 28-APRIL</v>
          </cell>
          <cell r="Z2589" t="str">
            <v>ROSE' MAIL 28/4/17</v>
          </cell>
          <cell r="AA2589"/>
          <cell r="AB2589">
            <v>42859</v>
          </cell>
          <cell r="AC2589">
            <v>3090</v>
          </cell>
        </row>
        <row r="2590">
          <cell r="B2590">
            <v>3089</v>
          </cell>
          <cell r="C2590" t="str">
            <v>NP-577</v>
          </cell>
          <cell r="D2590"/>
          <cell r="E2590"/>
          <cell r="F2590" t="str">
            <v>R/N 80/20</v>
          </cell>
          <cell r="G2590" t="str">
            <v>20% NYLON 80% RAYON</v>
          </cell>
          <cell r="H2590" t="str">
            <v>56/57</v>
          </cell>
          <cell r="I2590">
            <v>133</v>
          </cell>
          <cell r="J2590">
            <v>2.15</v>
          </cell>
          <cell r="K2590"/>
          <cell r="L2590">
            <v>2.2000000000000002</v>
          </cell>
          <cell r="M2590"/>
          <cell r="N2590">
            <v>2.2000000000000002</v>
          </cell>
          <cell r="O2590"/>
          <cell r="P2590"/>
          <cell r="Q2590"/>
          <cell r="R2590">
            <v>2.8</v>
          </cell>
          <cell r="S2590"/>
          <cell r="T2590"/>
          <cell r="U2590"/>
          <cell r="V2590"/>
          <cell r="W2590"/>
          <cell r="X2590" t="str">
            <v>LIVALTEX</v>
          </cell>
          <cell r="Y2590" t="str">
            <v>LIVALTEX 28-APRIL</v>
          </cell>
          <cell r="Z2590" t="str">
            <v>ROSE' MAIL 28/4/17</v>
          </cell>
          <cell r="AA2590"/>
          <cell r="AB2590">
            <v>42859</v>
          </cell>
          <cell r="AC2590">
            <v>3089</v>
          </cell>
        </row>
        <row r="2591">
          <cell r="B2591">
            <v>3088</v>
          </cell>
          <cell r="C2591" t="str">
            <v>T-2074</v>
          </cell>
          <cell r="D2591"/>
          <cell r="E2591"/>
          <cell r="F2591" t="str">
            <v>T 100%</v>
          </cell>
          <cell r="G2591" t="str">
            <v>100% POLYESTER</v>
          </cell>
          <cell r="H2591" t="str">
            <v>57/58</v>
          </cell>
          <cell r="I2591">
            <v>120</v>
          </cell>
          <cell r="J2591">
            <v>2.1</v>
          </cell>
          <cell r="K2591">
            <v>2.5</v>
          </cell>
          <cell r="L2591">
            <v>2.15</v>
          </cell>
          <cell r="M2591">
            <v>2.5499999999999998</v>
          </cell>
          <cell r="N2591">
            <v>2.15</v>
          </cell>
          <cell r="O2591">
            <v>2.5499999999999998</v>
          </cell>
          <cell r="P2591"/>
          <cell r="Q2591"/>
          <cell r="R2591">
            <v>2.65</v>
          </cell>
          <cell r="S2591">
            <v>3.15</v>
          </cell>
          <cell r="T2591"/>
          <cell r="U2591"/>
          <cell r="V2591"/>
          <cell r="W2591"/>
          <cell r="X2591" t="str">
            <v>LIVALTEX</v>
          </cell>
          <cell r="Y2591" t="str">
            <v>LIVALTEX 28-APRIL</v>
          </cell>
          <cell r="Z2591" t="str">
            <v>ROSE' MAIL 28/4/17</v>
          </cell>
          <cell r="AA2591"/>
          <cell r="AB2591">
            <v>42859</v>
          </cell>
          <cell r="AC2591">
            <v>3088</v>
          </cell>
        </row>
        <row r="2592">
          <cell r="B2592">
            <v>3087</v>
          </cell>
          <cell r="C2592" t="str">
            <v>M-483</v>
          </cell>
          <cell r="D2592"/>
          <cell r="E2592"/>
          <cell r="F2592" t="str">
            <v>T/S 75/25</v>
          </cell>
          <cell r="G2592" t="str">
            <v>75% POLYESTER 25% SPAN</v>
          </cell>
          <cell r="H2592" t="str">
            <v>57/58</v>
          </cell>
          <cell r="I2592">
            <v>120</v>
          </cell>
          <cell r="J2592">
            <v>2.1</v>
          </cell>
          <cell r="K2592"/>
          <cell r="L2592">
            <v>2.15</v>
          </cell>
          <cell r="M2592"/>
          <cell r="N2592">
            <v>2.15</v>
          </cell>
          <cell r="O2592"/>
          <cell r="P2592"/>
          <cell r="Q2592"/>
          <cell r="R2592">
            <v>2.75</v>
          </cell>
          <cell r="S2592"/>
          <cell r="T2592"/>
          <cell r="U2592"/>
          <cell r="V2592"/>
          <cell r="W2592"/>
          <cell r="X2592" t="str">
            <v>LIVALTEX</v>
          </cell>
          <cell r="Y2592" t="str">
            <v>LIVALTEX 28-APRIL</v>
          </cell>
          <cell r="Z2592" t="str">
            <v>ROSE' MAIL 28/4/17</v>
          </cell>
          <cell r="AA2592"/>
          <cell r="AB2592">
            <v>42859</v>
          </cell>
          <cell r="AC2592">
            <v>3087</v>
          </cell>
        </row>
        <row r="2593">
          <cell r="B2593">
            <v>3086</v>
          </cell>
          <cell r="C2593" t="str">
            <v>M-444</v>
          </cell>
          <cell r="D2593"/>
          <cell r="E2593"/>
          <cell r="F2593" t="str">
            <v>N/C 60/40</v>
          </cell>
          <cell r="G2593" t="str">
            <v>60% NYLON 40% COTTON</v>
          </cell>
          <cell r="H2593" t="str">
            <v>57/58</v>
          </cell>
          <cell r="I2593">
            <v>94</v>
          </cell>
          <cell r="J2593">
            <v>2.1</v>
          </cell>
          <cell r="K2593"/>
          <cell r="L2593">
            <v>2.15</v>
          </cell>
          <cell r="M2593"/>
          <cell r="N2593">
            <v>2.15</v>
          </cell>
          <cell r="O2593"/>
          <cell r="P2593"/>
          <cell r="Q2593"/>
          <cell r="R2593">
            <v>2.75</v>
          </cell>
          <cell r="S2593"/>
          <cell r="T2593"/>
          <cell r="U2593"/>
          <cell r="V2593"/>
          <cell r="W2593"/>
          <cell r="X2593" t="str">
            <v>LIVALTEX</v>
          </cell>
          <cell r="Y2593" t="str">
            <v>LIVALTEX 28-APRIL</v>
          </cell>
          <cell r="Z2593" t="str">
            <v>ROSE' MAIL 28/4/17</v>
          </cell>
          <cell r="AA2593"/>
          <cell r="AB2593">
            <v>42859</v>
          </cell>
          <cell r="AC2593">
            <v>3086</v>
          </cell>
        </row>
        <row r="2594">
          <cell r="B2594">
            <v>3085</v>
          </cell>
          <cell r="C2594" t="str">
            <v>K-2934</v>
          </cell>
          <cell r="D2594"/>
          <cell r="E2594"/>
          <cell r="F2594" t="str">
            <v>T 100%</v>
          </cell>
          <cell r="G2594" t="str">
            <v>100% POLYESTER</v>
          </cell>
          <cell r="H2594" t="str">
            <v>57/58</v>
          </cell>
          <cell r="I2594">
            <v>185</v>
          </cell>
          <cell r="J2594">
            <v>2.1</v>
          </cell>
          <cell r="K2594"/>
          <cell r="L2594">
            <v>2.15</v>
          </cell>
          <cell r="M2594"/>
          <cell r="N2594">
            <v>2.15</v>
          </cell>
          <cell r="O2594"/>
          <cell r="P2594"/>
          <cell r="Q2594"/>
          <cell r="R2594">
            <v>2.75</v>
          </cell>
          <cell r="S2594"/>
          <cell r="T2594"/>
          <cell r="U2594"/>
          <cell r="V2594"/>
          <cell r="W2594"/>
          <cell r="X2594" t="str">
            <v>LIVALTEX</v>
          </cell>
          <cell r="Y2594" t="str">
            <v>LIVALTEX 28-APRIL</v>
          </cell>
          <cell r="Z2594" t="str">
            <v>ROSE' MAIL 28/4/17</v>
          </cell>
          <cell r="AA2594"/>
          <cell r="AB2594">
            <v>42859</v>
          </cell>
          <cell r="AC2594">
            <v>3085</v>
          </cell>
        </row>
        <row r="2595">
          <cell r="B2595">
            <v>3084</v>
          </cell>
          <cell r="C2595" t="str">
            <v>NP-575</v>
          </cell>
          <cell r="D2595"/>
          <cell r="E2595"/>
          <cell r="F2595" t="str">
            <v>R/N 80/20</v>
          </cell>
          <cell r="G2595" t="str">
            <v>20% NYLON 80% RAYON</v>
          </cell>
          <cell r="H2595" t="str">
            <v>56/57</v>
          </cell>
          <cell r="I2595">
            <v>91</v>
          </cell>
          <cell r="J2595">
            <v>2.0499999999999998</v>
          </cell>
          <cell r="K2595"/>
          <cell r="L2595">
            <v>2.1</v>
          </cell>
          <cell r="M2595"/>
          <cell r="N2595">
            <v>2.1</v>
          </cell>
          <cell r="O2595"/>
          <cell r="P2595"/>
          <cell r="Q2595"/>
          <cell r="R2595">
            <v>2.7</v>
          </cell>
          <cell r="S2595"/>
          <cell r="T2595"/>
          <cell r="U2595"/>
          <cell r="V2595"/>
          <cell r="W2595"/>
          <cell r="X2595" t="str">
            <v>LIVALTEX</v>
          </cell>
          <cell r="Y2595" t="str">
            <v>LIVALTEX 28-APRIL</v>
          </cell>
          <cell r="Z2595" t="str">
            <v>ROSE' MAIL 28/4/17</v>
          </cell>
          <cell r="AA2595"/>
          <cell r="AB2595">
            <v>42859</v>
          </cell>
          <cell r="AC2595">
            <v>3084</v>
          </cell>
        </row>
        <row r="2596">
          <cell r="B2596">
            <v>3083</v>
          </cell>
          <cell r="C2596" t="str">
            <v>T-2070</v>
          </cell>
          <cell r="D2596"/>
          <cell r="E2596"/>
          <cell r="F2596" t="str">
            <v>T 100%</v>
          </cell>
          <cell r="G2596" t="str">
            <v>100% POLYESTER</v>
          </cell>
          <cell r="H2596" t="str">
            <v>57/58</v>
          </cell>
          <cell r="I2596">
            <v>175</v>
          </cell>
          <cell r="J2596">
            <v>2.0299999999999998</v>
          </cell>
          <cell r="K2596"/>
          <cell r="L2596">
            <v>2.08</v>
          </cell>
          <cell r="M2596"/>
          <cell r="N2596">
            <v>2.08</v>
          </cell>
          <cell r="O2596"/>
          <cell r="P2596"/>
          <cell r="Q2596"/>
          <cell r="R2596">
            <v>2.68</v>
          </cell>
          <cell r="S2596"/>
          <cell r="T2596"/>
          <cell r="U2596"/>
          <cell r="V2596"/>
          <cell r="W2596"/>
          <cell r="X2596" t="str">
            <v>LIVALTEX</v>
          </cell>
          <cell r="Y2596" t="str">
            <v>LIVALTEX 28-APRIL</v>
          </cell>
          <cell r="Z2596" t="str">
            <v>ROSE' MAIL 28/4/17</v>
          </cell>
          <cell r="AA2596"/>
          <cell r="AB2596">
            <v>42859</v>
          </cell>
          <cell r="AC2596">
            <v>3083</v>
          </cell>
        </row>
        <row r="2597">
          <cell r="B2597">
            <v>3082</v>
          </cell>
          <cell r="C2597" t="str">
            <v>T-2061</v>
          </cell>
          <cell r="D2597"/>
          <cell r="E2597"/>
          <cell r="F2597" t="str">
            <v>T 100%</v>
          </cell>
          <cell r="G2597" t="str">
            <v>100% POLYESTER</v>
          </cell>
          <cell r="H2597" t="str">
            <v>57/58</v>
          </cell>
          <cell r="I2597">
            <v>104</v>
          </cell>
          <cell r="J2597">
            <v>2.0299999999999998</v>
          </cell>
          <cell r="K2597"/>
          <cell r="L2597">
            <v>2.08</v>
          </cell>
          <cell r="M2597"/>
          <cell r="N2597">
            <v>2.08</v>
          </cell>
          <cell r="O2597"/>
          <cell r="P2597"/>
          <cell r="Q2597"/>
          <cell r="R2597">
            <v>2.68</v>
          </cell>
          <cell r="S2597"/>
          <cell r="T2597"/>
          <cell r="U2597"/>
          <cell r="V2597"/>
          <cell r="W2597"/>
          <cell r="X2597" t="str">
            <v>LIVALTEX</v>
          </cell>
          <cell r="Y2597" t="str">
            <v>LIVALTEX 28-APRIL</v>
          </cell>
          <cell r="Z2597" t="str">
            <v>ROSE' MAIL 28/4/17</v>
          </cell>
          <cell r="AA2597"/>
          <cell r="AB2597">
            <v>42859</v>
          </cell>
          <cell r="AC2597">
            <v>3082</v>
          </cell>
        </row>
        <row r="2598">
          <cell r="B2598">
            <v>3081</v>
          </cell>
          <cell r="C2598" t="str">
            <v>K-2935</v>
          </cell>
          <cell r="D2598"/>
          <cell r="E2598"/>
          <cell r="F2598" t="str">
            <v>R/S 95/5</v>
          </cell>
          <cell r="G2598" t="str">
            <v>95% RAYON 5% SPAN</v>
          </cell>
          <cell r="H2598" t="str">
            <v>57/58</v>
          </cell>
          <cell r="I2598">
            <v>150</v>
          </cell>
          <cell r="J2598">
            <v>1.93</v>
          </cell>
          <cell r="K2598"/>
          <cell r="L2598">
            <v>1.98</v>
          </cell>
          <cell r="M2598"/>
          <cell r="N2598">
            <v>1.98</v>
          </cell>
          <cell r="O2598"/>
          <cell r="P2598"/>
          <cell r="Q2598"/>
          <cell r="R2598">
            <v>2.58</v>
          </cell>
          <cell r="S2598"/>
          <cell r="T2598"/>
          <cell r="U2598"/>
          <cell r="V2598"/>
          <cell r="W2598"/>
          <cell r="X2598" t="str">
            <v>LIVALTEX</v>
          </cell>
          <cell r="Y2598" t="str">
            <v>LIVALTEX 28-APRIL</v>
          </cell>
          <cell r="Z2598" t="str">
            <v>ROSE' MAIL 28/4/17</v>
          </cell>
          <cell r="AA2598"/>
          <cell r="AB2598">
            <v>42859</v>
          </cell>
          <cell r="AC2598">
            <v>3081</v>
          </cell>
        </row>
        <row r="2599">
          <cell r="B2599">
            <v>3080</v>
          </cell>
          <cell r="C2599" t="str">
            <v>M-486</v>
          </cell>
          <cell r="D2599"/>
          <cell r="E2599"/>
          <cell r="F2599" t="str">
            <v>N/T 70/30</v>
          </cell>
          <cell r="G2599" t="str">
            <v>70% NYLON 30% POLYESTER</v>
          </cell>
          <cell r="H2599" t="str">
            <v>57/58</v>
          </cell>
          <cell r="I2599">
            <v>35</v>
          </cell>
          <cell r="J2599">
            <v>1.35</v>
          </cell>
          <cell r="K2599"/>
          <cell r="L2599">
            <v>1.4</v>
          </cell>
          <cell r="M2599"/>
          <cell r="N2599">
            <v>1.4</v>
          </cell>
          <cell r="O2599"/>
          <cell r="P2599"/>
          <cell r="Q2599"/>
          <cell r="R2599">
            <v>2</v>
          </cell>
          <cell r="S2599"/>
          <cell r="T2599"/>
          <cell r="U2599"/>
          <cell r="V2599"/>
          <cell r="W2599"/>
          <cell r="X2599" t="str">
            <v>LIVALTEX</v>
          </cell>
          <cell r="Y2599" t="str">
            <v>LIVALTEX 28-APRIL</v>
          </cell>
          <cell r="Z2599" t="str">
            <v>ROSE' MAIL 28/4/17</v>
          </cell>
          <cell r="AA2599"/>
          <cell r="AB2599">
            <v>42859</v>
          </cell>
          <cell r="AC2599">
            <v>3080</v>
          </cell>
        </row>
        <row r="2600">
          <cell r="B2600">
            <v>3079</v>
          </cell>
          <cell r="C2600" t="str">
            <v>M-485</v>
          </cell>
          <cell r="D2600"/>
          <cell r="E2600"/>
          <cell r="F2600" t="str">
            <v>N 100%</v>
          </cell>
          <cell r="G2600" t="str">
            <v>100% NYLON</v>
          </cell>
          <cell r="H2600" t="str">
            <v>57/58</v>
          </cell>
          <cell r="I2600">
            <v>30</v>
          </cell>
          <cell r="J2600">
            <v>1.35</v>
          </cell>
          <cell r="K2600"/>
          <cell r="L2600">
            <v>1.4</v>
          </cell>
          <cell r="M2600"/>
          <cell r="N2600">
            <v>1.4</v>
          </cell>
          <cell r="O2600"/>
          <cell r="P2600"/>
          <cell r="Q2600"/>
          <cell r="R2600">
            <v>2</v>
          </cell>
          <cell r="S2600"/>
          <cell r="T2600"/>
          <cell r="U2600"/>
          <cell r="V2600"/>
          <cell r="W2600"/>
          <cell r="X2600" t="str">
            <v>LIVALTEX</v>
          </cell>
          <cell r="Y2600" t="str">
            <v>LIVALTEX 28-APRIL</v>
          </cell>
          <cell r="Z2600" t="str">
            <v>ROSE' MAIL 28/4/17</v>
          </cell>
          <cell r="AA2600"/>
          <cell r="AB2600">
            <v>42859</v>
          </cell>
          <cell r="AC2600">
            <v>3079</v>
          </cell>
        </row>
        <row r="2601">
          <cell r="B2601">
            <v>3078</v>
          </cell>
          <cell r="C2601" t="str">
            <v>WW-21436</v>
          </cell>
          <cell r="D2601" t="str">
            <v>CREPE - ALISON HAYE FAB.</v>
          </cell>
          <cell r="E2601" t="str">
            <v>75DX75D  92X41</v>
          </cell>
          <cell r="F2601" t="str">
            <v>T 100%</v>
          </cell>
          <cell r="G2601" t="str">
            <v>100% POLYESTER</v>
          </cell>
          <cell r="H2601" t="str">
            <v>57/58</v>
          </cell>
          <cell r="I2601">
            <v>120</v>
          </cell>
          <cell r="J2601">
            <v>1.03</v>
          </cell>
          <cell r="K2601">
            <v>1.28</v>
          </cell>
          <cell r="L2601">
            <v>1.03</v>
          </cell>
          <cell r="M2601">
            <v>1.28</v>
          </cell>
          <cell r="N2601">
            <v>1.08</v>
          </cell>
          <cell r="O2601">
            <v>1.33</v>
          </cell>
          <cell r="P2601"/>
          <cell r="Q2601"/>
          <cell r="R2601"/>
          <cell r="S2601"/>
          <cell r="T2601"/>
          <cell r="U2601"/>
          <cell r="V2601"/>
          <cell r="W2601"/>
          <cell r="X2601" t="str">
            <v>PANI</v>
          </cell>
          <cell r="Y2601" t="str">
            <v>PANI 4-MAY</v>
          </cell>
          <cell r="Z2601" t="str">
            <v>AMY' MAIL 4/5/17</v>
          </cell>
          <cell r="AA2601"/>
          <cell r="AB2601">
            <v>42859</v>
          </cell>
          <cell r="AC2601">
            <v>3078</v>
          </cell>
        </row>
        <row r="2602">
          <cell r="B2602">
            <v>3077</v>
          </cell>
          <cell r="C2602" t="str">
            <v>#9619</v>
          </cell>
          <cell r="D2602" t="str">
            <v>TERRY CREPE</v>
          </cell>
          <cell r="E2602"/>
          <cell r="F2602" t="str">
            <v>R 100%</v>
          </cell>
          <cell r="G2602" t="str">
            <v>50% VISCOSE 50%RAYON</v>
          </cell>
          <cell r="H2602" t="str">
            <v>50/51</v>
          </cell>
          <cell r="I2602">
            <v>125</v>
          </cell>
          <cell r="J2602">
            <v>1.98</v>
          </cell>
          <cell r="K2602">
            <v>2.36</v>
          </cell>
          <cell r="L2602">
            <v>2</v>
          </cell>
          <cell r="M2602">
            <v>2.42</v>
          </cell>
          <cell r="N2602">
            <v>2.02</v>
          </cell>
          <cell r="O2602">
            <v>2.48</v>
          </cell>
          <cell r="P2602"/>
          <cell r="Q2602"/>
          <cell r="R2602">
            <v>2.0499999999999998</v>
          </cell>
          <cell r="S2602">
            <v>2.98</v>
          </cell>
          <cell r="T2602"/>
          <cell r="U2602"/>
          <cell r="V2602">
            <v>15</v>
          </cell>
          <cell r="W2602"/>
          <cell r="X2602" t="str">
            <v>TERESA</v>
          </cell>
          <cell r="Y2602" t="str">
            <v>DMCARE-TRI-02</v>
          </cell>
          <cell r="Z2602" t="str">
            <v>TERESA' MAIL 28/4/17</v>
          </cell>
          <cell r="AA2602"/>
          <cell r="AB2602">
            <v>42854</v>
          </cell>
          <cell r="AC2602">
            <v>3077</v>
          </cell>
        </row>
        <row r="2603">
          <cell r="B2603">
            <v>3233</v>
          </cell>
          <cell r="C2603" t="str">
            <v>KB-313B</v>
          </cell>
          <cell r="D2603" t="str">
            <v>BONDED</v>
          </cell>
          <cell r="E2603"/>
          <cell r="F2603" t="str">
            <v>T/S 95/5</v>
          </cell>
          <cell r="G2603" t="str">
            <v>95% POLYESTER 5% SPAN</v>
          </cell>
          <cell r="H2603" t="str">
            <v>56/57</v>
          </cell>
          <cell r="I2603">
            <v>270</v>
          </cell>
          <cell r="J2603">
            <v>3.6</v>
          </cell>
          <cell r="K2603"/>
          <cell r="L2603">
            <v>3.65</v>
          </cell>
          <cell r="M2603"/>
          <cell r="N2603">
            <v>3.65</v>
          </cell>
          <cell r="O2603"/>
          <cell r="P2603"/>
          <cell r="Q2603"/>
          <cell r="R2603">
            <v>4.1500000000000004</v>
          </cell>
          <cell r="S2603"/>
          <cell r="T2603"/>
          <cell r="U2603"/>
          <cell r="V2603"/>
          <cell r="W2603"/>
          <cell r="X2603" t="str">
            <v>LIVALTEX</v>
          </cell>
          <cell r="Y2603" t="str">
            <v>LIVALTEX 28-APRIL</v>
          </cell>
          <cell r="Z2603" t="str">
            <v>ROSE' MAIL 28/4/17</v>
          </cell>
          <cell r="AA2603"/>
          <cell r="AB2603">
            <v>42853</v>
          </cell>
          <cell r="AC2603">
            <v>3233</v>
          </cell>
        </row>
        <row r="2604">
          <cell r="B2604">
            <v>3232</v>
          </cell>
          <cell r="C2604" t="str">
            <v>KB-313A</v>
          </cell>
          <cell r="D2604" t="str">
            <v>BONDED</v>
          </cell>
          <cell r="E2604"/>
          <cell r="F2604" t="str">
            <v>T/S 95/5</v>
          </cell>
          <cell r="G2604" t="str">
            <v>95% POLYESTER 5% SPAN</v>
          </cell>
          <cell r="H2604" t="str">
            <v>56/57</v>
          </cell>
          <cell r="I2604">
            <v>330</v>
          </cell>
          <cell r="J2604">
            <v>3.7</v>
          </cell>
          <cell r="K2604"/>
          <cell r="L2604">
            <v>3.75</v>
          </cell>
          <cell r="M2604"/>
          <cell r="N2604">
            <v>3.75</v>
          </cell>
          <cell r="O2604"/>
          <cell r="P2604"/>
          <cell r="Q2604"/>
          <cell r="R2604">
            <v>4.25</v>
          </cell>
          <cell r="S2604"/>
          <cell r="T2604"/>
          <cell r="U2604"/>
          <cell r="V2604"/>
          <cell r="W2604"/>
          <cell r="X2604" t="str">
            <v>LIVALTEX</v>
          </cell>
          <cell r="Y2604" t="str">
            <v>LIVALTEX 28-APRIL</v>
          </cell>
          <cell r="Z2604" t="str">
            <v>ROSE' MAIL 28/4/17</v>
          </cell>
          <cell r="AA2604"/>
          <cell r="AB2604">
            <v>42853</v>
          </cell>
          <cell r="AC2604">
            <v>3232</v>
          </cell>
        </row>
        <row r="2605">
          <cell r="B2605">
            <v>3231</v>
          </cell>
          <cell r="C2605" t="str">
            <v>K-2958</v>
          </cell>
          <cell r="D2605" t="str">
            <v>PLEAT SILVER FOIL</v>
          </cell>
          <cell r="E2605"/>
          <cell r="F2605" t="str">
            <v>T 100%</v>
          </cell>
          <cell r="G2605" t="str">
            <v>100% POLYESTER</v>
          </cell>
          <cell r="H2605" t="str">
            <v>57/58</v>
          </cell>
          <cell r="I2605">
            <v>135</v>
          </cell>
          <cell r="J2605">
            <v>2.73</v>
          </cell>
          <cell r="K2605"/>
          <cell r="L2605">
            <v>2.78</v>
          </cell>
          <cell r="M2605"/>
          <cell r="N2605">
            <v>2.78</v>
          </cell>
          <cell r="O2605"/>
          <cell r="P2605"/>
          <cell r="Q2605"/>
          <cell r="R2605">
            <v>3.28</v>
          </cell>
          <cell r="S2605"/>
          <cell r="T2605"/>
          <cell r="U2605"/>
          <cell r="V2605"/>
          <cell r="W2605"/>
          <cell r="X2605" t="str">
            <v>LIVALTEX</v>
          </cell>
          <cell r="Y2605" t="str">
            <v>LIVALTEX 28-APRIL</v>
          </cell>
          <cell r="Z2605" t="str">
            <v>ROSE' MAIL 28/4/17</v>
          </cell>
          <cell r="AA2605"/>
          <cell r="AB2605">
            <v>42853</v>
          </cell>
          <cell r="AC2605">
            <v>3231</v>
          </cell>
        </row>
        <row r="2606">
          <cell r="B2606">
            <v>3230</v>
          </cell>
          <cell r="C2606" t="str">
            <v>KB-308</v>
          </cell>
          <cell r="D2606" t="str">
            <v>LACE TWO FACE</v>
          </cell>
          <cell r="E2606"/>
          <cell r="F2606" t="str">
            <v>N/S 90/10 - T1 00%</v>
          </cell>
          <cell r="G2606" t="str">
            <v>FACE:90% NYLON 10% SPAN / BACK:100% POLYESTER</v>
          </cell>
          <cell r="H2606" t="str">
            <v>57/58</v>
          </cell>
          <cell r="I2606">
            <v>305</v>
          </cell>
          <cell r="J2606">
            <v>4.1500000000000004</v>
          </cell>
          <cell r="K2606"/>
          <cell r="L2606">
            <v>4.2</v>
          </cell>
          <cell r="M2606"/>
          <cell r="N2606">
            <v>4.2</v>
          </cell>
          <cell r="O2606"/>
          <cell r="P2606"/>
          <cell r="Q2606"/>
          <cell r="R2606">
            <v>4.55</v>
          </cell>
          <cell r="S2606"/>
          <cell r="T2606"/>
          <cell r="U2606"/>
          <cell r="V2606">
            <v>3</v>
          </cell>
          <cell r="W2606"/>
          <cell r="X2606" t="str">
            <v>LIVALTEX</v>
          </cell>
          <cell r="Y2606" t="str">
            <v>LIVALTEX 28-APRIL</v>
          </cell>
          <cell r="Z2606" t="str">
            <v>ROSE' MAIL 28/4/17</v>
          </cell>
          <cell r="AA2606"/>
          <cell r="AB2606">
            <v>42853</v>
          </cell>
          <cell r="AC2606">
            <v>3230</v>
          </cell>
        </row>
        <row r="2607">
          <cell r="B2607">
            <v>3229</v>
          </cell>
          <cell r="C2607" t="str">
            <v>KB-307</v>
          </cell>
          <cell r="D2607" t="str">
            <v>LACE TWO FACE</v>
          </cell>
          <cell r="E2607"/>
          <cell r="F2607" t="str">
            <v>N/S 90/10 - T1 00%</v>
          </cell>
          <cell r="G2607" t="str">
            <v>FACE:90% NYLON 10% SPAN / BACK:100% POLYESTER</v>
          </cell>
          <cell r="H2607" t="str">
            <v>57/58</v>
          </cell>
          <cell r="I2607">
            <v>230</v>
          </cell>
          <cell r="J2607">
            <v>3.2</v>
          </cell>
          <cell r="K2607"/>
          <cell r="L2607">
            <v>3.25</v>
          </cell>
          <cell r="M2607"/>
          <cell r="N2607">
            <v>3.25</v>
          </cell>
          <cell r="O2607"/>
          <cell r="P2607"/>
          <cell r="Q2607"/>
          <cell r="R2607">
            <v>3.6</v>
          </cell>
          <cell r="S2607"/>
          <cell r="T2607"/>
          <cell r="U2607"/>
          <cell r="V2607">
            <v>3</v>
          </cell>
          <cell r="W2607"/>
          <cell r="X2607" t="str">
            <v>LIVALTEX</v>
          </cell>
          <cell r="Y2607" t="str">
            <v>LIVALTEX 28-APRIL</v>
          </cell>
          <cell r="Z2607" t="str">
            <v>ROSE' MAIL 28/4/17</v>
          </cell>
          <cell r="AA2607"/>
          <cell r="AB2607">
            <v>42853</v>
          </cell>
          <cell r="AC2607">
            <v>3229</v>
          </cell>
        </row>
        <row r="2608">
          <cell r="B2608">
            <v>3076</v>
          </cell>
          <cell r="C2608" t="str">
            <v>OLP-1025X335XS</v>
          </cell>
          <cell r="D2608"/>
          <cell r="E2608"/>
          <cell r="F2608" t="str">
            <v>T 100%</v>
          </cell>
          <cell r="G2608" t="str">
            <v>100% POLYESTER</v>
          </cell>
          <cell r="H2608" t="str">
            <v>57/58</v>
          </cell>
          <cell r="I2608">
            <v>104</v>
          </cell>
          <cell r="J2608">
            <v>1.35</v>
          </cell>
          <cell r="K2608">
            <v>1.58</v>
          </cell>
          <cell r="L2608">
            <v>1.4</v>
          </cell>
          <cell r="M2608">
            <v>1.68</v>
          </cell>
          <cell r="N2608">
            <v>1.55</v>
          </cell>
          <cell r="O2608">
            <v>1.85</v>
          </cell>
          <cell r="P2608"/>
          <cell r="Q2608"/>
          <cell r="R2608">
            <v>1.7</v>
          </cell>
          <cell r="S2608">
            <v>2.2999999999999998</v>
          </cell>
          <cell r="T2608"/>
          <cell r="U2608"/>
          <cell r="V2608">
            <v>15</v>
          </cell>
          <cell r="W2608"/>
          <cell r="X2608" t="str">
            <v>OWEN</v>
          </cell>
          <cell r="Y2608" t="str">
            <v>OWEN 27-APRIL</v>
          </cell>
          <cell r="Z2608" t="str">
            <v>SANDY' MAIL 28/4/17</v>
          </cell>
          <cell r="AA2608"/>
          <cell r="AB2608">
            <v>42853</v>
          </cell>
          <cell r="AC2608">
            <v>3076</v>
          </cell>
        </row>
        <row r="2609">
          <cell r="B2609">
            <v>3075</v>
          </cell>
          <cell r="C2609" t="str">
            <v>OLP-1742024RBE</v>
          </cell>
          <cell r="D2609" t="str">
            <v>POLY SATEEN - AIRFLOW EFFECT</v>
          </cell>
          <cell r="E2609"/>
          <cell r="F2609" t="str">
            <v>T 100%</v>
          </cell>
          <cell r="G2609" t="str">
            <v>100% POLYESTER</v>
          </cell>
          <cell r="H2609" t="str">
            <v>57/58</v>
          </cell>
          <cell r="I2609">
            <v>106</v>
          </cell>
          <cell r="J2609">
            <v>1.43</v>
          </cell>
          <cell r="K2609">
            <v>1.73</v>
          </cell>
          <cell r="L2609">
            <v>1.51</v>
          </cell>
          <cell r="M2609">
            <v>1.82</v>
          </cell>
          <cell r="N2609">
            <v>1.66</v>
          </cell>
          <cell r="O2609">
            <v>2.02</v>
          </cell>
          <cell r="P2609"/>
          <cell r="Q2609"/>
          <cell r="R2609">
            <v>1.81</v>
          </cell>
          <cell r="S2609">
            <v>2.4700000000000002</v>
          </cell>
          <cell r="T2609"/>
          <cell r="U2609"/>
          <cell r="V2609">
            <v>15</v>
          </cell>
          <cell r="W2609"/>
          <cell r="X2609" t="str">
            <v>OWEN</v>
          </cell>
          <cell r="Y2609" t="str">
            <v>DMCARE-TRI-02</v>
          </cell>
          <cell r="Z2609" t="str">
            <v>SANDY' MAIL 28/4/17</v>
          </cell>
          <cell r="AA2609"/>
          <cell r="AB2609">
            <v>42853</v>
          </cell>
          <cell r="AC2609">
            <v>3075</v>
          </cell>
        </row>
        <row r="2610">
          <cell r="B2610">
            <v>3074</v>
          </cell>
          <cell r="C2610" t="str">
            <v>OLP-1742023RBE</v>
          </cell>
          <cell r="D2610"/>
          <cell r="E2610"/>
          <cell r="F2610" t="str">
            <v>T 100%</v>
          </cell>
          <cell r="G2610" t="str">
            <v>100% POLYESTER</v>
          </cell>
          <cell r="H2610" t="str">
            <v>57/58</v>
          </cell>
          <cell r="I2610">
            <v>105</v>
          </cell>
          <cell r="J2610">
            <v>1.4</v>
          </cell>
          <cell r="K2610">
            <v>1.68</v>
          </cell>
          <cell r="L2610">
            <v>1.48</v>
          </cell>
          <cell r="M2610">
            <v>1.75</v>
          </cell>
          <cell r="N2610">
            <v>1.63</v>
          </cell>
          <cell r="O2610">
            <v>1.95</v>
          </cell>
          <cell r="P2610"/>
          <cell r="Q2610"/>
          <cell r="R2610">
            <v>1.78</v>
          </cell>
          <cell r="S2610">
            <v>2.35</v>
          </cell>
          <cell r="T2610"/>
          <cell r="U2610"/>
          <cell r="V2610">
            <v>15</v>
          </cell>
          <cell r="W2610"/>
          <cell r="X2610" t="str">
            <v>OWEN</v>
          </cell>
          <cell r="Y2610" t="str">
            <v>OWEN 27-APRIL</v>
          </cell>
          <cell r="Z2610" t="str">
            <v>SANDY' MAIL 28/4/17</v>
          </cell>
          <cell r="AA2610"/>
          <cell r="AB2610">
            <v>42853</v>
          </cell>
          <cell r="AC2610">
            <v>3074</v>
          </cell>
        </row>
        <row r="2611">
          <cell r="B2611">
            <v>3073</v>
          </cell>
          <cell r="C2611" t="str">
            <v>OLP-1742022RBE</v>
          </cell>
          <cell r="D2611"/>
          <cell r="E2611"/>
          <cell r="F2611" t="str">
            <v>T 100%</v>
          </cell>
          <cell r="G2611" t="str">
            <v>100% POLYESTER</v>
          </cell>
          <cell r="H2611" t="str">
            <v>57/58</v>
          </cell>
          <cell r="I2611">
            <v>108</v>
          </cell>
          <cell r="J2611">
            <v>1.44</v>
          </cell>
          <cell r="K2611">
            <v>1.74</v>
          </cell>
          <cell r="L2611">
            <v>1.51</v>
          </cell>
          <cell r="M2611">
            <v>1.82</v>
          </cell>
          <cell r="N2611">
            <v>1.66</v>
          </cell>
          <cell r="O2611">
            <v>2.02</v>
          </cell>
          <cell r="P2611"/>
          <cell r="Q2611"/>
          <cell r="R2611">
            <v>1.81</v>
          </cell>
          <cell r="S2611">
            <v>2.42</v>
          </cell>
          <cell r="T2611"/>
          <cell r="U2611"/>
          <cell r="V2611">
            <v>15</v>
          </cell>
          <cell r="W2611"/>
          <cell r="X2611" t="str">
            <v>OWEN</v>
          </cell>
          <cell r="Y2611" t="str">
            <v>OWEN 27-APRIL</v>
          </cell>
          <cell r="Z2611" t="str">
            <v>SANDY' MAIL 28/4/17</v>
          </cell>
          <cell r="AA2611"/>
          <cell r="AB2611">
            <v>42853</v>
          </cell>
          <cell r="AC2611">
            <v>3073</v>
          </cell>
        </row>
        <row r="2612">
          <cell r="B2612">
            <v>3072</v>
          </cell>
          <cell r="C2612" t="str">
            <v>OLP-1742021RBE</v>
          </cell>
          <cell r="D2612"/>
          <cell r="E2612"/>
          <cell r="F2612" t="str">
            <v>T 100%</v>
          </cell>
          <cell r="G2612" t="str">
            <v>100% POLYESTER</v>
          </cell>
          <cell r="H2612" t="str">
            <v>57/58</v>
          </cell>
          <cell r="I2612">
            <v>115</v>
          </cell>
          <cell r="J2612">
            <v>1.5</v>
          </cell>
          <cell r="K2612">
            <v>1.85</v>
          </cell>
          <cell r="L2612">
            <v>1.59</v>
          </cell>
          <cell r="M2612">
            <v>1.92</v>
          </cell>
          <cell r="N2612">
            <v>1.74</v>
          </cell>
          <cell r="O2612">
            <v>2.12</v>
          </cell>
          <cell r="P2612"/>
          <cell r="Q2612"/>
          <cell r="R2612">
            <v>1.89</v>
          </cell>
          <cell r="S2612">
            <v>2.57</v>
          </cell>
          <cell r="T2612"/>
          <cell r="U2612"/>
          <cell r="V2612">
            <v>15</v>
          </cell>
          <cell r="W2612"/>
          <cell r="X2612" t="str">
            <v>OWEN</v>
          </cell>
          <cell r="Y2612" t="str">
            <v>OWEN 27-APRIL</v>
          </cell>
          <cell r="Z2612" t="str">
            <v>SANDY' MAIL 28/4/17</v>
          </cell>
          <cell r="AA2612"/>
          <cell r="AB2612">
            <v>42853</v>
          </cell>
          <cell r="AC2612">
            <v>3072</v>
          </cell>
        </row>
        <row r="2613">
          <cell r="B2613">
            <v>3071</v>
          </cell>
          <cell r="C2613" t="str">
            <v>OLP-1742020RBE</v>
          </cell>
          <cell r="D2613"/>
          <cell r="E2613"/>
          <cell r="F2613" t="str">
            <v>T 100%</v>
          </cell>
          <cell r="G2613" t="str">
            <v>100% POLYESTER</v>
          </cell>
          <cell r="H2613" t="str">
            <v>57/58</v>
          </cell>
          <cell r="I2613">
            <v>115</v>
          </cell>
          <cell r="J2613">
            <v>1.48</v>
          </cell>
          <cell r="K2613">
            <v>1.76</v>
          </cell>
          <cell r="L2613">
            <v>1.55</v>
          </cell>
          <cell r="M2613">
            <v>1.85</v>
          </cell>
          <cell r="N2613">
            <v>1.67</v>
          </cell>
          <cell r="O2613">
            <v>2.0499999999999998</v>
          </cell>
          <cell r="P2613"/>
          <cell r="Q2613"/>
          <cell r="R2613">
            <v>1.82</v>
          </cell>
          <cell r="S2613">
            <v>2.5</v>
          </cell>
          <cell r="T2613"/>
          <cell r="U2613"/>
          <cell r="V2613">
            <v>15</v>
          </cell>
          <cell r="W2613"/>
          <cell r="X2613" t="str">
            <v>OWEN</v>
          </cell>
          <cell r="Y2613" t="str">
            <v>OWEN 27-APRIL</v>
          </cell>
          <cell r="Z2613" t="str">
            <v>SANDY' MAIL 28/4/17</v>
          </cell>
          <cell r="AA2613"/>
          <cell r="AB2613">
            <v>42853</v>
          </cell>
          <cell r="AC2613">
            <v>3071</v>
          </cell>
        </row>
        <row r="2614">
          <cell r="B2614">
            <v>3070</v>
          </cell>
          <cell r="C2614" t="str">
            <v>OLP-1742019RBE</v>
          </cell>
          <cell r="D2614"/>
          <cell r="E2614"/>
          <cell r="F2614" t="str">
            <v>T 100%</v>
          </cell>
          <cell r="G2614" t="str">
            <v>100% POLYESTER</v>
          </cell>
          <cell r="H2614" t="str">
            <v>57/58</v>
          </cell>
          <cell r="I2614">
            <v>110</v>
          </cell>
          <cell r="J2614">
            <v>1.4</v>
          </cell>
          <cell r="K2614">
            <v>1.7</v>
          </cell>
          <cell r="L2614">
            <v>1.46</v>
          </cell>
          <cell r="M2614">
            <v>1.78</v>
          </cell>
          <cell r="N2614">
            <v>1.61</v>
          </cell>
          <cell r="O2614">
            <v>1.98</v>
          </cell>
          <cell r="P2614"/>
          <cell r="Q2614"/>
          <cell r="R2614">
            <v>1.76</v>
          </cell>
          <cell r="S2614">
            <v>2.4300000000000002</v>
          </cell>
          <cell r="T2614"/>
          <cell r="U2614"/>
          <cell r="V2614">
            <v>15</v>
          </cell>
          <cell r="W2614"/>
          <cell r="X2614" t="str">
            <v>OWEN</v>
          </cell>
          <cell r="Y2614" t="str">
            <v>OWEN 27-APRIL</v>
          </cell>
          <cell r="Z2614" t="str">
            <v>SANDY' MAIL 28/4/17</v>
          </cell>
          <cell r="AA2614"/>
          <cell r="AB2614">
            <v>42853</v>
          </cell>
          <cell r="AC2614">
            <v>3070</v>
          </cell>
        </row>
        <row r="2615">
          <cell r="B2615">
            <v>3069</v>
          </cell>
          <cell r="C2615" t="str">
            <v>T-2063</v>
          </cell>
          <cell r="D2615" t="str">
            <v>CREPE ONE FACE</v>
          </cell>
          <cell r="E2615"/>
          <cell r="F2615" t="str">
            <v>T 100%</v>
          </cell>
          <cell r="G2615" t="str">
            <v>100% POLYESTER</v>
          </cell>
          <cell r="H2615" t="str">
            <v>57/58</v>
          </cell>
          <cell r="I2615">
            <v>240</v>
          </cell>
          <cell r="J2615">
            <v>3.05</v>
          </cell>
          <cell r="K2615"/>
          <cell r="L2615">
            <v>3.1</v>
          </cell>
          <cell r="M2615"/>
          <cell r="N2615">
            <v>3.1</v>
          </cell>
          <cell r="O2615"/>
          <cell r="P2615"/>
          <cell r="Q2615"/>
          <cell r="R2615">
            <v>3.65</v>
          </cell>
          <cell r="S2615"/>
          <cell r="T2615"/>
          <cell r="U2615"/>
          <cell r="V2615">
            <v>15</v>
          </cell>
          <cell r="W2615"/>
          <cell r="X2615" t="str">
            <v>LIVALTEX</v>
          </cell>
          <cell r="Y2615" t="str">
            <v>LIVALTEX 26-APRIL</v>
          </cell>
          <cell r="Z2615" t="str">
            <v>ROSE' MAIL 27/4/17</v>
          </cell>
          <cell r="AA2615"/>
          <cell r="AB2615">
            <v>42852</v>
          </cell>
          <cell r="AC2615">
            <v>3069</v>
          </cell>
        </row>
        <row r="2616">
          <cell r="B2616">
            <v>3068</v>
          </cell>
          <cell r="C2616" t="str">
            <v>T-1773</v>
          </cell>
          <cell r="D2616" t="str">
            <v>CREPE ONE FACE</v>
          </cell>
          <cell r="E2616"/>
          <cell r="F2616" t="str">
            <v>T 100%</v>
          </cell>
          <cell r="G2616" t="str">
            <v>100% POLYESTER</v>
          </cell>
          <cell r="H2616" t="str">
            <v>57/58</v>
          </cell>
          <cell r="I2616">
            <v>170</v>
          </cell>
          <cell r="J2616">
            <v>2.25</v>
          </cell>
          <cell r="K2616"/>
          <cell r="L2616">
            <v>2.2999999999999998</v>
          </cell>
          <cell r="M2616"/>
          <cell r="N2616">
            <v>2.2999999999999998</v>
          </cell>
          <cell r="O2616"/>
          <cell r="P2616"/>
          <cell r="Q2616"/>
          <cell r="R2616">
            <v>2.85</v>
          </cell>
          <cell r="S2616"/>
          <cell r="T2616"/>
          <cell r="U2616"/>
          <cell r="V2616">
            <v>15</v>
          </cell>
          <cell r="W2616"/>
          <cell r="X2616" t="str">
            <v>LIVALTEX</v>
          </cell>
          <cell r="Y2616" t="str">
            <v>LIVALTEX 26-APRIL</v>
          </cell>
          <cell r="Z2616" t="str">
            <v>ROSE' MAIL 27/4/17</v>
          </cell>
          <cell r="AA2616"/>
          <cell r="AB2616">
            <v>42852</v>
          </cell>
          <cell r="AC2616">
            <v>3068</v>
          </cell>
        </row>
        <row r="2617">
          <cell r="B2617">
            <v>1010</v>
          </cell>
          <cell r="C2617" t="str">
            <v>R012</v>
          </cell>
          <cell r="D2617" t="str">
            <v>PLAIN 30</v>
          </cell>
          <cell r="E2617" t="str">
            <v>30x30 / 68x68</v>
          </cell>
          <cell r="F2617" t="str">
            <v>R 100%</v>
          </cell>
          <cell r="G2617" t="str">
            <v>100%RAYON</v>
          </cell>
          <cell r="H2617" t="str">
            <v>53/54</v>
          </cell>
          <cell r="I2617">
            <v>120</v>
          </cell>
          <cell r="J2617">
            <v>1.1399999999999999</v>
          </cell>
          <cell r="K2617">
            <v>1.35</v>
          </cell>
          <cell r="L2617">
            <v>1.1599999999999999</v>
          </cell>
          <cell r="M2617">
            <v>1.43</v>
          </cell>
          <cell r="N2617">
            <v>1.21</v>
          </cell>
          <cell r="O2617">
            <v>1.47</v>
          </cell>
          <cell r="P2617"/>
          <cell r="Q2617"/>
          <cell r="R2617">
            <v>1.44</v>
          </cell>
          <cell r="S2617">
            <v>1.77</v>
          </cell>
          <cell r="T2617"/>
          <cell r="U2617"/>
          <cell r="V2617">
            <v>15</v>
          </cell>
          <cell r="W2617" t="str">
            <v>RANGE PRICES 1.000M UPDATE IN 20/3/17</v>
          </cell>
          <cell r="X2617" t="str">
            <v>TERESA</v>
          </cell>
          <cell r="Y2617" t="str">
            <v>TERESA 25-APRIL</v>
          </cell>
          <cell r="Z2617" t="str">
            <v>TERESA MAIL 27/4/17</v>
          </cell>
          <cell r="AA2617"/>
          <cell r="AB2617">
            <v>42852</v>
          </cell>
          <cell r="AC2617">
            <v>1010</v>
          </cell>
        </row>
        <row r="2618">
          <cell r="B2618">
            <v>981</v>
          </cell>
          <cell r="C2618" t="str">
            <v>R056</v>
          </cell>
          <cell r="D2618" t="str">
            <v>PLAIN 40</v>
          </cell>
          <cell r="E2618" t="str">
            <v>40x40 / 119x89</v>
          </cell>
          <cell r="F2618" t="str">
            <v>R 100%</v>
          </cell>
          <cell r="G2618" t="str">
            <v>100%RAYON</v>
          </cell>
          <cell r="H2618" t="str">
            <v>53/54</v>
          </cell>
          <cell r="I2618">
            <v>130</v>
          </cell>
          <cell r="J2618">
            <v>1.4</v>
          </cell>
          <cell r="K2618">
            <v>1.62</v>
          </cell>
          <cell r="L2618">
            <v>1.42</v>
          </cell>
          <cell r="M2618">
            <v>1.67</v>
          </cell>
          <cell r="N2618">
            <v>1.44</v>
          </cell>
          <cell r="O2618">
            <v>1.73</v>
          </cell>
          <cell r="P2618"/>
          <cell r="Q2618"/>
          <cell r="R2618">
            <v>1.47</v>
          </cell>
          <cell r="S2618">
            <v>2.2200000000000002</v>
          </cell>
          <cell r="T2618">
            <v>1.44</v>
          </cell>
          <cell r="U2618">
            <v>1.73</v>
          </cell>
          <cell r="V2618">
            <v>15</v>
          </cell>
          <cell r="W2618"/>
          <cell r="X2618" t="str">
            <v>TERESA</v>
          </cell>
          <cell r="Y2618" t="str">
            <v>TERESA 25-APRIL</v>
          </cell>
          <cell r="Z2618" t="str">
            <v>TERESA MAIL 27/4/17</v>
          </cell>
          <cell r="AA2618"/>
          <cell r="AB2618">
            <v>42852</v>
          </cell>
          <cell r="AC2618">
            <v>981</v>
          </cell>
        </row>
        <row r="2619">
          <cell r="B2619">
            <v>934</v>
          </cell>
          <cell r="C2619" t="str">
            <v>R011</v>
          </cell>
          <cell r="D2619" t="str">
            <v>GAUZE</v>
          </cell>
          <cell r="E2619"/>
          <cell r="F2619" t="str">
            <v>R 100%</v>
          </cell>
          <cell r="G2619" t="str">
            <v>100%RAYON</v>
          </cell>
          <cell r="H2619" t="str">
            <v>52/53</v>
          </cell>
          <cell r="I2619">
            <v>130</v>
          </cell>
          <cell r="J2619">
            <v>1.28</v>
          </cell>
          <cell r="K2619">
            <v>1.57</v>
          </cell>
          <cell r="L2619">
            <v>1.29</v>
          </cell>
          <cell r="M2619">
            <v>1.6</v>
          </cell>
          <cell r="N2619">
            <v>1.31</v>
          </cell>
          <cell r="O2619">
            <v>1.66</v>
          </cell>
          <cell r="P2619"/>
          <cell r="Q2619"/>
          <cell r="R2619">
            <v>1.41</v>
          </cell>
          <cell r="S2619">
            <v>2.11</v>
          </cell>
          <cell r="T2619"/>
          <cell r="U2619"/>
          <cell r="V2619">
            <v>15</v>
          </cell>
          <cell r="W2619"/>
          <cell r="X2619" t="str">
            <v>TERESA</v>
          </cell>
          <cell r="Y2619" t="str">
            <v>TERESA 25-APRIL</v>
          </cell>
          <cell r="Z2619" t="str">
            <v>TERESA MAIL 27/4/17</v>
          </cell>
          <cell r="AA2619"/>
          <cell r="AB2619">
            <v>42852</v>
          </cell>
          <cell r="AC2619">
            <v>934</v>
          </cell>
        </row>
        <row r="2620">
          <cell r="B2620">
            <v>3067</v>
          </cell>
          <cell r="C2620" t="str">
            <v>XP99</v>
          </cell>
          <cell r="D2620" t="str">
            <v>LACE</v>
          </cell>
          <cell r="E2620"/>
          <cell r="F2620" t="str">
            <v>C/N 60/40</v>
          </cell>
          <cell r="G2620" t="str">
            <v>60% COTTON 40% NYLON</v>
          </cell>
          <cell r="H2620" t="str">
            <v>130CM</v>
          </cell>
          <cell r="I2620">
            <v>198</v>
          </cell>
          <cell r="J2620">
            <v>3.8</v>
          </cell>
          <cell r="K2620"/>
          <cell r="L2620">
            <v>3.8</v>
          </cell>
          <cell r="M2620"/>
          <cell r="N2620">
            <v>3.85</v>
          </cell>
          <cell r="O2620"/>
          <cell r="P2620"/>
          <cell r="Q2620"/>
          <cell r="R2620">
            <v>3.9</v>
          </cell>
          <cell r="S2620"/>
          <cell r="T2620"/>
          <cell r="U2620"/>
          <cell r="V2620">
            <v>15</v>
          </cell>
          <cell r="W2620"/>
          <cell r="X2620" t="str">
            <v>ANGELA</v>
          </cell>
          <cell r="Y2620" t="str">
            <v>ANGELA 24-APRIL</v>
          </cell>
          <cell r="Z2620" t="str">
            <v>ANGELA' MAIL 25/4/17</v>
          </cell>
          <cell r="AA2620"/>
          <cell r="AB2620">
            <v>42851</v>
          </cell>
          <cell r="AC2620">
            <v>3067</v>
          </cell>
        </row>
        <row r="2621">
          <cell r="B2621">
            <v>3066</v>
          </cell>
          <cell r="C2621" t="str">
            <v>XP101</v>
          </cell>
          <cell r="D2621" t="str">
            <v>LACE</v>
          </cell>
          <cell r="E2621"/>
          <cell r="F2621" t="str">
            <v>C/N 60/40</v>
          </cell>
          <cell r="G2621" t="str">
            <v>60% COTTON 40% NYLON</v>
          </cell>
          <cell r="H2621" t="str">
            <v>130CM</v>
          </cell>
          <cell r="I2621">
            <v>102</v>
          </cell>
          <cell r="J2621">
            <v>3.8</v>
          </cell>
          <cell r="K2621"/>
          <cell r="L2621">
            <v>3.8</v>
          </cell>
          <cell r="M2621"/>
          <cell r="N2621">
            <v>3.85</v>
          </cell>
          <cell r="O2621"/>
          <cell r="P2621"/>
          <cell r="Q2621"/>
          <cell r="R2621">
            <v>3.9</v>
          </cell>
          <cell r="S2621"/>
          <cell r="T2621"/>
          <cell r="U2621"/>
          <cell r="V2621">
            <v>15</v>
          </cell>
          <cell r="W2621"/>
          <cell r="X2621" t="str">
            <v>ANGELA</v>
          </cell>
          <cell r="Y2621" t="str">
            <v>ANGELA 24-APRIL</v>
          </cell>
          <cell r="Z2621" t="str">
            <v>ANGELA' MAIL 25/4/17</v>
          </cell>
          <cell r="AA2621"/>
          <cell r="AB2621">
            <v>42851</v>
          </cell>
          <cell r="AC2621">
            <v>3066</v>
          </cell>
        </row>
        <row r="2622">
          <cell r="B2622">
            <v>3065</v>
          </cell>
          <cell r="C2622" t="str">
            <v>XP100</v>
          </cell>
          <cell r="D2622" t="str">
            <v>LACE</v>
          </cell>
          <cell r="E2622"/>
          <cell r="F2622" t="str">
            <v>C/N 60/40</v>
          </cell>
          <cell r="G2622" t="str">
            <v>60% COTTON 40% NYLON</v>
          </cell>
          <cell r="H2622" t="str">
            <v>130CM</v>
          </cell>
          <cell r="I2622">
            <v>170</v>
          </cell>
          <cell r="J2622">
            <v>3.8</v>
          </cell>
          <cell r="K2622"/>
          <cell r="L2622">
            <v>3.8</v>
          </cell>
          <cell r="M2622"/>
          <cell r="N2622">
            <v>3.85</v>
          </cell>
          <cell r="O2622"/>
          <cell r="P2622"/>
          <cell r="Q2622"/>
          <cell r="R2622">
            <v>3.9</v>
          </cell>
          <cell r="S2622"/>
          <cell r="T2622"/>
          <cell r="U2622"/>
          <cell r="V2622">
            <v>15</v>
          </cell>
          <cell r="W2622"/>
          <cell r="X2622" t="str">
            <v>ANGELA</v>
          </cell>
          <cell r="Y2622" t="str">
            <v>ANGELA 24-APRIL</v>
          </cell>
          <cell r="Z2622" t="str">
            <v>ANGELA' MAIL 25/4/17</v>
          </cell>
          <cell r="AA2622"/>
          <cell r="AB2622">
            <v>42851</v>
          </cell>
          <cell r="AC2622">
            <v>3065</v>
          </cell>
        </row>
        <row r="2623">
          <cell r="B2623">
            <v>3064</v>
          </cell>
          <cell r="C2623" t="str">
            <v>T3165-ME</v>
          </cell>
          <cell r="D2623" t="str">
            <v>LACE</v>
          </cell>
          <cell r="E2623"/>
          <cell r="F2623" t="str">
            <v>C/N 60/40</v>
          </cell>
          <cell r="G2623" t="str">
            <v>60% COTTON 40% NYLON</v>
          </cell>
          <cell r="H2623" t="str">
            <v>150CM</v>
          </cell>
          <cell r="I2623">
            <v>171</v>
          </cell>
          <cell r="J2623">
            <v>2.1</v>
          </cell>
          <cell r="K2623"/>
          <cell r="L2623">
            <v>2.2000000000000002</v>
          </cell>
          <cell r="M2623"/>
          <cell r="N2623">
            <v>2.2000000000000002</v>
          </cell>
          <cell r="O2623"/>
          <cell r="P2623"/>
          <cell r="Q2623"/>
          <cell r="R2623">
            <v>2.2999999999999998</v>
          </cell>
          <cell r="S2623"/>
          <cell r="T2623"/>
          <cell r="U2623"/>
          <cell r="V2623">
            <v>15</v>
          </cell>
          <cell r="W2623"/>
          <cell r="X2623" t="str">
            <v>ANGELA</v>
          </cell>
          <cell r="Y2623" t="str">
            <v>ANGELA 24-APRIL</v>
          </cell>
          <cell r="Z2623" t="str">
            <v>ANGELA' MAIL 25/4/17</v>
          </cell>
          <cell r="AA2623"/>
          <cell r="AB2623">
            <v>42851</v>
          </cell>
          <cell r="AC2623">
            <v>3064</v>
          </cell>
        </row>
        <row r="2624">
          <cell r="B2624">
            <v>3063</v>
          </cell>
          <cell r="C2624" t="str">
            <v>T3045-1-M</v>
          </cell>
          <cell r="D2624" t="str">
            <v>LACE</v>
          </cell>
          <cell r="E2624"/>
          <cell r="F2624" t="str">
            <v>C/N 60/40</v>
          </cell>
          <cell r="G2624" t="str">
            <v>60% COTTON 40% NYLON</v>
          </cell>
          <cell r="H2624" t="str">
            <v>150CM</v>
          </cell>
          <cell r="I2624">
            <v>145</v>
          </cell>
          <cell r="J2624">
            <v>2.0499999999999998</v>
          </cell>
          <cell r="K2624"/>
          <cell r="L2624">
            <v>2.0499999999999998</v>
          </cell>
          <cell r="M2624"/>
          <cell r="N2624">
            <v>2.1</v>
          </cell>
          <cell r="O2624"/>
          <cell r="P2624"/>
          <cell r="Q2624"/>
          <cell r="R2624">
            <v>2.2000000000000002</v>
          </cell>
          <cell r="S2624"/>
          <cell r="T2624"/>
          <cell r="U2624"/>
          <cell r="V2624">
            <v>15</v>
          </cell>
          <cell r="W2624"/>
          <cell r="X2624" t="str">
            <v>ANGELA</v>
          </cell>
          <cell r="Y2624" t="str">
            <v>ANGELA 24-APRIL</v>
          </cell>
          <cell r="Z2624" t="str">
            <v>ANGELA' MAIL 25/4/17</v>
          </cell>
          <cell r="AA2624"/>
          <cell r="AB2624">
            <v>42851</v>
          </cell>
          <cell r="AC2624">
            <v>3063</v>
          </cell>
        </row>
        <row r="2625">
          <cell r="B2625">
            <v>3062</v>
          </cell>
          <cell r="C2625" t="str">
            <v>T2692-ME</v>
          </cell>
          <cell r="D2625" t="str">
            <v>LACE</v>
          </cell>
          <cell r="E2625"/>
          <cell r="F2625" t="str">
            <v>C/N 60/40</v>
          </cell>
          <cell r="G2625" t="str">
            <v>60% COTTON 40% NYLON</v>
          </cell>
          <cell r="H2625" t="str">
            <v>150CM</v>
          </cell>
          <cell r="I2625">
            <v>163</v>
          </cell>
          <cell r="J2625">
            <v>2.2000000000000002</v>
          </cell>
          <cell r="K2625"/>
          <cell r="L2625">
            <v>2.2999999999999998</v>
          </cell>
          <cell r="M2625"/>
          <cell r="N2625">
            <v>2.4</v>
          </cell>
          <cell r="O2625"/>
          <cell r="P2625"/>
          <cell r="Q2625"/>
          <cell r="R2625">
            <v>2.5</v>
          </cell>
          <cell r="S2625"/>
          <cell r="T2625"/>
          <cell r="U2625"/>
          <cell r="V2625">
            <v>15</v>
          </cell>
          <cell r="W2625"/>
          <cell r="X2625" t="str">
            <v>ANGELA</v>
          </cell>
          <cell r="Y2625" t="str">
            <v>ANGELA 24-APRIL</v>
          </cell>
          <cell r="Z2625" t="str">
            <v>ANGELA' MAIL 25/4/17</v>
          </cell>
          <cell r="AA2625"/>
          <cell r="AB2625">
            <v>42851</v>
          </cell>
          <cell r="AC2625">
            <v>3062</v>
          </cell>
        </row>
        <row r="2626">
          <cell r="B2626">
            <v>3061</v>
          </cell>
          <cell r="C2626" t="str">
            <v>T2275-M</v>
          </cell>
          <cell r="D2626" t="str">
            <v>LACE</v>
          </cell>
          <cell r="E2626"/>
          <cell r="F2626" t="str">
            <v>C/N 60/40</v>
          </cell>
          <cell r="G2626" t="str">
            <v>60% COTTON 40% NYLON</v>
          </cell>
          <cell r="H2626" t="str">
            <v>150CM</v>
          </cell>
          <cell r="I2626">
            <v>101</v>
          </cell>
          <cell r="J2626">
            <v>2.0499999999999998</v>
          </cell>
          <cell r="K2626"/>
          <cell r="L2626">
            <v>2.0499999999999998</v>
          </cell>
          <cell r="M2626"/>
          <cell r="N2626">
            <v>2.1</v>
          </cell>
          <cell r="O2626"/>
          <cell r="P2626"/>
          <cell r="Q2626"/>
          <cell r="R2626">
            <v>2.2000000000000002</v>
          </cell>
          <cell r="S2626"/>
          <cell r="T2626"/>
          <cell r="U2626"/>
          <cell r="V2626">
            <v>15</v>
          </cell>
          <cell r="W2626"/>
          <cell r="X2626" t="str">
            <v>ANGELA</v>
          </cell>
          <cell r="Y2626" t="str">
            <v>ANGELA 24-APRIL</v>
          </cell>
          <cell r="Z2626" t="str">
            <v>ANGELA' MAIL 25/4/17</v>
          </cell>
          <cell r="AA2626"/>
          <cell r="AB2626">
            <v>42851</v>
          </cell>
          <cell r="AC2626">
            <v>3061</v>
          </cell>
        </row>
        <row r="2627">
          <cell r="B2627">
            <v>3060</v>
          </cell>
          <cell r="C2627" t="str">
            <v>T1908-MG</v>
          </cell>
          <cell r="D2627" t="str">
            <v>LACE</v>
          </cell>
          <cell r="E2627"/>
          <cell r="F2627" t="str">
            <v>C/N 65/35</v>
          </cell>
          <cell r="G2627" t="str">
            <v>65% COTTON 35% NYLON</v>
          </cell>
          <cell r="H2627" t="str">
            <v>150CM</v>
          </cell>
          <cell r="I2627">
            <v>119</v>
          </cell>
          <cell r="J2627">
            <v>2.0499999999999998</v>
          </cell>
          <cell r="K2627"/>
          <cell r="L2627">
            <v>2.0499999999999998</v>
          </cell>
          <cell r="M2627"/>
          <cell r="N2627">
            <v>2.1</v>
          </cell>
          <cell r="O2627"/>
          <cell r="P2627"/>
          <cell r="Q2627"/>
          <cell r="R2627">
            <v>2.2000000000000002</v>
          </cell>
          <cell r="S2627"/>
          <cell r="T2627"/>
          <cell r="U2627"/>
          <cell r="V2627">
            <v>15</v>
          </cell>
          <cell r="W2627"/>
          <cell r="X2627" t="str">
            <v>ANGELA</v>
          </cell>
          <cell r="Y2627" t="str">
            <v>ANGELA 24-APRIL</v>
          </cell>
          <cell r="Z2627" t="str">
            <v>ANGELA' MAIL 25/4/17</v>
          </cell>
          <cell r="AA2627"/>
          <cell r="AB2627">
            <v>42851</v>
          </cell>
          <cell r="AC2627">
            <v>3060</v>
          </cell>
        </row>
        <row r="2628">
          <cell r="B2628">
            <v>3059</v>
          </cell>
          <cell r="C2628" t="str">
            <v>T1455-MG</v>
          </cell>
          <cell r="D2628" t="str">
            <v>LACE</v>
          </cell>
          <cell r="E2628"/>
          <cell r="F2628" t="str">
            <v>N/R 70/30</v>
          </cell>
          <cell r="G2628" t="str">
            <v>70% NYLON 30% RAYON</v>
          </cell>
          <cell r="H2628" t="str">
            <v>150CM</v>
          </cell>
          <cell r="I2628">
            <v>128</v>
          </cell>
          <cell r="J2628">
            <v>2.2000000000000002</v>
          </cell>
          <cell r="K2628"/>
          <cell r="L2628">
            <v>2.2000000000000002</v>
          </cell>
          <cell r="M2628"/>
          <cell r="N2628">
            <v>2.2999999999999998</v>
          </cell>
          <cell r="O2628"/>
          <cell r="P2628"/>
          <cell r="Q2628"/>
          <cell r="R2628">
            <v>2.4</v>
          </cell>
          <cell r="S2628"/>
          <cell r="T2628"/>
          <cell r="U2628"/>
          <cell r="V2628">
            <v>15</v>
          </cell>
          <cell r="W2628"/>
          <cell r="X2628" t="str">
            <v>ANGELA</v>
          </cell>
          <cell r="Y2628" t="str">
            <v>ANGELA 24-APRIL</v>
          </cell>
          <cell r="Z2628" t="str">
            <v>ANGELA' MAIL 25/4/17</v>
          </cell>
          <cell r="AA2628"/>
          <cell r="AB2628">
            <v>42851</v>
          </cell>
          <cell r="AC2628">
            <v>3059</v>
          </cell>
        </row>
        <row r="2629">
          <cell r="B2629">
            <v>3058</v>
          </cell>
          <cell r="C2629" t="str">
            <v>OLP-1741104XS</v>
          </cell>
          <cell r="D2629" t="str">
            <v>CDC-PLAIN</v>
          </cell>
          <cell r="E2629"/>
          <cell r="F2629" t="str">
            <v>T 100%</v>
          </cell>
          <cell r="G2629" t="str">
            <v>100% POLYESTER</v>
          </cell>
          <cell r="H2629" t="str">
            <v>57/58</v>
          </cell>
          <cell r="I2629">
            <v>115</v>
          </cell>
          <cell r="J2629">
            <v>1.1499999999999999</v>
          </cell>
          <cell r="K2629">
            <v>1.4</v>
          </cell>
          <cell r="L2629">
            <v>1.25</v>
          </cell>
          <cell r="M2629">
            <v>1.5</v>
          </cell>
          <cell r="N2629">
            <v>1.4</v>
          </cell>
          <cell r="O2629">
            <v>1.7</v>
          </cell>
          <cell r="P2629"/>
          <cell r="Q2629"/>
          <cell r="R2629">
            <v>1.55</v>
          </cell>
          <cell r="S2629">
            <v>2.15</v>
          </cell>
          <cell r="T2629"/>
          <cell r="U2629"/>
          <cell r="V2629">
            <v>15</v>
          </cell>
          <cell r="W2629"/>
          <cell r="X2629" t="str">
            <v>OWEN</v>
          </cell>
          <cell r="Y2629" t="str">
            <v>OWEN 22-APRIL'</v>
          </cell>
          <cell r="Z2629" t="str">
            <v>SANDY' MAIL 25/4/17</v>
          </cell>
          <cell r="AA2629"/>
          <cell r="AB2629">
            <v>42851</v>
          </cell>
          <cell r="AC2629">
            <v>3058</v>
          </cell>
        </row>
        <row r="2630">
          <cell r="B2630">
            <v>3057</v>
          </cell>
          <cell r="C2630" t="str">
            <v>OLP-1741103XS</v>
          </cell>
          <cell r="D2630" t="str">
            <v>BUBBLE</v>
          </cell>
          <cell r="E2630"/>
          <cell r="F2630" t="str">
            <v>T/S 98/2</v>
          </cell>
          <cell r="G2630" t="str">
            <v>98% POLYESTER 2% SPANDEX</v>
          </cell>
          <cell r="H2630" t="str">
            <v>57/58</v>
          </cell>
          <cell r="I2630">
            <v>120</v>
          </cell>
          <cell r="J2630">
            <v>1.48</v>
          </cell>
          <cell r="K2630">
            <v>1.8</v>
          </cell>
          <cell r="L2630">
            <v>1.55</v>
          </cell>
          <cell r="M2630">
            <v>1.9</v>
          </cell>
          <cell r="N2630">
            <v>1.7</v>
          </cell>
          <cell r="O2630">
            <v>2.0499999999999998</v>
          </cell>
          <cell r="P2630"/>
          <cell r="Q2630"/>
          <cell r="R2630">
            <v>1.85</v>
          </cell>
          <cell r="S2630">
            <v>2.5</v>
          </cell>
          <cell r="T2630"/>
          <cell r="U2630"/>
          <cell r="V2630">
            <v>15</v>
          </cell>
          <cell r="W2630"/>
          <cell r="X2630" t="str">
            <v>OWEN</v>
          </cell>
          <cell r="Y2630" t="str">
            <v>OWEN 22-APRIL'</v>
          </cell>
          <cell r="Z2630" t="str">
            <v>SANDY' MAIL 25/4/17</v>
          </cell>
          <cell r="AA2630"/>
          <cell r="AB2630">
            <v>42851</v>
          </cell>
          <cell r="AC2630">
            <v>3057</v>
          </cell>
        </row>
        <row r="2631">
          <cell r="B2631">
            <v>3056</v>
          </cell>
          <cell r="C2631" t="str">
            <v>OLP-1741101XS</v>
          </cell>
          <cell r="D2631" t="str">
            <v>BUBBLE</v>
          </cell>
          <cell r="E2631"/>
          <cell r="F2631" t="str">
            <v>T 100%</v>
          </cell>
          <cell r="G2631" t="str">
            <v>100% POLYESTER</v>
          </cell>
          <cell r="H2631" t="str">
            <v>57/58</v>
          </cell>
          <cell r="I2631">
            <v>115</v>
          </cell>
          <cell r="J2631">
            <v>1.43</v>
          </cell>
          <cell r="K2631">
            <v>1.75</v>
          </cell>
          <cell r="L2631">
            <v>1.5</v>
          </cell>
          <cell r="M2631">
            <v>1.85</v>
          </cell>
          <cell r="N2631">
            <v>1.65</v>
          </cell>
          <cell r="O2631">
            <v>2</v>
          </cell>
          <cell r="P2631"/>
          <cell r="Q2631"/>
          <cell r="R2631">
            <v>1.8</v>
          </cell>
          <cell r="S2631">
            <v>2.4500000000000002</v>
          </cell>
          <cell r="T2631"/>
          <cell r="U2631"/>
          <cell r="V2631">
            <v>15</v>
          </cell>
          <cell r="W2631"/>
          <cell r="X2631" t="str">
            <v>OWEN</v>
          </cell>
          <cell r="Y2631" t="str">
            <v>OWEN 22-APRIL'</v>
          </cell>
          <cell r="Z2631" t="str">
            <v>SANDY' MAIL 25/4/17</v>
          </cell>
          <cell r="AA2631"/>
          <cell r="AB2631">
            <v>42851</v>
          </cell>
          <cell r="AC2631">
            <v>3056</v>
          </cell>
        </row>
        <row r="2632">
          <cell r="B2632">
            <v>3055</v>
          </cell>
          <cell r="C2632" t="str">
            <v>KPW-22284</v>
          </cell>
          <cell r="D2632" t="str">
            <v>WASHED</v>
          </cell>
          <cell r="E2632"/>
          <cell r="F2632" t="str">
            <v>T/C 80/20</v>
          </cell>
          <cell r="G2632" t="str">
            <v>80% POLYESTER 20%C - 45X45</v>
          </cell>
          <cell r="H2632" t="str">
            <v>57/58</v>
          </cell>
          <cell r="I2632">
            <v>70</v>
          </cell>
          <cell r="J2632">
            <v>0.85</v>
          </cell>
          <cell r="K2632">
            <v>1.1499999999999999</v>
          </cell>
          <cell r="L2632"/>
          <cell r="M2632"/>
          <cell r="N2632">
            <v>0.9</v>
          </cell>
          <cell r="O2632">
            <v>1.2</v>
          </cell>
          <cell r="P2632"/>
          <cell r="Q2632"/>
          <cell r="R2632">
            <v>1.1000000000000001</v>
          </cell>
          <cell r="S2632">
            <v>1.4</v>
          </cell>
          <cell r="T2632"/>
          <cell r="U2632"/>
          <cell r="V2632">
            <v>15</v>
          </cell>
          <cell r="W2632"/>
          <cell r="X2632" t="str">
            <v>PANI</v>
          </cell>
          <cell r="Y2632" t="str">
            <v>PANY 25-APRIL</v>
          </cell>
          <cell r="Z2632" t="str">
            <v>AMY SENT VIA WECHAT 25/4/17</v>
          </cell>
          <cell r="AA2632"/>
          <cell r="AB2632">
            <v>42851</v>
          </cell>
          <cell r="AC2632">
            <v>3055</v>
          </cell>
        </row>
        <row r="2633">
          <cell r="B2633">
            <v>3054</v>
          </cell>
          <cell r="C2633" t="str">
            <v>WW-23433</v>
          </cell>
          <cell r="D2633" t="str">
            <v>WASHED</v>
          </cell>
          <cell r="E2633"/>
          <cell r="F2633" t="str">
            <v>T/C 65/35</v>
          </cell>
          <cell r="G2633" t="str">
            <v>65% POLYESTER 35% C -  TC45</v>
          </cell>
          <cell r="H2633" t="str">
            <v>57/58</v>
          </cell>
          <cell r="I2633">
            <v>63</v>
          </cell>
          <cell r="J2633">
            <v>0.95</v>
          </cell>
          <cell r="K2633">
            <v>1.25</v>
          </cell>
          <cell r="L2633"/>
          <cell r="M2633"/>
          <cell r="N2633">
            <v>1</v>
          </cell>
          <cell r="O2633">
            <v>1.3</v>
          </cell>
          <cell r="P2633"/>
          <cell r="Q2633"/>
          <cell r="R2633">
            <v>1.2</v>
          </cell>
          <cell r="S2633">
            <v>1.5</v>
          </cell>
          <cell r="T2633"/>
          <cell r="U2633"/>
          <cell r="V2633">
            <v>15</v>
          </cell>
          <cell r="W2633"/>
          <cell r="X2633" t="str">
            <v>PANI</v>
          </cell>
          <cell r="Y2633" t="str">
            <v>PANY 25-APRIL</v>
          </cell>
          <cell r="Z2633" t="str">
            <v>AMY SENT VIA WECHAT 25/4/17</v>
          </cell>
          <cell r="AA2633"/>
          <cell r="AB2633">
            <v>42851</v>
          </cell>
          <cell r="AC2633">
            <v>3054</v>
          </cell>
        </row>
        <row r="2634">
          <cell r="B2634">
            <v>3053</v>
          </cell>
          <cell r="C2634" t="str">
            <v>GL1361 PRINT</v>
          </cell>
          <cell r="D2634" t="str">
            <v>PONTE ROMA PRINT</v>
          </cell>
          <cell r="E2634"/>
          <cell r="F2634" t="str">
            <v>T/R/S 75/20/5</v>
          </cell>
          <cell r="G2634" t="str">
            <v>75% POLYESTER 20% RAYON 5% SPANDEX</v>
          </cell>
          <cell r="H2634" t="str">
            <v>145CM</v>
          </cell>
          <cell r="I2634" t="str">
            <v>285-300</v>
          </cell>
          <cell r="J2634"/>
          <cell r="K2634">
            <v>2.34</v>
          </cell>
          <cell r="L2634"/>
          <cell r="M2634">
            <v>2.35</v>
          </cell>
          <cell r="N2634"/>
          <cell r="O2634">
            <v>2.37</v>
          </cell>
          <cell r="P2634"/>
          <cell r="Q2634"/>
          <cell r="R2634"/>
          <cell r="S2634">
            <v>2.4500000000000002</v>
          </cell>
          <cell r="T2634"/>
          <cell r="U2634"/>
          <cell r="V2634">
            <v>15</v>
          </cell>
          <cell r="W2634"/>
          <cell r="X2634" t="str">
            <v>NICKY</v>
          </cell>
          <cell r="Y2634" t="str">
            <v>NICKY 26-APRIL</v>
          </cell>
          <cell r="Z2634" t="str">
            <v>NICKY' MAIL 26/4/17</v>
          </cell>
          <cell r="AA2634"/>
          <cell r="AB2634">
            <v>42851</v>
          </cell>
          <cell r="AC2634">
            <v>3053</v>
          </cell>
        </row>
        <row r="2635">
          <cell r="B2635">
            <v>934</v>
          </cell>
          <cell r="C2635" t="str">
            <v>R011</v>
          </cell>
          <cell r="D2635" t="str">
            <v>GAUZE</v>
          </cell>
          <cell r="E2635"/>
          <cell r="F2635" t="str">
            <v>R 100%</v>
          </cell>
          <cell r="G2635" t="str">
            <v>100%RAYON</v>
          </cell>
          <cell r="H2635" t="str">
            <v>52/53</v>
          </cell>
          <cell r="I2635">
            <v>130</v>
          </cell>
          <cell r="J2635">
            <v>1.28</v>
          </cell>
          <cell r="K2635">
            <v>1.59</v>
          </cell>
          <cell r="L2635">
            <v>1.29</v>
          </cell>
          <cell r="M2635">
            <v>1.65</v>
          </cell>
          <cell r="N2635">
            <v>1.31</v>
          </cell>
          <cell r="O2635">
            <v>1.71</v>
          </cell>
          <cell r="P2635"/>
          <cell r="Q2635"/>
          <cell r="R2635">
            <v>1.41</v>
          </cell>
          <cell r="S2635">
            <v>2.31</v>
          </cell>
          <cell r="T2635"/>
          <cell r="U2635"/>
          <cell r="V2635">
            <v>15</v>
          </cell>
          <cell r="W2635"/>
          <cell r="X2635" t="str">
            <v>TERESA</v>
          </cell>
          <cell r="Y2635" t="str">
            <v>TERESA 25-APRIL</v>
          </cell>
          <cell r="Z2635" t="str">
            <v>TERESA MAIL 25/4/17</v>
          </cell>
          <cell r="AA2635"/>
          <cell r="AB2635">
            <v>42851</v>
          </cell>
          <cell r="AC2635">
            <v>934</v>
          </cell>
        </row>
        <row r="2636">
          <cell r="B2636">
            <v>563</v>
          </cell>
          <cell r="C2636" t="str">
            <v>TS-113</v>
          </cell>
          <cell r="D2636" t="str">
            <v>LACE</v>
          </cell>
          <cell r="E2636"/>
          <cell r="F2636" t="str">
            <v>T 100%</v>
          </cell>
          <cell r="G2636" t="str">
            <v xml:space="preserve">100% POLYESTER </v>
          </cell>
          <cell r="H2636" t="str">
            <v>53/54</v>
          </cell>
          <cell r="I2636"/>
          <cell r="J2636">
            <v>3.37</v>
          </cell>
          <cell r="K2636">
            <v>3.54</v>
          </cell>
          <cell r="L2636">
            <v>3.4</v>
          </cell>
          <cell r="M2636">
            <v>3.6</v>
          </cell>
          <cell r="N2636">
            <v>3.4</v>
          </cell>
          <cell r="O2636">
            <v>3.6</v>
          </cell>
          <cell r="P2636"/>
          <cell r="Q2636"/>
          <cell r="R2636">
            <v>3.55</v>
          </cell>
          <cell r="S2636">
            <v>3.8</v>
          </cell>
          <cell r="T2636"/>
          <cell r="U2636"/>
          <cell r="V2636"/>
          <cell r="W2636"/>
          <cell r="X2636" t="str">
            <v>GAVIN</v>
          </cell>
          <cell r="Y2636" t="str">
            <v>GAVIN 26-APRIL</v>
          </cell>
          <cell r="Z2636" t="str">
            <v>GAVIL' MAIL 26/4/17</v>
          </cell>
          <cell r="AA2636"/>
          <cell r="AB2636">
            <v>42851</v>
          </cell>
          <cell r="AC2636">
            <v>563</v>
          </cell>
        </row>
        <row r="2637">
          <cell r="B2637">
            <v>3052</v>
          </cell>
          <cell r="C2637" t="str">
            <v>OLP-1741102XS</v>
          </cell>
          <cell r="D2637" t="str">
            <v>CRINKLE</v>
          </cell>
          <cell r="E2637" t="str">
            <v>75x150/65x33</v>
          </cell>
          <cell r="F2637" t="str">
            <v>T 100%</v>
          </cell>
          <cell r="G2637" t="str">
            <v>100% POLYESTER</v>
          </cell>
          <cell r="H2637" t="str">
            <v>57/58</v>
          </cell>
          <cell r="I2637">
            <v>124</v>
          </cell>
          <cell r="J2637">
            <v>1.36</v>
          </cell>
          <cell r="K2637">
            <v>1.67</v>
          </cell>
          <cell r="L2637">
            <v>1.45</v>
          </cell>
          <cell r="M2637">
            <v>1.8</v>
          </cell>
          <cell r="N2637">
            <v>1.6</v>
          </cell>
          <cell r="O2637">
            <v>1.95</v>
          </cell>
          <cell r="P2637"/>
          <cell r="Q2637"/>
          <cell r="R2637">
            <v>1.75</v>
          </cell>
          <cell r="S2637">
            <v>2.4</v>
          </cell>
          <cell r="T2637"/>
          <cell r="U2637"/>
          <cell r="V2637">
            <v>15</v>
          </cell>
          <cell r="W2637"/>
          <cell r="X2637" t="str">
            <v>OWEN</v>
          </cell>
          <cell r="Y2637" t="str">
            <v>OWEN 22-APRIL'</v>
          </cell>
          <cell r="Z2637" t="str">
            <v>SANDY' MAIL 24/4/17</v>
          </cell>
          <cell r="AA2637"/>
          <cell r="AB2637">
            <v>42850</v>
          </cell>
          <cell r="AC2637">
            <v>3052</v>
          </cell>
        </row>
        <row r="2638">
          <cell r="B2638">
            <v>2256</v>
          </cell>
          <cell r="C2638" t="str">
            <v>HLT1139</v>
          </cell>
          <cell r="D2638" t="str">
            <v>TAILORING</v>
          </cell>
          <cell r="E2638"/>
          <cell r="F2638" t="str">
            <v>T/R/S 63/32/5</v>
          </cell>
          <cell r="G2638" t="str">
            <v>63% POLYESTER 32% RAYON 5% SPAN</v>
          </cell>
          <cell r="H2638" t="str">
            <v>57/58</v>
          </cell>
          <cell r="I2638">
            <v>220</v>
          </cell>
          <cell r="J2638">
            <v>2.15</v>
          </cell>
          <cell r="K2638">
            <v>0</v>
          </cell>
          <cell r="L2638">
            <v>2.15</v>
          </cell>
          <cell r="M2638"/>
          <cell r="N2638">
            <v>2.15</v>
          </cell>
          <cell r="O2638">
            <v>0</v>
          </cell>
          <cell r="P2638"/>
          <cell r="Q2638"/>
          <cell r="R2638">
            <v>2.35</v>
          </cell>
          <cell r="S2638">
            <v>0</v>
          </cell>
          <cell r="T2638"/>
          <cell r="U2638"/>
          <cell r="V2638">
            <v>15</v>
          </cell>
          <cell r="W2638"/>
          <cell r="X2638" t="str">
            <v>CANDY</v>
          </cell>
          <cell r="Y2638" t="str">
            <v>CANDY 21-APRIL</v>
          </cell>
          <cell r="Z2638" t="str">
            <v>CANDY' MAIL 25/4/17</v>
          </cell>
          <cell r="AA2638"/>
          <cell r="AB2638">
            <v>42850</v>
          </cell>
          <cell r="AC2638">
            <v>2256</v>
          </cell>
        </row>
        <row r="2639">
          <cell r="B2639">
            <v>1942</v>
          </cell>
          <cell r="C2639" t="str">
            <v>BG2573</v>
          </cell>
          <cell r="D2639" t="str">
            <v>SINGLE JERSEY - ITY</v>
          </cell>
          <cell r="E2639" t="str">
            <v>SINGLE JERSEY</v>
          </cell>
          <cell r="F2639" t="str">
            <v>T/S 95/5</v>
          </cell>
          <cell r="G2639" t="str">
            <v>95%POLYESTER 5%SPAN</v>
          </cell>
          <cell r="H2639" t="str">
            <v>58/60</v>
          </cell>
          <cell r="I2639">
            <v>210</v>
          </cell>
          <cell r="J2639">
            <v>1.65</v>
          </cell>
          <cell r="K2639">
            <v>1.85</v>
          </cell>
          <cell r="L2639"/>
          <cell r="M2639"/>
          <cell r="N2639">
            <v>1.7</v>
          </cell>
          <cell r="O2639">
            <v>1.9</v>
          </cell>
          <cell r="P2639"/>
          <cell r="Q2639"/>
          <cell r="R2639">
            <v>1.85</v>
          </cell>
          <cell r="S2639">
            <v>2.1</v>
          </cell>
          <cell r="T2639"/>
          <cell r="U2639"/>
          <cell r="V2639"/>
          <cell r="W2639" t="str">
            <v>1kg≈3.0m - UPDATE PRINT PRICE</v>
          </cell>
          <cell r="X2639" t="str">
            <v>ANN</v>
          </cell>
          <cell r="Y2639" t="str">
            <v>ANN 24-APRIL</v>
          </cell>
          <cell r="Z2639" t="str">
            <v>WECHAT 24-APRIL</v>
          </cell>
          <cell r="AA2639"/>
          <cell r="AB2639">
            <v>42849</v>
          </cell>
          <cell r="AC2639">
            <v>1942</v>
          </cell>
        </row>
        <row r="2640">
          <cell r="B2640">
            <v>1896</v>
          </cell>
          <cell r="C2640" t="str">
            <v>BG1732</v>
          </cell>
          <cell r="D2640" t="str">
            <v>SINGLE JERSEY</v>
          </cell>
          <cell r="E2640"/>
          <cell r="F2640" t="str">
            <v>R/S</v>
          </cell>
          <cell r="G2640" t="str">
            <v>97%RAYON 3%SPAN</v>
          </cell>
          <cell r="H2640" t="str">
            <v>58/60</v>
          </cell>
          <cell r="I2640">
            <v>155</v>
          </cell>
          <cell r="J2640">
            <v>1.5</v>
          </cell>
          <cell r="K2640">
            <v>1.85</v>
          </cell>
          <cell r="L2640"/>
          <cell r="M2640"/>
          <cell r="N2640">
            <v>1.54</v>
          </cell>
          <cell r="O2640">
            <v>1.95</v>
          </cell>
          <cell r="P2640"/>
          <cell r="Q2640"/>
          <cell r="R2640">
            <v>1.65</v>
          </cell>
          <cell r="S2640">
            <v>2.2000000000000002</v>
          </cell>
          <cell r="T2640"/>
          <cell r="U2640"/>
          <cell r="V2640">
            <v>15</v>
          </cell>
          <cell r="W2640" t="str">
            <v>1kg≈4.1m - UPDATE PRINT PRICE</v>
          </cell>
          <cell r="X2640" t="str">
            <v>ANN</v>
          </cell>
          <cell r="Y2640" t="str">
            <v>ANN 24-APRIL</v>
          </cell>
          <cell r="Z2640" t="str">
            <v>WECHAT 24-APRIL</v>
          </cell>
          <cell r="AA2640"/>
          <cell r="AB2640">
            <v>42849</v>
          </cell>
          <cell r="AC2640">
            <v>1896</v>
          </cell>
        </row>
        <row r="2641">
          <cell r="B2641">
            <v>3051</v>
          </cell>
          <cell r="C2641" t="str">
            <v>ME-332</v>
          </cell>
          <cell r="D2641" t="str">
            <v>LACE+FLOCKING</v>
          </cell>
          <cell r="E2641"/>
          <cell r="F2641" t="str">
            <v>N 100%</v>
          </cell>
          <cell r="G2641" t="str">
            <v>100% NYLON</v>
          </cell>
          <cell r="H2641" t="str">
            <v>57/58</v>
          </cell>
          <cell r="I2641"/>
          <cell r="J2641">
            <v>3.35</v>
          </cell>
          <cell r="K2641"/>
          <cell r="L2641"/>
          <cell r="M2641"/>
          <cell r="N2641">
            <v>3.4</v>
          </cell>
          <cell r="O2641"/>
          <cell r="P2641"/>
          <cell r="Q2641"/>
          <cell r="R2641">
            <v>3.75</v>
          </cell>
          <cell r="S2641"/>
          <cell r="T2641"/>
          <cell r="U2641"/>
          <cell r="V2641">
            <v>15</v>
          </cell>
          <cell r="W2641"/>
          <cell r="X2641" t="str">
            <v>LIVALTEX</v>
          </cell>
          <cell r="Y2641" t="str">
            <v>LIVALTEX 11-MARCH</v>
          </cell>
          <cell r="Z2641" t="str">
            <v>ROSE' MAIL !?</v>
          </cell>
          <cell r="AA2641"/>
          <cell r="AB2641">
            <v>42847</v>
          </cell>
          <cell r="AC2641">
            <v>3051</v>
          </cell>
        </row>
        <row r="2642">
          <cell r="B2642">
            <v>3050</v>
          </cell>
          <cell r="C2642" t="str">
            <v>#16809</v>
          </cell>
          <cell r="D2642" t="str">
            <v>LACE</v>
          </cell>
          <cell r="E2642" t="str">
            <v>LACE</v>
          </cell>
          <cell r="F2642" t="str">
            <v>N/C/R</v>
          </cell>
          <cell r="G2642" t="str">
            <v>Nylon＆Cotton&amp;Rayon</v>
          </cell>
          <cell r="H2642" t="str">
            <v>150CM</v>
          </cell>
          <cell r="I2642">
            <v>113</v>
          </cell>
          <cell r="J2642">
            <v>2.75</v>
          </cell>
          <cell r="K2642"/>
          <cell r="L2642"/>
          <cell r="M2642"/>
          <cell r="N2642">
            <v>2.8</v>
          </cell>
          <cell r="O2642"/>
          <cell r="P2642"/>
          <cell r="Q2642"/>
          <cell r="R2642">
            <v>2.87</v>
          </cell>
          <cell r="S2642"/>
          <cell r="T2642"/>
          <cell r="U2642"/>
          <cell r="V2642">
            <v>15</v>
          </cell>
          <cell r="W2642"/>
          <cell r="X2642" t="str">
            <v>LIBY</v>
          </cell>
          <cell r="Y2642" t="str">
            <v>LIBY 14-MARCH</v>
          </cell>
          <cell r="Z2642" t="str">
            <v>LIBY' MAIL 5/4/17</v>
          </cell>
          <cell r="AA2642"/>
          <cell r="AB2642">
            <v>42847</v>
          </cell>
          <cell r="AC2642">
            <v>3050</v>
          </cell>
        </row>
        <row r="2643">
          <cell r="B2643">
            <v>3049</v>
          </cell>
          <cell r="C2643" t="str">
            <v>D066</v>
          </cell>
          <cell r="D2643" t="str">
            <v>LACE</v>
          </cell>
          <cell r="E2643" t="str">
            <v>LACE</v>
          </cell>
          <cell r="F2643" t="str">
            <v>N/C/R</v>
          </cell>
          <cell r="G2643" t="str">
            <v>Nylon ＆ Cotton ＆ Rayon</v>
          </cell>
          <cell r="H2643" t="str">
            <v>150CM</v>
          </cell>
          <cell r="I2643">
            <v>128</v>
          </cell>
          <cell r="J2643">
            <v>2.39</v>
          </cell>
          <cell r="K2643"/>
          <cell r="L2643"/>
          <cell r="M2643"/>
          <cell r="N2643">
            <v>2.44</v>
          </cell>
          <cell r="O2643"/>
          <cell r="P2643"/>
          <cell r="Q2643"/>
          <cell r="R2643">
            <v>2.4900000000000002</v>
          </cell>
          <cell r="S2643"/>
          <cell r="T2643"/>
          <cell r="U2643"/>
          <cell r="V2643">
            <v>15</v>
          </cell>
          <cell r="W2643"/>
          <cell r="X2643" t="str">
            <v>LIBY</v>
          </cell>
          <cell r="Y2643" t="str">
            <v>LIBY 14-MARCH</v>
          </cell>
          <cell r="Z2643" t="str">
            <v>LIBY' MAIL 5/4/17</v>
          </cell>
          <cell r="AA2643"/>
          <cell r="AB2643">
            <v>42847</v>
          </cell>
          <cell r="AC2643">
            <v>3049</v>
          </cell>
        </row>
        <row r="2644">
          <cell r="B2644">
            <v>3048</v>
          </cell>
          <cell r="C2644" t="str">
            <v>D015</v>
          </cell>
          <cell r="D2644" t="str">
            <v>LACE</v>
          </cell>
          <cell r="E2644" t="str">
            <v>LACE</v>
          </cell>
          <cell r="F2644" t="str">
            <v>N/S</v>
          </cell>
          <cell r="G2644" t="str">
            <v>Nylon＆SpanDex</v>
          </cell>
          <cell r="H2644" t="str">
            <v>150CM</v>
          </cell>
          <cell r="I2644">
            <v>137</v>
          </cell>
          <cell r="J2644">
            <v>1.85</v>
          </cell>
          <cell r="K2644"/>
          <cell r="L2644"/>
          <cell r="M2644"/>
          <cell r="N2644">
            <v>1.9000000000000001</v>
          </cell>
          <cell r="O2644"/>
          <cell r="P2644"/>
          <cell r="Q2644"/>
          <cell r="R2644">
            <v>1.9500000000000002</v>
          </cell>
          <cell r="S2644"/>
          <cell r="T2644"/>
          <cell r="U2644"/>
          <cell r="V2644">
            <v>15</v>
          </cell>
          <cell r="W2644"/>
          <cell r="X2644" t="str">
            <v>LIBY</v>
          </cell>
          <cell r="Y2644" t="str">
            <v>LIBY 14-MARCH</v>
          </cell>
          <cell r="Z2644" t="str">
            <v>LIBY' MAIL 5/4/17</v>
          </cell>
          <cell r="AA2644"/>
          <cell r="AB2644">
            <v>42847</v>
          </cell>
          <cell r="AC2644">
            <v>3048</v>
          </cell>
        </row>
        <row r="2645">
          <cell r="B2645">
            <v>3047</v>
          </cell>
          <cell r="C2645" t="str">
            <v>D026</v>
          </cell>
          <cell r="D2645" t="str">
            <v>LACE</v>
          </cell>
          <cell r="E2645" t="str">
            <v>LACE</v>
          </cell>
          <cell r="F2645" t="str">
            <v>N/S</v>
          </cell>
          <cell r="G2645" t="str">
            <v>Nylon＆SpanDex</v>
          </cell>
          <cell r="H2645" t="str">
            <v>150CM</v>
          </cell>
          <cell r="I2645">
            <v>117</v>
          </cell>
          <cell r="J2645">
            <v>1.56</v>
          </cell>
          <cell r="K2645"/>
          <cell r="L2645"/>
          <cell r="M2645"/>
          <cell r="N2645">
            <v>1.61</v>
          </cell>
          <cell r="O2645"/>
          <cell r="P2645"/>
          <cell r="Q2645"/>
          <cell r="R2645">
            <v>1.6600000000000001</v>
          </cell>
          <cell r="S2645"/>
          <cell r="T2645"/>
          <cell r="U2645"/>
          <cell r="V2645">
            <v>15</v>
          </cell>
          <cell r="W2645"/>
          <cell r="X2645" t="str">
            <v>LIBY</v>
          </cell>
          <cell r="Y2645" t="str">
            <v>LIBY 14-MARCH</v>
          </cell>
          <cell r="Z2645" t="str">
            <v>LIBY' MAIL 5/4/17</v>
          </cell>
          <cell r="AA2645"/>
          <cell r="AB2645">
            <v>42847</v>
          </cell>
          <cell r="AC2645">
            <v>3047</v>
          </cell>
        </row>
        <row r="2646">
          <cell r="B2646">
            <v>3046</v>
          </cell>
          <cell r="C2646" t="str">
            <v>D020</v>
          </cell>
          <cell r="D2646" t="str">
            <v>LACE</v>
          </cell>
          <cell r="E2646" t="str">
            <v>LACE</v>
          </cell>
          <cell r="F2646" t="str">
            <v>N/S</v>
          </cell>
          <cell r="G2646" t="str">
            <v>Nylon＆SpanDex</v>
          </cell>
          <cell r="H2646" t="str">
            <v>150CM</v>
          </cell>
          <cell r="I2646">
            <v>158</v>
          </cell>
          <cell r="J2646">
            <v>1.96</v>
          </cell>
          <cell r="K2646"/>
          <cell r="L2646"/>
          <cell r="M2646"/>
          <cell r="N2646">
            <v>2.0099999999999998</v>
          </cell>
          <cell r="O2646"/>
          <cell r="P2646"/>
          <cell r="Q2646"/>
          <cell r="R2646">
            <v>2.06</v>
          </cell>
          <cell r="S2646"/>
          <cell r="T2646"/>
          <cell r="U2646"/>
          <cell r="V2646">
            <v>15</v>
          </cell>
          <cell r="W2646"/>
          <cell r="X2646" t="str">
            <v>LIBY</v>
          </cell>
          <cell r="Y2646" t="str">
            <v>LIBY 14-MARCH</v>
          </cell>
          <cell r="Z2646" t="str">
            <v>LIBY' MAIL 5/4/17</v>
          </cell>
          <cell r="AA2646"/>
          <cell r="AB2646">
            <v>42847</v>
          </cell>
          <cell r="AC2646">
            <v>3046</v>
          </cell>
        </row>
        <row r="2647">
          <cell r="B2647">
            <v>3045</v>
          </cell>
          <cell r="C2647" t="str">
            <v>D056</v>
          </cell>
          <cell r="D2647" t="str">
            <v>LACE</v>
          </cell>
          <cell r="E2647" t="str">
            <v>LACE</v>
          </cell>
          <cell r="F2647" t="str">
            <v>N/S</v>
          </cell>
          <cell r="G2647" t="str">
            <v>Nylon＆SpanDex</v>
          </cell>
          <cell r="H2647" t="str">
            <v>150CM</v>
          </cell>
          <cell r="I2647">
            <v>107</v>
          </cell>
          <cell r="J2647">
            <v>1.43</v>
          </cell>
          <cell r="K2647"/>
          <cell r="L2647"/>
          <cell r="M2647"/>
          <cell r="N2647">
            <v>1.48</v>
          </cell>
          <cell r="O2647"/>
          <cell r="P2647"/>
          <cell r="Q2647"/>
          <cell r="R2647">
            <v>1.53</v>
          </cell>
          <cell r="S2647"/>
          <cell r="T2647"/>
          <cell r="U2647"/>
          <cell r="V2647">
            <v>15</v>
          </cell>
          <cell r="W2647"/>
          <cell r="X2647" t="str">
            <v>LIBY</v>
          </cell>
          <cell r="Y2647" t="str">
            <v>LIBY 14-MARCH</v>
          </cell>
          <cell r="Z2647" t="str">
            <v>LIBY' MAIL 5/4/17</v>
          </cell>
          <cell r="AA2647"/>
          <cell r="AB2647">
            <v>42847</v>
          </cell>
          <cell r="AC2647">
            <v>3045</v>
          </cell>
        </row>
        <row r="2648">
          <cell r="B2648">
            <v>3044</v>
          </cell>
          <cell r="C2648" t="str">
            <v>D060</v>
          </cell>
          <cell r="D2648" t="str">
            <v>LACE</v>
          </cell>
          <cell r="E2648" t="str">
            <v>LACE</v>
          </cell>
          <cell r="F2648" t="str">
            <v>N/C/R</v>
          </cell>
          <cell r="G2648" t="str">
            <v>Nylon ＆ Cotton ＆ Rayon</v>
          </cell>
          <cell r="H2648" t="str">
            <v>150CM</v>
          </cell>
          <cell r="I2648">
            <v>169</v>
          </cell>
          <cell r="J2648">
            <v>3.02</v>
          </cell>
          <cell r="K2648"/>
          <cell r="L2648"/>
          <cell r="M2648"/>
          <cell r="N2648">
            <v>3.07</v>
          </cell>
          <cell r="O2648"/>
          <cell r="P2648"/>
          <cell r="Q2648"/>
          <cell r="R2648">
            <v>3.12</v>
          </cell>
          <cell r="S2648"/>
          <cell r="T2648"/>
          <cell r="U2648"/>
          <cell r="V2648">
            <v>15</v>
          </cell>
          <cell r="W2648"/>
          <cell r="X2648" t="str">
            <v>LIBY</v>
          </cell>
          <cell r="Y2648" t="str">
            <v>LIBY 14-MARCH</v>
          </cell>
          <cell r="Z2648" t="str">
            <v>LIBY' MAIL 5/4/17</v>
          </cell>
          <cell r="AA2648"/>
          <cell r="AB2648">
            <v>42847</v>
          </cell>
          <cell r="AC2648">
            <v>3044</v>
          </cell>
        </row>
        <row r="2649">
          <cell r="B2649">
            <v>3043</v>
          </cell>
          <cell r="C2649" t="str">
            <v>D039</v>
          </cell>
          <cell r="D2649" t="str">
            <v>LACE</v>
          </cell>
          <cell r="E2649" t="str">
            <v>LACE</v>
          </cell>
          <cell r="F2649" t="str">
            <v>N/C/R</v>
          </cell>
          <cell r="G2649" t="str">
            <v>Nylon ＆ Cotton ＆ Rayon</v>
          </cell>
          <cell r="H2649" t="str">
            <v>150CM</v>
          </cell>
          <cell r="I2649">
            <v>152</v>
          </cell>
          <cell r="J2649">
            <v>2.83</v>
          </cell>
          <cell r="K2649"/>
          <cell r="L2649"/>
          <cell r="M2649"/>
          <cell r="N2649">
            <v>2.88</v>
          </cell>
          <cell r="O2649"/>
          <cell r="P2649"/>
          <cell r="Q2649"/>
          <cell r="R2649">
            <v>2.93</v>
          </cell>
          <cell r="S2649"/>
          <cell r="T2649"/>
          <cell r="U2649"/>
          <cell r="V2649">
            <v>15</v>
          </cell>
          <cell r="W2649"/>
          <cell r="X2649" t="str">
            <v>LIBY</v>
          </cell>
          <cell r="Y2649" t="str">
            <v>LIBY 14-MARCH</v>
          </cell>
          <cell r="Z2649" t="str">
            <v>LIBY' MAIL 5/4/17</v>
          </cell>
          <cell r="AA2649"/>
          <cell r="AB2649">
            <v>42847</v>
          </cell>
          <cell r="AC2649">
            <v>3043</v>
          </cell>
        </row>
        <row r="2650">
          <cell r="B2650">
            <v>3042</v>
          </cell>
          <cell r="C2650" t="str">
            <v>D001</v>
          </cell>
          <cell r="D2650" t="str">
            <v>LACE</v>
          </cell>
          <cell r="E2650" t="str">
            <v>LACE</v>
          </cell>
          <cell r="F2650" t="str">
            <v>N/S</v>
          </cell>
          <cell r="G2650" t="str">
            <v>Nylon＆SpanDex</v>
          </cell>
          <cell r="H2650" t="str">
            <v>150CM</v>
          </cell>
          <cell r="I2650">
            <v>135</v>
          </cell>
          <cell r="J2650">
            <v>1.38</v>
          </cell>
          <cell r="K2650"/>
          <cell r="L2650"/>
          <cell r="M2650"/>
          <cell r="N2650">
            <v>1.43</v>
          </cell>
          <cell r="O2650"/>
          <cell r="P2650"/>
          <cell r="Q2650"/>
          <cell r="R2650">
            <v>1.48</v>
          </cell>
          <cell r="S2650"/>
          <cell r="T2650"/>
          <cell r="U2650"/>
          <cell r="V2650">
            <v>15</v>
          </cell>
          <cell r="W2650"/>
          <cell r="X2650" t="str">
            <v>LIBY</v>
          </cell>
          <cell r="Y2650" t="str">
            <v>LIBY 14-MARCH</v>
          </cell>
          <cell r="Z2650" t="str">
            <v>LIBY' MAIL 5/4/17</v>
          </cell>
          <cell r="AA2650"/>
          <cell r="AB2650">
            <v>42847</v>
          </cell>
          <cell r="AC2650">
            <v>3042</v>
          </cell>
        </row>
        <row r="2651">
          <cell r="B2651">
            <v>3041</v>
          </cell>
          <cell r="C2651" t="str">
            <v>D019</v>
          </cell>
          <cell r="D2651" t="str">
            <v>LACE</v>
          </cell>
          <cell r="E2651" t="str">
            <v>LACE</v>
          </cell>
          <cell r="F2651" t="str">
            <v>N/C/R</v>
          </cell>
          <cell r="G2651" t="str">
            <v>Nylon ＆ Cotton ＆ Rayon</v>
          </cell>
          <cell r="H2651" t="str">
            <v>150CM</v>
          </cell>
          <cell r="I2651">
            <v>128</v>
          </cell>
          <cell r="J2651">
            <v>2.25</v>
          </cell>
          <cell r="K2651"/>
          <cell r="L2651"/>
          <cell r="M2651"/>
          <cell r="N2651">
            <v>2.2999999999999998</v>
          </cell>
          <cell r="O2651"/>
          <cell r="P2651"/>
          <cell r="Q2651"/>
          <cell r="R2651">
            <v>2.37</v>
          </cell>
          <cell r="S2651"/>
          <cell r="T2651"/>
          <cell r="U2651"/>
          <cell r="V2651">
            <v>15</v>
          </cell>
          <cell r="W2651"/>
          <cell r="X2651" t="str">
            <v>LIBY</v>
          </cell>
          <cell r="Y2651" t="str">
            <v>LIBY 14-MARCH</v>
          </cell>
          <cell r="Z2651" t="str">
            <v>LIBY' MAIL 5/4/17</v>
          </cell>
          <cell r="AA2651"/>
          <cell r="AB2651">
            <v>42847</v>
          </cell>
          <cell r="AC2651">
            <v>3041</v>
          </cell>
        </row>
        <row r="2652">
          <cell r="B2652">
            <v>3040</v>
          </cell>
          <cell r="C2652" t="str">
            <v>#16021</v>
          </cell>
          <cell r="D2652" t="str">
            <v>LACE</v>
          </cell>
          <cell r="E2652" t="str">
            <v>LACE</v>
          </cell>
          <cell r="F2652" t="str">
            <v>N/C</v>
          </cell>
          <cell r="G2652" t="str">
            <v>Nylon&amp;Cotton</v>
          </cell>
          <cell r="H2652" t="str">
            <v>150CM</v>
          </cell>
          <cell r="I2652">
            <v>140</v>
          </cell>
          <cell r="J2652">
            <v>2.9</v>
          </cell>
          <cell r="K2652"/>
          <cell r="L2652"/>
          <cell r="M2652"/>
          <cell r="N2652">
            <v>2.9499999999999997</v>
          </cell>
          <cell r="O2652"/>
          <cell r="P2652"/>
          <cell r="Q2652"/>
          <cell r="R2652">
            <v>3</v>
          </cell>
          <cell r="S2652"/>
          <cell r="T2652"/>
          <cell r="U2652"/>
          <cell r="V2652">
            <v>15</v>
          </cell>
          <cell r="W2652" t="str">
            <v>Only the composition of  nylon+cotton+rayon have in stock</v>
          </cell>
          <cell r="X2652" t="str">
            <v>LIBY</v>
          </cell>
          <cell r="Y2652" t="str">
            <v>LIBY 14-MARCH</v>
          </cell>
          <cell r="Z2652" t="str">
            <v>LIBY' MAIL 5/4/17</v>
          </cell>
          <cell r="AA2652"/>
          <cell r="AB2652">
            <v>42847</v>
          </cell>
          <cell r="AC2652">
            <v>3040</v>
          </cell>
        </row>
        <row r="2653">
          <cell r="B2653">
            <v>3039</v>
          </cell>
          <cell r="C2653" t="str">
            <v>D067</v>
          </cell>
          <cell r="D2653" t="str">
            <v>LACE</v>
          </cell>
          <cell r="E2653" t="str">
            <v>LACE</v>
          </cell>
          <cell r="F2653" t="str">
            <v>N/C/R</v>
          </cell>
          <cell r="G2653" t="str">
            <v>Nylon ＆ Cotton ＆ Rayon</v>
          </cell>
          <cell r="H2653" t="str">
            <v>150CM</v>
          </cell>
          <cell r="I2653">
            <v>155</v>
          </cell>
          <cell r="J2653">
            <v>2.85</v>
          </cell>
          <cell r="K2653"/>
          <cell r="L2653"/>
          <cell r="M2653"/>
          <cell r="N2653">
            <v>2.9</v>
          </cell>
          <cell r="O2653"/>
          <cell r="P2653"/>
          <cell r="Q2653"/>
          <cell r="R2653">
            <v>2.95</v>
          </cell>
          <cell r="S2653"/>
          <cell r="T2653"/>
          <cell r="U2653"/>
          <cell r="V2653">
            <v>15</v>
          </cell>
          <cell r="W2653"/>
          <cell r="X2653" t="str">
            <v>LIBY</v>
          </cell>
          <cell r="Y2653" t="str">
            <v>LIBY 14-MARCH</v>
          </cell>
          <cell r="Z2653" t="str">
            <v>LIBY' MAIL 5/4/17</v>
          </cell>
          <cell r="AA2653"/>
          <cell r="AB2653">
            <v>42847</v>
          </cell>
          <cell r="AC2653">
            <v>3039</v>
          </cell>
        </row>
        <row r="2654">
          <cell r="B2654">
            <v>3038</v>
          </cell>
          <cell r="C2654" t="str">
            <v>D022</v>
          </cell>
          <cell r="D2654" t="str">
            <v>LACE</v>
          </cell>
          <cell r="E2654" t="str">
            <v>LACE</v>
          </cell>
          <cell r="F2654" t="str">
            <v>N/C/R</v>
          </cell>
          <cell r="G2654" t="str">
            <v>Nylon ＆ Cotton ＆ Rayon</v>
          </cell>
          <cell r="H2654" t="str">
            <v>150CM</v>
          </cell>
          <cell r="I2654">
            <v>145</v>
          </cell>
          <cell r="J2654">
            <v>2.76</v>
          </cell>
          <cell r="K2654"/>
          <cell r="L2654"/>
          <cell r="M2654"/>
          <cell r="N2654">
            <v>2.8099999999999996</v>
          </cell>
          <cell r="O2654"/>
          <cell r="P2654"/>
          <cell r="Q2654"/>
          <cell r="R2654">
            <v>2.86</v>
          </cell>
          <cell r="S2654"/>
          <cell r="T2654"/>
          <cell r="U2654"/>
          <cell r="V2654">
            <v>15</v>
          </cell>
          <cell r="W2654"/>
          <cell r="X2654" t="str">
            <v>LIBY</v>
          </cell>
          <cell r="Y2654" t="str">
            <v>LIBY 14-MARCH</v>
          </cell>
          <cell r="Z2654" t="str">
            <v>LIBY' MAIL 5/4/17</v>
          </cell>
          <cell r="AA2654"/>
          <cell r="AB2654">
            <v>42847</v>
          </cell>
          <cell r="AC2654">
            <v>3038</v>
          </cell>
        </row>
        <row r="2655">
          <cell r="B2655">
            <v>3037</v>
          </cell>
          <cell r="C2655" t="str">
            <v>D082</v>
          </cell>
          <cell r="D2655" t="str">
            <v>LACE</v>
          </cell>
          <cell r="E2655" t="str">
            <v>LACE</v>
          </cell>
          <cell r="F2655" t="str">
            <v>N/C/R</v>
          </cell>
          <cell r="G2655" t="str">
            <v>Nylon ＆ Cotton ＆ Rayon</v>
          </cell>
          <cell r="H2655" t="str">
            <v>150CM</v>
          </cell>
          <cell r="I2655">
            <v>155</v>
          </cell>
          <cell r="J2655">
            <v>2.85</v>
          </cell>
          <cell r="K2655"/>
          <cell r="L2655"/>
          <cell r="M2655"/>
          <cell r="N2655">
            <v>2.9</v>
          </cell>
          <cell r="O2655"/>
          <cell r="P2655"/>
          <cell r="Q2655"/>
          <cell r="R2655">
            <v>2.95</v>
          </cell>
          <cell r="S2655"/>
          <cell r="T2655"/>
          <cell r="U2655"/>
          <cell r="V2655">
            <v>15</v>
          </cell>
          <cell r="W2655"/>
          <cell r="X2655" t="str">
            <v>LIBY</v>
          </cell>
          <cell r="Y2655" t="str">
            <v>LIBY 14-MARCH</v>
          </cell>
          <cell r="Z2655" t="str">
            <v>LIBY' MAIL 5/4/17</v>
          </cell>
          <cell r="AA2655"/>
          <cell r="AB2655">
            <v>42847</v>
          </cell>
          <cell r="AC2655">
            <v>3037</v>
          </cell>
        </row>
        <row r="2656">
          <cell r="B2656">
            <v>3036</v>
          </cell>
          <cell r="C2656" t="str">
            <v>#16425</v>
          </cell>
          <cell r="D2656" t="str">
            <v>LACE</v>
          </cell>
          <cell r="E2656" t="str">
            <v>LACE</v>
          </cell>
          <cell r="F2656" t="str">
            <v xml:space="preserve">N/C  </v>
          </cell>
          <cell r="G2656" t="str">
            <v>Nylon&amp;Cotton</v>
          </cell>
          <cell r="H2656" t="str">
            <v>150CM</v>
          </cell>
          <cell r="I2656">
            <v>119</v>
          </cell>
          <cell r="J2656">
            <v>2.73</v>
          </cell>
          <cell r="K2656"/>
          <cell r="L2656"/>
          <cell r="M2656"/>
          <cell r="N2656">
            <v>2.78</v>
          </cell>
          <cell r="O2656"/>
          <cell r="P2656"/>
          <cell r="Q2656"/>
          <cell r="R2656">
            <v>2.85</v>
          </cell>
          <cell r="S2656"/>
          <cell r="T2656"/>
          <cell r="U2656"/>
          <cell r="V2656">
            <v>15</v>
          </cell>
          <cell r="W2656"/>
          <cell r="X2656" t="str">
            <v>LIBY</v>
          </cell>
          <cell r="Y2656" t="str">
            <v>LIBY 14-MARCH</v>
          </cell>
          <cell r="Z2656" t="str">
            <v>LIBY' MAIL 5/4/17</v>
          </cell>
          <cell r="AA2656"/>
          <cell r="AB2656">
            <v>42847</v>
          </cell>
          <cell r="AC2656">
            <v>3036</v>
          </cell>
        </row>
        <row r="2657">
          <cell r="B2657">
            <v>3035</v>
          </cell>
          <cell r="C2657" t="str">
            <v>#16859</v>
          </cell>
          <cell r="D2657" t="str">
            <v>LACE</v>
          </cell>
          <cell r="E2657" t="str">
            <v>LACE</v>
          </cell>
          <cell r="F2657" t="str">
            <v xml:space="preserve">N/C  </v>
          </cell>
          <cell r="G2657" t="str">
            <v>Nylon&amp;Cotton</v>
          </cell>
          <cell r="H2657" t="str">
            <v>150CM</v>
          </cell>
          <cell r="I2657">
            <v>104</v>
          </cell>
          <cell r="J2657">
            <v>1.63</v>
          </cell>
          <cell r="K2657"/>
          <cell r="L2657"/>
          <cell r="M2657"/>
          <cell r="N2657">
            <v>1.68</v>
          </cell>
          <cell r="O2657"/>
          <cell r="P2657"/>
          <cell r="Q2657"/>
          <cell r="R2657">
            <v>1.73</v>
          </cell>
          <cell r="S2657"/>
          <cell r="T2657"/>
          <cell r="U2657"/>
          <cell r="V2657">
            <v>15</v>
          </cell>
          <cell r="W2657"/>
          <cell r="X2657" t="str">
            <v>LIBY</v>
          </cell>
          <cell r="Y2657" t="str">
            <v>LIBY 14-MARCH</v>
          </cell>
          <cell r="Z2657" t="str">
            <v>LIBY' MAIL 5/4/17</v>
          </cell>
          <cell r="AA2657"/>
          <cell r="AB2657">
            <v>42847</v>
          </cell>
          <cell r="AC2657">
            <v>3035</v>
          </cell>
        </row>
        <row r="2658">
          <cell r="B2658">
            <v>3034</v>
          </cell>
          <cell r="C2658" t="str">
            <v>#16986</v>
          </cell>
          <cell r="D2658" t="str">
            <v>LACE</v>
          </cell>
          <cell r="E2658" t="str">
            <v>LACE</v>
          </cell>
          <cell r="F2658" t="str">
            <v xml:space="preserve">N/C  </v>
          </cell>
          <cell r="G2658" t="str">
            <v>Nylon&amp;Cotton</v>
          </cell>
          <cell r="H2658" t="str">
            <v>150CM</v>
          </cell>
          <cell r="I2658">
            <v>104</v>
          </cell>
          <cell r="J2658">
            <v>1.6</v>
          </cell>
          <cell r="K2658"/>
          <cell r="L2658"/>
          <cell r="M2658"/>
          <cell r="N2658">
            <v>1.6500000000000001</v>
          </cell>
          <cell r="O2658"/>
          <cell r="P2658"/>
          <cell r="Q2658"/>
          <cell r="R2658">
            <v>1.7</v>
          </cell>
          <cell r="S2658"/>
          <cell r="T2658"/>
          <cell r="U2658"/>
          <cell r="V2658">
            <v>15</v>
          </cell>
          <cell r="W2658"/>
          <cell r="X2658" t="str">
            <v>LIBY</v>
          </cell>
          <cell r="Y2658" t="str">
            <v>LIBY 14-MARCH</v>
          </cell>
          <cell r="Z2658" t="str">
            <v>LIBY' MAIL 5/4/17</v>
          </cell>
          <cell r="AA2658"/>
          <cell r="AB2658">
            <v>42847</v>
          </cell>
          <cell r="AC2658">
            <v>3034</v>
          </cell>
        </row>
        <row r="2659">
          <cell r="B2659">
            <v>3033</v>
          </cell>
          <cell r="C2659" t="str">
            <v>#16432</v>
          </cell>
          <cell r="D2659" t="str">
            <v>LACE</v>
          </cell>
          <cell r="E2659" t="str">
            <v>LACE</v>
          </cell>
          <cell r="F2659" t="str">
            <v xml:space="preserve">N/C  </v>
          </cell>
          <cell r="G2659" t="str">
            <v>Nylon&amp;Cotton</v>
          </cell>
          <cell r="H2659" t="str">
            <v>150CM</v>
          </cell>
          <cell r="I2659">
            <v>113</v>
          </cell>
          <cell r="J2659">
            <v>1.78</v>
          </cell>
          <cell r="K2659"/>
          <cell r="L2659"/>
          <cell r="M2659"/>
          <cell r="N2659">
            <v>1.83</v>
          </cell>
          <cell r="O2659"/>
          <cell r="P2659"/>
          <cell r="Q2659"/>
          <cell r="R2659">
            <v>1.88</v>
          </cell>
          <cell r="S2659"/>
          <cell r="T2659"/>
          <cell r="U2659"/>
          <cell r="V2659">
            <v>15</v>
          </cell>
          <cell r="W2659"/>
          <cell r="X2659" t="str">
            <v>LIBY</v>
          </cell>
          <cell r="Y2659" t="str">
            <v>LIBY 14-MARCH</v>
          </cell>
          <cell r="Z2659" t="str">
            <v>LIBY' MAIL 5/4/17</v>
          </cell>
          <cell r="AA2659"/>
          <cell r="AB2659">
            <v>42847</v>
          </cell>
          <cell r="AC2659">
            <v>3033</v>
          </cell>
        </row>
        <row r="2660">
          <cell r="B2660">
            <v>3032</v>
          </cell>
          <cell r="C2660" t="str">
            <v>#16896</v>
          </cell>
          <cell r="D2660" t="str">
            <v>LACE</v>
          </cell>
          <cell r="E2660" t="str">
            <v>LACE</v>
          </cell>
          <cell r="F2660" t="str">
            <v xml:space="preserve">N/C  </v>
          </cell>
          <cell r="G2660" t="str">
            <v>Nylon&amp;Cotton</v>
          </cell>
          <cell r="H2660" t="str">
            <v>150CM</v>
          </cell>
          <cell r="I2660">
            <v>113</v>
          </cell>
          <cell r="J2660">
            <v>1.87</v>
          </cell>
          <cell r="K2660"/>
          <cell r="L2660"/>
          <cell r="M2660"/>
          <cell r="N2660">
            <v>1.9200000000000002</v>
          </cell>
          <cell r="O2660"/>
          <cell r="P2660"/>
          <cell r="Q2660"/>
          <cell r="R2660">
            <v>1.98</v>
          </cell>
          <cell r="S2660"/>
          <cell r="T2660"/>
          <cell r="U2660"/>
          <cell r="V2660">
            <v>15</v>
          </cell>
          <cell r="W2660"/>
          <cell r="X2660" t="str">
            <v>LIBY</v>
          </cell>
          <cell r="Y2660" t="str">
            <v>LIBY 14-MARCH</v>
          </cell>
          <cell r="Z2660" t="str">
            <v>LIBY' MAIL 5/4/17</v>
          </cell>
          <cell r="AA2660"/>
          <cell r="AB2660">
            <v>42847</v>
          </cell>
          <cell r="AC2660">
            <v>3032</v>
          </cell>
        </row>
        <row r="2661">
          <cell r="B2661">
            <v>3031</v>
          </cell>
          <cell r="C2661" t="str">
            <v>D032</v>
          </cell>
          <cell r="D2661" t="str">
            <v>LACE</v>
          </cell>
          <cell r="E2661" t="str">
            <v>LACE</v>
          </cell>
          <cell r="F2661" t="str">
            <v>N/S</v>
          </cell>
          <cell r="G2661" t="str">
            <v>Nylon＆SpanDex</v>
          </cell>
          <cell r="H2661" t="str">
            <v>150CM</v>
          </cell>
          <cell r="I2661">
            <v>158</v>
          </cell>
          <cell r="J2661">
            <v>2.13</v>
          </cell>
          <cell r="K2661"/>
          <cell r="L2661"/>
          <cell r="M2661"/>
          <cell r="N2661">
            <v>2.1799999999999997</v>
          </cell>
          <cell r="O2661"/>
          <cell r="P2661"/>
          <cell r="Q2661"/>
          <cell r="R2661">
            <v>2.23</v>
          </cell>
          <cell r="S2661"/>
          <cell r="T2661"/>
          <cell r="U2661"/>
          <cell r="V2661">
            <v>15</v>
          </cell>
          <cell r="W2661"/>
          <cell r="X2661" t="str">
            <v>LIBY</v>
          </cell>
          <cell r="Y2661" t="str">
            <v>LIBY 14-MARCH</v>
          </cell>
          <cell r="Z2661" t="str">
            <v>LIBY' MAIL 5/4/17</v>
          </cell>
          <cell r="AA2661"/>
          <cell r="AB2661">
            <v>42847</v>
          </cell>
          <cell r="AC2661">
            <v>3031</v>
          </cell>
        </row>
        <row r="2662">
          <cell r="B2662">
            <v>2524</v>
          </cell>
          <cell r="C2662" t="str">
            <v>1025X355XS</v>
          </cell>
          <cell r="D2662"/>
          <cell r="E2662"/>
          <cell r="F2662" t="str">
            <v>T 100%</v>
          </cell>
          <cell r="G2662" t="str">
            <v>100% POLYESTER</v>
          </cell>
          <cell r="H2662" t="str">
            <v>57/58</v>
          </cell>
          <cell r="I2662">
            <v>66</v>
          </cell>
          <cell r="J2662">
            <v>1.48</v>
          </cell>
          <cell r="K2662">
            <v>1.72</v>
          </cell>
          <cell r="L2662">
            <v>1.53</v>
          </cell>
          <cell r="M2662">
            <v>1.85</v>
          </cell>
          <cell r="N2662">
            <v>1.63</v>
          </cell>
          <cell r="O2662">
            <v>2.1</v>
          </cell>
          <cell r="P2662"/>
          <cell r="Q2662"/>
          <cell r="R2662">
            <v>1.78</v>
          </cell>
          <cell r="S2662">
            <v>2.5499999999999998</v>
          </cell>
          <cell r="T2662"/>
          <cell r="U2662"/>
          <cell r="V2662"/>
          <cell r="W2662"/>
          <cell r="X2662" t="str">
            <v>OWEN</v>
          </cell>
          <cell r="Y2662" t="str">
            <v xml:space="preserve">OWEN 22-APRIL </v>
          </cell>
          <cell r="Z2662" t="str">
            <v>SANDY' MAIL 25/4/17</v>
          </cell>
          <cell r="AA2662"/>
          <cell r="AB2662">
            <v>42847</v>
          </cell>
          <cell r="AC2662">
            <v>2524</v>
          </cell>
        </row>
        <row r="2663">
          <cell r="B2663">
            <v>2516</v>
          </cell>
          <cell r="C2663" t="str">
            <v>1025X149</v>
          </cell>
          <cell r="D2663"/>
          <cell r="E2663"/>
          <cell r="F2663" t="str">
            <v>T 100%</v>
          </cell>
          <cell r="G2663" t="str">
            <v>100% POLYESTER</v>
          </cell>
          <cell r="H2663" t="str">
            <v>57/58</v>
          </cell>
          <cell r="I2663">
            <v>115</v>
          </cell>
          <cell r="J2663">
            <v>1.1499999999999999</v>
          </cell>
          <cell r="K2663">
            <v>1.4</v>
          </cell>
          <cell r="L2663">
            <v>1.25</v>
          </cell>
          <cell r="M2663">
            <v>1.5</v>
          </cell>
          <cell r="N2663">
            <v>1.4</v>
          </cell>
          <cell r="O2663">
            <v>1.7</v>
          </cell>
          <cell r="P2663"/>
          <cell r="Q2663"/>
          <cell r="R2663">
            <v>1.55</v>
          </cell>
          <cell r="S2663">
            <v>2.15</v>
          </cell>
          <cell r="T2663"/>
          <cell r="U2663"/>
          <cell r="V2663">
            <v>15</v>
          </cell>
          <cell r="W2663"/>
          <cell r="X2663" t="str">
            <v>OWEN</v>
          </cell>
          <cell r="Y2663" t="str">
            <v xml:space="preserve">OWEN 22-APRIL </v>
          </cell>
          <cell r="Z2663" t="str">
            <v>SANDY' MAIL 25/4/17</v>
          </cell>
          <cell r="AA2663"/>
          <cell r="AB2663">
            <v>42847</v>
          </cell>
          <cell r="AC2663">
            <v>2516</v>
          </cell>
        </row>
        <row r="2664">
          <cell r="B2664">
            <v>2494</v>
          </cell>
          <cell r="C2664" t="str">
            <v>1025X126XS</v>
          </cell>
          <cell r="D2664"/>
          <cell r="E2664"/>
          <cell r="F2664" t="str">
            <v>T 100%</v>
          </cell>
          <cell r="G2664" t="str">
            <v>100% POLYESTER</v>
          </cell>
          <cell r="H2664" t="str">
            <v>57/58</v>
          </cell>
          <cell r="I2664">
            <v>115</v>
          </cell>
          <cell r="J2664">
            <v>1.1000000000000001</v>
          </cell>
          <cell r="K2664">
            <v>1.35</v>
          </cell>
          <cell r="L2664">
            <v>1.2</v>
          </cell>
          <cell r="M2664">
            <v>1.45</v>
          </cell>
          <cell r="N2664">
            <v>1.35</v>
          </cell>
          <cell r="O2664">
            <v>1.65</v>
          </cell>
          <cell r="P2664"/>
          <cell r="Q2664"/>
          <cell r="R2664">
            <v>1.5</v>
          </cell>
          <cell r="S2664">
            <v>2.1</v>
          </cell>
          <cell r="T2664"/>
          <cell r="U2664"/>
          <cell r="V2664">
            <v>15</v>
          </cell>
          <cell r="W2664"/>
          <cell r="X2664" t="str">
            <v>OWEN</v>
          </cell>
          <cell r="Y2664" t="str">
            <v xml:space="preserve">OWEN 22-APRIL </v>
          </cell>
          <cell r="Z2664" t="str">
            <v>SANDY' MAIL 25/4/17</v>
          </cell>
          <cell r="AA2664"/>
          <cell r="AB2664">
            <v>42847</v>
          </cell>
          <cell r="AC2664">
            <v>2494</v>
          </cell>
        </row>
        <row r="2665">
          <cell r="B2665">
            <v>3030</v>
          </cell>
          <cell r="C2665" t="str">
            <v>OLP-1731121XS</v>
          </cell>
          <cell r="D2665" t="str">
            <v>CRINKLE - REPLACE 993</v>
          </cell>
          <cell r="E2665"/>
          <cell r="F2665" t="str">
            <v>T 100%</v>
          </cell>
          <cell r="G2665" t="str">
            <v>100% POLYESTER</v>
          </cell>
          <cell r="H2665" t="str">
            <v>57/58</v>
          </cell>
          <cell r="I2665">
            <v>70</v>
          </cell>
          <cell r="J2665">
            <v>1.05</v>
          </cell>
          <cell r="K2665">
            <v>1.1499999999999999</v>
          </cell>
          <cell r="L2665">
            <v>1.1000000000000001</v>
          </cell>
          <cell r="M2665">
            <v>1.2</v>
          </cell>
          <cell r="N2665">
            <v>1.1499999999999999</v>
          </cell>
          <cell r="O2665">
            <v>1.38</v>
          </cell>
          <cell r="P2665"/>
          <cell r="Q2665"/>
          <cell r="R2665">
            <v>1.3</v>
          </cell>
          <cell r="S2665">
            <v>1.78</v>
          </cell>
          <cell r="T2665"/>
          <cell r="U2665"/>
          <cell r="V2665">
            <v>15</v>
          </cell>
          <cell r="W2665" t="str">
            <v>THIS ITEM REPLACE FOR AMW993 FROM TERRY</v>
          </cell>
          <cell r="X2665" t="str">
            <v>OWEN</v>
          </cell>
          <cell r="Y2665" t="str">
            <v>OWEN 21-APRIL</v>
          </cell>
          <cell r="Z2665" t="str">
            <v>SANDY' MAIL 21/4/17</v>
          </cell>
          <cell r="AA2665"/>
          <cell r="AB2665">
            <v>42846</v>
          </cell>
          <cell r="AC2665">
            <v>3030</v>
          </cell>
        </row>
        <row r="2666">
          <cell r="B2666">
            <v>3029</v>
          </cell>
          <cell r="C2666" t="str">
            <v>GL1183</v>
          </cell>
          <cell r="D2666" t="str">
            <v>SINGLE JERSEY FOIL</v>
          </cell>
          <cell r="E2666"/>
          <cell r="F2666" t="str">
            <v>T 100%</v>
          </cell>
          <cell r="G2666" t="str">
            <v>100% POLYESTER</v>
          </cell>
          <cell r="H2666" t="str">
            <v>154CM</v>
          </cell>
          <cell r="I2666">
            <v>160</v>
          </cell>
          <cell r="J2666">
            <v>1.36</v>
          </cell>
          <cell r="K2666"/>
          <cell r="L2666">
            <v>1.43</v>
          </cell>
          <cell r="M2666"/>
          <cell r="N2666">
            <v>1.43</v>
          </cell>
          <cell r="O2666"/>
          <cell r="P2666"/>
          <cell r="Q2666"/>
          <cell r="R2666">
            <v>1.56</v>
          </cell>
          <cell r="S2666"/>
          <cell r="T2666"/>
          <cell r="U2666"/>
          <cell r="V2666">
            <v>15</v>
          </cell>
          <cell r="W2666"/>
          <cell r="X2666" t="str">
            <v>NICKY</v>
          </cell>
          <cell r="Y2666" t="str">
            <v>NICKY 19-APRIL</v>
          </cell>
          <cell r="Z2666" t="str">
            <v>NICKY' MAIL 20/4/17</v>
          </cell>
          <cell r="AA2666"/>
          <cell r="AB2666">
            <v>42845</v>
          </cell>
          <cell r="AC2666">
            <v>3029</v>
          </cell>
        </row>
        <row r="2667">
          <cell r="B2667">
            <v>3028</v>
          </cell>
          <cell r="C2667" t="str">
            <v>GL1181</v>
          </cell>
          <cell r="D2667" t="str">
            <v>SINGLE JERSEY</v>
          </cell>
          <cell r="E2667"/>
          <cell r="F2667" t="str">
            <v>T 100%</v>
          </cell>
          <cell r="G2667" t="str">
            <v>100% POLYESTER</v>
          </cell>
          <cell r="H2667" t="str">
            <v>164CM</v>
          </cell>
          <cell r="I2667">
            <v>130</v>
          </cell>
          <cell r="J2667">
            <v>0.72</v>
          </cell>
          <cell r="K2667"/>
          <cell r="L2667">
            <v>0.74</v>
          </cell>
          <cell r="M2667"/>
          <cell r="N2667">
            <v>0.74</v>
          </cell>
          <cell r="O2667"/>
          <cell r="P2667"/>
          <cell r="Q2667"/>
          <cell r="R2667">
            <v>0.74</v>
          </cell>
          <cell r="S2667"/>
          <cell r="T2667"/>
          <cell r="U2667"/>
          <cell r="V2667">
            <v>15</v>
          </cell>
          <cell r="W2667" t="str">
            <v>MOQ FOR PRINT: 2.300M / DESIGN</v>
          </cell>
          <cell r="X2667" t="str">
            <v>NICKY</v>
          </cell>
          <cell r="Y2667" t="str">
            <v>NICKY 19-APRIL</v>
          </cell>
          <cell r="Z2667" t="str">
            <v>NICKY' MAIL 20/4/17</v>
          </cell>
          <cell r="AA2667"/>
          <cell r="AB2667">
            <v>42845</v>
          </cell>
          <cell r="AC2667">
            <v>3028</v>
          </cell>
        </row>
        <row r="2668">
          <cell r="B2668">
            <v>2002</v>
          </cell>
          <cell r="C2668" t="str">
            <v>BG2286</v>
          </cell>
          <cell r="D2668" t="str">
            <v>CREPE</v>
          </cell>
          <cell r="E2668" t="str">
            <v>75D x 75D</v>
          </cell>
          <cell r="F2668" t="str">
            <v>T 100%</v>
          </cell>
          <cell r="G2668" t="str">
            <v>100% POLYESTER</v>
          </cell>
          <cell r="H2668" t="str">
            <v>57/58</v>
          </cell>
          <cell r="I2668">
            <v>117</v>
          </cell>
          <cell r="J2668">
            <v>1.49</v>
          </cell>
          <cell r="K2668">
            <v>1.82</v>
          </cell>
          <cell r="L2668"/>
          <cell r="M2668"/>
          <cell r="N2668">
            <v>1.57</v>
          </cell>
          <cell r="O2668">
            <v>1.9</v>
          </cell>
          <cell r="P2668"/>
          <cell r="Q2668"/>
          <cell r="R2668">
            <v>1.85</v>
          </cell>
          <cell r="S2668">
            <v>2.2999999999999998</v>
          </cell>
          <cell r="T2668"/>
          <cell r="U2668"/>
          <cell r="V2668">
            <v>15</v>
          </cell>
          <cell r="W2668"/>
          <cell r="X2668" t="str">
            <v>ANN</v>
          </cell>
          <cell r="Y2668" t="str">
            <v>DMCARE-TRI-02</v>
          </cell>
          <cell r="Z2668" t="str">
            <v>SEND FILE VIA WECHAT 20/4/17</v>
          </cell>
          <cell r="AA2668"/>
          <cell r="AB2668">
            <v>42845</v>
          </cell>
          <cell r="AC2668">
            <v>2002</v>
          </cell>
        </row>
        <row r="2669">
          <cell r="B2669">
            <v>3027</v>
          </cell>
          <cell r="C2669" t="str">
            <v>HLT5390</v>
          </cell>
          <cell r="D2669" t="str">
            <v>SINGLE JERSEY</v>
          </cell>
          <cell r="E2669"/>
          <cell r="F2669" t="str">
            <v>N/S 85/15</v>
          </cell>
          <cell r="G2669" t="str">
            <v>85% NYLON 15% SPADNEX</v>
          </cell>
          <cell r="H2669" t="str">
            <v>165CM</v>
          </cell>
          <cell r="I2669">
            <v>190</v>
          </cell>
          <cell r="J2669">
            <v>2.56</v>
          </cell>
          <cell r="K2669"/>
          <cell r="L2669">
            <v>2.66</v>
          </cell>
          <cell r="M2669"/>
          <cell r="N2669">
            <v>2.7600000000000002</v>
          </cell>
          <cell r="O2669"/>
          <cell r="P2669"/>
          <cell r="Q2669"/>
          <cell r="R2669">
            <v>2.9600000000000004</v>
          </cell>
          <cell r="S2669"/>
          <cell r="T2669"/>
          <cell r="U2669"/>
          <cell r="V2669">
            <v>15</v>
          </cell>
          <cell r="W2669"/>
          <cell r="X2669" t="str">
            <v>CANDY</v>
          </cell>
          <cell r="Y2669" t="str">
            <v>CANDY 18-APRIL</v>
          </cell>
          <cell r="Z2669" t="str">
            <v>CANDY' MAIL 19/4/17</v>
          </cell>
          <cell r="AA2669"/>
          <cell r="AB2669">
            <v>42844</v>
          </cell>
          <cell r="AC2669">
            <v>3027</v>
          </cell>
        </row>
        <row r="2670">
          <cell r="B2670">
            <v>3026</v>
          </cell>
          <cell r="C2670" t="str">
            <v>HLT3115</v>
          </cell>
          <cell r="D2670" t="str">
            <v>SINGLE JERSEY</v>
          </cell>
          <cell r="E2670"/>
          <cell r="F2670" t="str">
            <v>N/S 83/17</v>
          </cell>
          <cell r="G2670" t="str">
            <v>83% NYLON 17% SPANDEX</v>
          </cell>
          <cell r="H2670" t="str">
            <v>152CM</v>
          </cell>
          <cell r="I2670" t="str">
            <v>170-210</v>
          </cell>
          <cell r="J2670">
            <v>2.56</v>
          </cell>
          <cell r="K2670"/>
          <cell r="L2670">
            <v>2.66</v>
          </cell>
          <cell r="M2670"/>
          <cell r="N2670">
            <v>2.7600000000000002</v>
          </cell>
          <cell r="O2670"/>
          <cell r="P2670"/>
          <cell r="Q2670"/>
          <cell r="R2670">
            <v>2.9600000000000004</v>
          </cell>
          <cell r="S2670"/>
          <cell r="T2670"/>
          <cell r="U2670"/>
          <cell r="V2670">
            <v>15</v>
          </cell>
          <cell r="W2670"/>
          <cell r="X2670" t="str">
            <v>CANDY</v>
          </cell>
          <cell r="Y2670" t="str">
            <v>CANDY 18-APRIL</v>
          </cell>
          <cell r="Z2670" t="str">
            <v>CANDY' MAIL 19/4/17</v>
          </cell>
          <cell r="AA2670"/>
          <cell r="AB2670">
            <v>42844</v>
          </cell>
          <cell r="AC2670">
            <v>3026</v>
          </cell>
        </row>
        <row r="2671">
          <cell r="B2671">
            <v>3025</v>
          </cell>
          <cell r="C2671" t="str">
            <v>HLT3749</v>
          </cell>
          <cell r="D2671" t="str">
            <v>SINGLE JERSEY</v>
          </cell>
          <cell r="E2671"/>
          <cell r="F2671" t="str">
            <v>C/S 95/5</v>
          </cell>
          <cell r="G2671" t="str">
            <v>95% COTTON 5% SPANDEX</v>
          </cell>
          <cell r="H2671" t="str">
            <v>178CM</v>
          </cell>
          <cell r="I2671">
            <v>220</v>
          </cell>
          <cell r="J2671">
            <v>2.2799999999999998</v>
          </cell>
          <cell r="K2671"/>
          <cell r="L2671">
            <v>2.38</v>
          </cell>
          <cell r="M2671"/>
          <cell r="N2671">
            <v>2.48</v>
          </cell>
          <cell r="O2671"/>
          <cell r="P2671"/>
          <cell r="Q2671"/>
          <cell r="R2671">
            <v>2.58</v>
          </cell>
          <cell r="S2671"/>
          <cell r="T2671"/>
          <cell r="U2671"/>
          <cell r="V2671">
            <v>15</v>
          </cell>
          <cell r="W2671"/>
          <cell r="X2671" t="str">
            <v>CANDY</v>
          </cell>
          <cell r="Y2671" t="str">
            <v>CANDY 18-APRIL</v>
          </cell>
          <cell r="Z2671" t="str">
            <v>CANDY' MAIL 19/4/17</v>
          </cell>
          <cell r="AA2671"/>
          <cell r="AB2671">
            <v>42844</v>
          </cell>
          <cell r="AC2671">
            <v>3025</v>
          </cell>
        </row>
        <row r="2672">
          <cell r="B2672">
            <v>3024</v>
          </cell>
          <cell r="C2672" t="str">
            <v>HLT4518</v>
          </cell>
          <cell r="D2672" t="str">
            <v>SINGLE JERSEY</v>
          </cell>
          <cell r="E2672"/>
          <cell r="F2672" t="str">
            <v>C/M 50/50</v>
          </cell>
          <cell r="G2672" t="str">
            <v>50% COTTON 50% MODAL</v>
          </cell>
          <cell r="H2672" t="str">
            <v>160CM</v>
          </cell>
          <cell r="I2672">
            <v>160</v>
          </cell>
          <cell r="J2672">
            <v>2.15</v>
          </cell>
          <cell r="K2672"/>
          <cell r="L2672">
            <v>2.25</v>
          </cell>
          <cell r="M2672"/>
          <cell r="N2672">
            <v>2.35</v>
          </cell>
          <cell r="O2672"/>
          <cell r="P2672"/>
          <cell r="Q2672"/>
          <cell r="R2672">
            <v>2.5500000000000003</v>
          </cell>
          <cell r="S2672"/>
          <cell r="T2672"/>
          <cell r="U2672"/>
          <cell r="V2672">
            <v>15</v>
          </cell>
          <cell r="W2672"/>
          <cell r="X2672" t="str">
            <v>CANDY</v>
          </cell>
          <cell r="Y2672" t="str">
            <v>CANDY 18-APRIL</v>
          </cell>
          <cell r="Z2672" t="str">
            <v>CANDY' MAIL 19/4/17</v>
          </cell>
          <cell r="AA2672"/>
          <cell r="AB2672">
            <v>42844</v>
          </cell>
          <cell r="AC2672">
            <v>3024</v>
          </cell>
        </row>
        <row r="2673">
          <cell r="B2673">
            <v>3023</v>
          </cell>
          <cell r="C2673" t="str">
            <v>HLT5102</v>
          </cell>
          <cell r="D2673" t="str">
            <v>SINGLE JERSEY</v>
          </cell>
          <cell r="E2673"/>
          <cell r="F2673" t="str">
            <v>CVC 60/40</v>
          </cell>
          <cell r="G2673" t="str">
            <v>60% COTTON 40% POLYESTER</v>
          </cell>
          <cell r="H2673" t="str">
            <v>160CM</v>
          </cell>
          <cell r="I2673">
            <v>150</v>
          </cell>
          <cell r="J2673">
            <v>2.1</v>
          </cell>
          <cell r="K2673"/>
          <cell r="L2673">
            <v>2.2000000000000002</v>
          </cell>
          <cell r="M2673"/>
          <cell r="N2673">
            <v>2.3000000000000003</v>
          </cell>
          <cell r="O2673"/>
          <cell r="P2673"/>
          <cell r="Q2673"/>
          <cell r="R2673">
            <v>2.5000000000000004</v>
          </cell>
          <cell r="S2673"/>
          <cell r="T2673"/>
          <cell r="U2673"/>
          <cell r="V2673"/>
          <cell r="W2673"/>
          <cell r="X2673" t="str">
            <v>CANDY</v>
          </cell>
          <cell r="Y2673" t="str">
            <v>CANDY 18-APRIL</v>
          </cell>
          <cell r="Z2673" t="str">
            <v>CANDY' MAIL 19/4/17</v>
          </cell>
          <cell r="AA2673"/>
          <cell r="AB2673">
            <v>42844</v>
          </cell>
          <cell r="AC2673">
            <v>3023</v>
          </cell>
        </row>
        <row r="2674">
          <cell r="B2674">
            <v>3022</v>
          </cell>
          <cell r="C2674" t="str">
            <v>HLT3497</v>
          </cell>
          <cell r="D2674" t="str">
            <v>SINGLE JERSEY</v>
          </cell>
          <cell r="E2674"/>
          <cell r="F2674" t="str">
            <v>M/S 95/5</v>
          </cell>
          <cell r="G2674" t="str">
            <v>95% MODAL 5% SPANDEX</v>
          </cell>
          <cell r="H2674" t="str">
            <v>150CM</v>
          </cell>
          <cell r="I2674">
            <v>140</v>
          </cell>
          <cell r="J2674">
            <v>2.06</v>
          </cell>
          <cell r="K2674"/>
          <cell r="L2674">
            <v>2.16</v>
          </cell>
          <cell r="M2674"/>
          <cell r="N2674">
            <v>2.2600000000000002</v>
          </cell>
          <cell r="O2674"/>
          <cell r="P2674"/>
          <cell r="Q2674"/>
          <cell r="R2674">
            <v>2.4600000000000004</v>
          </cell>
          <cell r="S2674"/>
          <cell r="T2674"/>
          <cell r="U2674"/>
          <cell r="V2674">
            <v>15</v>
          </cell>
          <cell r="W2674"/>
          <cell r="X2674" t="str">
            <v>CANDY</v>
          </cell>
          <cell r="Y2674" t="str">
            <v>CANDY 18-APRIL</v>
          </cell>
          <cell r="Z2674" t="str">
            <v>CANDY' MAIL 19/4/17</v>
          </cell>
          <cell r="AA2674"/>
          <cell r="AB2674">
            <v>42844</v>
          </cell>
          <cell r="AC2674">
            <v>3022</v>
          </cell>
        </row>
        <row r="2675">
          <cell r="B2675">
            <v>3021</v>
          </cell>
          <cell r="C2675" t="str">
            <v>HLT5388</v>
          </cell>
          <cell r="D2675" t="str">
            <v>SINGLE JERSEY</v>
          </cell>
          <cell r="E2675" t="str">
            <v>SINGLER JERSEY</v>
          </cell>
          <cell r="F2675" t="str">
            <v>T/S 92/8</v>
          </cell>
          <cell r="G2675" t="str">
            <v>92% POLYESTER 8% SPANDEX</v>
          </cell>
          <cell r="H2675" t="str">
            <v>160CM</v>
          </cell>
          <cell r="I2675">
            <v>220</v>
          </cell>
          <cell r="J2675">
            <v>1.93</v>
          </cell>
          <cell r="K2675"/>
          <cell r="L2675">
            <v>2.0299999999999998</v>
          </cell>
          <cell r="M2675"/>
          <cell r="N2675">
            <v>2.13</v>
          </cell>
          <cell r="O2675"/>
          <cell r="P2675"/>
          <cell r="Q2675"/>
          <cell r="R2675">
            <v>2.33</v>
          </cell>
          <cell r="S2675"/>
          <cell r="T2675"/>
          <cell r="U2675"/>
          <cell r="V2675">
            <v>15</v>
          </cell>
          <cell r="W2675"/>
          <cell r="X2675" t="str">
            <v>CANDY</v>
          </cell>
          <cell r="Y2675" t="str">
            <v>CANDY 18-APRIL</v>
          </cell>
          <cell r="Z2675" t="str">
            <v>CANDY' MAIL 19/4/17</v>
          </cell>
          <cell r="AA2675"/>
          <cell r="AB2675">
            <v>42844</v>
          </cell>
          <cell r="AC2675">
            <v>3021</v>
          </cell>
        </row>
        <row r="2676">
          <cell r="B2676">
            <v>3020</v>
          </cell>
          <cell r="C2676" t="str">
            <v>HLT3314</v>
          </cell>
          <cell r="D2676" t="str">
            <v>SINGLE JERSEY</v>
          </cell>
          <cell r="E2676"/>
          <cell r="F2676" t="str">
            <v>N/S 92/8</v>
          </cell>
          <cell r="G2676" t="str">
            <v>92% NYLON 8% SPANDEX</v>
          </cell>
          <cell r="H2676" t="str">
            <v>150CM</v>
          </cell>
          <cell r="I2676">
            <v>150</v>
          </cell>
          <cell r="J2676">
            <v>1.9</v>
          </cell>
          <cell r="K2676"/>
          <cell r="L2676">
            <v>2</v>
          </cell>
          <cell r="M2676"/>
          <cell r="N2676">
            <v>2.1</v>
          </cell>
          <cell r="O2676"/>
          <cell r="P2676"/>
          <cell r="Q2676"/>
          <cell r="R2676">
            <v>2.3000000000000003</v>
          </cell>
          <cell r="S2676"/>
          <cell r="T2676"/>
          <cell r="U2676"/>
          <cell r="V2676">
            <v>15</v>
          </cell>
          <cell r="W2676"/>
          <cell r="X2676" t="str">
            <v>CANDY</v>
          </cell>
          <cell r="Y2676" t="str">
            <v>CANDY 18-APRIL</v>
          </cell>
          <cell r="Z2676" t="str">
            <v>CANDY' MAIL 19/4/17</v>
          </cell>
          <cell r="AA2676"/>
          <cell r="AB2676">
            <v>42844</v>
          </cell>
          <cell r="AC2676">
            <v>3020</v>
          </cell>
        </row>
        <row r="2677">
          <cell r="B2677">
            <v>3019</v>
          </cell>
          <cell r="C2677" t="str">
            <v>HLT3745</v>
          </cell>
          <cell r="D2677" t="str">
            <v>SINGLE JERSEY</v>
          </cell>
          <cell r="E2677"/>
          <cell r="F2677" t="str">
            <v>R/S 95/5</v>
          </cell>
          <cell r="G2677" t="str">
            <v>95% RAYON 5% SPANDEX</v>
          </cell>
          <cell r="H2677" t="str">
            <v>160CM</v>
          </cell>
          <cell r="I2677">
            <v>180</v>
          </cell>
          <cell r="J2677">
            <v>1.85</v>
          </cell>
          <cell r="K2677"/>
          <cell r="L2677">
            <v>1.9500000000000002</v>
          </cell>
          <cell r="M2677"/>
          <cell r="N2677">
            <v>2.0500000000000003</v>
          </cell>
          <cell r="O2677"/>
          <cell r="P2677"/>
          <cell r="Q2677"/>
          <cell r="R2677">
            <v>2.1500000000000004</v>
          </cell>
          <cell r="S2677"/>
          <cell r="T2677"/>
          <cell r="U2677"/>
          <cell r="V2677"/>
          <cell r="W2677"/>
          <cell r="X2677" t="str">
            <v>CANDY</v>
          </cell>
          <cell r="Y2677" t="str">
            <v>CANDY 18-APRIL</v>
          </cell>
          <cell r="Z2677" t="str">
            <v>CANDY' MAIL 19/4/17</v>
          </cell>
          <cell r="AA2677"/>
          <cell r="AB2677">
            <v>42844</v>
          </cell>
          <cell r="AC2677">
            <v>3019</v>
          </cell>
        </row>
        <row r="2678">
          <cell r="B2678">
            <v>3017</v>
          </cell>
          <cell r="C2678" t="str">
            <v>HLT3269</v>
          </cell>
          <cell r="D2678" t="str">
            <v>SINGLE JERSEY</v>
          </cell>
          <cell r="E2678"/>
          <cell r="F2678" t="str">
            <v>R/S 96/4</v>
          </cell>
          <cell r="G2678" t="str">
            <v>96% RAYON 4% SPANDEX</v>
          </cell>
          <cell r="H2678" t="str">
            <v>150CM</v>
          </cell>
          <cell r="I2678">
            <v>170</v>
          </cell>
          <cell r="J2678">
            <v>1.73</v>
          </cell>
          <cell r="K2678"/>
          <cell r="L2678">
            <v>1.83</v>
          </cell>
          <cell r="M2678"/>
          <cell r="N2678">
            <v>1.9300000000000002</v>
          </cell>
          <cell r="O2678"/>
          <cell r="P2678"/>
          <cell r="Q2678"/>
          <cell r="R2678">
            <v>2.1300000000000003</v>
          </cell>
          <cell r="S2678"/>
          <cell r="T2678"/>
          <cell r="U2678"/>
          <cell r="V2678">
            <v>15</v>
          </cell>
          <cell r="W2678"/>
          <cell r="X2678" t="str">
            <v>CANDY</v>
          </cell>
          <cell r="Y2678" t="str">
            <v>CANDY 18-APRIL</v>
          </cell>
          <cell r="Z2678" t="str">
            <v>CANDY' MAIL 19/4/17</v>
          </cell>
          <cell r="AA2678"/>
          <cell r="AB2678">
            <v>42844</v>
          </cell>
          <cell r="AC2678">
            <v>3017</v>
          </cell>
        </row>
        <row r="2679">
          <cell r="B2679">
            <v>3016</v>
          </cell>
          <cell r="C2679" t="str">
            <v>HLT5325</v>
          </cell>
          <cell r="D2679" t="str">
            <v>SINGLE JERSEY</v>
          </cell>
          <cell r="E2679"/>
          <cell r="F2679" t="str">
            <v>T/S 93/7</v>
          </cell>
          <cell r="G2679" t="str">
            <v>93% POLYESTER 7% SPANDEX</v>
          </cell>
          <cell r="H2679" t="str">
            <v>160CM</v>
          </cell>
          <cell r="I2679">
            <v>200</v>
          </cell>
          <cell r="J2679">
            <v>1.67</v>
          </cell>
          <cell r="K2679"/>
          <cell r="L2679">
            <v>1.77</v>
          </cell>
          <cell r="M2679"/>
          <cell r="N2679">
            <v>1.87</v>
          </cell>
          <cell r="O2679"/>
          <cell r="P2679"/>
          <cell r="Q2679"/>
          <cell r="R2679">
            <v>2.0700000000000003</v>
          </cell>
          <cell r="S2679"/>
          <cell r="T2679"/>
          <cell r="U2679"/>
          <cell r="V2679">
            <v>15</v>
          </cell>
          <cell r="W2679"/>
          <cell r="X2679" t="str">
            <v>CANDY</v>
          </cell>
          <cell r="Y2679" t="str">
            <v>CANDY 18-APRIL</v>
          </cell>
          <cell r="Z2679" t="str">
            <v>CANDY' MAIL 19/4/17</v>
          </cell>
          <cell r="AA2679"/>
          <cell r="AB2679">
            <v>42844</v>
          </cell>
          <cell r="AC2679">
            <v>3016</v>
          </cell>
        </row>
        <row r="2680">
          <cell r="B2680">
            <v>3015</v>
          </cell>
          <cell r="C2680" t="str">
            <v>HLT3592</v>
          </cell>
          <cell r="D2680" t="str">
            <v>SINGLE JERSEY</v>
          </cell>
          <cell r="E2680"/>
          <cell r="F2680" t="str">
            <v>V/S 95/5</v>
          </cell>
          <cell r="G2680" t="str">
            <v>95% VISCOSE 5%SPANDEX</v>
          </cell>
          <cell r="H2680" t="str">
            <v>148CM</v>
          </cell>
          <cell r="I2680">
            <v>160</v>
          </cell>
          <cell r="J2680">
            <v>1.55</v>
          </cell>
          <cell r="K2680"/>
          <cell r="L2680">
            <v>1.6500000000000001</v>
          </cell>
          <cell r="M2680"/>
          <cell r="N2680">
            <v>1.7500000000000002</v>
          </cell>
          <cell r="O2680"/>
          <cell r="P2680"/>
          <cell r="Q2680"/>
          <cell r="R2680">
            <v>1.9500000000000002</v>
          </cell>
          <cell r="S2680"/>
          <cell r="T2680"/>
          <cell r="U2680"/>
          <cell r="V2680">
            <v>15</v>
          </cell>
          <cell r="W2680"/>
          <cell r="X2680" t="str">
            <v>CANDY</v>
          </cell>
          <cell r="Y2680" t="str">
            <v>CANDY 18-APRIL</v>
          </cell>
          <cell r="Z2680" t="str">
            <v>CANDY' MAIL 19/4/17</v>
          </cell>
          <cell r="AA2680"/>
          <cell r="AB2680">
            <v>42844</v>
          </cell>
          <cell r="AC2680">
            <v>3015</v>
          </cell>
        </row>
        <row r="2681">
          <cell r="B2681">
            <v>3014</v>
          </cell>
          <cell r="C2681" t="str">
            <v>BG3674</v>
          </cell>
          <cell r="D2681" t="str">
            <v>SINGLE JERSEY</v>
          </cell>
          <cell r="E2681"/>
          <cell r="F2681" t="str">
            <v>CVC 55/45</v>
          </cell>
          <cell r="G2681" t="str">
            <v>55%COTTON 45%POLYESTER</v>
          </cell>
          <cell r="H2681" t="str">
            <v>58/60</v>
          </cell>
          <cell r="I2681">
            <v>160</v>
          </cell>
          <cell r="J2681">
            <v>1.49</v>
          </cell>
          <cell r="K2681"/>
          <cell r="L2681"/>
          <cell r="M2681"/>
          <cell r="N2681">
            <v>1.53</v>
          </cell>
          <cell r="O2681"/>
          <cell r="P2681"/>
          <cell r="Q2681"/>
          <cell r="R2681">
            <v>1.64</v>
          </cell>
          <cell r="S2681"/>
          <cell r="T2681"/>
          <cell r="U2681"/>
          <cell r="V2681"/>
          <cell r="W2681" t="str">
            <v>1kg≈4.0m</v>
          </cell>
          <cell r="X2681" t="str">
            <v>ANN</v>
          </cell>
          <cell r="Y2681" t="str">
            <v>ANN 18-APRIL</v>
          </cell>
          <cell r="Z2681" t="str">
            <v>ANN' FILE FROM WECHAT 19/4/17</v>
          </cell>
          <cell r="AA2681"/>
          <cell r="AB2681">
            <v>42844</v>
          </cell>
          <cell r="AC2681">
            <v>3014</v>
          </cell>
        </row>
        <row r="2682">
          <cell r="B2682">
            <v>3013</v>
          </cell>
          <cell r="C2682" t="str">
            <v>BG3673</v>
          </cell>
          <cell r="D2682" t="str">
            <v>SINGLE JERSEY</v>
          </cell>
          <cell r="E2682"/>
          <cell r="F2682" t="str">
            <v>T/R 65/35</v>
          </cell>
          <cell r="G2682" t="str">
            <v>65%POLYESTER 35% RAYON</v>
          </cell>
          <cell r="H2682" t="str">
            <v>58/60</v>
          </cell>
          <cell r="I2682">
            <v>170</v>
          </cell>
          <cell r="J2682">
            <v>1.41</v>
          </cell>
          <cell r="K2682"/>
          <cell r="L2682"/>
          <cell r="M2682"/>
          <cell r="N2682">
            <v>1.45</v>
          </cell>
          <cell r="O2682"/>
          <cell r="P2682"/>
          <cell r="Q2682"/>
          <cell r="R2682">
            <v>1.57</v>
          </cell>
          <cell r="S2682"/>
          <cell r="T2682"/>
          <cell r="U2682"/>
          <cell r="V2682"/>
          <cell r="W2682" t="str">
            <v>1kg≈3.7m</v>
          </cell>
          <cell r="X2682" t="str">
            <v>ANN</v>
          </cell>
          <cell r="Y2682" t="str">
            <v>ANN 18-APRIL</v>
          </cell>
          <cell r="Z2682" t="str">
            <v>ANN' FILE FROM WECHAT 19/4/17</v>
          </cell>
          <cell r="AA2682"/>
          <cell r="AB2682">
            <v>42844</v>
          </cell>
          <cell r="AC2682">
            <v>3013</v>
          </cell>
        </row>
        <row r="2683">
          <cell r="B2683">
            <v>3012</v>
          </cell>
          <cell r="C2683" t="str">
            <v>BG3313</v>
          </cell>
          <cell r="D2683" t="str">
            <v>SINGLE JERSEY</v>
          </cell>
          <cell r="E2683"/>
          <cell r="F2683" t="str">
            <v>T/C 65/35</v>
          </cell>
          <cell r="G2683" t="str">
            <v>65%POLYESTER 35%COTTON</v>
          </cell>
          <cell r="H2683" t="str">
            <v>58/60</v>
          </cell>
          <cell r="I2683">
            <v>145</v>
          </cell>
          <cell r="J2683">
            <v>1.29</v>
          </cell>
          <cell r="K2683"/>
          <cell r="L2683"/>
          <cell r="M2683"/>
          <cell r="N2683">
            <v>1.32</v>
          </cell>
          <cell r="O2683"/>
          <cell r="P2683"/>
          <cell r="Q2683"/>
          <cell r="R2683">
            <v>1.43</v>
          </cell>
          <cell r="S2683"/>
          <cell r="T2683"/>
          <cell r="U2683"/>
          <cell r="V2683">
            <v>15</v>
          </cell>
          <cell r="W2683" t="str">
            <v>1kg≈4.2m</v>
          </cell>
          <cell r="X2683" t="str">
            <v>ANN</v>
          </cell>
          <cell r="Y2683" t="str">
            <v>ANN 18-APRIL</v>
          </cell>
          <cell r="Z2683" t="str">
            <v>ANN' FILE FROM WECHAT 19/4/17</v>
          </cell>
          <cell r="AA2683"/>
          <cell r="AB2683">
            <v>42844</v>
          </cell>
          <cell r="AC2683">
            <v>3012</v>
          </cell>
        </row>
        <row r="2684">
          <cell r="B2684">
            <v>3011</v>
          </cell>
          <cell r="C2684" t="str">
            <v>T115</v>
          </cell>
          <cell r="D2684" t="str">
            <v>POLY DOBBY</v>
          </cell>
          <cell r="E2684"/>
          <cell r="F2684" t="str">
            <v>T 100%</v>
          </cell>
          <cell r="G2684" t="str">
            <v>100% POLYESTER</v>
          </cell>
          <cell r="H2684" t="str">
            <v>57/58</v>
          </cell>
          <cell r="I2684">
            <v>97</v>
          </cell>
          <cell r="J2684">
            <v>1.59</v>
          </cell>
          <cell r="K2684">
            <v>1.79</v>
          </cell>
          <cell r="L2684">
            <v>1.61</v>
          </cell>
          <cell r="M2684">
            <v>1.86</v>
          </cell>
          <cell r="N2684">
            <v>1.65</v>
          </cell>
          <cell r="O2684">
            <v>1.93</v>
          </cell>
          <cell r="P2684"/>
          <cell r="Q2684"/>
          <cell r="R2684">
            <v>1.72</v>
          </cell>
          <cell r="S2684">
            <v>2.5099999999999998</v>
          </cell>
          <cell r="T2684"/>
          <cell r="U2684"/>
          <cell r="V2684">
            <v>15</v>
          </cell>
          <cell r="W2684"/>
          <cell r="X2684" t="str">
            <v>TERESA</v>
          </cell>
          <cell r="Y2684" t="str">
            <v>TERESA 18-APRIL</v>
          </cell>
          <cell r="Z2684" t="str">
            <v>TERESA' MAIL 18/4/17</v>
          </cell>
          <cell r="AA2684"/>
          <cell r="AB2684">
            <v>42844</v>
          </cell>
          <cell r="AC2684">
            <v>3011</v>
          </cell>
        </row>
        <row r="2685">
          <cell r="B2685">
            <v>2147</v>
          </cell>
          <cell r="C2685" t="str">
            <v>HLT1287</v>
          </cell>
          <cell r="D2685" t="str">
            <v>SINGLE JERSEY</v>
          </cell>
          <cell r="E2685"/>
          <cell r="F2685" t="str">
            <v>R/S 95/5</v>
          </cell>
          <cell r="G2685" t="str">
            <v>95% RAYON 5% SPANDEX</v>
          </cell>
          <cell r="H2685" t="str">
            <v>155CM</v>
          </cell>
          <cell r="I2685">
            <v>195</v>
          </cell>
          <cell r="J2685">
            <v>1.82</v>
          </cell>
          <cell r="K2685"/>
          <cell r="L2685">
            <v>1.9200000000000002</v>
          </cell>
          <cell r="M2685"/>
          <cell r="N2685">
            <v>2.02</v>
          </cell>
          <cell r="O2685"/>
          <cell r="P2685"/>
          <cell r="Q2685"/>
          <cell r="R2685">
            <v>2.2200000000000002</v>
          </cell>
          <cell r="S2685"/>
          <cell r="T2685"/>
          <cell r="U2685"/>
          <cell r="V2685">
            <v>15</v>
          </cell>
          <cell r="W2685"/>
          <cell r="X2685" t="str">
            <v>CANDY</v>
          </cell>
          <cell r="Y2685" t="str">
            <v>CANDY 18-APRIL</v>
          </cell>
          <cell r="Z2685" t="str">
            <v>CANDY' MAIL 19/4/17</v>
          </cell>
          <cell r="AA2685"/>
          <cell r="AB2685">
            <v>42844</v>
          </cell>
          <cell r="AC2685">
            <v>3018</v>
          </cell>
        </row>
        <row r="2686">
          <cell r="B2686">
            <v>1942</v>
          </cell>
          <cell r="C2686" t="str">
            <v>BG2573</v>
          </cell>
          <cell r="D2686" t="str">
            <v>SINGLE JERSEY - ITY</v>
          </cell>
          <cell r="E2686" t="str">
            <v>SINGLE JERSEY</v>
          </cell>
          <cell r="F2686" t="str">
            <v>T/S 95/5</v>
          </cell>
          <cell r="G2686" t="str">
            <v>95%POLYESTER 5%SPAN</v>
          </cell>
          <cell r="H2686" t="str">
            <v>58/60</v>
          </cell>
          <cell r="I2686">
            <v>210</v>
          </cell>
          <cell r="J2686">
            <v>1.65</v>
          </cell>
          <cell r="K2686"/>
          <cell r="L2686"/>
          <cell r="M2686"/>
          <cell r="N2686">
            <v>1.7</v>
          </cell>
          <cell r="O2686"/>
          <cell r="P2686"/>
          <cell r="Q2686"/>
          <cell r="R2686">
            <v>1.85</v>
          </cell>
          <cell r="S2686"/>
          <cell r="T2686"/>
          <cell r="U2686"/>
          <cell r="V2686"/>
          <cell r="W2686" t="str">
            <v>1kg≈3.0m</v>
          </cell>
          <cell r="X2686" t="str">
            <v>ANN</v>
          </cell>
          <cell r="Y2686" t="str">
            <v>ANN 18-APRIL</v>
          </cell>
          <cell r="Z2686" t="str">
            <v>ANN' FILE FROM WECHAT 19/4/17</v>
          </cell>
          <cell r="AA2686"/>
          <cell r="AB2686">
            <v>42844</v>
          </cell>
          <cell r="AC2686">
            <v>1942</v>
          </cell>
        </row>
        <row r="2687">
          <cell r="B2687">
            <v>1896</v>
          </cell>
          <cell r="C2687" t="str">
            <v>BG1732</v>
          </cell>
          <cell r="D2687" t="str">
            <v>SINGLE JERSEY</v>
          </cell>
          <cell r="E2687"/>
          <cell r="F2687" t="str">
            <v>R/S 97/3</v>
          </cell>
          <cell r="G2687" t="str">
            <v>97%RAYON 3%SPAN</v>
          </cell>
          <cell r="H2687" t="str">
            <v>58/60</v>
          </cell>
          <cell r="I2687">
            <v>155</v>
          </cell>
          <cell r="J2687">
            <v>1.5</v>
          </cell>
          <cell r="K2687"/>
          <cell r="L2687"/>
          <cell r="M2687"/>
          <cell r="N2687">
            <v>1.54</v>
          </cell>
          <cell r="O2687"/>
          <cell r="P2687"/>
          <cell r="Q2687"/>
          <cell r="R2687">
            <v>1.65</v>
          </cell>
          <cell r="S2687"/>
          <cell r="T2687"/>
          <cell r="U2687"/>
          <cell r="V2687">
            <v>15</v>
          </cell>
          <cell r="W2687" t="str">
            <v>1kg≈4.1m</v>
          </cell>
          <cell r="X2687" t="str">
            <v>ANN</v>
          </cell>
          <cell r="Y2687" t="str">
            <v>ANN 18-APRIL</v>
          </cell>
          <cell r="Z2687" t="str">
            <v>ANN' FILE FROM WECHAT 19/4/17</v>
          </cell>
          <cell r="AA2687"/>
          <cell r="AB2687">
            <v>42844</v>
          </cell>
          <cell r="AC2687">
            <v>1896</v>
          </cell>
        </row>
        <row r="2688">
          <cell r="B2688">
            <v>726</v>
          </cell>
          <cell r="C2688" t="str">
            <v>TS-121B</v>
          </cell>
          <cell r="D2688"/>
          <cell r="E2688"/>
          <cell r="F2688" t="str">
            <v>T/S</v>
          </cell>
          <cell r="G2688" t="str">
            <v>POLYESTER / SPANDEX</v>
          </cell>
          <cell r="H2688" t="str">
            <v>56/57</v>
          </cell>
          <cell r="I2688">
            <v>255</v>
          </cell>
          <cell r="J2688">
            <v>1.88</v>
          </cell>
          <cell r="K2688">
            <v>2</v>
          </cell>
          <cell r="L2688">
            <v>1.9</v>
          </cell>
          <cell r="M2688">
            <v>2.06</v>
          </cell>
          <cell r="N2688">
            <v>1.91</v>
          </cell>
          <cell r="O2688">
            <v>2.1</v>
          </cell>
          <cell r="P2688"/>
          <cell r="Q2688"/>
          <cell r="R2688">
            <v>2.08</v>
          </cell>
          <cell r="S2688">
            <v>2.38</v>
          </cell>
          <cell r="T2688"/>
          <cell r="U2688"/>
          <cell r="V2688">
            <v>15</v>
          </cell>
          <cell r="W2688"/>
          <cell r="X2688" t="str">
            <v>GAVIN</v>
          </cell>
          <cell r="Y2688" t="str">
            <v>GAVIN 17-APRIL</v>
          </cell>
          <cell r="Z2688" t="str">
            <v>GAVIN' MAIL 18/4/17</v>
          </cell>
          <cell r="AA2688"/>
          <cell r="AB2688">
            <v>42843</v>
          </cell>
          <cell r="AC2688">
            <v>726</v>
          </cell>
        </row>
        <row r="2689">
          <cell r="B2689">
            <v>594</v>
          </cell>
          <cell r="C2689" t="str">
            <v>TS-122</v>
          </cell>
          <cell r="D2689"/>
          <cell r="E2689"/>
          <cell r="F2689" t="str">
            <v>T 100%</v>
          </cell>
          <cell r="G2689" t="str">
            <v>100% POLYESTER</v>
          </cell>
          <cell r="H2689" t="str">
            <v>57/58</v>
          </cell>
          <cell r="I2689">
            <v>245</v>
          </cell>
          <cell r="J2689">
            <v>2.52</v>
          </cell>
          <cell r="K2689">
            <v>2.64</v>
          </cell>
          <cell r="L2689">
            <v>2.54</v>
          </cell>
          <cell r="M2689">
            <v>2.68</v>
          </cell>
          <cell r="N2689">
            <v>2.5499999999999998</v>
          </cell>
          <cell r="O2689">
            <v>2.7</v>
          </cell>
          <cell r="P2689"/>
          <cell r="Q2689"/>
          <cell r="R2689">
            <v>2.72</v>
          </cell>
          <cell r="S2689">
            <v>2.98</v>
          </cell>
          <cell r="T2689"/>
          <cell r="U2689"/>
          <cell r="V2689">
            <v>15</v>
          </cell>
          <cell r="W2689"/>
          <cell r="X2689" t="str">
            <v>GAVIN</v>
          </cell>
          <cell r="Y2689" t="str">
            <v>GAVIN 17-APRIL</v>
          </cell>
          <cell r="Z2689" t="str">
            <v>GAVIN' MAIL 18/4/17</v>
          </cell>
          <cell r="AA2689"/>
          <cell r="AB2689">
            <v>42843</v>
          </cell>
          <cell r="AC2689">
            <v>594</v>
          </cell>
        </row>
        <row r="2690">
          <cell r="B2690">
            <v>590</v>
          </cell>
          <cell r="C2690" t="str">
            <v>TS-121A</v>
          </cell>
          <cell r="D2690"/>
          <cell r="E2690"/>
          <cell r="F2690" t="str">
            <v>T 100%</v>
          </cell>
          <cell r="G2690" t="str">
            <v>100% POLYESTER</v>
          </cell>
          <cell r="H2690" t="str">
            <v>57/58</v>
          </cell>
          <cell r="I2690">
            <v>227</v>
          </cell>
          <cell r="J2690">
            <v>1.96</v>
          </cell>
          <cell r="K2690">
            <v>2.13</v>
          </cell>
          <cell r="L2690">
            <v>1.99</v>
          </cell>
          <cell r="M2690">
            <v>2.16</v>
          </cell>
          <cell r="N2690">
            <v>2</v>
          </cell>
          <cell r="O2690">
            <v>2.1800000000000002</v>
          </cell>
          <cell r="P2690"/>
          <cell r="Q2690"/>
          <cell r="R2690">
            <v>2.16</v>
          </cell>
          <cell r="S2690">
            <v>2.4500000000000002</v>
          </cell>
          <cell r="T2690"/>
          <cell r="U2690"/>
          <cell r="V2690">
            <v>15</v>
          </cell>
          <cell r="W2690"/>
          <cell r="X2690" t="str">
            <v>GAVIN</v>
          </cell>
          <cell r="Y2690" t="str">
            <v>GAVIN 17-APRIL</v>
          </cell>
          <cell r="Z2690" t="str">
            <v>GAVIN' MAIL 18/4/17</v>
          </cell>
          <cell r="AA2690"/>
          <cell r="AB2690">
            <v>42843</v>
          </cell>
          <cell r="AC2690">
            <v>590</v>
          </cell>
        </row>
        <row r="2691">
          <cell r="B2691"/>
          <cell r="C2691" t="str">
            <v>WW-21436-4</v>
          </cell>
          <cell r="D2691"/>
          <cell r="E2691"/>
          <cell r="F2691" t="str">
            <v>T100%</v>
          </cell>
          <cell r="G2691" t="str">
            <v>100% POLYESTER - 75Dx75D - 93.5x40</v>
          </cell>
          <cell r="H2691" t="str">
            <v>57/58</v>
          </cell>
          <cell r="I2691">
            <v>115</v>
          </cell>
          <cell r="J2691">
            <v>1.1499999999999999</v>
          </cell>
          <cell r="K2691">
            <v>1.45</v>
          </cell>
          <cell r="L2691"/>
          <cell r="M2691"/>
          <cell r="N2691">
            <v>1.2</v>
          </cell>
          <cell r="O2691">
            <v>1.5</v>
          </cell>
          <cell r="P2691"/>
          <cell r="Q2691"/>
          <cell r="R2691"/>
          <cell r="S2691">
            <v>1.62</v>
          </cell>
          <cell r="T2691"/>
          <cell r="U2691"/>
          <cell r="V2691"/>
          <cell r="W2691" t="str">
            <v>INPUT INFORMATION FROM AMY' EMAIL - NOTE YET MAKE AMW CODE.</v>
          </cell>
          <cell r="X2691" t="str">
            <v>PANI</v>
          </cell>
          <cell r="Y2691" t="str">
            <v>PANI 6-APRIL</v>
          </cell>
          <cell r="Z2691" t="str">
            <v>AMY' MAIL 6/4/17</v>
          </cell>
          <cell r="AA2691"/>
          <cell r="AB2691">
            <v>42842</v>
          </cell>
          <cell r="AC2691">
            <v>0</v>
          </cell>
        </row>
        <row r="2692">
          <cell r="B2692"/>
          <cell r="C2692" t="str">
            <v>LC2667</v>
          </cell>
          <cell r="D2692" t="str">
            <v>LACE</v>
          </cell>
          <cell r="E2692"/>
          <cell r="F2692" t="str">
            <v>T 100%</v>
          </cell>
          <cell r="G2692" t="str">
            <v>100%POLYESTER</v>
          </cell>
          <cell r="H2692" t="str">
            <v>57/5</v>
          </cell>
          <cell r="I2692">
            <v>103</v>
          </cell>
          <cell r="J2692">
            <v>1.2</v>
          </cell>
          <cell r="K2692">
            <v>1.5</v>
          </cell>
          <cell r="L2692"/>
          <cell r="M2692"/>
          <cell r="N2692">
            <v>1.25</v>
          </cell>
          <cell r="O2692">
            <v>1.55</v>
          </cell>
          <cell r="P2692"/>
          <cell r="Q2692"/>
          <cell r="R2692">
            <v>1.5</v>
          </cell>
          <cell r="S2692">
            <v>2</v>
          </cell>
          <cell r="T2692"/>
          <cell r="U2692"/>
          <cell r="V2692">
            <v>15</v>
          </cell>
          <cell r="W2692" t="str">
            <v>INPUT INFORMATION FROM AMY' EMAIL - NOTE YET MAKE AMW CODE.</v>
          </cell>
          <cell r="X2692" t="str">
            <v>PANI</v>
          </cell>
          <cell r="Y2692" t="str">
            <v>PANI 10-APRIL</v>
          </cell>
          <cell r="Z2692" t="str">
            <v>AMY' MAIL 10/4/17</v>
          </cell>
          <cell r="AA2692"/>
          <cell r="AB2692">
            <v>42842</v>
          </cell>
          <cell r="AC2692">
            <v>0</v>
          </cell>
        </row>
        <row r="2693">
          <cell r="B2693"/>
          <cell r="C2693" t="str">
            <v>WW-21655</v>
          </cell>
          <cell r="D2693"/>
          <cell r="E2693"/>
          <cell r="F2693" t="str">
            <v>T/S 96/4</v>
          </cell>
          <cell r="G2693" t="str">
            <v>96% POLYESTER 4% SPAN</v>
          </cell>
          <cell r="H2693" t="str">
            <v>150CM</v>
          </cell>
          <cell r="I2693">
            <v>180</v>
          </cell>
          <cell r="J2693">
            <v>1.75</v>
          </cell>
          <cell r="K2693">
            <v>2.15</v>
          </cell>
          <cell r="L2693"/>
          <cell r="M2693"/>
          <cell r="N2693">
            <v>1.8</v>
          </cell>
          <cell r="O2693">
            <v>2.2000000000000002</v>
          </cell>
          <cell r="P2693"/>
          <cell r="Q2693"/>
          <cell r="R2693"/>
          <cell r="S2693">
            <v>2.38</v>
          </cell>
          <cell r="T2693"/>
          <cell r="U2693"/>
          <cell r="V2693"/>
          <cell r="W2693" t="str">
            <v>INPUT INFORMATION FROM AMY' EMAIL - NOTE YET MAKE AMW CODE.</v>
          </cell>
          <cell r="X2693" t="str">
            <v>PANI</v>
          </cell>
          <cell r="Y2693" t="str">
            <v>PANI 6-APRIL</v>
          </cell>
          <cell r="Z2693" t="str">
            <v>AMY' MAIL 6/4/17</v>
          </cell>
          <cell r="AA2693"/>
          <cell r="AB2693">
            <v>42842</v>
          </cell>
          <cell r="AC2693">
            <v>0</v>
          </cell>
        </row>
        <row r="2694">
          <cell r="B2694"/>
          <cell r="C2694" t="str">
            <v>WW-21646</v>
          </cell>
          <cell r="D2694"/>
          <cell r="E2694"/>
          <cell r="F2694" t="str">
            <v>T/S 95/5</v>
          </cell>
          <cell r="G2694" t="str">
            <v>95% POLYESTER 5% SPAN</v>
          </cell>
          <cell r="H2694" t="str">
            <v>57/58</v>
          </cell>
          <cell r="I2694">
            <v>193</v>
          </cell>
          <cell r="J2694">
            <v>1.9999999999999998</v>
          </cell>
          <cell r="K2694">
            <v>2.4500000000000002</v>
          </cell>
          <cell r="L2694"/>
          <cell r="M2694"/>
          <cell r="N2694">
            <v>2.0499999999999998</v>
          </cell>
          <cell r="O2694">
            <v>2.5</v>
          </cell>
          <cell r="P2694"/>
          <cell r="Q2694"/>
          <cell r="R2694"/>
          <cell r="S2694">
            <v>2.66</v>
          </cell>
          <cell r="T2694"/>
          <cell r="U2694"/>
          <cell r="V2694"/>
          <cell r="W2694" t="str">
            <v>INPUT INFORMATION FROM AMY' EMAIL - NOTE YET MAKE AMW CODE.</v>
          </cell>
          <cell r="X2694" t="str">
            <v>PANI</v>
          </cell>
          <cell r="Y2694" t="str">
            <v>PANI 6-APRIL</v>
          </cell>
          <cell r="Z2694" t="str">
            <v>AMY' MAIL 6/4/17</v>
          </cell>
          <cell r="AA2694"/>
          <cell r="AB2694">
            <v>42842</v>
          </cell>
          <cell r="AC2694">
            <v>0</v>
          </cell>
        </row>
        <row r="2695">
          <cell r="B2695"/>
          <cell r="C2695" t="str">
            <v>WW-23426</v>
          </cell>
          <cell r="D2695"/>
          <cell r="E2695"/>
          <cell r="F2695" t="str">
            <v>C/S 97/3</v>
          </cell>
          <cell r="G2695" t="str">
            <v>97% COTTON 3% SPAN - 40x40+40D</v>
          </cell>
          <cell r="H2695" t="str">
            <v>57/58</v>
          </cell>
          <cell r="I2695">
            <v>100</v>
          </cell>
          <cell r="J2695">
            <v>2.4500000000000002</v>
          </cell>
          <cell r="K2695"/>
          <cell r="L2695"/>
          <cell r="M2695"/>
          <cell r="N2695">
            <v>2.5</v>
          </cell>
          <cell r="O2695"/>
          <cell r="P2695"/>
          <cell r="Q2695"/>
          <cell r="R2695"/>
          <cell r="S2695"/>
          <cell r="T2695"/>
          <cell r="U2695"/>
          <cell r="V2695"/>
          <cell r="W2695" t="str">
            <v>INPUT INFORMATION FROM AMY' EMAIL - NOTE YET MAKE AMW CODE.</v>
          </cell>
          <cell r="X2695" t="str">
            <v>PANI</v>
          </cell>
          <cell r="Y2695" t="str">
            <v>PANI 6-APRIL</v>
          </cell>
          <cell r="Z2695" t="str">
            <v>AMY' MAIL 6/4/17</v>
          </cell>
          <cell r="AA2695"/>
          <cell r="AB2695">
            <v>42842</v>
          </cell>
          <cell r="AC2695">
            <v>0</v>
          </cell>
        </row>
        <row r="2696">
          <cell r="B2696"/>
          <cell r="C2696" t="str">
            <v>WW-23358</v>
          </cell>
          <cell r="D2696"/>
          <cell r="E2696"/>
          <cell r="F2696" t="str">
            <v>T/S 92/8</v>
          </cell>
          <cell r="G2696" t="str">
            <v>92% POLYESTER 8% SPAN - 100D +TC45</v>
          </cell>
          <cell r="H2696" t="str">
            <v>57/58</v>
          </cell>
          <cell r="I2696">
            <v>111</v>
          </cell>
          <cell r="J2696">
            <v>1.2</v>
          </cell>
          <cell r="K2696"/>
          <cell r="L2696"/>
          <cell r="M2696"/>
          <cell r="N2696">
            <v>1.25</v>
          </cell>
          <cell r="O2696"/>
          <cell r="P2696"/>
          <cell r="Q2696"/>
          <cell r="R2696"/>
          <cell r="S2696"/>
          <cell r="T2696"/>
          <cell r="U2696"/>
          <cell r="V2696"/>
          <cell r="W2696" t="str">
            <v>INPUT INFORMATION FROM AMY' EMAIL - NOTE YET MAKE AMW CODE.</v>
          </cell>
          <cell r="X2696" t="str">
            <v>PANI</v>
          </cell>
          <cell r="Y2696" t="str">
            <v>PANI 6-APRIL</v>
          </cell>
          <cell r="Z2696" t="str">
            <v>AMY' MAIL 6/4/17</v>
          </cell>
          <cell r="AA2696"/>
          <cell r="AB2696">
            <v>42842</v>
          </cell>
          <cell r="AC2696">
            <v>0</v>
          </cell>
        </row>
        <row r="2697">
          <cell r="B2697"/>
          <cell r="C2697" t="str">
            <v>WK-25342</v>
          </cell>
          <cell r="D2697"/>
          <cell r="E2697"/>
          <cell r="F2697" t="str">
            <v>T100%</v>
          </cell>
          <cell r="G2697" t="str">
            <v>100% POLYESTER - 75D/36F + 75D</v>
          </cell>
          <cell r="H2697" t="str">
            <v>58/60</v>
          </cell>
          <cell r="I2697">
            <v>185</v>
          </cell>
          <cell r="J2697">
            <v>1.25</v>
          </cell>
          <cell r="K2697"/>
          <cell r="L2697"/>
          <cell r="M2697"/>
          <cell r="N2697">
            <v>1.3</v>
          </cell>
          <cell r="O2697"/>
          <cell r="P2697"/>
          <cell r="Q2697"/>
          <cell r="R2697"/>
          <cell r="S2697"/>
          <cell r="T2697"/>
          <cell r="U2697"/>
          <cell r="V2697"/>
          <cell r="W2697" t="str">
            <v>INPUT INFORMATION FROM AMY' EMAIL - NOTE YET MAKE AMW CODE.</v>
          </cell>
          <cell r="X2697" t="str">
            <v>PANI</v>
          </cell>
          <cell r="Y2697" t="str">
            <v>PANI 6-APRIL</v>
          </cell>
          <cell r="Z2697" t="str">
            <v>AMY' MAIL 6/4/17</v>
          </cell>
          <cell r="AA2697"/>
          <cell r="AB2697">
            <v>42842</v>
          </cell>
          <cell r="AC2697">
            <v>0</v>
          </cell>
        </row>
        <row r="2698">
          <cell r="B2698"/>
          <cell r="C2698" t="str">
            <v>SACO4391</v>
          </cell>
          <cell r="D2698"/>
          <cell r="E2698"/>
          <cell r="F2698" t="str">
            <v>T100%</v>
          </cell>
          <cell r="G2698" t="str">
            <v>100% POLYESTER</v>
          </cell>
          <cell r="H2698" t="str">
            <v>57/58</v>
          </cell>
          <cell r="I2698">
            <v>100</v>
          </cell>
          <cell r="J2698">
            <v>1.4</v>
          </cell>
          <cell r="K2698"/>
          <cell r="L2698"/>
          <cell r="M2698"/>
          <cell r="N2698">
            <v>1.4</v>
          </cell>
          <cell r="O2698"/>
          <cell r="P2698"/>
          <cell r="Q2698"/>
          <cell r="R2698">
            <v>1.4</v>
          </cell>
          <cell r="S2698"/>
          <cell r="T2698"/>
          <cell r="U2698"/>
          <cell r="V2698">
            <v>3</v>
          </cell>
          <cell r="W2698" t="str">
            <v>INPUT INFORMATION FROM AMY' EMAIL - NOTE YET MAKE AMW CODE.</v>
          </cell>
          <cell r="X2698" t="str">
            <v>PANI</v>
          </cell>
          <cell r="Y2698" t="str">
            <v>PANI 4-APRIL</v>
          </cell>
          <cell r="Z2698" t="str">
            <v>AMY' MAIL 13/4/17</v>
          </cell>
          <cell r="AA2698"/>
          <cell r="AB2698">
            <v>42842</v>
          </cell>
          <cell r="AC2698">
            <v>0</v>
          </cell>
        </row>
        <row r="2699">
          <cell r="B2699"/>
          <cell r="C2699" t="str">
            <v>SACO4240-2</v>
          </cell>
          <cell r="D2699"/>
          <cell r="E2699"/>
          <cell r="F2699" t="str">
            <v>T/S 92/8</v>
          </cell>
          <cell r="G2699" t="str">
            <v>92% POLYESTER 8% SPAN</v>
          </cell>
          <cell r="H2699" t="str">
            <v>57/58</v>
          </cell>
          <cell r="I2699">
            <v>210</v>
          </cell>
          <cell r="J2699">
            <v>2.0499999999999998</v>
          </cell>
          <cell r="K2699"/>
          <cell r="L2699"/>
          <cell r="M2699"/>
          <cell r="N2699">
            <v>2.0499999999999998</v>
          </cell>
          <cell r="O2699"/>
          <cell r="P2699"/>
          <cell r="Q2699"/>
          <cell r="R2699">
            <v>2.0499999999999998</v>
          </cell>
          <cell r="S2699"/>
          <cell r="T2699"/>
          <cell r="U2699"/>
          <cell r="V2699">
            <v>3</v>
          </cell>
          <cell r="W2699" t="str">
            <v>INPUT INFORMATION FROM AMY' EMAIL - NOTE YET MAKE AMW CODE.</v>
          </cell>
          <cell r="X2699" t="str">
            <v>PANI</v>
          </cell>
          <cell r="Y2699" t="str">
            <v>PANI 4-APRIL</v>
          </cell>
          <cell r="Z2699" t="str">
            <v>AMY' MAIL 13/4/17</v>
          </cell>
          <cell r="AA2699"/>
          <cell r="AB2699">
            <v>42842</v>
          </cell>
          <cell r="AC2699">
            <v>0</v>
          </cell>
        </row>
        <row r="2700">
          <cell r="B2700"/>
          <cell r="C2700" t="str">
            <v>SH1175</v>
          </cell>
          <cell r="D2700"/>
          <cell r="E2700"/>
          <cell r="F2700" t="str">
            <v>T/S 94/6</v>
          </cell>
          <cell r="G2700" t="str">
            <v>94% POLYESTER 6% SPAN - 100D/144F + 40D</v>
          </cell>
          <cell r="H2700" t="str">
            <v>65/67</v>
          </cell>
          <cell r="I2700">
            <v>200</v>
          </cell>
          <cell r="J2700">
            <v>1.5999999999999999</v>
          </cell>
          <cell r="K2700"/>
          <cell r="L2700"/>
          <cell r="M2700"/>
          <cell r="N2700">
            <v>1.65</v>
          </cell>
          <cell r="O2700"/>
          <cell r="P2700"/>
          <cell r="Q2700"/>
          <cell r="R2700"/>
          <cell r="S2700"/>
          <cell r="T2700"/>
          <cell r="U2700"/>
          <cell r="V2700"/>
          <cell r="W2700" t="str">
            <v>INPUT INFORMATION FROM AMY' EMAIL - NOTE YET MAKE AMW CODE.</v>
          </cell>
          <cell r="X2700" t="str">
            <v>PANI</v>
          </cell>
          <cell r="Y2700" t="str">
            <v>PANI 6-APRIL</v>
          </cell>
          <cell r="Z2700" t="str">
            <v>AMY' MAIL 6/4/17</v>
          </cell>
          <cell r="AA2700"/>
          <cell r="AB2700">
            <v>42842</v>
          </cell>
          <cell r="AC2700">
            <v>0</v>
          </cell>
        </row>
        <row r="2701">
          <cell r="B2701"/>
          <cell r="C2701" t="str">
            <v>WW-23510</v>
          </cell>
          <cell r="D2701"/>
          <cell r="E2701"/>
          <cell r="F2701" t="str">
            <v>C/V 55/45</v>
          </cell>
          <cell r="G2701" t="str">
            <v>CVC55/45 -CVC20xCVC16</v>
          </cell>
          <cell r="H2701" t="str">
            <v>57/58</v>
          </cell>
          <cell r="I2701">
            <v>185</v>
          </cell>
          <cell r="J2701">
            <v>2.25</v>
          </cell>
          <cell r="K2701"/>
          <cell r="L2701"/>
          <cell r="M2701"/>
          <cell r="N2701">
            <v>2.2999999999999998</v>
          </cell>
          <cell r="O2701"/>
          <cell r="P2701"/>
          <cell r="Q2701"/>
          <cell r="R2701"/>
          <cell r="S2701"/>
          <cell r="T2701"/>
          <cell r="U2701"/>
          <cell r="V2701"/>
          <cell r="W2701" t="str">
            <v>INPUT INFORMATION FROM AMY' EMAIL - NOTE YET MAKE AMW CODE.</v>
          </cell>
          <cell r="X2701" t="str">
            <v>PANI</v>
          </cell>
          <cell r="Y2701" t="str">
            <v>PANI 6-APRIL</v>
          </cell>
          <cell r="Z2701" t="str">
            <v>AMY' MAIL 6/4/17</v>
          </cell>
          <cell r="AA2701"/>
          <cell r="AB2701">
            <v>42842</v>
          </cell>
          <cell r="AC2701">
            <v>0</v>
          </cell>
        </row>
        <row r="2702">
          <cell r="B2702"/>
          <cell r="C2702" t="str">
            <v>SACO9038</v>
          </cell>
          <cell r="D2702"/>
          <cell r="E2702"/>
          <cell r="F2702" t="str">
            <v>R/N/S 68/28/4</v>
          </cell>
          <cell r="G2702" t="str">
            <v>68% RAYON 28% NYLON 4% SPAN</v>
          </cell>
          <cell r="H2702" t="str">
            <v>58/60</v>
          </cell>
          <cell r="I2702">
            <v>320</v>
          </cell>
          <cell r="J2702">
            <v>2.8</v>
          </cell>
          <cell r="K2702"/>
          <cell r="L2702"/>
          <cell r="M2702"/>
          <cell r="N2702">
            <v>2.8</v>
          </cell>
          <cell r="O2702"/>
          <cell r="P2702"/>
          <cell r="Q2702"/>
          <cell r="R2702">
            <v>2.8</v>
          </cell>
          <cell r="S2702"/>
          <cell r="T2702"/>
          <cell r="U2702"/>
          <cell r="V2702">
            <v>3</v>
          </cell>
          <cell r="W2702" t="str">
            <v>INPUT INFORMATION FROM AMY' EMAIL - NOTE YET MAKE AMW CODE.</v>
          </cell>
          <cell r="X2702" t="str">
            <v>PANI</v>
          </cell>
          <cell r="Y2702" t="str">
            <v>PANI 4-APRIL</v>
          </cell>
          <cell r="Z2702" t="str">
            <v>AMY' MAIL 13/4/17</v>
          </cell>
          <cell r="AA2702"/>
          <cell r="AB2702">
            <v>42842</v>
          </cell>
          <cell r="AC2702">
            <v>0</v>
          </cell>
        </row>
        <row r="2703">
          <cell r="B2703"/>
          <cell r="C2703" t="str">
            <v>SACO4395</v>
          </cell>
          <cell r="D2703"/>
          <cell r="E2703"/>
          <cell r="F2703" t="str">
            <v>T 100%</v>
          </cell>
          <cell r="G2703" t="str">
            <v>100% POLYESTER</v>
          </cell>
          <cell r="H2703" t="str">
            <v>57/58</v>
          </cell>
          <cell r="I2703">
            <v>230</v>
          </cell>
          <cell r="J2703">
            <v>3</v>
          </cell>
          <cell r="K2703"/>
          <cell r="L2703"/>
          <cell r="M2703"/>
          <cell r="N2703">
            <v>3</v>
          </cell>
          <cell r="O2703"/>
          <cell r="P2703"/>
          <cell r="Q2703"/>
          <cell r="R2703">
            <v>3</v>
          </cell>
          <cell r="S2703"/>
          <cell r="T2703"/>
          <cell r="U2703"/>
          <cell r="V2703">
            <v>3</v>
          </cell>
          <cell r="W2703" t="str">
            <v>INPUT INFORMATION FROM AMY' EMAIL - NOTE YET MAKE AMW CODE.</v>
          </cell>
          <cell r="X2703" t="str">
            <v>PANI</v>
          </cell>
          <cell r="Y2703" t="str">
            <v>PANI 4-APRIL</v>
          </cell>
          <cell r="Z2703" t="str">
            <v>AMY' MAIL 13/4/17</v>
          </cell>
          <cell r="AA2703"/>
          <cell r="AB2703">
            <v>42842</v>
          </cell>
          <cell r="AC2703">
            <v>0</v>
          </cell>
        </row>
        <row r="2704">
          <cell r="B2704">
            <v>2987</v>
          </cell>
          <cell r="C2704" t="str">
            <v>ST-N7054</v>
          </cell>
          <cell r="D2704" t="str">
            <v>LACE CORDED</v>
          </cell>
          <cell r="E2704"/>
          <cell r="F2704" t="str">
            <v>N/R 70/30</v>
          </cell>
          <cell r="G2704" t="str">
            <v>70% NYLON 30% RAYON</v>
          </cell>
          <cell r="H2704" t="str">
            <v>57/58</v>
          </cell>
          <cell r="I2704">
            <v>135</v>
          </cell>
          <cell r="J2704">
            <v>2.08</v>
          </cell>
          <cell r="K2704">
            <v>2.69</v>
          </cell>
          <cell r="L2704"/>
          <cell r="M2704"/>
          <cell r="N2704">
            <v>2.09</v>
          </cell>
          <cell r="O2704">
            <v>2.71</v>
          </cell>
          <cell r="P2704"/>
          <cell r="Q2704"/>
          <cell r="R2704">
            <v>2.15</v>
          </cell>
          <cell r="S2704">
            <v>2.78</v>
          </cell>
          <cell r="T2704"/>
          <cell r="U2704"/>
          <cell r="V2704">
            <v>15</v>
          </cell>
          <cell r="W2704"/>
          <cell r="X2704" t="str">
            <v>SIGER</v>
          </cell>
          <cell r="Y2704" t="str">
            <v>SIGER 10-APRIL</v>
          </cell>
          <cell r="Z2704" t="str">
            <v>CARA' MAIL 14/4/17</v>
          </cell>
          <cell r="AA2704"/>
          <cell r="AB2704">
            <v>42840</v>
          </cell>
          <cell r="AC2704">
            <v>2987</v>
          </cell>
        </row>
        <row r="2705">
          <cell r="B2705">
            <v>1734</v>
          </cell>
          <cell r="C2705" t="str">
            <v>#16040707</v>
          </cell>
          <cell r="D2705" t="str">
            <v>YARNDYED</v>
          </cell>
          <cell r="E2705"/>
          <cell r="F2705" t="str">
            <v>R 100%</v>
          </cell>
          <cell r="G2705" t="str">
            <v>100% RAYON</v>
          </cell>
          <cell r="H2705" t="str">
            <v>53/54</v>
          </cell>
          <cell r="I2705">
            <v>144</v>
          </cell>
          <cell r="J2705">
            <v>1.87</v>
          </cell>
          <cell r="K2705"/>
          <cell r="L2705"/>
          <cell r="M2705"/>
          <cell r="N2705">
            <v>1.97</v>
          </cell>
          <cell r="O2705"/>
          <cell r="P2705"/>
          <cell r="Q2705"/>
          <cell r="R2705">
            <v>2.12</v>
          </cell>
          <cell r="S2705"/>
          <cell r="T2705"/>
          <cell r="U2705"/>
          <cell r="V2705"/>
          <cell r="W2705"/>
          <cell r="X2705" t="str">
            <v>OWEN</v>
          </cell>
          <cell r="Y2705" t="str">
            <v>OWEN 13-APRIL</v>
          </cell>
          <cell r="Z2705" t="str">
            <v>SANDY' MAIL 14/4/17</v>
          </cell>
          <cell r="AA2705"/>
          <cell r="AB2705">
            <v>42839</v>
          </cell>
          <cell r="AC2705">
            <v>1734</v>
          </cell>
        </row>
        <row r="2706">
          <cell r="B2706">
            <v>2332</v>
          </cell>
          <cell r="C2706" t="str">
            <v xml:space="preserve"> BG3425</v>
          </cell>
          <cell r="D2706" t="str">
            <v>DOBBY</v>
          </cell>
          <cell r="E2706"/>
          <cell r="F2706" t="str">
            <v>R 100%</v>
          </cell>
          <cell r="G2706" t="str">
            <v>100% RAYON</v>
          </cell>
          <cell r="H2706" t="str">
            <v>53/54</v>
          </cell>
          <cell r="I2706">
            <v>116</v>
          </cell>
          <cell r="J2706">
            <v>1.6</v>
          </cell>
          <cell r="K2706">
            <v>1.83</v>
          </cell>
          <cell r="L2706">
            <v>1.64</v>
          </cell>
          <cell r="M2706">
            <v>1.91</v>
          </cell>
          <cell r="N2706">
            <v>1.67</v>
          </cell>
          <cell r="O2706">
            <v>1.94</v>
          </cell>
          <cell r="P2706"/>
          <cell r="Q2706"/>
          <cell r="R2706">
            <v>1.98</v>
          </cell>
          <cell r="S2706">
            <v>2.4300000000000002</v>
          </cell>
          <cell r="T2706"/>
          <cell r="U2706"/>
          <cell r="V2706"/>
          <cell r="W2706"/>
          <cell r="X2706" t="str">
            <v>ANN</v>
          </cell>
          <cell r="Y2706" t="str">
            <v>ANN 13-APRIL</v>
          </cell>
          <cell r="Z2706" t="str">
            <v>ANN' MAIL 13/4/17</v>
          </cell>
          <cell r="AA2706"/>
          <cell r="AB2706">
            <v>42838</v>
          </cell>
          <cell r="AC2706">
            <v>2332</v>
          </cell>
        </row>
        <row r="2707">
          <cell r="B2707">
            <v>2330</v>
          </cell>
          <cell r="C2707" t="str">
            <v>BG3413</v>
          </cell>
          <cell r="D2707" t="str">
            <v>DOBBY</v>
          </cell>
          <cell r="E2707"/>
          <cell r="F2707" t="str">
            <v>R 100%</v>
          </cell>
          <cell r="G2707" t="str">
            <v>100% RAYON</v>
          </cell>
          <cell r="H2707" t="str">
            <v>53/54</v>
          </cell>
          <cell r="I2707">
            <v>107</v>
          </cell>
          <cell r="J2707">
            <v>1.87</v>
          </cell>
          <cell r="K2707">
            <v>2.1</v>
          </cell>
          <cell r="L2707">
            <v>1.91</v>
          </cell>
          <cell r="M2707">
            <v>2.1800000000000002</v>
          </cell>
          <cell r="N2707">
            <v>1.94</v>
          </cell>
          <cell r="O2707">
            <v>2.21</v>
          </cell>
          <cell r="P2707"/>
          <cell r="Q2707"/>
          <cell r="R2707">
            <v>2.25</v>
          </cell>
          <cell r="S2707">
            <v>2.7</v>
          </cell>
          <cell r="T2707"/>
          <cell r="U2707"/>
          <cell r="V2707"/>
          <cell r="W2707"/>
          <cell r="X2707" t="str">
            <v>ANN</v>
          </cell>
          <cell r="Y2707" t="str">
            <v>ANN 13-APRIL</v>
          </cell>
          <cell r="Z2707" t="str">
            <v>ANN' MAIL 13/4/17</v>
          </cell>
          <cell r="AA2707"/>
          <cell r="AB2707">
            <v>42838</v>
          </cell>
          <cell r="AC2707">
            <v>2330</v>
          </cell>
        </row>
        <row r="2708">
          <cell r="B2708">
            <v>2318</v>
          </cell>
          <cell r="C2708" t="str">
            <v>BG3430</v>
          </cell>
          <cell r="D2708" t="str">
            <v>DOBBY</v>
          </cell>
          <cell r="E2708"/>
          <cell r="F2708" t="str">
            <v>R 100%</v>
          </cell>
          <cell r="G2708" t="str">
            <v>100% RAYON</v>
          </cell>
          <cell r="H2708" t="str">
            <v>53/54</v>
          </cell>
          <cell r="I2708">
            <v>123</v>
          </cell>
          <cell r="J2708">
            <v>1.75</v>
          </cell>
          <cell r="K2708">
            <v>1.98</v>
          </cell>
          <cell r="L2708">
            <v>1.79</v>
          </cell>
          <cell r="M2708">
            <v>2.06</v>
          </cell>
          <cell r="N2708">
            <v>1.82</v>
          </cell>
          <cell r="O2708">
            <v>2.09</v>
          </cell>
          <cell r="P2708"/>
          <cell r="Q2708"/>
          <cell r="R2708">
            <v>2.13</v>
          </cell>
          <cell r="S2708">
            <v>2.58</v>
          </cell>
          <cell r="T2708"/>
          <cell r="U2708"/>
          <cell r="V2708"/>
          <cell r="W2708"/>
          <cell r="X2708" t="str">
            <v>ANN</v>
          </cell>
          <cell r="Y2708" t="str">
            <v>ANN 13-APRIL</v>
          </cell>
          <cell r="Z2708" t="str">
            <v>ANN' MAIL 13/4/17</v>
          </cell>
          <cell r="AA2708"/>
          <cell r="AB2708">
            <v>42838</v>
          </cell>
          <cell r="AC2708">
            <v>2318</v>
          </cell>
        </row>
        <row r="2709">
          <cell r="B2709">
            <v>2315</v>
          </cell>
          <cell r="C2709" t="str">
            <v>BG3223</v>
          </cell>
          <cell r="D2709" t="str">
            <v>DOBBY</v>
          </cell>
          <cell r="E2709"/>
          <cell r="F2709" t="str">
            <v>R 100%</v>
          </cell>
          <cell r="G2709" t="str">
            <v>100% RAYON</v>
          </cell>
          <cell r="H2709" t="str">
            <v>53/54</v>
          </cell>
          <cell r="I2709">
            <v>122</v>
          </cell>
          <cell r="J2709">
            <v>1.72</v>
          </cell>
          <cell r="K2709">
            <v>1.95</v>
          </cell>
          <cell r="L2709">
            <v>1.76</v>
          </cell>
          <cell r="M2709">
            <v>2.0299999999999998</v>
          </cell>
          <cell r="N2709">
            <v>1.79</v>
          </cell>
          <cell r="O2709">
            <v>2.06</v>
          </cell>
          <cell r="P2709"/>
          <cell r="Q2709"/>
          <cell r="R2709">
            <v>2.1</v>
          </cell>
          <cell r="S2709">
            <v>2.5499999999999998</v>
          </cell>
          <cell r="T2709"/>
          <cell r="U2709"/>
          <cell r="V2709"/>
          <cell r="W2709"/>
          <cell r="X2709" t="str">
            <v>ANN</v>
          </cell>
          <cell r="Y2709" t="str">
            <v>ANN 13-APRIL</v>
          </cell>
          <cell r="Z2709" t="str">
            <v>ANN' MAIL 13/4/17</v>
          </cell>
          <cell r="AA2709"/>
          <cell r="AB2709">
            <v>42838</v>
          </cell>
          <cell r="AC2709">
            <v>2315</v>
          </cell>
        </row>
        <row r="2710">
          <cell r="B2710">
            <v>2309</v>
          </cell>
          <cell r="C2710" t="str">
            <v>BG3076</v>
          </cell>
          <cell r="D2710" t="str">
            <v>DOBBY</v>
          </cell>
          <cell r="E2710"/>
          <cell r="F2710" t="str">
            <v>R 100%</v>
          </cell>
          <cell r="G2710" t="str">
            <v>100% RAYON</v>
          </cell>
          <cell r="H2710" t="str">
            <v>53/54</v>
          </cell>
          <cell r="I2710">
            <v>117</v>
          </cell>
          <cell r="J2710">
            <v>1.72</v>
          </cell>
          <cell r="K2710">
            <v>1.95</v>
          </cell>
          <cell r="L2710">
            <v>1.76</v>
          </cell>
          <cell r="M2710">
            <v>2.0299999999999998</v>
          </cell>
          <cell r="N2710">
            <v>1.79</v>
          </cell>
          <cell r="O2710">
            <v>2.06</v>
          </cell>
          <cell r="P2710"/>
          <cell r="Q2710"/>
          <cell r="R2710">
            <v>2.1</v>
          </cell>
          <cell r="S2710">
            <v>2.5499999999999998</v>
          </cell>
          <cell r="T2710"/>
          <cell r="U2710"/>
          <cell r="V2710"/>
          <cell r="W2710"/>
          <cell r="X2710" t="str">
            <v>ANN</v>
          </cell>
          <cell r="Y2710" t="str">
            <v>ANN 13-APRIL</v>
          </cell>
          <cell r="Z2710" t="str">
            <v>ANN' MAIL 13/4/17</v>
          </cell>
          <cell r="AA2710"/>
          <cell r="AB2710">
            <v>42838</v>
          </cell>
          <cell r="AC2710">
            <v>2309</v>
          </cell>
        </row>
        <row r="2711">
          <cell r="B2711">
            <v>2308</v>
          </cell>
          <cell r="C2711" t="str">
            <v>BG3185</v>
          </cell>
          <cell r="D2711" t="str">
            <v>DOBBY</v>
          </cell>
          <cell r="E2711"/>
          <cell r="F2711" t="str">
            <v>R 100%</v>
          </cell>
          <cell r="G2711" t="str">
            <v>100% RAYON</v>
          </cell>
          <cell r="H2711" t="str">
            <v>53/54</v>
          </cell>
          <cell r="I2711">
            <v>146</v>
          </cell>
          <cell r="J2711">
            <v>1.76</v>
          </cell>
          <cell r="K2711">
            <v>1.99</v>
          </cell>
          <cell r="L2711">
            <v>1.8</v>
          </cell>
          <cell r="M2711">
            <v>2.0699999999999998</v>
          </cell>
          <cell r="N2711">
            <v>1.83</v>
          </cell>
          <cell r="O2711">
            <v>2.1</v>
          </cell>
          <cell r="P2711"/>
          <cell r="Q2711"/>
          <cell r="R2711">
            <v>2.14</v>
          </cell>
          <cell r="S2711">
            <v>2.59</v>
          </cell>
          <cell r="T2711"/>
          <cell r="U2711"/>
          <cell r="V2711"/>
          <cell r="W2711"/>
          <cell r="X2711" t="str">
            <v>ANN</v>
          </cell>
          <cell r="Y2711" t="str">
            <v>ANN 13-APRIL</v>
          </cell>
          <cell r="Z2711" t="str">
            <v>ANN' MAIL 13/4/17</v>
          </cell>
          <cell r="AA2711"/>
          <cell r="AB2711">
            <v>42838</v>
          </cell>
          <cell r="AC2711">
            <v>2308</v>
          </cell>
        </row>
        <row r="2712">
          <cell r="B2712">
            <v>2307</v>
          </cell>
          <cell r="C2712" t="str">
            <v>BG3184</v>
          </cell>
          <cell r="D2712" t="str">
            <v>DOBBY</v>
          </cell>
          <cell r="E2712"/>
          <cell r="F2712" t="str">
            <v>R 100%</v>
          </cell>
          <cell r="G2712" t="str">
            <v>100% RAYON</v>
          </cell>
          <cell r="H2712" t="str">
            <v>53/54</v>
          </cell>
          <cell r="I2712">
            <v>125</v>
          </cell>
          <cell r="J2712">
            <v>1.72</v>
          </cell>
          <cell r="K2712">
            <v>1.95</v>
          </cell>
          <cell r="L2712">
            <v>1.76</v>
          </cell>
          <cell r="M2712">
            <v>2.0299999999999998</v>
          </cell>
          <cell r="N2712">
            <v>1.79</v>
          </cell>
          <cell r="O2712">
            <v>2.06</v>
          </cell>
          <cell r="P2712"/>
          <cell r="Q2712"/>
          <cell r="R2712">
            <v>2.1</v>
          </cell>
          <cell r="S2712">
            <v>2.5499999999999998</v>
          </cell>
          <cell r="T2712"/>
          <cell r="U2712"/>
          <cell r="V2712"/>
          <cell r="W2712"/>
          <cell r="X2712" t="str">
            <v>ANN</v>
          </cell>
          <cell r="Y2712" t="str">
            <v>ANN 13-APRIL</v>
          </cell>
          <cell r="Z2712" t="str">
            <v>ANN' MAIL 13/4/17</v>
          </cell>
          <cell r="AA2712"/>
          <cell r="AB2712">
            <v>42838</v>
          </cell>
          <cell r="AC2712">
            <v>2307</v>
          </cell>
        </row>
        <row r="2713">
          <cell r="B2713">
            <v>2277</v>
          </cell>
          <cell r="C2713" t="str">
            <v>OLP-5232JQ</v>
          </cell>
          <cell r="D2713" t="str">
            <v>DOBBY</v>
          </cell>
          <cell r="E2713"/>
          <cell r="F2713" t="str">
            <v>R 100%</v>
          </cell>
          <cell r="G2713" t="str">
            <v>100% RAYON</v>
          </cell>
          <cell r="H2713" t="str">
            <v>53/54</v>
          </cell>
          <cell r="I2713">
            <v>120</v>
          </cell>
          <cell r="J2713">
            <v>1.9</v>
          </cell>
          <cell r="K2713">
            <v>2.1800000000000002</v>
          </cell>
          <cell r="L2713"/>
          <cell r="M2713"/>
          <cell r="N2713">
            <v>2.02</v>
          </cell>
          <cell r="O2713">
            <v>2.25</v>
          </cell>
          <cell r="P2713"/>
          <cell r="Q2713"/>
          <cell r="R2713">
            <v>2.1800000000000002</v>
          </cell>
          <cell r="S2713">
            <v>2.7</v>
          </cell>
          <cell r="T2713"/>
          <cell r="U2713"/>
          <cell r="V2713">
            <v>15</v>
          </cell>
          <cell r="W2713" t="str">
            <v>AMW 2277 AND AMW 1730 ARE THE SAME</v>
          </cell>
          <cell r="X2713" t="str">
            <v>OWEN</v>
          </cell>
          <cell r="Y2713" t="str">
            <v>OWEN 13-APRIL</v>
          </cell>
          <cell r="Z2713" t="str">
            <v>SANDY' MAIL 13/4/17</v>
          </cell>
          <cell r="AA2713"/>
          <cell r="AB2713">
            <v>42838</v>
          </cell>
          <cell r="AC2713">
            <v>2277</v>
          </cell>
        </row>
        <row r="2714">
          <cell r="B2714">
            <v>2205</v>
          </cell>
          <cell r="C2714" t="str">
            <v>HLT-1518</v>
          </cell>
          <cell r="D2714" t="str">
            <v>CHIFFON TWILL</v>
          </cell>
          <cell r="E2714" t="str">
            <v>100DFDY x 75DFDY / 100x75</v>
          </cell>
          <cell r="F2714" t="str">
            <v>T 100%</v>
          </cell>
          <cell r="G2714" t="str">
            <v>100% POLYESTER</v>
          </cell>
          <cell r="H2714" t="str">
            <v>57/58</v>
          </cell>
          <cell r="I2714">
            <v>125</v>
          </cell>
          <cell r="J2714">
            <v>1.35</v>
          </cell>
          <cell r="K2714">
            <v>1.55</v>
          </cell>
          <cell r="L2714"/>
          <cell r="M2714"/>
          <cell r="N2714">
            <v>1.4500000000000002</v>
          </cell>
          <cell r="O2714">
            <v>1.6500000000000001</v>
          </cell>
          <cell r="P2714"/>
          <cell r="Q2714"/>
          <cell r="R2714">
            <v>1.6500000000000001</v>
          </cell>
          <cell r="S2714">
            <v>1.85</v>
          </cell>
          <cell r="T2714"/>
          <cell r="U2714"/>
          <cell r="V2714">
            <v>15</v>
          </cell>
          <cell r="W2714"/>
          <cell r="X2714" t="str">
            <v>CANDY</v>
          </cell>
          <cell r="Y2714" t="str">
            <v>CANDY 13-APRIL</v>
          </cell>
          <cell r="Z2714" t="str">
            <v>CANDY' MAIL 13/4/17</v>
          </cell>
          <cell r="AA2714"/>
          <cell r="AB2714">
            <v>42838</v>
          </cell>
          <cell r="AC2714">
            <v>2205</v>
          </cell>
        </row>
        <row r="2715">
          <cell r="B2715">
            <v>2066</v>
          </cell>
          <cell r="C2715" t="str">
            <v>ARR-3068</v>
          </cell>
          <cell r="D2715" t="str">
            <v>PLAIN 30</v>
          </cell>
          <cell r="E2715" t="str">
            <v>30x30 / 68x68</v>
          </cell>
          <cell r="F2715" t="str">
            <v>R 100%</v>
          </cell>
          <cell r="G2715" t="str">
            <v>100%RAYON</v>
          </cell>
          <cell r="H2715" t="str">
            <v>53/54</v>
          </cell>
          <cell r="I2715">
            <v>120</v>
          </cell>
          <cell r="J2715">
            <v>1.17</v>
          </cell>
          <cell r="K2715">
            <v>1.37</v>
          </cell>
          <cell r="L2715"/>
          <cell r="M2715"/>
          <cell r="N2715">
            <v>1.28</v>
          </cell>
          <cell r="O2715">
            <v>1.58</v>
          </cell>
          <cell r="P2715"/>
          <cell r="Q2715"/>
          <cell r="R2715">
            <v>1.58</v>
          </cell>
          <cell r="S2715">
            <v>2.63</v>
          </cell>
          <cell r="T2715"/>
          <cell r="U2715"/>
          <cell r="V2715">
            <v>15</v>
          </cell>
          <cell r="W2715" t="str">
            <v>PRICE FOR 1.000M IN SANDY' EMAIL 26/4/17</v>
          </cell>
          <cell r="X2715" t="str">
            <v>OWEN</v>
          </cell>
          <cell r="Y2715" t="str">
            <v>OWEN VISCOSE 13-APRIL</v>
          </cell>
          <cell r="Z2715" t="str">
            <v>SANDY' MAIL 13/4/17</v>
          </cell>
          <cell r="AA2715"/>
          <cell r="AB2715">
            <v>42838</v>
          </cell>
          <cell r="AC2715">
            <v>2066</v>
          </cell>
        </row>
        <row r="2716">
          <cell r="B2716">
            <v>1957</v>
          </cell>
          <cell r="C2716" t="str">
            <v>5088JQ</v>
          </cell>
          <cell r="D2716" t="str">
            <v>DOBBY</v>
          </cell>
          <cell r="E2716"/>
          <cell r="F2716" t="str">
            <v>R 100%</v>
          </cell>
          <cell r="G2716" t="str">
            <v>100% RAYON</v>
          </cell>
          <cell r="H2716" t="str">
            <v>49/50</v>
          </cell>
          <cell r="I2716">
            <v>125</v>
          </cell>
          <cell r="J2716">
            <v>1.85</v>
          </cell>
          <cell r="K2716">
            <v>2.15</v>
          </cell>
          <cell r="L2716"/>
          <cell r="M2716"/>
          <cell r="N2716">
            <v>2</v>
          </cell>
          <cell r="O2716">
            <v>2.2000000000000002</v>
          </cell>
          <cell r="P2716"/>
          <cell r="Q2716"/>
          <cell r="R2716">
            <v>2.15</v>
          </cell>
          <cell r="S2716">
            <v>2.68</v>
          </cell>
          <cell r="T2716"/>
          <cell r="U2716"/>
          <cell r="V2716"/>
          <cell r="W2716"/>
          <cell r="X2716" t="str">
            <v>OWEN</v>
          </cell>
          <cell r="Y2716" t="str">
            <v>OWEN 13-APRIL</v>
          </cell>
          <cell r="Z2716" t="str">
            <v>SANDY' MAIL 13/4/17</v>
          </cell>
          <cell r="AA2716"/>
          <cell r="AB2716">
            <v>42838</v>
          </cell>
          <cell r="AC2716">
            <v>1957</v>
          </cell>
        </row>
        <row r="2717">
          <cell r="B2717">
            <v>1739</v>
          </cell>
          <cell r="C2717" t="str">
            <v>SRJ-15122501-MND</v>
          </cell>
          <cell r="D2717" t="str">
            <v>DOBBY</v>
          </cell>
          <cell r="E2717"/>
          <cell r="F2717" t="str">
            <v>R 100%</v>
          </cell>
          <cell r="G2717" t="str">
            <v>100% RAYON</v>
          </cell>
          <cell r="H2717" t="str">
            <v>53/54</v>
          </cell>
          <cell r="I2717">
            <v>135</v>
          </cell>
          <cell r="J2717">
            <v>2.1</v>
          </cell>
          <cell r="K2717">
            <v>2.29</v>
          </cell>
          <cell r="L2717"/>
          <cell r="M2717"/>
          <cell r="N2717">
            <v>2.15</v>
          </cell>
          <cell r="O2717">
            <v>2.38</v>
          </cell>
          <cell r="P2717"/>
          <cell r="Q2717"/>
          <cell r="R2717">
            <v>2.2999999999999998</v>
          </cell>
          <cell r="S2717">
            <v>2.82</v>
          </cell>
          <cell r="T2717"/>
          <cell r="U2717"/>
          <cell r="V2717">
            <v>15</v>
          </cell>
          <cell r="W2717"/>
          <cell r="X2717" t="str">
            <v>OWEN</v>
          </cell>
          <cell r="Y2717" t="str">
            <v>OWEN 13-APRIL</v>
          </cell>
          <cell r="Z2717" t="str">
            <v>SANDY' MAIL 13/4/17</v>
          </cell>
          <cell r="AA2717"/>
          <cell r="AB2717">
            <v>42838</v>
          </cell>
          <cell r="AC2717">
            <v>1739</v>
          </cell>
        </row>
        <row r="2718">
          <cell r="B2718">
            <v>1730</v>
          </cell>
          <cell r="C2718" t="str">
            <v>JQ-J5232</v>
          </cell>
          <cell r="D2718" t="str">
            <v>DOBBY</v>
          </cell>
          <cell r="E2718"/>
          <cell r="F2718" t="str">
            <v>R 100%</v>
          </cell>
          <cell r="G2718" t="str">
            <v>100% RAYON</v>
          </cell>
          <cell r="H2718" t="str">
            <v>53/54</v>
          </cell>
          <cell r="I2718">
            <v>120</v>
          </cell>
          <cell r="J2718">
            <v>1.9</v>
          </cell>
          <cell r="K2718">
            <v>2.1800000000000002</v>
          </cell>
          <cell r="L2718"/>
          <cell r="M2718"/>
          <cell r="N2718">
            <v>2.02</v>
          </cell>
          <cell r="O2718">
            <v>2.25</v>
          </cell>
          <cell r="P2718"/>
          <cell r="Q2718"/>
          <cell r="R2718">
            <v>2.1800000000000002</v>
          </cell>
          <cell r="S2718">
            <v>2.7</v>
          </cell>
          <cell r="T2718"/>
          <cell r="U2718"/>
          <cell r="V2718">
            <v>15</v>
          </cell>
          <cell r="W2718" t="str">
            <v>AMW 2277 AND AMW 1730 ARE THE SAME</v>
          </cell>
          <cell r="X2718" t="str">
            <v>OWEN</v>
          </cell>
          <cell r="Y2718" t="str">
            <v>OWEN 13-APRIL</v>
          </cell>
          <cell r="Z2718" t="str">
            <v>SANDY' MAIL 13/4/17</v>
          </cell>
          <cell r="AA2718"/>
          <cell r="AB2718">
            <v>42838</v>
          </cell>
          <cell r="AC2718">
            <v>1730</v>
          </cell>
        </row>
        <row r="2719">
          <cell r="B2719">
            <v>587</v>
          </cell>
          <cell r="C2719" t="str">
            <v>TS-123</v>
          </cell>
          <cell r="D2719" t="str">
            <v>POLY JACQUARD</v>
          </cell>
          <cell r="E2719"/>
          <cell r="F2719" t="str">
            <v>T 100%</v>
          </cell>
          <cell r="G2719" t="str">
            <v>100% POLYESTER</v>
          </cell>
          <cell r="H2719" t="str">
            <v>57/58</v>
          </cell>
          <cell r="I2719">
            <v>75</v>
          </cell>
          <cell r="J2719">
            <v>1.23</v>
          </cell>
          <cell r="K2719"/>
          <cell r="L2719"/>
          <cell r="M2719"/>
          <cell r="N2719">
            <v>1.26</v>
          </cell>
          <cell r="O2719"/>
          <cell r="P2719"/>
          <cell r="Q2719"/>
          <cell r="R2719">
            <v>1.41</v>
          </cell>
          <cell r="S2719"/>
          <cell r="T2719"/>
          <cell r="U2719"/>
          <cell r="V2719">
            <v>15</v>
          </cell>
          <cell r="W2719"/>
          <cell r="X2719" t="str">
            <v>GAVIN</v>
          </cell>
          <cell r="Y2719" t="str">
            <v>GAVIN 13-APRIL</v>
          </cell>
          <cell r="Z2719" t="str">
            <v>GAVIN' MAIL 13/4/17</v>
          </cell>
          <cell r="AA2719"/>
          <cell r="AB2719">
            <v>42838</v>
          </cell>
          <cell r="AC2719">
            <v>587</v>
          </cell>
        </row>
        <row r="2720">
          <cell r="B2720">
            <v>3010</v>
          </cell>
          <cell r="C2720" t="str">
            <v>OLP-1733102FR</v>
          </cell>
          <cell r="D2720" t="str">
            <v>BURNOUT</v>
          </cell>
          <cell r="E2720" t="str">
            <v>32x32</v>
          </cell>
          <cell r="F2720" t="str">
            <v>T/R</v>
          </cell>
          <cell r="G2720" t="str">
            <v>POLYESTER RAYON / 32x32</v>
          </cell>
          <cell r="H2720" t="str">
            <v>57/58</v>
          </cell>
          <cell r="I2720">
            <v>82</v>
          </cell>
          <cell r="J2720"/>
          <cell r="K2720">
            <v>1.85</v>
          </cell>
          <cell r="L2720"/>
          <cell r="M2720"/>
          <cell r="N2720"/>
          <cell r="O2720">
            <v>1.92</v>
          </cell>
          <cell r="P2720"/>
          <cell r="Q2720"/>
          <cell r="R2720"/>
          <cell r="S2720">
            <v>2.37</v>
          </cell>
          <cell r="T2720"/>
          <cell r="U2720"/>
          <cell r="V2720"/>
          <cell r="W2720"/>
          <cell r="X2720" t="str">
            <v>OWEN</v>
          </cell>
          <cell r="Y2720" t="str">
            <v>OWEN 4-APRIL</v>
          </cell>
          <cell r="Z2720" t="str">
            <v>SANDY' MAIL 5/4/17</v>
          </cell>
          <cell r="AA2720"/>
          <cell r="AB2720">
            <v>42837</v>
          </cell>
          <cell r="AC2720">
            <v>3010</v>
          </cell>
        </row>
        <row r="2721">
          <cell r="B2721">
            <v>3009</v>
          </cell>
          <cell r="C2721" t="str">
            <v>UD-17040703</v>
          </cell>
          <cell r="D2721" t="str">
            <v>TC POPLIN FOR SHIRT</v>
          </cell>
          <cell r="E2721" t="str">
            <v>45x45 / 110x76</v>
          </cell>
          <cell r="F2721" t="str">
            <v>T/C 65/35</v>
          </cell>
          <cell r="G2721" t="str">
            <v>65% POLYESTER 35% COTTON</v>
          </cell>
          <cell r="H2721" t="str">
            <v>58/60</v>
          </cell>
          <cell r="I2721">
            <v>100</v>
          </cell>
          <cell r="J2721">
            <v>1.2</v>
          </cell>
          <cell r="K2721"/>
          <cell r="L2721"/>
          <cell r="M2721"/>
          <cell r="N2721">
            <v>1.25</v>
          </cell>
          <cell r="O2721"/>
          <cell r="P2721"/>
          <cell r="Q2721"/>
          <cell r="R2721">
            <v>1.45</v>
          </cell>
          <cell r="S2721"/>
          <cell r="T2721"/>
          <cell r="U2721"/>
          <cell r="V2721">
            <v>15</v>
          </cell>
          <cell r="W2721" t="str">
            <v>WANGHUA UPDATE PRICE FOR BOTH SOLID AND YARNDYED VIA WECHAT 14/4/17</v>
          </cell>
          <cell r="X2721" t="str">
            <v>WANG HUA</v>
          </cell>
          <cell r="Y2721" t="str">
            <v>WANGHUA 11-APRIL</v>
          </cell>
          <cell r="Z2721" t="str">
            <v>WANGHUA' MAIL 14/4/17</v>
          </cell>
          <cell r="AA2721"/>
          <cell r="AB2721">
            <v>42837</v>
          </cell>
          <cell r="AC2721">
            <v>3009</v>
          </cell>
        </row>
        <row r="2722">
          <cell r="B2722">
            <v>3008</v>
          </cell>
          <cell r="C2722" t="str">
            <v>UD-17040701/02</v>
          </cell>
          <cell r="D2722" t="str">
            <v>TC YARNDYED</v>
          </cell>
          <cell r="E2722" t="str">
            <v>45x45 / 100x70</v>
          </cell>
          <cell r="F2722" t="str">
            <v>T/C 65/35</v>
          </cell>
          <cell r="G2722" t="str">
            <v>65% POLYESTER 35% COTTON</v>
          </cell>
          <cell r="H2722" t="str">
            <v>58/60</v>
          </cell>
          <cell r="I2722">
            <v>100</v>
          </cell>
          <cell r="J2722"/>
          <cell r="K2722">
            <v>1.4</v>
          </cell>
          <cell r="L2722"/>
          <cell r="M2722"/>
          <cell r="N2722"/>
          <cell r="O2722">
            <v>1.45</v>
          </cell>
          <cell r="P2722"/>
          <cell r="Q2722"/>
          <cell r="R2722"/>
          <cell r="S2722">
            <v>1.6</v>
          </cell>
          <cell r="T2722"/>
          <cell r="U2722"/>
          <cell r="V2722">
            <v>15</v>
          </cell>
          <cell r="W2722" t="str">
            <v>WANGHUA UPDATE PRICE FOR BOTH SOLID AND YARNDYED VIA WECHAT 14/4/17</v>
          </cell>
          <cell r="X2722" t="str">
            <v>WANG HUA</v>
          </cell>
          <cell r="Y2722" t="str">
            <v>WANGHUA 11-APRIL</v>
          </cell>
          <cell r="Z2722" t="str">
            <v>WANGHUA' MAIL 14/4/17</v>
          </cell>
          <cell r="AA2722"/>
          <cell r="AB2722">
            <v>42837</v>
          </cell>
          <cell r="AC2722">
            <v>3008</v>
          </cell>
        </row>
        <row r="2723">
          <cell r="B2723">
            <v>1010</v>
          </cell>
          <cell r="C2723" t="str">
            <v>R012</v>
          </cell>
          <cell r="D2723" t="str">
            <v>PLAIN 30</v>
          </cell>
          <cell r="E2723" t="str">
            <v>30x30 / 68x68</v>
          </cell>
          <cell r="F2723" t="str">
            <v>R 100%</v>
          </cell>
          <cell r="G2723" t="str">
            <v>100% RAYON</v>
          </cell>
          <cell r="H2723" t="str">
            <v>53/54</v>
          </cell>
          <cell r="I2723">
            <v>120</v>
          </cell>
          <cell r="J2723">
            <v>1.1399999999999999</v>
          </cell>
          <cell r="K2723">
            <v>1.35</v>
          </cell>
          <cell r="L2723"/>
          <cell r="M2723"/>
          <cell r="N2723">
            <v>1.21</v>
          </cell>
          <cell r="O2723">
            <v>1.48</v>
          </cell>
          <cell r="P2723"/>
          <cell r="Q2723"/>
          <cell r="R2723"/>
          <cell r="S2723"/>
          <cell r="T2723"/>
          <cell r="U2723"/>
          <cell r="V2723">
            <v>15</v>
          </cell>
          <cell r="W2723"/>
          <cell r="X2723" t="str">
            <v>TERESA</v>
          </cell>
          <cell r="Y2723" t="str">
            <v>TERESA 11-APRIL</v>
          </cell>
          <cell r="Z2723" t="str">
            <v>TERESA' MAIL 12/4/17</v>
          </cell>
          <cell r="AA2723"/>
          <cell r="AB2723">
            <v>42837</v>
          </cell>
          <cell r="AC2723">
            <v>1010</v>
          </cell>
        </row>
        <row r="2724">
          <cell r="B2724">
            <v>3007</v>
          </cell>
          <cell r="C2724" t="str">
            <v>WH5197</v>
          </cell>
          <cell r="D2724" t="str">
            <v>POLY DOBBY</v>
          </cell>
          <cell r="E2724" t="str">
            <v>(20D+26D)X50D/210X109</v>
          </cell>
          <cell r="F2724" t="str">
            <v>T 100%</v>
          </cell>
          <cell r="G2724" t="str">
            <v>100% POLYESTER</v>
          </cell>
          <cell r="H2724" t="str">
            <v>55/56</v>
          </cell>
          <cell r="I2724">
            <v>115</v>
          </cell>
          <cell r="J2724">
            <v>1.93</v>
          </cell>
          <cell r="K2724">
            <v>2.23</v>
          </cell>
          <cell r="L2724"/>
          <cell r="M2724"/>
          <cell r="N2724">
            <v>2.5499999999999998</v>
          </cell>
          <cell r="O2724">
            <v>2.9</v>
          </cell>
          <cell r="P2724"/>
          <cell r="Q2724"/>
          <cell r="R2724">
            <v>2.5499999999999998</v>
          </cell>
          <cell r="S2724">
            <v>2.9</v>
          </cell>
          <cell r="T2724"/>
          <cell r="U2724"/>
          <cell r="V2724">
            <v>15</v>
          </cell>
          <cell r="W2724"/>
          <cell r="X2724" t="str">
            <v>VINCENT</v>
          </cell>
          <cell r="Y2724" t="str">
            <v>VINCENT 7-APRIL</v>
          </cell>
          <cell r="Z2724" t="str">
            <v>VINCENT' MAIL 7/4/17</v>
          </cell>
          <cell r="AA2724"/>
          <cell r="AB2724">
            <v>42836</v>
          </cell>
          <cell r="AC2724">
            <v>3007</v>
          </cell>
        </row>
        <row r="2725">
          <cell r="B2725">
            <v>2068</v>
          </cell>
          <cell r="C2725" t="str">
            <v>#4011090</v>
          </cell>
          <cell r="D2725" t="str">
            <v>PLAIN 40x40</v>
          </cell>
          <cell r="E2725" t="str">
            <v>40x40 / 110x90</v>
          </cell>
          <cell r="F2725" t="str">
            <v>R 100%</v>
          </cell>
          <cell r="G2725" t="str">
            <v>100% RAYON</v>
          </cell>
          <cell r="H2725" t="str">
            <v>53/54</v>
          </cell>
          <cell r="I2725">
            <v>130</v>
          </cell>
          <cell r="J2725">
            <v>1.42</v>
          </cell>
          <cell r="K2725">
            <v>1.54</v>
          </cell>
          <cell r="L2725"/>
          <cell r="M2725"/>
          <cell r="N2725">
            <v>1.45</v>
          </cell>
          <cell r="O2725">
            <v>1.91</v>
          </cell>
          <cell r="P2725"/>
          <cell r="Q2725"/>
          <cell r="R2725"/>
          <cell r="S2725"/>
          <cell r="T2725"/>
          <cell r="U2725"/>
          <cell r="V2725">
            <v>15</v>
          </cell>
          <cell r="W2725"/>
          <cell r="X2725" t="str">
            <v>OWEN</v>
          </cell>
          <cell r="Y2725" t="str">
            <v>OWEN 10-APRIL</v>
          </cell>
          <cell r="Z2725" t="str">
            <v>SANDY' MAIL 10/4/17</v>
          </cell>
          <cell r="AA2725"/>
          <cell r="AB2725">
            <v>42835</v>
          </cell>
          <cell r="AC2725">
            <v>2068</v>
          </cell>
        </row>
        <row r="2726">
          <cell r="B2726">
            <v>2066</v>
          </cell>
          <cell r="C2726" t="str">
            <v>OLP-AR-3068</v>
          </cell>
          <cell r="D2726" t="str">
            <v>PLAIN 30x30</v>
          </cell>
          <cell r="E2726" t="str">
            <v>30x30 / 68x60</v>
          </cell>
          <cell r="F2726" t="str">
            <v>R 100%</v>
          </cell>
          <cell r="G2726" t="str">
            <v>100% RAYON</v>
          </cell>
          <cell r="H2726" t="str">
            <v>53/54</v>
          </cell>
          <cell r="I2726">
            <v>120</v>
          </cell>
          <cell r="J2726">
            <v>1.17</v>
          </cell>
          <cell r="K2726">
            <v>1.37</v>
          </cell>
          <cell r="L2726"/>
          <cell r="M2726"/>
          <cell r="N2726">
            <v>1.33</v>
          </cell>
          <cell r="O2726">
            <v>1.74</v>
          </cell>
          <cell r="P2726"/>
          <cell r="Q2726"/>
          <cell r="R2726"/>
          <cell r="S2726"/>
          <cell r="T2726"/>
          <cell r="U2726"/>
          <cell r="V2726">
            <v>15</v>
          </cell>
          <cell r="W2726"/>
          <cell r="X2726" t="str">
            <v>OWEN</v>
          </cell>
          <cell r="Y2726" t="str">
            <v>OWEN 10-APRIL</v>
          </cell>
          <cell r="Z2726" t="str">
            <v>SANDY' MAIL 10/4/17</v>
          </cell>
          <cell r="AA2726"/>
          <cell r="AB2726">
            <v>42835</v>
          </cell>
          <cell r="AC2726">
            <v>2066</v>
          </cell>
        </row>
        <row r="2727">
          <cell r="B2727">
            <v>2065</v>
          </cell>
          <cell r="C2727" t="str">
            <v>ARR-609088</v>
          </cell>
          <cell r="D2727" t="str">
            <v>PLAIN 60x60</v>
          </cell>
          <cell r="E2727" t="str">
            <v>60x60 / 90x88</v>
          </cell>
          <cell r="F2727" t="str">
            <v>R 100%</v>
          </cell>
          <cell r="G2727" t="str">
            <v>100% RAYON</v>
          </cell>
          <cell r="H2727" t="str">
            <v>53/54</v>
          </cell>
          <cell r="I2727">
            <v>85</v>
          </cell>
          <cell r="J2727">
            <v>1.17</v>
          </cell>
          <cell r="K2727">
            <v>1.37</v>
          </cell>
          <cell r="L2727"/>
          <cell r="M2727"/>
          <cell r="N2727">
            <v>1.32</v>
          </cell>
          <cell r="O2727">
            <v>1.73</v>
          </cell>
          <cell r="P2727"/>
          <cell r="Q2727"/>
          <cell r="R2727"/>
          <cell r="S2727"/>
          <cell r="T2727"/>
          <cell r="U2727"/>
          <cell r="V2727">
            <v>15</v>
          </cell>
          <cell r="W2727"/>
          <cell r="X2727" t="str">
            <v>OWEN</v>
          </cell>
          <cell r="Y2727" t="str">
            <v>OWEN 10-APRIL</v>
          </cell>
          <cell r="Z2727" t="str">
            <v>SANDY' MAIL 10/4/17</v>
          </cell>
          <cell r="AA2727"/>
          <cell r="AB2727">
            <v>42835</v>
          </cell>
          <cell r="AC2727">
            <v>2065</v>
          </cell>
        </row>
        <row r="2728">
          <cell r="B2728">
            <v>3006</v>
          </cell>
          <cell r="C2728" t="str">
            <v>GL1816</v>
          </cell>
          <cell r="D2728" t="str">
            <v>PONTE</v>
          </cell>
          <cell r="E2728"/>
          <cell r="F2728" t="str">
            <v>T/R/S 75/20/5</v>
          </cell>
          <cell r="G2728" t="str">
            <v>75% POLYESTER 20% RAYON 15% SPANDEX</v>
          </cell>
          <cell r="H2728" t="str">
            <v>59/61</v>
          </cell>
          <cell r="I2728">
            <v>260</v>
          </cell>
          <cell r="J2728">
            <v>1.87</v>
          </cell>
          <cell r="K2728"/>
          <cell r="L2728"/>
          <cell r="M2728"/>
          <cell r="N2728">
            <v>1.9</v>
          </cell>
          <cell r="O2728"/>
          <cell r="P2728"/>
          <cell r="Q2728"/>
          <cell r="R2728">
            <v>2.0099999999999998</v>
          </cell>
          <cell r="S2728"/>
          <cell r="T2728"/>
          <cell r="U2728"/>
          <cell r="V2728">
            <v>15</v>
          </cell>
          <cell r="W2728"/>
          <cell r="X2728" t="str">
            <v>NICKY</v>
          </cell>
          <cell r="Y2728" t="str">
            <v>NICKY 3-APRIL</v>
          </cell>
          <cell r="Z2728" t="str">
            <v>NICKY MAIL' 7/4/17</v>
          </cell>
          <cell r="AA2728"/>
          <cell r="AB2728">
            <v>42833</v>
          </cell>
          <cell r="AC2728">
            <v>3006</v>
          </cell>
        </row>
        <row r="2729">
          <cell r="B2729">
            <v>3005</v>
          </cell>
          <cell r="C2729" t="str">
            <v>GL1817</v>
          </cell>
          <cell r="D2729" t="str">
            <v>PONTE</v>
          </cell>
          <cell r="E2729"/>
          <cell r="F2729" t="str">
            <v>T/R/S 75/20/5</v>
          </cell>
          <cell r="G2729" t="str">
            <v>75% POLYESTER 20% RAYON 15% SPANDEX</v>
          </cell>
          <cell r="H2729" t="str">
            <v>59/61</v>
          </cell>
          <cell r="I2729">
            <v>240</v>
          </cell>
          <cell r="J2729">
            <v>1.8</v>
          </cell>
          <cell r="K2729"/>
          <cell r="L2729"/>
          <cell r="M2729"/>
          <cell r="N2729">
            <v>1.83</v>
          </cell>
          <cell r="O2729"/>
          <cell r="P2729"/>
          <cell r="Q2729"/>
          <cell r="R2729">
            <v>1.94</v>
          </cell>
          <cell r="S2729"/>
          <cell r="T2729"/>
          <cell r="U2729"/>
          <cell r="V2729">
            <v>15</v>
          </cell>
          <cell r="W2729"/>
          <cell r="X2729" t="str">
            <v>NICKY</v>
          </cell>
          <cell r="Y2729" t="str">
            <v>NICKY 3-APRIL</v>
          </cell>
          <cell r="Z2729" t="str">
            <v>NICKY MAIL' 7/4/17</v>
          </cell>
          <cell r="AA2729"/>
          <cell r="AB2729">
            <v>42833</v>
          </cell>
          <cell r="AC2729">
            <v>3005</v>
          </cell>
        </row>
        <row r="2730">
          <cell r="B2730">
            <v>3004</v>
          </cell>
          <cell r="C2730" t="str">
            <v>GL1815</v>
          </cell>
          <cell r="D2730" t="str">
            <v>PONTE</v>
          </cell>
          <cell r="E2730"/>
          <cell r="F2730" t="str">
            <v>T/S 95/5</v>
          </cell>
          <cell r="G2730" t="str">
            <v>95% POLYESTER 5% SPANDEX</v>
          </cell>
          <cell r="H2730" t="str">
            <v>59/61</v>
          </cell>
          <cell r="I2730">
            <v>280</v>
          </cell>
          <cell r="J2730">
            <v>1.77</v>
          </cell>
          <cell r="K2730"/>
          <cell r="L2730"/>
          <cell r="M2730"/>
          <cell r="N2730">
            <v>1.78</v>
          </cell>
          <cell r="O2730"/>
          <cell r="P2730"/>
          <cell r="Q2730"/>
          <cell r="R2730">
            <v>1.89</v>
          </cell>
          <cell r="S2730"/>
          <cell r="T2730"/>
          <cell r="U2730"/>
          <cell r="V2730">
            <v>15</v>
          </cell>
          <cell r="W2730"/>
          <cell r="X2730" t="str">
            <v>NICKY</v>
          </cell>
          <cell r="Y2730" t="str">
            <v>NICKY 3-APRIL</v>
          </cell>
          <cell r="Z2730" t="str">
            <v>NICKY MAIL' 7/4/17</v>
          </cell>
          <cell r="AA2730"/>
          <cell r="AB2730">
            <v>42833</v>
          </cell>
          <cell r="AC2730">
            <v>3004</v>
          </cell>
        </row>
        <row r="2731">
          <cell r="B2731">
            <v>1342</v>
          </cell>
          <cell r="C2731" t="str">
            <v>SP12009</v>
          </cell>
          <cell r="D2731" t="str">
            <v>TAFFETA TWILL</v>
          </cell>
          <cell r="E2731"/>
          <cell r="F2731" t="str">
            <v>T 100%</v>
          </cell>
          <cell r="G2731" t="str">
            <v>100% POLYESTER</v>
          </cell>
          <cell r="H2731" t="str">
            <v>150CM</v>
          </cell>
          <cell r="I2731"/>
          <cell r="J2731">
            <v>0.82</v>
          </cell>
          <cell r="K2731"/>
          <cell r="L2731">
            <v>0.84</v>
          </cell>
          <cell r="M2731"/>
          <cell r="N2731">
            <v>0.86</v>
          </cell>
          <cell r="O2731"/>
          <cell r="P2731"/>
          <cell r="Q2731"/>
          <cell r="R2731">
            <v>0.88</v>
          </cell>
          <cell r="S2731"/>
          <cell r="T2731"/>
          <cell r="U2731"/>
          <cell r="V2731">
            <v>15</v>
          </cell>
          <cell r="W2731"/>
          <cell r="X2731" t="str">
            <v>GRACE</v>
          </cell>
          <cell r="Y2731" t="str">
            <v>GRACE</v>
          </cell>
          <cell r="Z2731" t="str">
            <v>WECHAT PHOTO FROM THANH</v>
          </cell>
          <cell r="AA2731"/>
          <cell r="AB2731">
            <v>42833</v>
          </cell>
          <cell r="AC2731">
            <v>1342</v>
          </cell>
        </row>
        <row r="2732">
          <cell r="B2732"/>
          <cell r="C2732" t="str">
            <v>GL1803</v>
          </cell>
          <cell r="D2732" t="str">
            <v>PONTE</v>
          </cell>
          <cell r="E2732"/>
          <cell r="F2732" t="str">
            <v>T 100%</v>
          </cell>
          <cell r="G2732" t="str">
            <v>100% POLYESTER</v>
          </cell>
          <cell r="H2732" t="str">
            <v>165CM</v>
          </cell>
          <cell r="I2732">
            <v>220</v>
          </cell>
          <cell r="J2732">
            <v>1.87</v>
          </cell>
          <cell r="K2732"/>
          <cell r="L2732"/>
          <cell r="M2732"/>
          <cell r="N2732">
            <v>1.88</v>
          </cell>
          <cell r="O2732"/>
          <cell r="P2732"/>
          <cell r="Q2732"/>
          <cell r="R2732">
            <v>1.99</v>
          </cell>
          <cell r="S2732"/>
          <cell r="T2732"/>
          <cell r="U2732"/>
          <cell r="V2732">
            <v>15</v>
          </cell>
          <cell r="W2732"/>
          <cell r="X2732" t="str">
            <v>NICKY</v>
          </cell>
          <cell r="Y2732" t="str">
            <v>NICKY 3-APRIL</v>
          </cell>
          <cell r="Z2732" t="str">
            <v>NICKY MAIL' 7/4/17</v>
          </cell>
          <cell r="AA2732"/>
          <cell r="AB2732">
            <v>42833</v>
          </cell>
          <cell r="AC2732">
            <v>0</v>
          </cell>
        </row>
        <row r="2733">
          <cell r="B2733">
            <v>3003</v>
          </cell>
          <cell r="C2733" t="str">
            <v>GL15073</v>
          </cell>
          <cell r="D2733" t="str">
            <v>SINGLE JERSEY</v>
          </cell>
          <cell r="E2733"/>
          <cell r="F2733" t="str">
            <v>R/C 50/50</v>
          </cell>
          <cell r="G2733" t="str">
            <v>50% RAYON 50% COTTON</v>
          </cell>
          <cell r="H2733" t="str">
            <v>170CM</v>
          </cell>
          <cell r="I2733">
            <v>190</v>
          </cell>
          <cell r="J2733">
            <v>2.52</v>
          </cell>
          <cell r="K2733"/>
          <cell r="L2733"/>
          <cell r="M2733"/>
          <cell r="N2733">
            <v>2.5299999999999998</v>
          </cell>
          <cell r="O2733"/>
          <cell r="P2733"/>
          <cell r="Q2733"/>
          <cell r="R2733">
            <v>2.64</v>
          </cell>
          <cell r="S2733"/>
          <cell r="T2733"/>
          <cell r="U2733"/>
          <cell r="V2733">
            <v>15</v>
          </cell>
          <cell r="W2733"/>
          <cell r="X2733" t="str">
            <v>NICKY</v>
          </cell>
          <cell r="Y2733" t="str">
            <v>NICKY 3-APRIL</v>
          </cell>
          <cell r="Z2733" t="str">
            <v>NICKY' MAIL 7/4/17</v>
          </cell>
          <cell r="AA2733"/>
          <cell r="AB2733">
            <v>42832</v>
          </cell>
          <cell r="AC2733">
            <v>3003</v>
          </cell>
        </row>
        <row r="2734">
          <cell r="B2734">
            <v>3002</v>
          </cell>
          <cell r="C2734" t="str">
            <v>GL14072</v>
          </cell>
          <cell r="D2734" t="str">
            <v>SINGLE JERSEY</v>
          </cell>
          <cell r="E2734"/>
          <cell r="F2734" t="str">
            <v>C/S 95/5</v>
          </cell>
          <cell r="G2734" t="str">
            <v>95% COTTON 5% SPANDEX</v>
          </cell>
          <cell r="H2734" t="str">
            <v>160CM</v>
          </cell>
          <cell r="I2734">
            <v>190</v>
          </cell>
          <cell r="J2734">
            <v>2</v>
          </cell>
          <cell r="K2734"/>
          <cell r="L2734"/>
          <cell r="M2734"/>
          <cell r="N2734">
            <v>2.2000000000000002</v>
          </cell>
          <cell r="O2734"/>
          <cell r="P2734"/>
          <cell r="Q2734"/>
          <cell r="R2734">
            <v>2.31</v>
          </cell>
          <cell r="S2734"/>
          <cell r="T2734"/>
          <cell r="U2734"/>
          <cell r="V2734">
            <v>15</v>
          </cell>
          <cell r="W2734"/>
          <cell r="X2734" t="str">
            <v>NICKY</v>
          </cell>
          <cell r="Y2734" t="str">
            <v>NICKY 3-APRIL</v>
          </cell>
          <cell r="Z2734" t="str">
            <v>NICKY' MAIL 7/4/17</v>
          </cell>
          <cell r="AA2734"/>
          <cell r="AB2734">
            <v>42832</v>
          </cell>
          <cell r="AC2734">
            <v>3002</v>
          </cell>
        </row>
        <row r="2735">
          <cell r="B2735">
            <v>3001</v>
          </cell>
          <cell r="C2735" t="str">
            <v>GL14047</v>
          </cell>
          <cell r="D2735" t="str">
            <v>SINGLE JERSEY</v>
          </cell>
          <cell r="E2735"/>
          <cell r="F2735" t="str">
            <v>R/S 95/5</v>
          </cell>
          <cell r="G2735" t="str">
            <v>95% RAYON 5% SPANDEX</v>
          </cell>
          <cell r="H2735" t="str">
            <v>160CM</v>
          </cell>
          <cell r="I2735">
            <v>223</v>
          </cell>
          <cell r="J2735">
            <v>1.9</v>
          </cell>
          <cell r="K2735"/>
          <cell r="L2735"/>
          <cell r="M2735"/>
          <cell r="N2735">
            <v>1.91</v>
          </cell>
          <cell r="O2735"/>
          <cell r="P2735"/>
          <cell r="Q2735"/>
          <cell r="R2735">
            <v>2.02</v>
          </cell>
          <cell r="S2735"/>
          <cell r="T2735"/>
          <cell r="U2735"/>
          <cell r="V2735">
            <v>15</v>
          </cell>
          <cell r="W2735"/>
          <cell r="X2735" t="str">
            <v>NICKY</v>
          </cell>
          <cell r="Y2735" t="str">
            <v>NICKY 3-APRIL</v>
          </cell>
          <cell r="Z2735" t="str">
            <v>NICKY' MAIL 7/4/17</v>
          </cell>
          <cell r="AA2735"/>
          <cell r="AB2735">
            <v>42832</v>
          </cell>
          <cell r="AC2735">
            <v>3001</v>
          </cell>
        </row>
        <row r="2736">
          <cell r="B2736">
            <v>3000</v>
          </cell>
          <cell r="C2736" t="str">
            <v>GL14084</v>
          </cell>
          <cell r="D2736" t="str">
            <v>SINGLE JERSEY</v>
          </cell>
          <cell r="E2736"/>
          <cell r="F2736" t="str">
            <v>C 100%</v>
          </cell>
          <cell r="G2736" t="str">
            <v>100% COTTON</v>
          </cell>
          <cell r="H2736" t="str">
            <v>165CM</v>
          </cell>
          <cell r="I2736">
            <v>175</v>
          </cell>
          <cell r="J2736">
            <v>1.8</v>
          </cell>
          <cell r="K2736"/>
          <cell r="L2736"/>
          <cell r="M2736"/>
          <cell r="N2736">
            <v>1.9</v>
          </cell>
          <cell r="O2736"/>
          <cell r="P2736"/>
          <cell r="Q2736"/>
          <cell r="R2736">
            <v>2.0099999999999998</v>
          </cell>
          <cell r="S2736"/>
          <cell r="T2736"/>
          <cell r="U2736"/>
          <cell r="V2736">
            <v>15</v>
          </cell>
          <cell r="W2736"/>
          <cell r="X2736" t="str">
            <v>NICKY</v>
          </cell>
          <cell r="Y2736" t="str">
            <v>NICKY 3-APRIL</v>
          </cell>
          <cell r="Z2736" t="str">
            <v>NICKY' MAIL 7/4/17</v>
          </cell>
          <cell r="AA2736"/>
          <cell r="AB2736">
            <v>42832</v>
          </cell>
          <cell r="AC2736">
            <v>3000</v>
          </cell>
        </row>
        <row r="2737">
          <cell r="B2737">
            <v>2999</v>
          </cell>
          <cell r="C2737" t="str">
            <v>GL1808</v>
          </cell>
          <cell r="D2737" t="str">
            <v>SINGLE JERSEY</v>
          </cell>
          <cell r="E2737"/>
          <cell r="F2737" t="str">
            <v>T/R/S 65/30/5</v>
          </cell>
          <cell r="G2737" t="str">
            <v>65% POLYESTER 30%RAYON 5% SPANDEX</v>
          </cell>
          <cell r="H2737" t="str">
            <v>165CM</v>
          </cell>
          <cell r="I2737">
            <v>200</v>
          </cell>
          <cell r="J2737">
            <v>1.56</v>
          </cell>
          <cell r="K2737"/>
          <cell r="L2737"/>
          <cell r="M2737"/>
          <cell r="N2737">
            <v>1.58</v>
          </cell>
          <cell r="O2737"/>
          <cell r="P2737"/>
          <cell r="Q2737"/>
          <cell r="R2737">
            <v>1.69</v>
          </cell>
          <cell r="S2737"/>
          <cell r="T2737"/>
          <cell r="U2737"/>
          <cell r="V2737">
            <v>15</v>
          </cell>
          <cell r="W2737"/>
          <cell r="X2737" t="str">
            <v>NICKY</v>
          </cell>
          <cell r="Y2737" t="str">
            <v>NICKY 3-APRIL</v>
          </cell>
          <cell r="Z2737" t="str">
            <v>NICKY' MAIL 7/4/17</v>
          </cell>
          <cell r="AA2737"/>
          <cell r="AB2737">
            <v>42832</v>
          </cell>
          <cell r="AC2737">
            <v>2999</v>
          </cell>
        </row>
        <row r="2738">
          <cell r="B2738">
            <v>2998</v>
          </cell>
          <cell r="C2738" t="str">
            <v>GL14085</v>
          </cell>
          <cell r="D2738" t="str">
            <v>SINGLE JERSEY</v>
          </cell>
          <cell r="E2738"/>
          <cell r="F2738" t="str">
            <v>C/T/S 60/35/5</v>
          </cell>
          <cell r="G2738" t="str">
            <v>60% COTTON 35% POLYESTER 5% SPANDEX</v>
          </cell>
          <cell r="H2738" t="str">
            <v>160CM</v>
          </cell>
          <cell r="I2738">
            <v>195</v>
          </cell>
          <cell r="J2738">
            <v>1.62</v>
          </cell>
          <cell r="K2738"/>
          <cell r="L2738"/>
          <cell r="M2738"/>
          <cell r="N2738">
            <v>1.64</v>
          </cell>
          <cell r="O2738"/>
          <cell r="P2738"/>
          <cell r="Q2738"/>
          <cell r="R2738">
            <v>1.75</v>
          </cell>
          <cell r="S2738"/>
          <cell r="T2738"/>
          <cell r="U2738"/>
          <cell r="V2738">
            <v>15</v>
          </cell>
          <cell r="W2738"/>
          <cell r="X2738" t="str">
            <v>NICKY</v>
          </cell>
          <cell r="Y2738" t="str">
            <v>NICKY 3-APRIL</v>
          </cell>
          <cell r="Z2738" t="str">
            <v>NICKY' MAIL 7/4/17</v>
          </cell>
          <cell r="AA2738"/>
          <cell r="AB2738">
            <v>42832</v>
          </cell>
          <cell r="AC2738">
            <v>2998</v>
          </cell>
        </row>
        <row r="2739">
          <cell r="B2739">
            <v>2997</v>
          </cell>
          <cell r="C2739" t="str">
            <v>GL1804</v>
          </cell>
          <cell r="D2739" t="str">
            <v>SINGLE JERSEY</v>
          </cell>
          <cell r="E2739"/>
          <cell r="F2739" t="str">
            <v>CVC 60/40</v>
          </cell>
          <cell r="G2739" t="str">
            <v>60% COTTON 40% POLYESTER</v>
          </cell>
          <cell r="H2739" t="str">
            <v>165CM</v>
          </cell>
          <cell r="I2739">
            <v>180</v>
          </cell>
          <cell r="J2739">
            <v>1.59</v>
          </cell>
          <cell r="K2739"/>
          <cell r="L2739"/>
          <cell r="M2739"/>
          <cell r="N2739">
            <v>1.61</v>
          </cell>
          <cell r="O2739"/>
          <cell r="P2739"/>
          <cell r="Q2739"/>
          <cell r="R2739">
            <v>1.72</v>
          </cell>
          <cell r="S2739"/>
          <cell r="T2739"/>
          <cell r="U2739"/>
          <cell r="V2739">
            <v>15</v>
          </cell>
          <cell r="W2739"/>
          <cell r="X2739" t="str">
            <v>NICKY</v>
          </cell>
          <cell r="Y2739" t="str">
            <v>NICKY 3-APRIL</v>
          </cell>
          <cell r="Z2739" t="str">
            <v>NICKY' MAIL 7/4/17</v>
          </cell>
          <cell r="AA2739"/>
          <cell r="AB2739">
            <v>42832</v>
          </cell>
          <cell r="AC2739">
            <v>2997</v>
          </cell>
        </row>
        <row r="2740">
          <cell r="B2740">
            <v>2996</v>
          </cell>
          <cell r="C2740" t="str">
            <v>GL14077</v>
          </cell>
          <cell r="D2740" t="str">
            <v>SINGLE JERSEY</v>
          </cell>
          <cell r="E2740"/>
          <cell r="F2740" t="str">
            <v>CVC 60/40</v>
          </cell>
          <cell r="G2740" t="str">
            <v>60% COTTON 40% POLYESTER</v>
          </cell>
          <cell r="H2740" t="str">
            <v>165CM</v>
          </cell>
          <cell r="I2740">
            <v>165</v>
          </cell>
          <cell r="J2740">
            <v>1.41</v>
          </cell>
          <cell r="K2740"/>
          <cell r="L2740"/>
          <cell r="M2740"/>
          <cell r="N2740">
            <v>1.43</v>
          </cell>
          <cell r="O2740"/>
          <cell r="P2740"/>
          <cell r="Q2740"/>
          <cell r="R2740">
            <v>1.54</v>
          </cell>
          <cell r="S2740"/>
          <cell r="T2740"/>
          <cell r="U2740"/>
          <cell r="V2740">
            <v>15</v>
          </cell>
          <cell r="W2740"/>
          <cell r="X2740" t="str">
            <v>NICKY</v>
          </cell>
          <cell r="Y2740" t="str">
            <v>NICKY 3-APRIL</v>
          </cell>
          <cell r="Z2740" t="str">
            <v>NICKY' MAIL 7/4/17</v>
          </cell>
          <cell r="AA2740"/>
          <cell r="AB2740">
            <v>42832</v>
          </cell>
          <cell r="AC2740">
            <v>2996</v>
          </cell>
        </row>
        <row r="2741">
          <cell r="B2741">
            <v>3275</v>
          </cell>
          <cell r="C2741" t="str">
            <v>#16823</v>
          </cell>
          <cell r="D2741" t="str">
            <v>LACE</v>
          </cell>
          <cell r="E2741" t="str">
            <v>LACE</v>
          </cell>
          <cell r="F2741" t="str">
            <v>N/C</v>
          </cell>
          <cell r="G2741" t="str">
            <v>NYLON COTTON</v>
          </cell>
          <cell r="H2741" t="str">
            <v>150CM</v>
          </cell>
          <cell r="I2741">
            <v>115</v>
          </cell>
          <cell r="J2741">
            <v>2.1</v>
          </cell>
          <cell r="K2741"/>
          <cell r="L2741"/>
          <cell r="M2741"/>
          <cell r="N2741">
            <v>2.15</v>
          </cell>
          <cell r="O2741"/>
          <cell r="P2741"/>
          <cell r="Q2741"/>
          <cell r="R2741">
            <v>2.23</v>
          </cell>
          <cell r="S2741"/>
          <cell r="T2741"/>
          <cell r="U2741"/>
          <cell r="V2741"/>
          <cell r="W2741"/>
          <cell r="X2741" t="str">
            <v>LIBY</v>
          </cell>
          <cell r="Y2741" t="str">
            <v>LIBY 5-APRIL</v>
          </cell>
          <cell r="Z2741" t="str">
            <v>LIBY' MAIL 5/4/17</v>
          </cell>
          <cell r="AA2741"/>
          <cell r="AB2741">
            <v>42830</v>
          </cell>
          <cell r="AC2741">
            <v>3275</v>
          </cell>
        </row>
        <row r="2742">
          <cell r="B2742">
            <v>3274</v>
          </cell>
          <cell r="C2742" t="str">
            <v>#16624</v>
          </cell>
          <cell r="D2742" t="str">
            <v>LACE</v>
          </cell>
          <cell r="E2742" t="str">
            <v>LACE</v>
          </cell>
          <cell r="F2742" t="str">
            <v>N/C</v>
          </cell>
          <cell r="G2742" t="str">
            <v>NYLON COTTON</v>
          </cell>
          <cell r="H2742" t="str">
            <v>150CM</v>
          </cell>
          <cell r="I2742">
            <v>112</v>
          </cell>
          <cell r="J2742">
            <v>1.9</v>
          </cell>
          <cell r="K2742"/>
          <cell r="L2742"/>
          <cell r="M2742"/>
          <cell r="N2742">
            <v>1.95</v>
          </cell>
          <cell r="O2742"/>
          <cell r="P2742"/>
          <cell r="Q2742"/>
          <cell r="R2742">
            <v>1.98</v>
          </cell>
          <cell r="S2742"/>
          <cell r="T2742"/>
          <cell r="U2742"/>
          <cell r="V2742"/>
          <cell r="W2742"/>
          <cell r="X2742" t="str">
            <v>LIBY</v>
          </cell>
          <cell r="Y2742" t="str">
            <v>LIBY 5-APRIL</v>
          </cell>
          <cell r="Z2742" t="str">
            <v>LIBY' MAIL 5/4/17</v>
          </cell>
          <cell r="AA2742"/>
          <cell r="AB2742">
            <v>42830</v>
          </cell>
          <cell r="AC2742">
            <v>3274</v>
          </cell>
        </row>
        <row r="2743">
          <cell r="B2743">
            <v>3248</v>
          </cell>
          <cell r="C2743" t="str">
            <v>#16601</v>
          </cell>
          <cell r="D2743" t="str">
            <v>LACE</v>
          </cell>
          <cell r="E2743" t="str">
            <v>LACE</v>
          </cell>
          <cell r="F2743" t="str">
            <v>N/C</v>
          </cell>
          <cell r="G2743" t="str">
            <v>NYLON COTTON</v>
          </cell>
          <cell r="H2743" t="str">
            <v>150CM</v>
          </cell>
          <cell r="I2743">
            <v>97</v>
          </cell>
          <cell r="J2743">
            <v>1.95</v>
          </cell>
          <cell r="K2743"/>
          <cell r="L2743"/>
          <cell r="M2743"/>
          <cell r="N2743">
            <v>2</v>
          </cell>
          <cell r="O2743"/>
          <cell r="P2743"/>
          <cell r="Q2743"/>
          <cell r="R2743">
            <v>2.0499999999999998</v>
          </cell>
          <cell r="S2743"/>
          <cell r="T2743"/>
          <cell r="U2743"/>
          <cell r="V2743"/>
          <cell r="W2743"/>
          <cell r="X2743" t="str">
            <v>LIBY</v>
          </cell>
          <cell r="Y2743" t="str">
            <v>LIBY 5-APRIL</v>
          </cell>
          <cell r="Z2743" t="str">
            <v>LIBY' MAIL 5/4/17</v>
          </cell>
          <cell r="AA2743"/>
          <cell r="AB2743">
            <v>42830</v>
          </cell>
          <cell r="AC2743">
            <v>3248</v>
          </cell>
        </row>
        <row r="2744">
          <cell r="B2744">
            <v>3247</v>
          </cell>
          <cell r="C2744" t="str">
            <v>#16411</v>
          </cell>
          <cell r="D2744" t="str">
            <v>LACE</v>
          </cell>
          <cell r="E2744" t="str">
            <v>LACE</v>
          </cell>
          <cell r="F2744" t="str">
            <v>N/S</v>
          </cell>
          <cell r="G2744" t="str">
            <v>NYLON SPANDEX</v>
          </cell>
          <cell r="H2744" t="str">
            <v>150CM</v>
          </cell>
          <cell r="I2744">
            <v>113</v>
          </cell>
          <cell r="J2744">
            <v>2.1</v>
          </cell>
          <cell r="K2744"/>
          <cell r="L2744"/>
          <cell r="M2744"/>
          <cell r="N2744">
            <v>2.15</v>
          </cell>
          <cell r="O2744"/>
          <cell r="P2744"/>
          <cell r="Q2744"/>
          <cell r="R2744">
            <v>2.19</v>
          </cell>
          <cell r="S2744"/>
          <cell r="T2744"/>
          <cell r="U2744"/>
          <cell r="V2744"/>
          <cell r="W2744"/>
          <cell r="X2744" t="str">
            <v>LIBY</v>
          </cell>
          <cell r="Y2744" t="str">
            <v>LIBY 5-APRIL</v>
          </cell>
          <cell r="Z2744" t="str">
            <v>LIBY' MAIL 5/4/17</v>
          </cell>
          <cell r="AA2744"/>
          <cell r="AB2744">
            <v>42830</v>
          </cell>
          <cell r="AC2744">
            <v>3247</v>
          </cell>
        </row>
        <row r="2745">
          <cell r="B2745">
            <v>3244</v>
          </cell>
          <cell r="C2745" t="str">
            <v>#381</v>
          </cell>
          <cell r="D2745" t="str">
            <v>LACE</v>
          </cell>
          <cell r="E2745" t="str">
            <v>LACE</v>
          </cell>
          <cell r="F2745" t="str">
            <v xml:space="preserve">N/C  </v>
          </cell>
          <cell r="G2745" t="str">
            <v>NYLON COTTON</v>
          </cell>
          <cell r="H2745" t="str">
            <v>150CM</v>
          </cell>
          <cell r="I2745">
            <v>97</v>
          </cell>
          <cell r="J2745">
            <v>1.7</v>
          </cell>
          <cell r="K2745"/>
          <cell r="L2745"/>
          <cell r="M2745"/>
          <cell r="N2745">
            <v>1.75</v>
          </cell>
          <cell r="O2745"/>
          <cell r="P2745"/>
          <cell r="Q2745"/>
          <cell r="R2745">
            <v>1.78</v>
          </cell>
          <cell r="S2745"/>
          <cell r="T2745"/>
          <cell r="U2745"/>
          <cell r="V2745"/>
          <cell r="W2745"/>
          <cell r="X2745" t="str">
            <v>LIBY</v>
          </cell>
          <cell r="Y2745" t="str">
            <v>LIBY 5-APRIL</v>
          </cell>
          <cell r="Z2745" t="str">
            <v>LIBY' MAIL 5/4/17</v>
          </cell>
          <cell r="AA2745"/>
          <cell r="AB2745">
            <v>42830</v>
          </cell>
          <cell r="AC2745">
            <v>3244</v>
          </cell>
        </row>
        <row r="2746">
          <cell r="B2746">
            <v>3180</v>
          </cell>
          <cell r="C2746" t="str">
            <v>OLP-1733109RBE</v>
          </cell>
          <cell r="D2746" t="str">
            <v>CREPE</v>
          </cell>
          <cell r="E2746"/>
          <cell r="F2746" t="str">
            <v>T 100%</v>
          </cell>
          <cell r="G2746" t="str">
            <v>100% POLYESTER</v>
          </cell>
          <cell r="H2746" t="str">
            <v>57/58</v>
          </cell>
          <cell r="I2746">
            <v>240</v>
          </cell>
          <cell r="J2746">
            <v>2.0299999999999998</v>
          </cell>
          <cell r="K2746">
            <v>2.2999999999999998</v>
          </cell>
          <cell r="L2746"/>
          <cell r="M2746"/>
          <cell r="N2746">
            <v>2.1</v>
          </cell>
          <cell r="O2746">
            <v>2.4500000000000002</v>
          </cell>
          <cell r="P2746"/>
          <cell r="Q2746"/>
          <cell r="R2746">
            <v>2.25</v>
          </cell>
          <cell r="S2746">
            <v>2.65</v>
          </cell>
          <cell r="T2746"/>
          <cell r="U2746"/>
          <cell r="V2746">
            <v>15</v>
          </cell>
          <cell r="W2746"/>
          <cell r="X2746" t="str">
            <v>OWEN</v>
          </cell>
          <cell r="Y2746" t="str">
            <v>OWEN 4-APRIL</v>
          </cell>
          <cell r="Z2746" t="str">
            <v>SANDY' MAIL 5/4/17</v>
          </cell>
          <cell r="AA2746"/>
          <cell r="AB2746">
            <v>42830</v>
          </cell>
          <cell r="AC2746">
            <v>3180</v>
          </cell>
        </row>
        <row r="2747">
          <cell r="B2747">
            <v>3179</v>
          </cell>
          <cell r="C2747" t="str">
            <v>OLP-1733108RBE</v>
          </cell>
          <cell r="D2747" t="str">
            <v>CREPE</v>
          </cell>
          <cell r="E2747" t="str">
            <v>(150+50+150)+40D x (150+50+150) + 40D</v>
          </cell>
          <cell r="F2747" t="str">
            <v>T/S 94/6</v>
          </cell>
          <cell r="G2747" t="str">
            <v>94% POLYESTER 6% SPANDEX</v>
          </cell>
          <cell r="H2747" t="str">
            <v>57/58</v>
          </cell>
          <cell r="I2747">
            <v>240</v>
          </cell>
          <cell r="J2747">
            <v>1.82</v>
          </cell>
          <cell r="K2747">
            <v>2.1</v>
          </cell>
          <cell r="L2747"/>
          <cell r="M2747"/>
          <cell r="N2747">
            <v>1.92</v>
          </cell>
          <cell r="O2747">
            <v>2.23</v>
          </cell>
          <cell r="P2747"/>
          <cell r="Q2747"/>
          <cell r="R2747">
            <v>2.0699999999999998</v>
          </cell>
          <cell r="S2747">
            <v>2.68</v>
          </cell>
          <cell r="T2747"/>
          <cell r="U2747"/>
          <cell r="V2747">
            <v>15</v>
          </cell>
          <cell r="W2747"/>
          <cell r="X2747" t="str">
            <v>OWEN</v>
          </cell>
          <cell r="Y2747" t="str">
            <v>OWEN 4-APRIL</v>
          </cell>
          <cell r="Z2747" t="str">
            <v>SANDY' MAIL 5/4/17</v>
          </cell>
          <cell r="AA2747"/>
          <cell r="AB2747">
            <v>42830</v>
          </cell>
          <cell r="AC2747">
            <v>3179</v>
          </cell>
        </row>
        <row r="2748">
          <cell r="B2748">
            <v>3178</v>
          </cell>
          <cell r="C2748" t="str">
            <v>OLP-1733107RBE</v>
          </cell>
          <cell r="D2748" t="str">
            <v>CREPE</v>
          </cell>
          <cell r="E2748"/>
          <cell r="F2748" t="str">
            <v>T 100%</v>
          </cell>
          <cell r="G2748" t="str">
            <v>100% POLYESTER</v>
          </cell>
          <cell r="H2748" t="str">
            <v>57/58</v>
          </cell>
          <cell r="I2748">
            <v>220</v>
          </cell>
          <cell r="J2748">
            <v>2.1800000000000002</v>
          </cell>
          <cell r="K2748">
            <v>2.4</v>
          </cell>
          <cell r="L2748"/>
          <cell r="M2748"/>
          <cell r="N2748">
            <v>2.2599999999999998</v>
          </cell>
          <cell r="O2748">
            <v>2.5499999999999998</v>
          </cell>
          <cell r="P2748"/>
          <cell r="Q2748"/>
          <cell r="R2748">
            <v>2.41</v>
          </cell>
          <cell r="S2748">
            <v>3</v>
          </cell>
          <cell r="T2748"/>
          <cell r="U2748"/>
          <cell r="V2748">
            <v>15</v>
          </cell>
          <cell r="W2748"/>
          <cell r="X2748" t="str">
            <v>OWEN</v>
          </cell>
          <cell r="Y2748" t="str">
            <v>OWEN 4-APRIL</v>
          </cell>
          <cell r="Z2748" t="str">
            <v>SANDY' MAIL 5/4/17</v>
          </cell>
          <cell r="AA2748"/>
          <cell r="AB2748">
            <v>42830</v>
          </cell>
          <cell r="AC2748">
            <v>3178</v>
          </cell>
        </row>
        <row r="2749">
          <cell r="B2749">
            <v>2589</v>
          </cell>
          <cell r="C2749" t="str">
            <v>TS-309</v>
          </cell>
          <cell r="D2749" t="str">
            <v>DIAMOND DOBBY</v>
          </cell>
          <cell r="E2749"/>
          <cell r="F2749" t="str">
            <v>T 100%</v>
          </cell>
          <cell r="G2749" t="str">
            <v>100% POLYESTER</v>
          </cell>
          <cell r="H2749" t="str">
            <v>57/58</v>
          </cell>
          <cell r="I2749">
            <v>120</v>
          </cell>
          <cell r="J2749">
            <v>1.22</v>
          </cell>
          <cell r="K2749">
            <v>1.39</v>
          </cell>
          <cell r="L2749"/>
          <cell r="M2749"/>
          <cell r="N2749">
            <v>1.25</v>
          </cell>
          <cell r="O2749">
            <v>1.45</v>
          </cell>
          <cell r="P2749"/>
          <cell r="Q2749"/>
          <cell r="R2749">
            <v>1.4</v>
          </cell>
          <cell r="S2749">
            <v>1.7</v>
          </cell>
          <cell r="T2749"/>
          <cell r="U2749"/>
          <cell r="V2749">
            <v>15</v>
          </cell>
          <cell r="W2749"/>
          <cell r="X2749" t="str">
            <v>GAVIN</v>
          </cell>
          <cell r="Y2749" t="str">
            <v>GAVIN 30-MARCH</v>
          </cell>
          <cell r="Z2749" t="str">
            <v>GAVIN' MAIL 5/4/17</v>
          </cell>
          <cell r="AA2749"/>
          <cell r="AB2749">
            <v>42830</v>
          </cell>
          <cell r="AC2749">
            <v>2589</v>
          </cell>
        </row>
        <row r="2750">
          <cell r="B2750">
            <v>2569</v>
          </cell>
          <cell r="C2750" t="str">
            <v>BG-3574</v>
          </cell>
          <cell r="D2750" t="str">
            <v>DIAMOND DOBBY</v>
          </cell>
          <cell r="E2750"/>
          <cell r="F2750" t="str">
            <v>T 100%</v>
          </cell>
          <cell r="G2750" t="str">
            <v>100% POLYESTER</v>
          </cell>
          <cell r="H2750" t="str">
            <v>57/58</v>
          </cell>
          <cell r="I2750">
            <v>111</v>
          </cell>
          <cell r="J2750">
            <v>1.37</v>
          </cell>
          <cell r="K2750">
            <v>1.68</v>
          </cell>
          <cell r="L2750"/>
          <cell r="M2750"/>
          <cell r="N2750">
            <v>1.47</v>
          </cell>
          <cell r="O2750">
            <v>1.8</v>
          </cell>
          <cell r="P2750"/>
          <cell r="Q2750"/>
          <cell r="R2750">
            <v>1.83</v>
          </cell>
          <cell r="S2750">
            <v>2.13</v>
          </cell>
          <cell r="T2750"/>
          <cell r="U2750"/>
          <cell r="V2750" t="str">
            <v>greige avaliable</v>
          </cell>
          <cell r="W2750"/>
          <cell r="X2750" t="str">
            <v>ANN</v>
          </cell>
          <cell r="Y2750" t="str">
            <v>ANN 30-MARCH</v>
          </cell>
          <cell r="Z2750" t="str">
            <v>ANN' MAIL 5/4/17</v>
          </cell>
          <cell r="AA2750"/>
          <cell r="AB2750">
            <v>42830</v>
          </cell>
          <cell r="AC2750">
            <v>2569</v>
          </cell>
        </row>
        <row r="2751">
          <cell r="B2751">
            <v>2441</v>
          </cell>
          <cell r="C2751" t="str">
            <v>TS-278</v>
          </cell>
          <cell r="D2751" t="str">
            <v>RUFFLE</v>
          </cell>
          <cell r="E2751"/>
          <cell r="F2751" t="str">
            <v>T 100%</v>
          </cell>
          <cell r="G2751" t="str">
            <v>100% POLYESTER</v>
          </cell>
          <cell r="H2751" t="str">
            <v>57/58</v>
          </cell>
          <cell r="I2751">
            <v>95</v>
          </cell>
          <cell r="J2751">
            <v>1.02</v>
          </cell>
          <cell r="K2751">
            <v>1.19</v>
          </cell>
          <cell r="L2751"/>
          <cell r="M2751"/>
          <cell r="N2751">
            <v>1.05</v>
          </cell>
          <cell r="O2751">
            <v>1.25</v>
          </cell>
          <cell r="P2751"/>
          <cell r="Q2751"/>
          <cell r="R2751">
            <v>1.2</v>
          </cell>
          <cell r="S2751">
            <v>1.45</v>
          </cell>
          <cell r="T2751"/>
          <cell r="U2751"/>
          <cell r="V2751">
            <v>15</v>
          </cell>
          <cell r="W2751"/>
          <cell r="X2751" t="str">
            <v>GAVIN</v>
          </cell>
          <cell r="Y2751" t="str">
            <v>GAVIN 30-MARCH</v>
          </cell>
          <cell r="Z2751" t="str">
            <v>GAVIN' MAIL 5/4/17</v>
          </cell>
          <cell r="AA2751"/>
          <cell r="AB2751">
            <v>42830</v>
          </cell>
          <cell r="AC2751">
            <v>2441</v>
          </cell>
        </row>
        <row r="2752">
          <cell r="B2752">
            <v>2170</v>
          </cell>
          <cell r="C2752" t="str">
            <v>UD-JT-151172</v>
          </cell>
          <cell r="D2752" t="str">
            <v>CHIFFON SATEEN</v>
          </cell>
          <cell r="E2752"/>
          <cell r="F2752" t="str">
            <v>T 100%</v>
          </cell>
          <cell r="G2752" t="str">
            <v>100% POLYESTER</v>
          </cell>
          <cell r="H2752" t="str">
            <v>57/58</v>
          </cell>
          <cell r="I2752">
            <v>80</v>
          </cell>
          <cell r="J2752">
            <v>1.1399999999999999</v>
          </cell>
          <cell r="K2752">
            <v>1.35</v>
          </cell>
          <cell r="L2752"/>
          <cell r="M2752"/>
          <cell r="N2752">
            <v>1.24</v>
          </cell>
          <cell r="O2752">
            <v>1.55</v>
          </cell>
          <cell r="P2752"/>
          <cell r="Q2752"/>
          <cell r="R2752">
            <v>1.4</v>
          </cell>
          <cell r="S2752">
            <v>1.8</v>
          </cell>
          <cell r="T2752"/>
          <cell r="U2752"/>
          <cell r="V2752"/>
          <cell r="W2752" t="str">
            <v>WANGHUA CONFIRM KEEP PRICES WHEN VISIT AMW</v>
          </cell>
          <cell r="X2752" t="str">
            <v>WANG HUA</v>
          </cell>
          <cell r="Y2752" t="str">
            <v>WANGHUA 29-DEC</v>
          </cell>
          <cell r="Z2752" t="str">
            <v>WANGHUA' MAIL 4/1/17</v>
          </cell>
          <cell r="AA2752"/>
          <cell r="AB2752">
            <v>42830</v>
          </cell>
          <cell r="AC2752">
            <v>2170</v>
          </cell>
        </row>
        <row r="2753">
          <cell r="B2753">
            <v>2166</v>
          </cell>
          <cell r="C2753" t="str">
            <v>UD-JT-251212</v>
          </cell>
          <cell r="D2753" t="str">
            <v>CHIFFON SATEEN</v>
          </cell>
          <cell r="E2753"/>
          <cell r="F2753" t="str">
            <v>T 100%</v>
          </cell>
          <cell r="G2753" t="str">
            <v>100% POLYESTER</v>
          </cell>
          <cell r="H2753" t="str">
            <v>57/58</v>
          </cell>
          <cell r="I2753">
            <v>80</v>
          </cell>
          <cell r="J2753">
            <v>1.1399999999999999</v>
          </cell>
          <cell r="K2753">
            <v>1.35</v>
          </cell>
          <cell r="L2753"/>
          <cell r="M2753"/>
          <cell r="N2753">
            <v>1.24</v>
          </cell>
          <cell r="O2753">
            <v>1.55</v>
          </cell>
          <cell r="P2753"/>
          <cell r="Q2753"/>
          <cell r="R2753">
            <v>1.4</v>
          </cell>
          <cell r="S2753">
            <v>1.8</v>
          </cell>
          <cell r="T2753"/>
          <cell r="U2753"/>
          <cell r="V2753">
            <v>15</v>
          </cell>
          <cell r="W2753" t="str">
            <v>WANGHUA CONFIRM KEEP PRICES WHEN VISIT AMW</v>
          </cell>
          <cell r="X2753" t="str">
            <v>WANG HUA</v>
          </cell>
          <cell r="Y2753" t="str">
            <v>WANGHUA 29-DEC</v>
          </cell>
          <cell r="Z2753" t="str">
            <v>WANGHUA' MAIL 4/1/17</v>
          </cell>
          <cell r="AA2753"/>
          <cell r="AB2753">
            <v>42830</v>
          </cell>
          <cell r="AC2753">
            <v>2166</v>
          </cell>
        </row>
        <row r="2754">
          <cell r="B2754">
            <v>490</v>
          </cell>
          <cell r="C2754" t="str">
            <v>TS-105</v>
          </cell>
          <cell r="D2754" t="str">
            <v>CRINKLE</v>
          </cell>
          <cell r="E2754"/>
          <cell r="F2754" t="str">
            <v>T 100%</v>
          </cell>
          <cell r="G2754" t="str">
            <v>100% POLYESTER</v>
          </cell>
          <cell r="H2754" t="str">
            <v>57/58</v>
          </cell>
          <cell r="I2754">
            <v>95</v>
          </cell>
          <cell r="J2754">
            <v>1.1200000000000001</v>
          </cell>
          <cell r="K2754">
            <v>1.29</v>
          </cell>
          <cell r="L2754"/>
          <cell r="M2754"/>
          <cell r="N2754">
            <v>1.1499999999999999</v>
          </cell>
          <cell r="O2754">
            <v>1.35</v>
          </cell>
          <cell r="P2754"/>
          <cell r="Q2754"/>
          <cell r="R2754">
            <v>1.3</v>
          </cell>
          <cell r="S2754">
            <v>1.6</v>
          </cell>
          <cell r="T2754"/>
          <cell r="U2754"/>
          <cell r="V2754">
            <v>15</v>
          </cell>
          <cell r="W2754"/>
          <cell r="X2754" t="str">
            <v>GAVIN</v>
          </cell>
          <cell r="Y2754" t="str">
            <v>GAVIN 30-MARCH</v>
          </cell>
          <cell r="Z2754" t="str">
            <v>GAVIN' MAIL 5/4/17</v>
          </cell>
          <cell r="AA2754"/>
          <cell r="AB2754">
            <v>42830</v>
          </cell>
          <cell r="AC2754">
            <v>490</v>
          </cell>
        </row>
        <row r="2755">
          <cell r="B2755">
            <v>2570</v>
          </cell>
          <cell r="C2755" t="str">
            <v>HLT-3322</v>
          </cell>
          <cell r="D2755" t="str">
            <v>DIAMOND DOBBY</v>
          </cell>
          <cell r="E2755"/>
          <cell r="F2755" t="str">
            <v>T 100%</v>
          </cell>
          <cell r="G2755" t="str">
            <v>100% POLYESTER</v>
          </cell>
          <cell r="H2755" t="str">
            <v>57/58</v>
          </cell>
          <cell r="I2755">
            <v>123</v>
          </cell>
          <cell r="J2755">
            <v>1.46</v>
          </cell>
          <cell r="K2755">
            <v>1.6099999999999999</v>
          </cell>
          <cell r="L2755"/>
          <cell r="M2755"/>
          <cell r="N2755">
            <v>1.56</v>
          </cell>
          <cell r="O2755">
            <v>1.7599999999999998</v>
          </cell>
          <cell r="P2755"/>
          <cell r="Q2755"/>
          <cell r="R2755">
            <v>1.6600000000000001</v>
          </cell>
          <cell r="S2755">
            <v>1.9599999999999997</v>
          </cell>
          <cell r="T2755"/>
          <cell r="U2755"/>
          <cell r="V2755">
            <v>15</v>
          </cell>
          <cell r="W2755"/>
          <cell r="X2755" t="str">
            <v>CANDY</v>
          </cell>
          <cell r="Y2755" t="str">
            <v>CANDY 30-MARCH</v>
          </cell>
          <cell r="Z2755" t="str">
            <v>CANDY' MAIL 1/4/17</v>
          </cell>
          <cell r="AA2755"/>
          <cell r="AB2755">
            <v>42828</v>
          </cell>
          <cell r="AC2755">
            <v>2570</v>
          </cell>
        </row>
        <row r="2756">
          <cell r="B2756">
            <v>2568</v>
          </cell>
          <cell r="C2756" t="str">
            <v>ST-W61122-Z</v>
          </cell>
          <cell r="D2756" t="str">
            <v>DIAMOND DOBBY</v>
          </cell>
          <cell r="E2756"/>
          <cell r="F2756" t="str">
            <v>T 100%</v>
          </cell>
          <cell r="G2756" t="str">
            <v>100% POLYESTER</v>
          </cell>
          <cell r="H2756" t="str">
            <v>57/58</v>
          </cell>
          <cell r="I2756">
            <v>115</v>
          </cell>
          <cell r="J2756">
            <v>1.46</v>
          </cell>
          <cell r="K2756">
            <v>1.65</v>
          </cell>
          <cell r="L2756"/>
          <cell r="M2756"/>
          <cell r="N2756">
            <v>1.51</v>
          </cell>
          <cell r="O2756">
            <v>1.7</v>
          </cell>
          <cell r="P2756"/>
          <cell r="Q2756"/>
          <cell r="R2756">
            <v>1.56</v>
          </cell>
          <cell r="S2756">
            <v>1.75</v>
          </cell>
          <cell r="T2756"/>
          <cell r="U2756"/>
          <cell r="V2756">
            <v>15</v>
          </cell>
          <cell r="W2756"/>
          <cell r="X2756" t="str">
            <v>SIGER</v>
          </cell>
          <cell r="Y2756" t="str">
            <v>SIGER 30-MARCH</v>
          </cell>
          <cell r="Z2756" t="str">
            <v>SIGER' MAIL 1/4/17</v>
          </cell>
          <cell r="AA2756"/>
          <cell r="AB2756">
            <v>42828</v>
          </cell>
          <cell r="AC2756">
            <v>2568</v>
          </cell>
        </row>
        <row r="2757">
          <cell r="B2757">
            <v>2488</v>
          </cell>
          <cell r="C2757" t="str">
            <v>TS-280</v>
          </cell>
          <cell r="D2757" t="str">
            <v>SATEEN</v>
          </cell>
          <cell r="E2757"/>
          <cell r="F2757" t="str">
            <v>T/S 97/3</v>
          </cell>
          <cell r="G2757" t="str">
            <v>97% POLYESTER 3% SPANDEX</v>
          </cell>
          <cell r="H2757" t="str">
            <v>57/58</v>
          </cell>
          <cell r="I2757">
            <v>94</v>
          </cell>
          <cell r="J2757">
            <v>1.0900000000000001</v>
          </cell>
          <cell r="K2757">
            <v>1.25</v>
          </cell>
          <cell r="L2757"/>
          <cell r="M2757"/>
          <cell r="N2757">
            <v>1.1200000000000001</v>
          </cell>
          <cell r="O2757">
            <v>1.3</v>
          </cell>
          <cell r="P2757"/>
          <cell r="Q2757"/>
          <cell r="R2757">
            <v>1.27</v>
          </cell>
          <cell r="S2757">
            <v>1.55</v>
          </cell>
          <cell r="T2757"/>
          <cell r="U2757"/>
          <cell r="V2757">
            <v>15</v>
          </cell>
          <cell r="W2757"/>
          <cell r="X2757" t="str">
            <v>GAVIN</v>
          </cell>
          <cell r="Y2757" t="str">
            <v>GAVIN 3-MARCH</v>
          </cell>
          <cell r="Z2757" t="str">
            <v>GAVIN' MAIL 3/4/17</v>
          </cell>
          <cell r="AA2757"/>
          <cell r="AB2757">
            <v>42828</v>
          </cell>
          <cell r="AC2757">
            <v>2488</v>
          </cell>
        </row>
        <row r="2758">
          <cell r="B2758">
            <v>1830</v>
          </cell>
          <cell r="C2758" t="str">
            <v>HLT-615</v>
          </cell>
          <cell r="D2758" t="str">
            <v>CRINKLE</v>
          </cell>
          <cell r="E2758"/>
          <cell r="F2758" t="str">
            <v>T 100%</v>
          </cell>
          <cell r="G2758" t="str">
            <v>100% POLYESTER</v>
          </cell>
          <cell r="H2758" t="str">
            <v>57/58</v>
          </cell>
          <cell r="I2758">
            <v>176</v>
          </cell>
          <cell r="J2758">
            <v>1.53</v>
          </cell>
          <cell r="K2758">
            <v>1.68</v>
          </cell>
          <cell r="L2758"/>
          <cell r="M2758"/>
          <cell r="N2758">
            <v>1.6300000000000001</v>
          </cell>
          <cell r="O2758">
            <v>1.8299999999999998</v>
          </cell>
          <cell r="P2758"/>
          <cell r="Q2758"/>
          <cell r="R2758">
            <v>1.7300000000000002</v>
          </cell>
          <cell r="S2758">
            <v>2.0299999999999998</v>
          </cell>
          <cell r="T2758"/>
          <cell r="U2758"/>
          <cell r="V2758">
            <v>15</v>
          </cell>
          <cell r="W2758"/>
          <cell r="X2758" t="str">
            <v>CANDY</v>
          </cell>
          <cell r="Y2758" t="str">
            <v>CANDY 30-MARCH</v>
          </cell>
          <cell r="Z2758" t="str">
            <v>CANDY' MAIL 1/4/17</v>
          </cell>
          <cell r="AA2758"/>
          <cell r="AB2758">
            <v>42828</v>
          </cell>
          <cell r="AC2758">
            <v>1830</v>
          </cell>
        </row>
        <row r="2759">
          <cell r="B2759">
            <v>1132</v>
          </cell>
          <cell r="C2759" t="str">
            <v>OLP-15101703ZY</v>
          </cell>
          <cell r="D2759" t="str">
            <v>TERRY CREPE</v>
          </cell>
          <cell r="E2759"/>
          <cell r="F2759" t="str">
            <v>V100%</v>
          </cell>
          <cell r="G2759" t="str">
            <v>100% VISCOSE</v>
          </cell>
          <cell r="H2759">
            <v>50</v>
          </cell>
          <cell r="I2759">
            <v>155</v>
          </cell>
          <cell r="J2759">
            <v>1.97</v>
          </cell>
          <cell r="K2759">
            <v>2.2999999999999998</v>
          </cell>
          <cell r="L2759"/>
          <cell r="M2759"/>
          <cell r="N2759">
            <v>2.08</v>
          </cell>
          <cell r="O2759">
            <v>2.4500000000000002</v>
          </cell>
          <cell r="P2759"/>
          <cell r="Q2759"/>
          <cell r="R2759">
            <v>2.23</v>
          </cell>
          <cell r="S2759">
            <v>2.85</v>
          </cell>
          <cell r="T2759"/>
          <cell r="U2759"/>
          <cell r="V2759">
            <v>15</v>
          </cell>
          <cell r="W2759"/>
          <cell r="X2759" t="str">
            <v>OWEN</v>
          </cell>
          <cell r="Y2759" t="str">
            <v>OWEN 1-APRIL</v>
          </cell>
          <cell r="Z2759" t="str">
            <v>SANDY' MAIL 1/4/17</v>
          </cell>
          <cell r="AA2759"/>
          <cell r="AB2759">
            <v>42826</v>
          </cell>
          <cell r="AC2759">
            <v>1132</v>
          </cell>
        </row>
        <row r="2760">
          <cell r="B2760"/>
          <cell r="C2760" t="str">
            <v xml:space="preserve">OLP-1025XS601-19XS </v>
          </cell>
          <cell r="D2760" t="str">
            <v>CREPE</v>
          </cell>
          <cell r="E2760"/>
          <cell r="F2760" t="str">
            <v>T 100%</v>
          </cell>
          <cell r="G2760" t="str">
            <v>100% POLYESTER</v>
          </cell>
          <cell r="H2760" t="str">
            <v>57/58</v>
          </cell>
          <cell r="I2760">
            <v>110</v>
          </cell>
          <cell r="J2760">
            <v>1.18</v>
          </cell>
          <cell r="K2760">
            <v>1.4</v>
          </cell>
          <cell r="L2760"/>
          <cell r="M2760"/>
          <cell r="N2760">
            <v>1.25</v>
          </cell>
          <cell r="O2760">
            <v>1.68</v>
          </cell>
          <cell r="P2760"/>
          <cell r="Q2760"/>
          <cell r="R2760">
            <v>1.43</v>
          </cell>
          <cell r="S2760">
            <v>12.05</v>
          </cell>
          <cell r="T2760"/>
          <cell r="U2760"/>
          <cell r="V2760">
            <v>15</v>
          </cell>
          <cell r="W2760" t="str">
            <v>THIS FABRIC FROM THOM</v>
          </cell>
          <cell r="X2760" t="str">
            <v>OWEN</v>
          </cell>
          <cell r="Y2760" t="str">
            <v>OWEN 1-APRIL</v>
          </cell>
          <cell r="Z2760" t="str">
            <v>SANDY' MAIL 1/4/17</v>
          </cell>
          <cell r="AA2760"/>
          <cell r="AB2760">
            <v>42826</v>
          </cell>
          <cell r="AC2760">
            <v>0</v>
          </cell>
        </row>
        <row r="2761">
          <cell r="B2761">
            <v>2995</v>
          </cell>
          <cell r="C2761" t="str">
            <v>UD161213015</v>
          </cell>
          <cell r="D2761" t="str">
            <v>YARN-DYED FLANNEL</v>
          </cell>
          <cell r="E2761" t="str">
            <v>21x21 / 68x54</v>
          </cell>
          <cell r="F2761" t="str">
            <v>C 100%</v>
          </cell>
          <cell r="G2761" t="str">
            <v>100% COTTON</v>
          </cell>
          <cell r="H2761" t="str">
            <v>57/58</v>
          </cell>
          <cell r="I2761"/>
          <cell r="J2761">
            <v>1.41</v>
          </cell>
          <cell r="K2761"/>
          <cell r="L2761"/>
          <cell r="M2761"/>
          <cell r="N2761">
            <v>1.43</v>
          </cell>
          <cell r="O2761"/>
          <cell r="P2761"/>
          <cell r="Q2761"/>
          <cell r="R2761">
            <v>1.72</v>
          </cell>
          <cell r="S2761"/>
          <cell r="T2761"/>
          <cell r="U2761"/>
          <cell r="V2761">
            <v>15</v>
          </cell>
          <cell r="W2761"/>
          <cell r="X2761" t="str">
            <v>WANG HUA</v>
          </cell>
          <cell r="Y2761" t="str">
            <v>WANGHUA FLANNEL</v>
          </cell>
          <cell r="Z2761" t="str">
            <v>WANGHUA FLANNEL PHOTO</v>
          </cell>
          <cell r="AA2761"/>
          <cell r="AB2761">
            <v>42825</v>
          </cell>
          <cell r="AC2761">
            <v>2995</v>
          </cell>
        </row>
        <row r="2762">
          <cell r="B2762">
            <v>2994</v>
          </cell>
          <cell r="C2762" t="str">
            <v>UD16030230</v>
          </cell>
          <cell r="D2762" t="str">
            <v>YARN-DYED FLANNEL</v>
          </cell>
          <cell r="E2762" t="str">
            <v xml:space="preserve">40/2 x 40/2 / 70x60 </v>
          </cell>
          <cell r="F2762" t="str">
            <v>C 100%</v>
          </cell>
          <cell r="G2762" t="str">
            <v>100% COTTON</v>
          </cell>
          <cell r="H2762" t="str">
            <v>57/58</v>
          </cell>
          <cell r="I2762"/>
          <cell r="J2762">
            <v>2.17</v>
          </cell>
          <cell r="K2762"/>
          <cell r="L2762"/>
          <cell r="M2762"/>
          <cell r="N2762">
            <v>2.2000000000000002</v>
          </cell>
          <cell r="O2762"/>
          <cell r="P2762"/>
          <cell r="Q2762"/>
          <cell r="R2762">
            <v>2.64</v>
          </cell>
          <cell r="S2762"/>
          <cell r="T2762"/>
          <cell r="U2762"/>
          <cell r="V2762">
            <v>15</v>
          </cell>
          <cell r="W2762" t="str">
            <v>SENT PHOTO VIA WECHAT</v>
          </cell>
          <cell r="X2762" t="str">
            <v>WANG HUA</v>
          </cell>
          <cell r="Y2762" t="str">
            <v>WANGHUA FLANNEL</v>
          </cell>
          <cell r="Z2762" t="str">
            <v>WANGHUA FLANNEL PHOTO</v>
          </cell>
          <cell r="AA2762"/>
          <cell r="AB2762">
            <v>42825</v>
          </cell>
          <cell r="AC2762">
            <v>2994</v>
          </cell>
        </row>
        <row r="2763">
          <cell r="B2763">
            <v>2993</v>
          </cell>
          <cell r="C2763" t="str">
            <v>UD16091309</v>
          </cell>
          <cell r="D2763" t="str">
            <v>YARN-DYED FLANNEL</v>
          </cell>
          <cell r="E2763" t="str">
            <v>21x21 / 87x76</v>
          </cell>
          <cell r="F2763" t="str">
            <v>C 100%</v>
          </cell>
          <cell r="G2763" t="str">
            <v>100% COTTON</v>
          </cell>
          <cell r="H2763" t="str">
            <v>57/58</v>
          </cell>
          <cell r="I2763"/>
          <cell r="J2763">
            <v>1.99</v>
          </cell>
          <cell r="K2763"/>
          <cell r="L2763"/>
          <cell r="M2763"/>
          <cell r="N2763">
            <v>2.02</v>
          </cell>
          <cell r="O2763"/>
          <cell r="P2763"/>
          <cell r="Q2763"/>
          <cell r="R2763">
            <v>2.42</v>
          </cell>
          <cell r="S2763"/>
          <cell r="T2763"/>
          <cell r="U2763"/>
          <cell r="V2763">
            <v>15</v>
          </cell>
          <cell r="W2763" t="str">
            <v>SENT PHOTO VIA WECHAT</v>
          </cell>
          <cell r="X2763" t="str">
            <v>WANG HUA</v>
          </cell>
          <cell r="Y2763" t="str">
            <v>WANGHUA FLANNEL</v>
          </cell>
          <cell r="Z2763" t="str">
            <v>WANGHUA FLANNEL PHOTO</v>
          </cell>
          <cell r="AA2763"/>
          <cell r="AB2763">
            <v>42825</v>
          </cell>
          <cell r="AC2763">
            <v>2993</v>
          </cell>
        </row>
        <row r="2764">
          <cell r="B2764">
            <v>2992</v>
          </cell>
          <cell r="C2764" t="str">
            <v>UD16091307</v>
          </cell>
          <cell r="D2764" t="str">
            <v>YARN-DYED FLANNEL</v>
          </cell>
          <cell r="E2764" t="str">
            <v>32x32 / 100x80</v>
          </cell>
          <cell r="F2764" t="str">
            <v>C 100%</v>
          </cell>
          <cell r="G2764" t="str">
            <v>100% COTTON</v>
          </cell>
          <cell r="H2764" t="str">
            <v>57/58</v>
          </cell>
          <cell r="I2764"/>
          <cell r="J2764">
            <v>1.85</v>
          </cell>
          <cell r="K2764"/>
          <cell r="L2764"/>
          <cell r="M2764"/>
          <cell r="N2764">
            <v>1.88</v>
          </cell>
          <cell r="O2764"/>
          <cell r="P2764"/>
          <cell r="Q2764"/>
          <cell r="R2764">
            <v>2.2599999999999998</v>
          </cell>
          <cell r="S2764"/>
          <cell r="T2764"/>
          <cell r="U2764"/>
          <cell r="V2764">
            <v>15</v>
          </cell>
          <cell r="W2764" t="str">
            <v>SENT PHOTO VIA WECHAT</v>
          </cell>
          <cell r="X2764" t="str">
            <v>WANG HUA</v>
          </cell>
          <cell r="Y2764" t="str">
            <v>WANGHUA FLANNEL</v>
          </cell>
          <cell r="Z2764" t="str">
            <v>WANGHUA FLANNEL PHOTO</v>
          </cell>
          <cell r="AA2764"/>
          <cell r="AB2764">
            <v>42825</v>
          </cell>
          <cell r="AC2764">
            <v>2992</v>
          </cell>
        </row>
        <row r="2765">
          <cell r="B2765">
            <v>2991</v>
          </cell>
          <cell r="C2765" t="str">
            <v>UD16120320</v>
          </cell>
          <cell r="D2765" t="str">
            <v>YARN-DYED FLANNEL</v>
          </cell>
          <cell r="E2765" t="str">
            <v xml:space="preserve"> 21x21 / 80x58</v>
          </cell>
          <cell r="F2765" t="str">
            <v>C 100%</v>
          </cell>
          <cell r="G2765" t="str">
            <v>100% COTTON</v>
          </cell>
          <cell r="H2765" t="str">
            <v>57/58</v>
          </cell>
          <cell r="I2765">
            <v>155</v>
          </cell>
          <cell r="J2765">
            <v>1.61</v>
          </cell>
          <cell r="K2765"/>
          <cell r="L2765"/>
          <cell r="M2765"/>
          <cell r="N2765">
            <v>1.63</v>
          </cell>
          <cell r="O2765"/>
          <cell r="P2765"/>
          <cell r="Q2765"/>
          <cell r="R2765">
            <v>1.96</v>
          </cell>
          <cell r="S2765"/>
          <cell r="T2765"/>
          <cell r="U2765"/>
          <cell r="V2765">
            <v>15</v>
          </cell>
          <cell r="W2765" t="str">
            <v>SENT PHOTO VIA WECHAT</v>
          </cell>
          <cell r="X2765" t="str">
            <v>WANG HUA</v>
          </cell>
          <cell r="Y2765" t="str">
            <v>WANGHUA FLANNEL</v>
          </cell>
          <cell r="Z2765" t="str">
            <v>WANGHUA FLANNEL PHOTO</v>
          </cell>
          <cell r="AA2765"/>
          <cell r="AB2765">
            <v>42825</v>
          </cell>
          <cell r="AC2765">
            <v>2991</v>
          </cell>
        </row>
        <row r="2766">
          <cell r="B2766">
            <v>2990</v>
          </cell>
          <cell r="C2766" t="str">
            <v>UD161213018</v>
          </cell>
          <cell r="D2766" t="str">
            <v>YARN-DYED FLANNEL</v>
          </cell>
          <cell r="E2766" t="str">
            <v>21x21/68x54</v>
          </cell>
          <cell r="F2766" t="str">
            <v>C 100%</v>
          </cell>
          <cell r="G2766" t="str">
            <v>100% COTTON</v>
          </cell>
          <cell r="H2766" t="str">
            <v>57/58</v>
          </cell>
          <cell r="I2766">
            <v>140</v>
          </cell>
          <cell r="J2766">
            <v>1.41</v>
          </cell>
          <cell r="K2766"/>
          <cell r="L2766"/>
          <cell r="M2766"/>
          <cell r="N2766">
            <v>1.43</v>
          </cell>
          <cell r="O2766"/>
          <cell r="P2766"/>
          <cell r="Q2766"/>
          <cell r="R2766">
            <v>1.72</v>
          </cell>
          <cell r="S2766"/>
          <cell r="T2766"/>
          <cell r="U2766"/>
          <cell r="V2766">
            <v>15</v>
          </cell>
          <cell r="W2766" t="str">
            <v>SENT PHOTO VIA WECHAT</v>
          </cell>
          <cell r="X2766" t="str">
            <v>WANG HUA</v>
          </cell>
          <cell r="Y2766" t="str">
            <v>WANGHUA FLANNEL</v>
          </cell>
          <cell r="Z2766" t="str">
            <v>WANGHUA FLANNEL PHOTO</v>
          </cell>
          <cell r="AA2766"/>
          <cell r="AB2766">
            <v>42825</v>
          </cell>
          <cell r="AC2766">
            <v>2990</v>
          </cell>
        </row>
        <row r="2767">
          <cell r="B2767">
            <v>2989</v>
          </cell>
          <cell r="C2767" t="str">
            <v>UD15122410</v>
          </cell>
          <cell r="D2767" t="str">
            <v>YARN-DYED FLANNEL</v>
          </cell>
          <cell r="E2767" t="str">
            <v xml:space="preserve"> 21x21 / 64x54 </v>
          </cell>
          <cell r="F2767" t="str">
            <v>C 100%</v>
          </cell>
          <cell r="G2767" t="str">
            <v>100% COTTON</v>
          </cell>
          <cell r="H2767" t="str">
            <v>57/58</v>
          </cell>
          <cell r="I2767">
            <v>135</v>
          </cell>
          <cell r="J2767">
            <v>1.38</v>
          </cell>
          <cell r="K2767"/>
          <cell r="L2767"/>
          <cell r="M2767"/>
          <cell r="N2767">
            <v>1.4</v>
          </cell>
          <cell r="O2767"/>
          <cell r="P2767"/>
          <cell r="Q2767"/>
          <cell r="R2767">
            <v>1.68</v>
          </cell>
          <cell r="S2767"/>
          <cell r="T2767"/>
          <cell r="U2767"/>
          <cell r="V2767">
            <v>15</v>
          </cell>
          <cell r="W2767" t="str">
            <v>SENT PHOTO VIA WECHAT</v>
          </cell>
          <cell r="X2767" t="str">
            <v>WANG HUA</v>
          </cell>
          <cell r="Y2767" t="str">
            <v>WANGHUA FLANNEL</v>
          </cell>
          <cell r="Z2767" t="str">
            <v>WANGHUA FLANNEL PHOTO</v>
          </cell>
          <cell r="AA2767"/>
          <cell r="AB2767">
            <v>42825</v>
          </cell>
          <cell r="AC2767">
            <v>2989</v>
          </cell>
        </row>
        <row r="2768">
          <cell r="B2768">
            <v>2988</v>
          </cell>
          <cell r="C2768" t="str">
            <v>UD16111860</v>
          </cell>
          <cell r="D2768" t="str">
            <v>YARN-DYED FLANNEL</v>
          </cell>
          <cell r="E2768" t="str">
            <v xml:space="preserve"> 21x21 / 64x54</v>
          </cell>
          <cell r="F2768" t="str">
            <v>C 100%</v>
          </cell>
          <cell r="G2768" t="str">
            <v>100% COTTON</v>
          </cell>
          <cell r="H2768" t="str">
            <v>57/58</v>
          </cell>
          <cell r="I2768">
            <v>135</v>
          </cell>
          <cell r="J2768">
            <v>1.38</v>
          </cell>
          <cell r="K2768"/>
          <cell r="L2768"/>
          <cell r="M2768"/>
          <cell r="N2768">
            <v>1.4</v>
          </cell>
          <cell r="O2768"/>
          <cell r="P2768"/>
          <cell r="Q2768"/>
          <cell r="R2768">
            <v>1.68</v>
          </cell>
          <cell r="S2768"/>
          <cell r="T2768"/>
          <cell r="U2768"/>
          <cell r="V2768">
            <v>15</v>
          </cell>
          <cell r="W2768" t="str">
            <v>SENT PHOTO VIA WECHAT</v>
          </cell>
          <cell r="X2768" t="str">
            <v>WANG HUA</v>
          </cell>
          <cell r="Y2768" t="str">
            <v>WANGHUA FLANNEL</v>
          </cell>
          <cell r="Z2768" t="str">
            <v>WANGHUA FLANNEL PHOTO</v>
          </cell>
          <cell r="AA2768"/>
          <cell r="AB2768">
            <v>42825</v>
          </cell>
          <cell r="AC2768">
            <v>2988</v>
          </cell>
        </row>
        <row r="2769">
          <cell r="B2769">
            <v>2572</v>
          </cell>
          <cell r="C2769" t="str">
            <v>OLP-H2721-1HMR</v>
          </cell>
          <cell r="D2769" t="str">
            <v>DIAMOND DOBBY</v>
          </cell>
          <cell r="E2769"/>
          <cell r="F2769" t="str">
            <v>T 100%</v>
          </cell>
          <cell r="G2769" t="str">
            <v>100% POLYESTER</v>
          </cell>
          <cell r="H2769" t="str">
            <v>57/58</v>
          </cell>
          <cell r="I2769">
            <v>135</v>
          </cell>
          <cell r="J2769">
            <v>1.79</v>
          </cell>
          <cell r="K2769">
            <v>1.92</v>
          </cell>
          <cell r="L2769"/>
          <cell r="M2769"/>
          <cell r="N2769">
            <v>1.88</v>
          </cell>
          <cell r="O2769">
            <v>2.17</v>
          </cell>
          <cell r="P2769"/>
          <cell r="Q2769"/>
          <cell r="R2769">
            <v>2.0499999999999998</v>
          </cell>
          <cell r="S2769">
            <v>3.08</v>
          </cell>
          <cell r="T2769"/>
          <cell r="U2769"/>
          <cell r="V2769">
            <v>15</v>
          </cell>
          <cell r="W2769"/>
          <cell r="X2769" t="str">
            <v>OWEN</v>
          </cell>
          <cell r="Y2769" t="str">
            <v>OWEN 31-MARCH</v>
          </cell>
          <cell r="Z2769" t="str">
            <v>SANDY' MAIL 31/3/17</v>
          </cell>
          <cell r="AA2769"/>
          <cell r="AB2769">
            <v>42825</v>
          </cell>
          <cell r="AC2769">
            <v>2572</v>
          </cell>
        </row>
        <row r="2770">
          <cell r="B2770">
            <v>2280</v>
          </cell>
          <cell r="C2770" t="str">
            <v>OLP-1504XS</v>
          </cell>
          <cell r="D2770" t="str">
            <v>CRINKLE</v>
          </cell>
          <cell r="E2770"/>
          <cell r="F2770" t="str">
            <v>T 100%</v>
          </cell>
          <cell r="G2770" t="str">
            <v>100% POLYESTER</v>
          </cell>
          <cell r="H2770" t="str">
            <v>57/58</v>
          </cell>
          <cell r="I2770">
            <v>120</v>
          </cell>
          <cell r="J2770">
            <v>1.2</v>
          </cell>
          <cell r="K2770">
            <v>1.45</v>
          </cell>
          <cell r="L2770"/>
          <cell r="M2770"/>
          <cell r="N2770">
            <v>1.26</v>
          </cell>
          <cell r="O2770">
            <v>1.51</v>
          </cell>
          <cell r="P2770"/>
          <cell r="Q2770"/>
          <cell r="R2770">
            <v>1.45</v>
          </cell>
          <cell r="S2770">
            <v>1.9</v>
          </cell>
          <cell r="T2770"/>
          <cell r="U2770"/>
          <cell r="V2770">
            <v>15</v>
          </cell>
          <cell r="W2770"/>
          <cell r="X2770" t="str">
            <v>OWEN</v>
          </cell>
          <cell r="Y2770" t="str">
            <v>OWEN 31-MARCH</v>
          </cell>
          <cell r="Z2770" t="str">
            <v>SANDY' MAIL 31/3/17</v>
          </cell>
          <cell r="AA2770"/>
          <cell r="AB2770">
            <v>42825</v>
          </cell>
          <cell r="AC2770">
            <v>2280</v>
          </cell>
        </row>
        <row r="2771">
          <cell r="B2771">
            <v>2047</v>
          </cell>
          <cell r="C2771" t="str">
            <v>CFTS-391-DY</v>
          </cell>
          <cell r="D2771" t="str">
            <v>CREPE</v>
          </cell>
          <cell r="E2771"/>
          <cell r="F2771" t="str">
            <v>V 100%</v>
          </cell>
          <cell r="G2771" t="str">
            <v>100% VISCOSE</v>
          </cell>
          <cell r="H2771" t="str">
            <v>49/50</v>
          </cell>
          <cell r="I2771">
            <v>181</v>
          </cell>
          <cell r="J2771">
            <v>3.3</v>
          </cell>
          <cell r="K2771">
            <v>3.68</v>
          </cell>
          <cell r="L2771"/>
          <cell r="M2771"/>
          <cell r="N2771">
            <v>3.4</v>
          </cell>
          <cell r="O2771">
            <v>3.8</v>
          </cell>
          <cell r="P2771"/>
          <cell r="Q2771"/>
          <cell r="R2771">
            <v>3.55</v>
          </cell>
          <cell r="S2771">
            <v>4.1500000000000004</v>
          </cell>
          <cell r="T2771"/>
          <cell r="U2771"/>
          <cell r="V2771">
            <v>15</v>
          </cell>
          <cell r="W2771"/>
          <cell r="X2771" t="str">
            <v>OWEN</v>
          </cell>
          <cell r="Y2771" t="str">
            <v>OWEN 30-MARCH</v>
          </cell>
          <cell r="Z2771" t="str">
            <v>SANDY' MAIL 30/3/17</v>
          </cell>
          <cell r="AA2771"/>
          <cell r="AB2771">
            <v>42824</v>
          </cell>
          <cell r="AC2771">
            <v>2047</v>
          </cell>
        </row>
        <row r="2772">
          <cell r="B2772">
            <v>2986</v>
          </cell>
          <cell r="C2772" t="str">
            <v>TS-335</v>
          </cell>
          <cell r="D2772" t="str">
            <v>CRINKLE POLY YORYU</v>
          </cell>
          <cell r="E2772"/>
          <cell r="F2772" t="str">
            <v>T 100%</v>
          </cell>
          <cell r="G2772" t="str">
            <v xml:space="preserve">100% POLYESTER </v>
          </cell>
          <cell r="H2772" t="str">
            <v>57/58</v>
          </cell>
          <cell r="I2772">
            <v>127</v>
          </cell>
          <cell r="J2772">
            <v>1.1200000000000001</v>
          </cell>
          <cell r="K2772">
            <v>1.29</v>
          </cell>
          <cell r="L2772"/>
          <cell r="M2772"/>
          <cell r="N2772">
            <v>1.1499999999999999</v>
          </cell>
          <cell r="O2772">
            <v>1.35</v>
          </cell>
          <cell r="P2772"/>
          <cell r="Q2772"/>
          <cell r="R2772">
            <v>1.35</v>
          </cell>
          <cell r="S2772">
            <v>1.62</v>
          </cell>
          <cell r="T2772"/>
          <cell r="U2772"/>
          <cell r="V2772">
            <v>15</v>
          </cell>
          <cell r="W2772"/>
          <cell r="X2772" t="str">
            <v>GAVIN</v>
          </cell>
          <cell r="Y2772" t="str">
            <v>GAVIN 28-MARCH (YOURYO)</v>
          </cell>
          <cell r="Z2772" t="str">
            <v>GAVIN' MAIL 28/3/17</v>
          </cell>
          <cell r="AA2772"/>
          <cell r="AB2772">
            <v>42823</v>
          </cell>
          <cell r="AC2772">
            <v>2986</v>
          </cell>
        </row>
        <row r="2773">
          <cell r="B2773">
            <v>2985</v>
          </cell>
          <cell r="C2773" t="str">
            <v>T-1980</v>
          </cell>
          <cell r="D2773" t="str">
            <v>CEY POLY</v>
          </cell>
          <cell r="E2773" t="str">
            <v>180x180 CEY</v>
          </cell>
          <cell r="F2773" t="str">
            <v>T 100%</v>
          </cell>
          <cell r="G2773" t="str">
            <v>100% POLYESTER</v>
          </cell>
          <cell r="H2773" t="str">
            <v>57/58</v>
          </cell>
          <cell r="I2773">
            <v>289</v>
          </cell>
          <cell r="J2773">
            <v>2.73</v>
          </cell>
          <cell r="K2773"/>
          <cell r="L2773"/>
          <cell r="M2773"/>
          <cell r="N2773">
            <v>2.78</v>
          </cell>
          <cell r="O2773"/>
          <cell r="P2773"/>
          <cell r="Q2773"/>
          <cell r="R2773">
            <v>3.28</v>
          </cell>
          <cell r="S2773"/>
          <cell r="T2773"/>
          <cell r="U2773"/>
          <cell r="V2773">
            <v>15</v>
          </cell>
          <cell r="W2773"/>
          <cell r="X2773" t="str">
            <v>LIVALTEX</v>
          </cell>
          <cell r="Y2773" t="str">
            <v>LIVALTEX 11-MARCH</v>
          </cell>
          <cell r="Z2773" t="str">
            <v>ROSE' MAIL 16/3/17</v>
          </cell>
          <cell r="AA2773"/>
          <cell r="AB2773">
            <v>42823</v>
          </cell>
          <cell r="AC2773">
            <v>2985</v>
          </cell>
        </row>
        <row r="2774">
          <cell r="B2774">
            <v>2529</v>
          </cell>
          <cell r="C2774" t="str">
            <v>OLP-16112901TZ</v>
          </cell>
          <cell r="D2774" t="str">
            <v>YARNDYED VISCOSE - NON METALIC</v>
          </cell>
          <cell r="E2774"/>
          <cell r="F2774" t="str">
            <v>V 100%</v>
          </cell>
          <cell r="G2774" t="str">
            <v>100% VISCOSE</v>
          </cell>
          <cell r="H2774" t="str">
            <v>55/56</v>
          </cell>
          <cell r="I2774">
            <v>140</v>
          </cell>
          <cell r="J2774">
            <v>1.86</v>
          </cell>
          <cell r="K2774">
            <v>0</v>
          </cell>
          <cell r="L2774">
            <v>0</v>
          </cell>
          <cell r="M2774"/>
          <cell r="N2774">
            <v>1.96</v>
          </cell>
          <cell r="O2774">
            <v>0</v>
          </cell>
          <cell r="P2774"/>
          <cell r="Q2774"/>
          <cell r="R2774">
            <v>2.2799999999999998</v>
          </cell>
          <cell r="S2774">
            <v>0</v>
          </cell>
          <cell r="T2774"/>
          <cell r="U2774"/>
          <cell r="V2774">
            <v>15</v>
          </cell>
          <cell r="W2774" t="str">
            <v>CHEAPER 2 CENT IF NON METALIC YARN</v>
          </cell>
          <cell r="X2774" t="str">
            <v>OWEN</v>
          </cell>
          <cell r="Y2774" t="str">
            <v>OWEN 28-MARCH</v>
          </cell>
          <cell r="Z2774" t="str">
            <v>SANDY' MAIL 29/3/17</v>
          </cell>
          <cell r="AA2774"/>
          <cell r="AB2774">
            <v>42823</v>
          </cell>
          <cell r="AC2774">
            <v>2529</v>
          </cell>
        </row>
        <row r="2775">
          <cell r="B2775">
            <v>2511</v>
          </cell>
          <cell r="C2775" t="str">
            <v>102514FS</v>
          </cell>
          <cell r="D2775" t="str">
            <v>MOSS CREPE</v>
          </cell>
          <cell r="E2775"/>
          <cell r="F2775" t="str">
            <v>T 100%</v>
          </cell>
          <cell r="G2775" t="str">
            <v>100% POLYESTER</v>
          </cell>
          <cell r="H2775" t="str">
            <v>57/58</v>
          </cell>
          <cell r="I2775">
            <v>120</v>
          </cell>
          <cell r="J2775">
            <v>1.3</v>
          </cell>
          <cell r="K2775">
            <v>1.5</v>
          </cell>
          <cell r="L2775"/>
          <cell r="M2775"/>
          <cell r="N2775">
            <v>1.4</v>
          </cell>
          <cell r="O2775">
            <v>1.65</v>
          </cell>
          <cell r="P2775"/>
          <cell r="Q2775"/>
          <cell r="R2775">
            <v>1.6</v>
          </cell>
          <cell r="S2775">
            <v>2.33</v>
          </cell>
          <cell r="T2775"/>
          <cell r="U2775"/>
          <cell r="V2775">
            <v>15</v>
          </cell>
          <cell r="W2775"/>
          <cell r="X2775" t="str">
            <v>OWEN</v>
          </cell>
          <cell r="Y2775" t="str">
            <v>OWEN 28-MARCH</v>
          </cell>
          <cell r="Z2775" t="str">
            <v>SANDY' MAIL 29/3/17</v>
          </cell>
          <cell r="AA2775"/>
          <cell r="AB2775">
            <v>42823</v>
          </cell>
          <cell r="AC2775">
            <v>2511</v>
          </cell>
        </row>
        <row r="2776">
          <cell r="B2776">
            <v>2453</v>
          </cell>
          <cell r="C2776" t="str">
            <v>HLT-3210</v>
          </cell>
          <cell r="D2776" t="str">
            <v>MOSS CREPE</v>
          </cell>
          <cell r="E2776"/>
          <cell r="F2776" t="str">
            <v>T 100%</v>
          </cell>
          <cell r="G2776" t="str">
            <v>100% POLYESTER</v>
          </cell>
          <cell r="H2776" t="str">
            <v>57/58</v>
          </cell>
          <cell r="I2776">
            <v>128</v>
          </cell>
          <cell r="J2776">
            <v>1.32</v>
          </cell>
          <cell r="K2776">
            <v>1.48</v>
          </cell>
          <cell r="L2776"/>
          <cell r="M2776"/>
          <cell r="N2776">
            <v>1.4200000000000002</v>
          </cell>
          <cell r="O2776">
            <v>1.58</v>
          </cell>
          <cell r="P2776"/>
          <cell r="Q2776"/>
          <cell r="R2776">
            <v>1.5200000000000002</v>
          </cell>
          <cell r="S2776">
            <v>1.78</v>
          </cell>
          <cell r="T2776"/>
          <cell r="U2776"/>
          <cell r="V2776">
            <v>15</v>
          </cell>
          <cell r="W2776"/>
          <cell r="X2776" t="str">
            <v>CANDY</v>
          </cell>
          <cell r="Y2776" t="str">
            <v>CANDY 28-MARCH</v>
          </cell>
          <cell r="Z2776" t="str">
            <v>CANDY' MAIL 29/3/17</v>
          </cell>
          <cell r="AA2776"/>
          <cell r="AB2776">
            <v>42823</v>
          </cell>
          <cell r="AC2776">
            <v>2453</v>
          </cell>
        </row>
        <row r="2777">
          <cell r="B2777">
            <v>2452</v>
          </cell>
          <cell r="C2777" t="str">
            <v>HLT-3208</v>
          </cell>
          <cell r="D2777" t="str">
            <v>MOSS CREPE</v>
          </cell>
          <cell r="E2777"/>
          <cell r="F2777" t="str">
            <v>T 100%</v>
          </cell>
          <cell r="G2777" t="str">
            <v>100% POLYESTER</v>
          </cell>
          <cell r="H2777" t="str">
            <v>57/58</v>
          </cell>
          <cell r="I2777">
            <v>124</v>
          </cell>
          <cell r="J2777">
            <v>1.32</v>
          </cell>
          <cell r="K2777">
            <v>1.48</v>
          </cell>
          <cell r="L2777"/>
          <cell r="M2777"/>
          <cell r="N2777">
            <v>1.4200000000000002</v>
          </cell>
          <cell r="O2777">
            <v>1.58</v>
          </cell>
          <cell r="P2777"/>
          <cell r="Q2777"/>
          <cell r="R2777">
            <v>1.5200000000000002</v>
          </cell>
          <cell r="S2777">
            <v>1.78</v>
          </cell>
          <cell r="T2777"/>
          <cell r="U2777"/>
          <cell r="V2777">
            <v>15</v>
          </cell>
          <cell r="W2777"/>
          <cell r="X2777" t="str">
            <v>CANDY</v>
          </cell>
          <cell r="Y2777" t="str">
            <v>CANDY 28-MARCH</v>
          </cell>
          <cell r="Z2777" t="str">
            <v>CANDY' MAIL 29/3/17</v>
          </cell>
          <cell r="AA2777"/>
          <cell r="AB2777">
            <v>42823</v>
          </cell>
          <cell r="AC2777">
            <v>2452</v>
          </cell>
        </row>
        <row r="2778">
          <cell r="B2778">
            <v>2451</v>
          </cell>
          <cell r="C2778" t="str">
            <v>HLT-3209</v>
          </cell>
          <cell r="D2778" t="str">
            <v>CREPE ( LIKE 028)</v>
          </cell>
          <cell r="E2778"/>
          <cell r="F2778" t="str">
            <v>T 100%</v>
          </cell>
          <cell r="G2778" t="str">
            <v>100% POLYESTER</v>
          </cell>
          <cell r="H2778" t="str">
            <v>57/58</v>
          </cell>
          <cell r="I2778">
            <v>110</v>
          </cell>
          <cell r="J2778">
            <v>1.32</v>
          </cell>
          <cell r="K2778">
            <v>1.48</v>
          </cell>
          <cell r="L2778"/>
          <cell r="M2778"/>
          <cell r="N2778">
            <v>1.4200000000000002</v>
          </cell>
          <cell r="O2778">
            <v>1.58</v>
          </cell>
          <cell r="P2778"/>
          <cell r="Q2778"/>
          <cell r="R2778">
            <v>1.5200000000000002</v>
          </cell>
          <cell r="S2778">
            <v>1.78</v>
          </cell>
          <cell r="T2778"/>
          <cell r="U2778"/>
          <cell r="V2778">
            <v>15</v>
          </cell>
          <cell r="W2778"/>
          <cell r="X2778" t="str">
            <v>CANDY</v>
          </cell>
          <cell r="Y2778" t="str">
            <v>CANDY 28-MARCH</v>
          </cell>
          <cell r="Z2778" t="str">
            <v>CANDY' MAIL 29/3/17</v>
          </cell>
          <cell r="AA2778"/>
          <cell r="AB2778">
            <v>42823</v>
          </cell>
          <cell r="AC2778">
            <v>2451</v>
          </cell>
        </row>
        <row r="2779">
          <cell r="B2779">
            <v>2175</v>
          </cell>
          <cell r="C2779" t="str">
            <v>UD-JCE-151107</v>
          </cell>
          <cell r="D2779" t="str">
            <v>COTTON SPANDEX SATEEN</v>
          </cell>
          <cell r="E2779" t="str">
            <v>32 x 32 + 40D / 190 x 64</v>
          </cell>
          <cell r="F2779" t="str">
            <v xml:space="preserve">C/S 97/3 </v>
          </cell>
          <cell r="G2779" t="str">
            <v>97%COTTON 3% SPAN</v>
          </cell>
          <cell r="H2779" t="str">
            <v>57/58</v>
          </cell>
          <cell r="I2779">
            <v>190</v>
          </cell>
          <cell r="J2779">
            <v>2.1800000000000002</v>
          </cell>
          <cell r="K2779">
            <v>2.36</v>
          </cell>
          <cell r="L2779"/>
          <cell r="M2779"/>
          <cell r="N2779">
            <v>2.2799999999999998</v>
          </cell>
          <cell r="O2779">
            <v>2.52</v>
          </cell>
          <cell r="P2779"/>
          <cell r="Q2779"/>
          <cell r="R2779">
            <v>2.58</v>
          </cell>
          <cell r="S2779">
            <v>2.83</v>
          </cell>
          <cell r="T2779"/>
          <cell r="U2779"/>
          <cell r="V2779">
            <v>15</v>
          </cell>
          <cell r="W2779" t="str">
            <v>KEEP OLD PRICE AS WANGHUA EMAIL CONFIRM 29/3/17</v>
          </cell>
          <cell r="X2779" t="str">
            <v>WANG HUA</v>
          </cell>
          <cell r="Y2779" t="str">
            <v>WANGHUA 6-JAN</v>
          </cell>
          <cell r="Z2779" t="str">
            <v>WANGHUA' MAIL 29/3/17</v>
          </cell>
          <cell r="AA2779"/>
          <cell r="AB2779">
            <v>42823</v>
          </cell>
          <cell r="AC2779">
            <v>2175</v>
          </cell>
        </row>
        <row r="2780">
          <cell r="B2780">
            <v>2173</v>
          </cell>
          <cell r="C2780" t="str">
            <v>UD-JCE-151104</v>
          </cell>
          <cell r="D2780" t="str">
            <v>COTTON SPANDEX SATEEN</v>
          </cell>
          <cell r="E2780" t="str">
            <v>40 x 32 +40D / 190 x 80</v>
          </cell>
          <cell r="F2780" t="str">
            <v xml:space="preserve">C/S 97/3 </v>
          </cell>
          <cell r="G2780" t="str">
            <v>97%COTTON 3% SPAN</v>
          </cell>
          <cell r="H2780" t="str">
            <v>57/58</v>
          </cell>
          <cell r="I2780">
            <v>180</v>
          </cell>
          <cell r="J2780">
            <v>2.1800000000000002</v>
          </cell>
          <cell r="K2780">
            <v>2.36</v>
          </cell>
          <cell r="L2780"/>
          <cell r="M2780"/>
          <cell r="N2780">
            <v>2.2799999999999998</v>
          </cell>
          <cell r="O2780">
            <v>2.52</v>
          </cell>
          <cell r="P2780"/>
          <cell r="Q2780"/>
          <cell r="R2780">
            <v>2.58</v>
          </cell>
          <cell r="S2780">
            <v>2.83</v>
          </cell>
          <cell r="T2780"/>
          <cell r="U2780"/>
          <cell r="V2780">
            <v>15</v>
          </cell>
          <cell r="W2780" t="str">
            <v>KEEP OLD PRICE AS WANGHUA EMAIL CONFIRM 29/3/17</v>
          </cell>
          <cell r="X2780" t="str">
            <v>WANG HUA</v>
          </cell>
          <cell r="Y2780" t="str">
            <v>WANGHUA 6-JAN</v>
          </cell>
          <cell r="Z2780" t="str">
            <v>WANGHUA' MAIL 29/3/17</v>
          </cell>
          <cell r="AA2780"/>
          <cell r="AB2780">
            <v>42823</v>
          </cell>
          <cell r="AC2780">
            <v>2173</v>
          </cell>
        </row>
        <row r="2781">
          <cell r="B2781">
            <v>1724</v>
          </cell>
          <cell r="C2781" t="str">
            <v>OLP-CFTS358DY</v>
          </cell>
          <cell r="D2781"/>
          <cell r="E2781"/>
          <cell r="F2781" t="str">
            <v>V 100%</v>
          </cell>
          <cell r="G2781" t="str">
            <v>100% VISCOSE</v>
          </cell>
          <cell r="H2781" t="str">
            <v>53/54</v>
          </cell>
          <cell r="I2781">
            <v>150</v>
          </cell>
          <cell r="J2781">
            <v>2.2599999999999998</v>
          </cell>
          <cell r="K2781">
            <v>2.62</v>
          </cell>
          <cell r="L2781"/>
          <cell r="M2781"/>
          <cell r="N2781">
            <v>2.3199999999999998</v>
          </cell>
          <cell r="O2781">
            <v>2.72</v>
          </cell>
          <cell r="P2781"/>
          <cell r="Q2781"/>
          <cell r="R2781">
            <v>2.4700000000000002</v>
          </cell>
          <cell r="S2781">
            <v>3.05</v>
          </cell>
          <cell r="T2781"/>
          <cell r="U2781"/>
          <cell r="V2781">
            <v>15</v>
          </cell>
          <cell r="W2781"/>
          <cell r="X2781" t="str">
            <v>OWEN</v>
          </cell>
          <cell r="Y2781" t="str">
            <v>OWEN 28-MARCH</v>
          </cell>
          <cell r="Z2781" t="str">
            <v>SANDY' MAIL 29/3/17</v>
          </cell>
          <cell r="AA2781"/>
          <cell r="AB2781">
            <v>42823</v>
          </cell>
          <cell r="AC2781">
            <v>1724</v>
          </cell>
        </row>
        <row r="2782">
          <cell r="B2782">
            <v>1257</v>
          </cell>
          <cell r="C2782" t="str">
            <v>ST-4030</v>
          </cell>
          <cell r="D2782"/>
          <cell r="E2782"/>
          <cell r="F2782" t="str">
            <v>T/S 97/3</v>
          </cell>
          <cell r="G2782" t="str">
            <v>97% POLYESTER 3% SPAN</v>
          </cell>
          <cell r="H2782" t="str">
            <v>57/58</v>
          </cell>
          <cell r="I2782">
            <v>192</v>
          </cell>
          <cell r="J2782">
            <v>1.82</v>
          </cell>
          <cell r="K2782">
            <v>2.1</v>
          </cell>
          <cell r="L2782"/>
          <cell r="M2782"/>
          <cell r="N2782">
            <v>1.86</v>
          </cell>
          <cell r="O2782">
            <v>2.06</v>
          </cell>
          <cell r="P2782"/>
          <cell r="Q2782"/>
          <cell r="R2782">
            <v>1.92</v>
          </cell>
          <cell r="S2782">
            <v>2.5499999999999998</v>
          </cell>
          <cell r="T2782"/>
          <cell r="U2782"/>
          <cell r="V2782">
            <v>15</v>
          </cell>
          <cell r="W2782"/>
          <cell r="X2782" t="str">
            <v>SIGER</v>
          </cell>
          <cell r="Y2782" t="str">
            <v>SIGER 28-MARCH</v>
          </cell>
          <cell r="Z2782" t="str">
            <v>CARA' MAIL 29/3/17</v>
          </cell>
          <cell r="AA2782"/>
          <cell r="AB2782">
            <v>42823</v>
          </cell>
          <cell r="AC2782">
            <v>1257</v>
          </cell>
        </row>
        <row r="2783">
          <cell r="B2783">
            <v>1244</v>
          </cell>
          <cell r="C2783" t="str">
            <v>ST-412241</v>
          </cell>
          <cell r="D2783" t="str">
            <v>MOSS CREPE</v>
          </cell>
          <cell r="E2783"/>
          <cell r="F2783" t="str">
            <v>T/S 97/3</v>
          </cell>
          <cell r="G2783" t="str">
            <v>97% POLYESTER 3% SPAN</v>
          </cell>
          <cell r="H2783" t="str">
            <v>57/58</v>
          </cell>
          <cell r="I2783">
            <v>125</v>
          </cell>
          <cell r="J2783">
            <v>1.36</v>
          </cell>
          <cell r="K2783">
            <v>1.7</v>
          </cell>
          <cell r="L2783"/>
          <cell r="M2783"/>
          <cell r="N2783">
            <v>1.39</v>
          </cell>
          <cell r="O2783">
            <v>1.66</v>
          </cell>
          <cell r="P2783"/>
          <cell r="Q2783"/>
          <cell r="R2783">
            <v>1.45</v>
          </cell>
          <cell r="S2783">
            <v>1.76</v>
          </cell>
          <cell r="T2783"/>
          <cell r="U2783"/>
          <cell r="V2783">
            <v>15</v>
          </cell>
          <cell r="W2783"/>
          <cell r="X2783" t="str">
            <v>SIGER</v>
          </cell>
          <cell r="Y2783" t="str">
            <v>SIGER 28-MARCH</v>
          </cell>
          <cell r="Z2783" t="str">
            <v>CARA' MAIL 29/3/17</v>
          </cell>
          <cell r="AA2783"/>
          <cell r="AB2783">
            <v>42823</v>
          </cell>
          <cell r="AC2783">
            <v>1244</v>
          </cell>
        </row>
        <row r="2784">
          <cell r="B2784">
            <v>1073</v>
          </cell>
          <cell r="C2784" t="str">
            <v>ST-55126</v>
          </cell>
          <cell r="D2784"/>
          <cell r="E2784"/>
          <cell r="F2784" t="str">
            <v>T 100%</v>
          </cell>
          <cell r="G2784" t="str">
            <v>100% POLYESTER</v>
          </cell>
          <cell r="H2784" t="str">
            <v>57/58</v>
          </cell>
          <cell r="I2784">
            <v>80</v>
          </cell>
          <cell r="J2784">
            <v>1.22</v>
          </cell>
          <cell r="K2784">
            <v>1.49</v>
          </cell>
          <cell r="L2784"/>
          <cell r="M2784"/>
          <cell r="N2784">
            <v>1.25</v>
          </cell>
          <cell r="O2784">
            <v>1.49</v>
          </cell>
          <cell r="P2784"/>
          <cell r="Q2784"/>
          <cell r="R2784">
            <v>1.55</v>
          </cell>
          <cell r="S2784">
            <v>1.55</v>
          </cell>
          <cell r="T2784"/>
          <cell r="U2784"/>
          <cell r="V2784">
            <v>15</v>
          </cell>
          <cell r="W2784"/>
          <cell r="X2784" t="str">
            <v>SIGER</v>
          </cell>
          <cell r="Y2784" t="str">
            <v>SIGER 28-MARCH</v>
          </cell>
          <cell r="Z2784" t="str">
            <v>CARA' MAIL 29/3/17</v>
          </cell>
          <cell r="AA2784"/>
          <cell r="AB2784">
            <v>42823</v>
          </cell>
          <cell r="AC2784">
            <v>1073</v>
          </cell>
        </row>
        <row r="2785">
          <cell r="B2785">
            <v>137</v>
          </cell>
          <cell r="C2785" t="str">
            <v>TS-044B</v>
          </cell>
          <cell r="D2785" t="str">
            <v xml:space="preserve">CDC </v>
          </cell>
          <cell r="E2785"/>
          <cell r="F2785" t="str">
            <v>T 100%</v>
          </cell>
          <cell r="G2785" t="str">
            <v>100% POLYESTER</v>
          </cell>
          <cell r="H2785" t="str">
            <v>57/58</v>
          </cell>
          <cell r="I2785">
            <v>85</v>
          </cell>
          <cell r="J2785">
            <v>1</v>
          </cell>
          <cell r="K2785">
            <v>1.1599999999999999</v>
          </cell>
          <cell r="L2785">
            <v>0</v>
          </cell>
          <cell r="M2785"/>
          <cell r="N2785">
            <v>1.03</v>
          </cell>
          <cell r="O2785">
            <v>1.22</v>
          </cell>
          <cell r="P2785"/>
          <cell r="Q2785"/>
          <cell r="R2785">
            <v>1.37</v>
          </cell>
          <cell r="S2785">
            <v>1.47</v>
          </cell>
          <cell r="T2785"/>
          <cell r="U2785"/>
          <cell r="V2785">
            <v>15</v>
          </cell>
          <cell r="W2785"/>
          <cell r="X2785" t="str">
            <v>GAVIN</v>
          </cell>
          <cell r="Y2785" t="str">
            <v xml:space="preserve">GAVIN 28-MARCH  </v>
          </cell>
          <cell r="Z2785" t="str">
            <v>GAVIN' MAIL 29/317</v>
          </cell>
          <cell r="AA2785"/>
          <cell r="AB2785">
            <v>42823</v>
          </cell>
          <cell r="AC2785">
            <v>137</v>
          </cell>
        </row>
        <row r="2786">
          <cell r="B2786">
            <v>83</v>
          </cell>
          <cell r="C2786" t="str">
            <v>TS-029</v>
          </cell>
          <cell r="D2786" t="str">
            <v>CDC</v>
          </cell>
          <cell r="E2786"/>
          <cell r="F2786" t="str">
            <v>T 100%</v>
          </cell>
          <cell r="G2786" t="str">
            <v>100% POLYESTER</v>
          </cell>
          <cell r="H2786" t="str">
            <v>57/58</v>
          </cell>
          <cell r="I2786">
            <v>70</v>
          </cell>
          <cell r="J2786">
            <v>1.02</v>
          </cell>
          <cell r="K2786">
            <v>1.2</v>
          </cell>
          <cell r="L2786"/>
          <cell r="M2786"/>
          <cell r="N2786">
            <v>1.05</v>
          </cell>
          <cell r="O2786">
            <v>1.25</v>
          </cell>
          <cell r="P2786"/>
          <cell r="Q2786"/>
          <cell r="R2786">
            <v>1.25</v>
          </cell>
          <cell r="S2786">
            <v>1.5</v>
          </cell>
          <cell r="T2786"/>
          <cell r="U2786"/>
          <cell r="V2786">
            <v>15</v>
          </cell>
          <cell r="W2786"/>
          <cell r="X2786" t="str">
            <v>GAVIN</v>
          </cell>
          <cell r="Y2786" t="str">
            <v xml:space="preserve">GAVIN 28-MARCH  </v>
          </cell>
          <cell r="Z2786" t="str">
            <v>GAVIN' MAIL 29/317</v>
          </cell>
          <cell r="AA2786"/>
          <cell r="AB2786">
            <v>42823</v>
          </cell>
          <cell r="AC2786">
            <v>83</v>
          </cell>
        </row>
        <row r="2787">
          <cell r="B2787"/>
          <cell r="C2787" t="str">
            <v>TS-015</v>
          </cell>
          <cell r="D2787" t="str">
            <v>CRUSHED VELVET</v>
          </cell>
          <cell r="E2787"/>
          <cell r="F2787" t="str">
            <v>T/S 96/4</v>
          </cell>
          <cell r="G2787" t="str">
            <v>96/4 POLYESTER /SPAN</v>
          </cell>
          <cell r="H2787" t="str">
            <v>57/58</v>
          </cell>
          <cell r="I2787" t="str">
            <v xml:space="preserve">205GSM </v>
          </cell>
          <cell r="J2787">
            <v>1.97</v>
          </cell>
          <cell r="K2787">
            <v>2.1800000000000002</v>
          </cell>
          <cell r="L2787"/>
          <cell r="M2787"/>
          <cell r="N2787">
            <v>2</v>
          </cell>
          <cell r="O2787">
            <v>2.25</v>
          </cell>
          <cell r="P2787"/>
          <cell r="Q2787"/>
          <cell r="R2787">
            <v>2.15</v>
          </cell>
          <cell r="S2787">
            <v>2.5</v>
          </cell>
          <cell r="T2787"/>
          <cell r="U2787"/>
          <cell r="V2787">
            <v>15</v>
          </cell>
          <cell r="W2787"/>
          <cell r="X2787" t="str">
            <v>GAVIN</v>
          </cell>
          <cell r="Y2787" t="str">
            <v>GAVIN 28-MARCH (YOURYO)</v>
          </cell>
          <cell r="Z2787" t="str">
            <v>GAVIN' MAIL 28/3/17</v>
          </cell>
          <cell r="AA2787"/>
          <cell r="AB2787">
            <v>42823</v>
          </cell>
          <cell r="AC2787">
            <v>0</v>
          </cell>
        </row>
        <row r="2788">
          <cell r="B2788">
            <v>2984</v>
          </cell>
          <cell r="C2788" t="str">
            <v>K-2682A</v>
          </cell>
          <cell r="D2788" t="str">
            <v>KNIT FOIL PLEAT</v>
          </cell>
          <cell r="E2788"/>
          <cell r="F2788" t="str">
            <v>T/S 95/5</v>
          </cell>
          <cell r="G2788" t="str">
            <v>95% POLYESTER 5% SPANDEX</v>
          </cell>
          <cell r="H2788" t="str">
            <v>56/57</v>
          </cell>
          <cell r="I2788">
            <v>165</v>
          </cell>
          <cell r="J2788">
            <v>1.75</v>
          </cell>
          <cell r="K2788"/>
          <cell r="L2788"/>
          <cell r="M2788"/>
          <cell r="N2788">
            <v>1.8</v>
          </cell>
          <cell r="O2788"/>
          <cell r="P2788"/>
          <cell r="Q2788"/>
          <cell r="R2788">
            <v>2.2999999999999998</v>
          </cell>
          <cell r="S2788"/>
          <cell r="T2788"/>
          <cell r="U2788"/>
          <cell r="V2788"/>
          <cell r="W2788"/>
          <cell r="X2788" t="str">
            <v>LIVALTEX</v>
          </cell>
          <cell r="Y2788" t="str">
            <v>LIVALTEX 11-MARCH</v>
          </cell>
          <cell r="Z2788" t="str">
            <v>ROSE' MAIL 16/3/17</v>
          </cell>
          <cell r="AA2788"/>
          <cell r="AB2788">
            <v>42822</v>
          </cell>
          <cell r="AC2788">
            <v>2984</v>
          </cell>
        </row>
        <row r="2789">
          <cell r="B2789">
            <v>2228</v>
          </cell>
          <cell r="C2789" t="str">
            <v>OLP-1652704YH-B</v>
          </cell>
          <cell r="D2789" t="str">
            <v>LINEN AFTER WASHED</v>
          </cell>
          <cell r="E2789"/>
          <cell r="F2789" t="str">
            <v>L/V 55/45</v>
          </cell>
          <cell r="G2789" t="str">
            <v>55% LINEN 45% VISCOSE (THIS HAS BEEN WASHED)</v>
          </cell>
          <cell r="H2789" t="str">
            <v>51/52</v>
          </cell>
          <cell r="I2789">
            <v>146</v>
          </cell>
          <cell r="J2789">
            <v>2.48</v>
          </cell>
          <cell r="K2789">
            <v>2.62</v>
          </cell>
          <cell r="L2789"/>
          <cell r="M2789"/>
          <cell r="N2789">
            <v>2.52</v>
          </cell>
          <cell r="O2789">
            <v>2.75</v>
          </cell>
          <cell r="P2789"/>
          <cell r="Q2789"/>
          <cell r="R2789">
            <v>2.67</v>
          </cell>
          <cell r="S2789">
            <v>3.15</v>
          </cell>
          <cell r="T2789"/>
          <cell r="U2789"/>
          <cell r="V2789">
            <v>15</v>
          </cell>
          <cell r="W2789"/>
          <cell r="X2789" t="str">
            <v>OWEN</v>
          </cell>
          <cell r="Y2789" t="str">
            <v>OWEN 27-MARCH</v>
          </cell>
          <cell r="Z2789" t="str">
            <v>SANDY' MAIL 28/3/17</v>
          </cell>
          <cell r="AA2789"/>
          <cell r="AB2789">
            <v>42822</v>
          </cell>
          <cell r="AC2789">
            <v>2228</v>
          </cell>
        </row>
        <row r="2790">
          <cell r="B2790">
            <v>2227</v>
          </cell>
          <cell r="C2790" t="str">
            <v>OLP1652704YH-A</v>
          </cell>
          <cell r="D2790" t="str">
            <v>BEFORE WASH</v>
          </cell>
          <cell r="E2790"/>
          <cell r="F2790" t="str">
            <v>L/V 55/45</v>
          </cell>
          <cell r="G2790" t="str">
            <v>55% LINEN 45% VISCOSE ( UN WASHED )</v>
          </cell>
          <cell r="H2790" t="str">
            <v>52/53</v>
          </cell>
          <cell r="I2790">
            <v>200</v>
          </cell>
          <cell r="J2790">
            <v>2</v>
          </cell>
          <cell r="K2790">
            <v>2.21</v>
          </cell>
          <cell r="L2790">
            <v>0</v>
          </cell>
          <cell r="M2790"/>
          <cell r="N2790">
            <v>2.08</v>
          </cell>
          <cell r="O2790">
            <v>2.2999999999999998</v>
          </cell>
          <cell r="P2790"/>
          <cell r="Q2790"/>
          <cell r="R2790">
            <v>2.23</v>
          </cell>
          <cell r="S2790">
            <v>2.81</v>
          </cell>
          <cell r="T2790"/>
          <cell r="U2790"/>
          <cell r="V2790">
            <v>15</v>
          </cell>
          <cell r="W2790"/>
          <cell r="X2790" t="str">
            <v>OWEN</v>
          </cell>
          <cell r="Y2790" t="str">
            <v>OWEN 27-MARCH</v>
          </cell>
          <cell r="Z2790" t="str">
            <v>SANDY' MAIL 28/3/17</v>
          </cell>
          <cell r="AA2790"/>
          <cell r="AB2790">
            <v>42822</v>
          </cell>
          <cell r="AC2790">
            <v>2227</v>
          </cell>
        </row>
        <row r="2791">
          <cell r="B2791">
            <v>2140</v>
          </cell>
          <cell r="C2791" t="str">
            <v>BG-3440</v>
          </cell>
          <cell r="D2791" t="str">
            <v>POLY JACQUARD</v>
          </cell>
          <cell r="E2791"/>
          <cell r="F2791" t="str">
            <v>T 100%</v>
          </cell>
          <cell r="G2791" t="str">
            <v>100% POLYESTER</v>
          </cell>
          <cell r="H2791" t="str">
            <v>57/58</v>
          </cell>
          <cell r="I2791">
            <v>125</v>
          </cell>
          <cell r="J2791">
            <v>1.75</v>
          </cell>
          <cell r="K2791"/>
          <cell r="L2791"/>
          <cell r="M2791"/>
          <cell r="N2791">
            <v>1.78</v>
          </cell>
          <cell r="O2791"/>
          <cell r="P2791"/>
          <cell r="Q2791"/>
          <cell r="R2791">
            <v>1.85</v>
          </cell>
          <cell r="S2791"/>
          <cell r="T2791"/>
          <cell r="U2791"/>
          <cell r="V2791">
            <v>15</v>
          </cell>
          <cell r="W2791"/>
          <cell r="X2791" t="str">
            <v>ANN</v>
          </cell>
          <cell r="Y2791" t="str">
            <v>AN 28-MARCH</v>
          </cell>
          <cell r="Z2791" t="str">
            <v>ANN' MAIL 28/3/17</v>
          </cell>
          <cell r="AA2791"/>
          <cell r="AB2791">
            <v>42822</v>
          </cell>
          <cell r="AC2791">
            <v>2140</v>
          </cell>
        </row>
        <row r="2792">
          <cell r="B2792">
            <v>2140</v>
          </cell>
          <cell r="C2792" t="str">
            <v>BG-3440</v>
          </cell>
          <cell r="D2792" t="str">
            <v>POLY JACQUARD</v>
          </cell>
          <cell r="E2792"/>
          <cell r="F2792" t="str">
            <v>T 100%</v>
          </cell>
          <cell r="G2792" t="str">
            <v>100% POLYESTER</v>
          </cell>
          <cell r="H2792" t="str">
            <v>57/58</v>
          </cell>
          <cell r="I2792">
            <v>125</v>
          </cell>
          <cell r="J2792">
            <v>1.75</v>
          </cell>
          <cell r="K2792"/>
          <cell r="L2792"/>
          <cell r="M2792"/>
          <cell r="N2792">
            <v>1.78</v>
          </cell>
          <cell r="O2792"/>
          <cell r="P2792"/>
          <cell r="Q2792"/>
          <cell r="R2792">
            <v>1.85</v>
          </cell>
          <cell r="S2792">
            <v>0</v>
          </cell>
          <cell r="T2792"/>
          <cell r="U2792"/>
          <cell r="V2792">
            <v>15</v>
          </cell>
          <cell r="W2792"/>
          <cell r="X2792" t="str">
            <v>ANN</v>
          </cell>
          <cell r="Y2792" t="str">
            <v>ANN 28-MARCH</v>
          </cell>
          <cell r="Z2792" t="str">
            <v>FILE FROM WECHAT</v>
          </cell>
          <cell r="AA2792"/>
          <cell r="AB2792">
            <v>42822</v>
          </cell>
          <cell r="AC2792">
            <v>2140</v>
          </cell>
        </row>
        <row r="2793">
          <cell r="B2793">
            <v>1964</v>
          </cell>
          <cell r="C2793" t="str">
            <v>BG3036</v>
          </cell>
          <cell r="D2793" t="str">
            <v>TERRY CREPE</v>
          </cell>
          <cell r="E2793"/>
          <cell r="F2793" t="str">
            <v>R/V 52/48</v>
          </cell>
          <cell r="G2793" t="str">
            <v>48%VISCOSE 52%RAYON</v>
          </cell>
          <cell r="H2793" t="str">
            <v>53/54</v>
          </cell>
          <cell r="I2793">
            <v>118</v>
          </cell>
          <cell r="J2793">
            <v>2.95</v>
          </cell>
          <cell r="K2793">
            <v>3.45</v>
          </cell>
          <cell r="L2793"/>
          <cell r="M2793"/>
          <cell r="N2793">
            <v>3</v>
          </cell>
          <cell r="O2793">
            <v>3.55</v>
          </cell>
          <cell r="P2793"/>
          <cell r="Q2793"/>
          <cell r="R2793">
            <v>3.4</v>
          </cell>
          <cell r="S2793">
            <v>3.95</v>
          </cell>
          <cell r="T2793"/>
          <cell r="U2793"/>
          <cell r="V2793">
            <v>0</v>
          </cell>
          <cell r="W2793"/>
          <cell r="X2793" t="str">
            <v>ANN</v>
          </cell>
          <cell r="Y2793" t="str">
            <v>ANN 28-MARCH</v>
          </cell>
          <cell r="Z2793" t="str">
            <v>FILE FROM WECHAT</v>
          </cell>
          <cell r="AA2793"/>
          <cell r="AB2793">
            <v>42822</v>
          </cell>
          <cell r="AC2793">
            <v>1964</v>
          </cell>
        </row>
        <row r="2794">
          <cell r="B2794" t="str">
            <v>1895-1</v>
          </cell>
          <cell r="C2794" t="str">
            <v>TS-028-1</v>
          </cell>
          <cell r="D2794" t="str">
            <v>CREPE</v>
          </cell>
          <cell r="E2794"/>
          <cell r="F2794" t="str">
            <v>T 100%</v>
          </cell>
          <cell r="G2794" t="str">
            <v>100% POLYESTER</v>
          </cell>
          <cell r="H2794" t="str">
            <v>57/58</v>
          </cell>
          <cell r="I2794">
            <v>140</v>
          </cell>
          <cell r="J2794">
            <v>1.52</v>
          </cell>
          <cell r="K2794">
            <v>1.69</v>
          </cell>
          <cell r="L2794"/>
          <cell r="M2794"/>
          <cell r="N2794">
            <v>1.55</v>
          </cell>
          <cell r="O2794">
            <v>1.75</v>
          </cell>
          <cell r="P2794"/>
          <cell r="Q2794"/>
          <cell r="R2794">
            <v>1.72</v>
          </cell>
          <cell r="S2794">
            <v>2.0499999999999998</v>
          </cell>
          <cell r="T2794"/>
          <cell r="U2794"/>
          <cell r="V2794">
            <v>15</v>
          </cell>
          <cell r="W2794" t="str">
            <v>AMW 1895-1 AND AMW 2445 ARE THE SAME</v>
          </cell>
          <cell r="X2794" t="str">
            <v>GAVIN</v>
          </cell>
          <cell r="Y2794" t="str">
            <v>GAVIN 27-MARCH</v>
          </cell>
          <cell r="Z2794" t="str">
            <v>GAVIN' MAIL 24/3/17</v>
          </cell>
          <cell r="AA2794"/>
          <cell r="AB2794">
            <v>42821</v>
          </cell>
          <cell r="AC2794" t="str">
            <v>1895-1</v>
          </cell>
        </row>
        <row r="2795">
          <cell r="B2795">
            <v>2959</v>
          </cell>
          <cell r="C2795" t="str">
            <v>TCPSJ-132</v>
          </cell>
          <cell r="D2795" t="str">
            <v>JACQUARD</v>
          </cell>
          <cell r="E2795" t="str">
            <v>100D x 16+70D - 220 x 66</v>
          </cell>
          <cell r="F2795" t="str">
            <v>C/T/S 70/25/5</v>
          </cell>
          <cell r="G2795" t="str">
            <v>70% COTTON 25% POLYESTER 5% SPANDEX</v>
          </cell>
          <cell r="H2795" t="str">
            <v>57/58</v>
          </cell>
          <cell r="I2795">
            <v>240</v>
          </cell>
          <cell r="J2795">
            <v>3.6</v>
          </cell>
          <cell r="K2795"/>
          <cell r="L2795"/>
          <cell r="M2795"/>
          <cell r="N2795">
            <v>3.65</v>
          </cell>
          <cell r="O2795"/>
          <cell r="P2795"/>
          <cell r="Q2795"/>
          <cell r="R2795">
            <v>4.1500000000000004</v>
          </cell>
          <cell r="S2795"/>
          <cell r="T2795"/>
          <cell r="U2795"/>
          <cell r="V2795">
            <v>15</v>
          </cell>
          <cell r="W2795"/>
          <cell r="X2795" t="str">
            <v>LIVALTEX</v>
          </cell>
          <cell r="Y2795" t="str">
            <v>LIVALTEX 11-MARCH</v>
          </cell>
          <cell r="Z2795" t="str">
            <v>ROSE' MAIL 16/3/17</v>
          </cell>
          <cell r="AA2795"/>
          <cell r="AB2795">
            <v>42821</v>
          </cell>
          <cell r="AC2795">
            <v>2959</v>
          </cell>
        </row>
        <row r="2796">
          <cell r="B2796">
            <v>2958</v>
          </cell>
          <cell r="C2796" t="str">
            <v>TCPJ-121</v>
          </cell>
          <cell r="D2796" t="str">
            <v>JACQUARD</v>
          </cell>
          <cell r="E2796" t="str">
            <v>100D x 32/2 - 170x83</v>
          </cell>
          <cell r="F2796" t="str">
            <v>T/C 75/25</v>
          </cell>
          <cell r="G2796" t="str">
            <v>75% POLYESTER 25% COTTON</v>
          </cell>
          <cell r="H2796" t="str">
            <v>57/58</v>
          </cell>
          <cell r="I2796">
            <v>155</v>
          </cell>
          <cell r="J2796">
            <v>3.8</v>
          </cell>
          <cell r="K2796"/>
          <cell r="L2796"/>
          <cell r="M2796"/>
          <cell r="N2796">
            <v>3.85</v>
          </cell>
          <cell r="O2796"/>
          <cell r="P2796"/>
          <cell r="Q2796"/>
          <cell r="R2796">
            <v>4.3499999999999996</v>
          </cell>
          <cell r="S2796"/>
          <cell r="T2796"/>
          <cell r="U2796"/>
          <cell r="V2796">
            <v>15</v>
          </cell>
          <cell r="W2796"/>
          <cell r="X2796" t="str">
            <v>LIVALTEX</v>
          </cell>
          <cell r="Y2796" t="str">
            <v>LIVALTEX 11-MARCH</v>
          </cell>
          <cell r="Z2796" t="str">
            <v>ROSE' MAIL 16/3/17</v>
          </cell>
          <cell r="AA2796"/>
          <cell r="AB2796">
            <v>42821</v>
          </cell>
          <cell r="AC2796">
            <v>2958</v>
          </cell>
        </row>
        <row r="2797">
          <cell r="B2797">
            <v>2956</v>
          </cell>
          <cell r="C2797" t="str">
            <v>TCPJ-116</v>
          </cell>
          <cell r="D2797" t="str">
            <v>JACQUARD</v>
          </cell>
          <cell r="E2797"/>
          <cell r="F2797" t="str">
            <v>CVC 50/50</v>
          </cell>
          <cell r="G2797" t="str">
            <v>50% COTTON 50% POLYESTER</v>
          </cell>
          <cell r="H2797" t="str">
            <v>57/58</v>
          </cell>
          <cell r="I2797">
            <v>235</v>
          </cell>
          <cell r="J2797">
            <v>4.05</v>
          </cell>
          <cell r="K2797"/>
          <cell r="L2797"/>
          <cell r="M2797"/>
          <cell r="N2797">
            <v>4.0999999999999996</v>
          </cell>
          <cell r="O2797"/>
          <cell r="P2797"/>
          <cell r="Q2797"/>
          <cell r="R2797">
            <v>4.5999999999999996</v>
          </cell>
          <cell r="S2797"/>
          <cell r="T2797"/>
          <cell r="U2797"/>
          <cell r="V2797">
            <v>15</v>
          </cell>
          <cell r="W2797"/>
          <cell r="X2797" t="str">
            <v>LIVALTEX</v>
          </cell>
          <cell r="Y2797" t="str">
            <v>LIVALTEX 11-MARCH</v>
          </cell>
          <cell r="Z2797" t="str">
            <v>ROSE' MAIL 16/3/17</v>
          </cell>
          <cell r="AA2797"/>
          <cell r="AB2797">
            <v>42821</v>
          </cell>
          <cell r="AC2797">
            <v>2956</v>
          </cell>
        </row>
        <row r="2798">
          <cell r="B2798">
            <v>2953</v>
          </cell>
          <cell r="C2798" t="str">
            <v>SPSJ-028A/B</v>
          </cell>
          <cell r="D2798" t="str">
            <v>JACQUARD</v>
          </cell>
          <cell r="E2798" t="str">
            <v>(150D + 16+70D) x (16+70D - 160x70)</v>
          </cell>
          <cell r="F2798" t="str">
            <v>T/R/S 60/35/5</v>
          </cell>
          <cell r="G2798" t="str">
            <v>T/R/SPX 60/35/5</v>
          </cell>
          <cell r="H2798" t="str">
            <v>56/57</v>
          </cell>
          <cell r="I2798">
            <v>248</v>
          </cell>
          <cell r="J2798">
            <v>3.3</v>
          </cell>
          <cell r="K2798"/>
          <cell r="L2798"/>
          <cell r="M2798"/>
          <cell r="N2798">
            <v>3.35</v>
          </cell>
          <cell r="O2798"/>
          <cell r="P2798"/>
          <cell r="Q2798"/>
          <cell r="R2798">
            <v>3.95</v>
          </cell>
          <cell r="S2798"/>
          <cell r="T2798"/>
          <cell r="U2798"/>
          <cell r="V2798"/>
          <cell r="W2798"/>
          <cell r="X2798" t="str">
            <v>LIVALTEX</v>
          </cell>
          <cell r="Y2798" t="str">
            <v>LIVALTEX 12-APRIL</v>
          </cell>
          <cell r="Z2798" t="str">
            <v>ROSE' MAIL 13/4/17</v>
          </cell>
          <cell r="AA2798"/>
          <cell r="AB2798">
            <v>42821</v>
          </cell>
          <cell r="AC2798">
            <v>2953</v>
          </cell>
        </row>
        <row r="2799">
          <cell r="B2799">
            <v>2952</v>
          </cell>
          <cell r="C2799" t="str">
            <v>SPJ-141</v>
          </cell>
          <cell r="D2799" t="str">
            <v>METALIC YARN / JACQUARD</v>
          </cell>
          <cell r="E2799" t="str">
            <v>75Dx120D LUREX X R10 / 178x92</v>
          </cell>
          <cell r="F2799" t="str">
            <v>T/R/METALIC 60/20/20</v>
          </cell>
          <cell r="G2799" t="str">
            <v>60% POLYESTER 20% RAYON 20% METALIC</v>
          </cell>
          <cell r="H2799" t="str">
            <v>56/57</v>
          </cell>
          <cell r="I2799">
            <v>176</v>
          </cell>
          <cell r="J2799">
            <v>4.0999999999999996</v>
          </cell>
          <cell r="K2799"/>
          <cell r="L2799"/>
          <cell r="M2799"/>
          <cell r="N2799">
            <v>4.1500000000000004</v>
          </cell>
          <cell r="O2799"/>
          <cell r="P2799"/>
          <cell r="Q2799"/>
          <cell r="R2799">
            <v>4.75</v>
          </cell>
          <cell r="S2799"/>
          <cell r="T2799"/>
          <cell r="U2799"/>
          <cell r="V2799"/>
          <cell r="W2799"/>
          <cell r="X2799" t="str">
            <v>LIVALTEX</v>
          </cell>
          <cell r="Y2799" t="str">
            <v>LIVALTEX 12-APRIL</v>
          </cell>
          <cell r="Z2799" t="str">
            <v>ROSE' MAIL 13/4/17</v>
          </cell>
          <cell r="AA2799"/>
          <cell r="AB2799">
            <v>42821</v>
          </cell>
          <cell r="AC2799">
            <v>2952</v>
          </cell>
        </row>
        <row r="2800">
          <cell r="B2800">
            <v>2949</v>
          </cell>
          <cell r="C2800" t="str">
            <v>NPSJ-028</v>
          </cell>
          <cell r="D2800" t="str">
            <v>JACQUARD</v>
          </cell>
          <cell r="E2800" t="str">
            <v>150D + LUREX x 21 + 40D</v>
          </cell>
          <cell r="F2800" t="str">
            <v>C/N/S 65/32/3</v>
          </cell>
          <cell r="G2800" t="str">
            <v>65%COTTON 32%NYLON 3%SPANDEX</v>
          </cell>
          <cell r="H2800" t="str">
            <v>57/58</v>
          </cell>
          <cell r="I2800">
            <v>224</v>
          </cell>
          <cell r="J2800">
            <v>3.6</v>
          </cell>
          <cell r="K2800"/>
          <cell r="L2800"/>
          <cell r="M2800"/>
          <cell r="N2800">
            <v>3.65</v>
          </cell>
          <cell r="O2800"/>
          <cell r="P2800"/>
          <cell r="Q2800"/>
          <cell r="R2800">
            <v>4.1500000000000004</v>
          </cell>
          <cell r="S2800"/>
          <cell r="T2800"/>
          <cell r="U2800"/>
          <cell r="V2800">
            <v>15</v>
          </cell>
          <cell r="W2800"/>
          <cell r="X2800" t="str">
            <v>LIVALTEX</v>
          </cell>
          <cell r="Y2800" t="str">
            <v>LIVALTEX 11-MARCH</v>
          </cell>
          <cell r="Z2800" t="str">
            <v>ROSE' MAIL 16/3/17</v>
          </cell>
          <cell r="AA2800"/>
          <cell r="AB2800">
            <v>42821</v>
          </cell>
          <cell r="AC2800">
            <v>2949</v>
          </cell>
        </row>
        <row r="2801">
          <cell r="B2801">
            <v>2948</v>
          </cell>
          <cell r="C2801" t="str">
            <v>NPSJ-027</v>
          </cell>
          <cell r="D2801" t="str">
            <v>JACQUARD</v>
          </cell>
          <cell r="E2801"/>
          <cell r="F2801" t="str">
            <v>C/N/S 67/30/3</v>
          </cell>
          <cell r="G2801" t="str">
            <v>67% COTTON 30% NYLON 3% SPANDEX</v>
          </cell>
          <cell r="H2801" t="str">
            <v>57/58</v>
          </cell>
          <cell r="I2801">
            <v>142</v>
          </cell>
          <cell r="J2801">
            <v>3.65</v>
          </cell>
          <cell r="K2801"/>
          <cell r="L2801"/>
          <cell r="M2801"/>
          <cell r="N2801">
            <v>3.7</v>
          </cell>
          <cell r="O2801"/>
          <cell r="P2801"/>
          <cell r="Q2801"/>
          <cell r="R2801">
            <v>4.2</v>
          </cell>
          <cell r="S2801"/>
          <cell r="T2801"/>
          <cell r="U2801"/>
          <cell r="V2801">
            <v>15</v>
          </cell>
          <cell r="W2801"/>
          <cell r="X2801" t="str">
            <v>LIVALTEX</v>
          </cell>
          <cell r="Y2801" t="str">
            <v>LIVALTEX 11-MARCH</v>
          </cell>
          <cell r="Z2801" t="str">
            <v>ROSE' MAIL 16/3/17</v>
          </cell>
          <cell r="AA2801"/>
          <cell r="AB2801">
            <v>42821</v>
          </cell>
          <cell r="AC2801">
            <v>2948</v>
          </cell>
        </row>
        <row r="2802">
          <cell r="B2802">
            <v>2214</v>
          </cell>
          <cell r="C2802" t="str">
            <v>GLLXF052605</v>
          </cell>
          <cell r="D2802" t="str">
            <v>CHIFFON SATEEN</v>
          </cell>
          <cell r="E2802"/>
          <cell r="F2802" t="str">
            <v>T/S 98/2</v>
          </cell>
          <cell r="G2802" t="str">
            <v>98% POLYESTER 2%SPANDEX</v>
          </cell>
          <cell r="H2802" t="str">
            <v>58/59</v>
          </cell>
          <cell r="I2802" t="str">
            <v>90-95</v>
          </cell>
          <cell r="J2802">
            <v>1.42</v>
          </cell>
          <cell r="K2802">
            <v>1.58</v>
          </cell>
          <cell r="L2802"/>
          <cell r="M2802"/>
          <cell r="N2802">
            <v>1.45</v>
          </cell>
          <cell r="O2802">
            <v>1.6</v>
          </cell>
          <cell r="P2802"/>
          <cell r="Q2802"/>
          <cell r="R2802">
            <v>1.5</v>
          </cell>
          <cell r="S2802"/>
          <cell r="T2802"/>
          <cell r="U2802"/>
          <cell r="V2802">
            <v>15</v>
          </cell>
          <cell r="W2802"/>
          <cell r="X2802" t="str">
            <v>HOWARD</v>
          </cell>
          <cell r="Y2802" t="str">
            <v>HOWARD 23-MARCH</v>
          </cell>
          <cell r="Z2802" t="str">
            <v>HOWARD' MAIL 26/3/17</v>
          </cell>
          <cell r="AA2802"/>
          <cell r="AB2802">
            <v>42821</v>
          </cell>
          <cell r="AC2802">
            <v>2214</v>
          </cell>
        </row>
        <row r="2803">
          <cell r="B2803">
            <v>2761</v>
          </cell>
          <cell r="C2803" t="str">
            <v>HLT3097</v>
          </cell>
          <cell r="D2803" t="str">
            <v>CHIFFON SATEEN</v>
          </cell>
          <cell r="E2803"/>
          <cell r="F2803" t="str">
            <v>T 100%</v>
          </cell>
          <cell r="G2803" t="str">
            <v>100% POLYESTER</v>
          </cell>
          <cell r="H2803" t="str">
            <v>57/58</v>
          </cell>
          <cell r="I2803">
            <v>84</v>
          </cell>
          <cell r="J2803">
            <v>1.73</v>
          </cell>
          <cell r="K2803">
            <v>1.88</v>
          </cell>
          <cell r="L2803"/>
          <cell r="M2803"/>
          <cell r="N2803">
            <v>1.83</v>
          </cell>
          <cell r="O2803">
            <v>1.98</v>
          </cell>
          <cell r="P2803"/>
          <cell r="Q2803"/>
          <cell r="R2803">
            <v>2.0300000000000002</v>
          </cell>
          <cell r="S2803">
            <v>2.38</v>
          </cell>
          <cell r="T2803"/>
          <cell r="U2803"/>
          <cell r="V2803">
            <v>15</v>
          </cell>
          <cell r="W2803"/>
          <cell r="X2803" t="str">
            <v>CANDY</v>
          </cell>
          <cell r="Y2803" t="str">
            <v>CANDY 23-MARCH</v>
          </cell>
          <cell r="Z2803" t="str">
            <v>CANDY' MAIL 24/3/17</v>
          </cell>
          <cell r="AA2803"/>
          <cell r="AB2803">
            <v>42818</v>
          </cell>
          <cell r="AC2803">
            <v>2761</v>
          </cell>
        </row>
        <row r="2804">
          <cell r="B2804">
            <v>2448</v>
          </cell>
          <cell r="C2804" t="str">
            <v>HLT3212</v>
          </cell>
          <cell r="D2804" t="str">
            <v>CHIFFON SATEEN</v>
          </cell>
          <cell r="E2804"/>
          <cell r="F2804" t="str">
            <v>T 100%</v>
          </cell>
          <cell r="G2804" t="str">
            <v>100% POLYESTER</v>
          </cell>
          <cell r="H2804" t="str">
            <v>57/58</v>
          </cell>
          <cell r="I2804">
            <v>95</v>
          </cell>
          <cell r="J2804">
            <v>1.46</v>
          </cell>
          <cell r="K2804">
            <v>1.65</v>
          </cell>
          <cell r="L2804"/>
          <cell r="M2804"/>
          <cell r="N2804">
            <v>1.51</v>
          </cell>
          <cell r="O2804">
            <v>1.8499999999999999</v>
          </cell>
          <cell r="P2804"/>
          <cell r="Q2804"/>
          <cell r="R2804">
            <v>1.61</v>
          </cell>
          <cell r="S2804">
            <v>2.0499999999999998</v>
          </cell>
          <cell r="T2804"/>
          <cell r="U2804"/>
          <cell r="V2804">
            <v>15</v>
          </cell>
          <cell r="W2804"/>
          <cell r="X2804" t="str">
            <v>CANDY</v>
          </cell>
          <cell r="Y2804" t="str">
            <v>CANDY 23-MARCH</v>
          </cell>
          <cell r="Z2804" t="str">
            <v>CANDY' MAIL 24/3/17</v>
          </cell>
          <cell r="AA2804"/>
          <cell r="AB2804">
            <v>42818</v>
          </cell>
          <cell r="AC2804">
            <v>2448</v>
          </cell>
        </row>
        <row r="2805">
          <cell r="B2805">
            <v>2983</v>
          </cell>
          <cell r="C2805" t="str">
            <v>BG1522</v>
          </cell>
          <cell r="D2805" t="str">
            <v>CHIFFON SATEEN</v>
          </cell>
          <cell r="E2805" t="str">
            <v>20+26 x 20+26</v>
          </cell>
          <cell r="F2805" t="str">
            <v>T 100%</v>
          </cell>
          <cell r="G2805" t="str">
            <v>100% POLYESTER</v>
          </cell>
          <cell r="H2805" t="str">
            <v>57/58</v>
          </cell>
          <cell r="I2805">
            <v>115</v>
          </cell>
          <cell r="J2805">
            <v>1.63</v>
          </cell>
          <cell r="K2805">
            <v>1.95</v>
          </cell>
          <cell r="L2805"/>
          <cell r="M2805"/>
          <cell r="N2805">
            <v>1.7</v>
          </cell>
          <cell r="O2805">
            <v>2</v>
          </cell>
          <cell r="P2805"/>
          <cell r="Q2805"/>
          <cell r="R2805">
            <v>1.9</v>
          </cell>
          <cell r="S2805">
            <v>2.4</v>
          </cell>
          <cell r="T2805"/>
          <cell r="U2805"/>
          <cell r="V2805">
            <v>15</v>
          </cell>
          <cell r="W2805"/>
          <cell r="X2805" t="str">
            <v>ANN</v>
          </cell>
          <cell r="Y2805" t="str">
            <v>ANN 22-MARCH</v>
          </cell>
          <cell r="Z2805" t="str">
            <v>ANN' MAIL 23/3/17</v>
          </cell>
          <cell r="AA2805"/>
          <cell r="AB2805">
            <v>42817</v>
          </cell>
          <cell r="AC2805">
            <v>2983</v>
          </cell>
        </row>
        <row r="2806">
          <cell r="B2806">
            <v>2522</v>
          </cell>
          <cell r="C2806" t="str">
            <v>1025X228XS</v>
          </cell>
          <cell r="D2806" t="str">
            <v>POLY SATEEN (DULL)</v>
          </cell>
          <cell r="E2806"/>
          <cell r="F2806" t="str">
            <v>T 100%</v>
          </cell>
          <cell r="G2806" t="str">
            <v>100% POLYESTER</v>
          </cell>
          <cell r="H2806" t="str">
            <v>57/58</v>
          </cell>
          <cell r="I2806">
            <v>88</v>
          </cell>
          <cell r="J2806">
            <v>1.19</v>
          </cell>
          <cell r="K2806">
            <v>1.45</v>
          </cell>
          <cell r="L2806"/>
          <cell r="M2806"/>
          <cell r="N2806">
            <v>1.25</v>
          </cell>
          <cell r="O2806">
            <v>1.55</v>
          </cell>
          <cell r="P2806"/>
          <cell r="Q2806"/>
          <cell r="R2806">
            <v>1.4</v>
          </cell>
          <cell r="S2806">
            <v>1.98</v>
          </cell>
          <cell r="T2806"/>
          <cell r="U2806"/>
          <cell r="V2806">
            <v>15</v>
          </cell>
          <cell r="W2806"/>
          <cell r="X2806" t="str">
            <v>OWEN</v>
          </cell>
          <cell r="Y2806" t="str">
            <v>OWEN - 23-MARCH</v>
          </cell>
          <cell r="Z2806" t="str">
            <v>SANDY' MAIL 23/3/17</v>
          </cell>
          <cell r="AA2806"/>
          <cell r="AB2806">
            <v>42817</v>
          </cell>
          <cell r="AC2806">
            <v>2522</v>
          </cell>
        </row>
        <row r="2807">
          <cell r="B2807">
            <v>2467</v>
          </cell>
          <cell r="C2807" t="str">
            <v>LX176</v>
          </cell>
          <cell r="D2807" t="str">
            <v>CHIFFON SATEEN</v>
          </cell>
          <cell r="E2807"/>
          <cell r="F2807" t="str">
            <v>T/S 97/3</v>
          </cell>
          <cell r="G2807" t="str">
            <v>97% POLYESTER 3% SPAN</v>
          </cell>
          <cell r="H2807" t="str">
            <v>57/58</v>
          </cell>
          <cell r="I2807">
            <v>100</v>
          </cell>
          <cell r="J2807">
            <v>1.1499999999999999</v>
          </cell>
          <cell r="K2807">
            <v>1.3</v>
          </cell>
          <cell r="L2807"/>
          <cell r="M2807"/>
          <cell r="N2807">
            <v>1.2</v>
          </cell>
          <cell r="O2807">
            <v>1.37</v>
          </cell>
          <cell r="P2807"/>
          <cell r="Q2807"/>
          <cell r="R2807">
            <v>1.25</v>
          </cell>
          <cell r="S2807">
            <v>1.52</v>
          </cell>
          <cell r="T2807"/>
          <cell r="U2807"/>
          <cell r="V2807">
            <v>15</v>
          </cell>
          <cell r="W2807"/>
          <cell r="X2807" t="str">
            <v>TINA</v>
          </cell>
          <cell r="Y2807" t="str">
            <v>TINA 23-MARCH</v>
          </cell>
          <cell r="Z2807" t="str">
            <v>TINA' MAIL 23/3/17</v>
          </cell>
          <cell r="AA2807"/>
          <cell r="AB2807">
            <v>42817</v>
          </cell>
          <cell r="AC2807">
            <v>2467</v>
          </cell>
        </row>
        <row r="2808">
          <cell r="B2808">
            <v>2466</v>
          </cell>
          <cell r="C2808" t="str">
            <v>BG3553</v>
          </cell>
          <cell r="D2808" t="str">
            <v>CHIFFON SATEEN</v>
          </cell>
          <cell r="E2808"/>
          <cell r="F2808" t="str">
            <v>T/S 97/3</v>
          </cell>
          <cell r="G2808" t="str">
            <v>97% POLYESTER 3% SPAN</v>
          </cell>
          <cell r="H2808" t="str">
            <v>57/58</v>
          </cell>
          <cell r="I2808">
            <v>88</v>
          </cell>
          <cell r="J2808">
            <v>1.4</v>
          </cell>
          <cell r="K2808">
            <v>1.75</v>
          </cell>
          <cell r="L2808"/>
          <cell r="M2808"/>
          <cell r="N2808">
            <v>1.45</v>
          </cell>
          <cell r="O2808">
            <v>1.5</v>
          </cell>
          <cell r="P2808"/>
          <cell r="Q2808"/>
          <cell r="R2808">
            <v>1.75</v>
          </cell>
          <cell r="S2808">
            <v>2.1</v>
          </cell>
          <cell r="T2808"/>
          <cell r="U2808"/>
          <cell r="V2808"/>
          <cell r="W2808"/>
          <cell r="X2808" t="str">
            <v>ANN</v>
          </cell>
          <cell r="Y2808" t="str">
            <v>ANN 23-MARCH</v>
          </cell>
          <cell r="Z2808" t="str">
            <v>ANN' MAIL 23/3/17</v>
          </cell>
          <cell r="AA2808"/>
          <cell r="AB2808">
            <v>42817</v>
          </cell>
          <cell r="AC2808">
            <v>2466</v>
          </cell>
        </row>
        <row r="2809">
          <cell r="B2809">
            <v>2465</v>
          </cell>
          <cell r="C2809" t="str">
            <v>BG-1735</v>
          </cell>
          <cell r="D2809" t="str">
            <v>CHIFFON SATEEN</v>
          </cell>
          <cell r="E2809"/>
          <cell r="F2809" t="str">
            <v>T 100%</v>
          </cell>
          <cell r="G2809" t="str">
            <v>100% POLYESTER</v>
          </cell>
          <cell r="H2809" t="str">
            <v>57/58</v>
          </cell>
          <cell r="I2809">
            <v>85</v>
          </cell>
          <cell r="J2809">
            <v>1.3</v>
          </cell>
          <cell r="K2809">
            <v>1.65</v>
          </cell>
          <cell r="L2809"/>
          <cell r="M2809"/>
          <cell r="N2809">
            <v>1.35</v>
          </cell>
          <cell r="O2809">
            <v>1.73</v>
          </cell>
          <cell r="P2809"/>
          <cell r="Q2809"/>
          <cell r="R2809">
            <v>1.65</v>
          </cell>
          <cell r="S2809">
            <v>2</v>
          </cell>
          <cell r="T2809"/>
          <cell r="U2809"/>
          <cell r="V2809">
            <v>15</v>
          </cell>
          <cell r="W2809" t="str">
            <v>AMW 234 AND AMW 2465 ARE THE SAME</v>
          </cell>
          <cell r="X2809" t="str">
            <v>ANN</v>
          </cell>
          <cell r="Y2809" t="str">
            <v>ANN 23-MARCH</v>
          </cell>
          <cell r="Z2809" t="str">
            <v>ANN' MAIL 23/3/17</v>
          </cell>
          <cell r="AA2809"/>
          <cell r="AB2809">
            <v>42817</v>
          </cell>
          <cell r="AC2809">
            <v>2465</v>
          </cell>
        </row>
        <row r="2810">
          <cell r="B2810">
            <v>2459</v>
          </cell>
          <cell r="C2810" t="str">
            <v>BG3557</v>
          </cell>
          <cell r="D2810" t="str">
            <v>CHIFFON SATEEN</v>
          </cell>
          <cell r="E2810"/>
          <cell r="F2810" t="str">
            <v>T/S 97/3</v>
          </cell>
          <cell r="G2810" t="str">
            <v>97% POLYESTER 3% SPAN</v>
          </cell>
          <cell r="H2810" t="str">
            <v>57/58</v>
          </cell>
          <cell r="I2810">
            <v>87</v>
          </cell>
          <cell r="J2810">
            <v>1.33</v>
          </cell>
          <cell r="K2810">
            <v>1.65</v>
          </cell>
          <cell r="L2810"/>
          <cell r="M2810"/>
          <cell r="N2810">
            <v>1.4</v>
          </cell>
          <cell r="O2810">
            <v>1.75</v>
          </cell>
          <cell r="P2810"/>
          <cell r="Q2810"/>
          <cell r="R2810">
            <v>1.65</v>
          </cell>
          <cell r="S2810">
            <v>2</v>
          </cell>
          <cell r="T2810"/>
          <cell r="U2810"/>
          <cell r="V2810"/>
          <cell r="W2810"/>
          <cell r="X2810" t="str">
            <v>ANN</v>
          </cell>
          <cell r="Y2810" t="str">
            <v>ANN 23-MARCH</v>
          </cell>
          <cell r="Z2810" t="str">
            <v>ANN' MAIL 23/3/17</v>
          </cell>
          <cell r="AA2810"/>
          <cell r="AB2810">
            <v>42817</v>
          </cell>
          <cell r="AC2810">
            <v>2459</v>
          </cell>
        </row>
        <row r="2811">
          <cell r="B2811">
            <v>2448</v>
          </cell>
          <cell r="C2811" t="str">
            <v>HLT3212</v>
          </cell>
          <cell r="D2811" t="str">
            <v>CHIFFON SATEEN</v>
          </cell>
          <cell r="E2811"/>
          <cell r="F2811" t="str">
            <v>T 100%</v>
          </cell>
          <cell r="G2811" t="str">
            <v>100% POLYESTER</v>
          </cell>
          <cell r="H2811" t="str">
            <v>57/58</v>
          </cell>
          <cell r="I2811">
            <v>95</v>
          </cell>
          <cell r="J2811"/>
          <cell r="K2811"/>
          <cell r="L2811"/>
          <cell r="M2811"/>
          <cell r="N2811"/>
          <cell r="O2811"/>
          <cell r="P2811"/>
          <cell r="Q2811"/>
          <cell r="R2811"/>
          <cell r="S2811"/>
          <cell r="T2811"/>
          <cell r="U2811"/>
          <cell r="V2811"/>
          <cell r="W2811"/>
          <cell r="X2811" t="str">
            <v>CANDY</v>
          </cell>
          <cell r="Y2811" t="str">
            <v>HANGER</v>
          </cell>
          <cell r="Z2811" t="str">
            <v>HANGER</v>
          </cell>
          <cell r="AA2811"/>
          <cell r="AB2811">
            <v>42817</v>
          </cell>
          <cell r="AC2811">
            <v>2448</v>
          </cell>
        </row>
        <row r="2812">
          <cell r="B2812">
            <v>2424</v>
          </cell>
          <cell r="C2812" t="str">
            <v>M-12041</v>
          </cell>
          <cell r="D2812" t="str">
            <v>CHIFFON SATEEN</v>
          </cell>
          <cell r="E2812"/>
          <cell r="F2812" t="str">
            <v>T 100%</v>
          </cell>
          <cell r="G2812" t="str">
            <v>100% POLYESTER</v>
          </cell>
          <cell r="H2812" t="str">
            <v>57/58</v>
          </cell>
          <cell r="I2812">
            <v>82</v>
          </cell>
          <cell r="J2812">
            <v>1.08</v>
          </cell>
          <cell r="K2812">
            <v>1.4</v>
          </cell>
          <cell r="L2812">
            <v>1.28</v>
          </cell>
          <cell r="M2812"/>
          <cell r="N2812">
            <v>1.19</v>
          </cell>
          <cell r="O2812">
            <v>1.65</v>
          </cell>
          <cell r="P2812"/>
          <cell r="Q2812"/>
          <cell r="R2812"/>
          <cell r="S2812"/>
          <cell r="T2812"/>
          <cell r="U2812"/>
          <cell r="V2812"/>
          <cell r="W2812"/>
          <cell r="X2812" t="str">
            <v>MARY</v>
          </cell>
          <cell r="Y2812" t="str">
            <v>MARY 23-MARCH</v>
          </cell>
          <cell r="Z2812" t="str">
            <v>MARY' MAIL 23/3/17</v>
          </cell>
          <cell r="AA2812"/>
          <cell r="AB2812">
            <v>42817</v>
          </cell>
          <cell r="AC2812">
            <v>2424</v>
          </cell>
        </row>
        <row r="2813">
          <cell r="B2813">
            <v>2421</v>
          </cell>
          <cell r="C2813" t="str">
            <v>JMR-16070C</v>
          </cell>
          <cell r="D2813" t="str">
            <v>CHIFFON SATEEN</v>
          </cell>
          <cell r="E2813"/>
          <cell r="F2813" t="str">
            <v>T 100%</v>
          </cell>
          <cell r="G2813" t="str">
            <v>100% POLYESTER</v>
          </cell>
          <cell r="H2813" t="str">
            <v>57/58</v>
          </cell>
          <cell r="I2813">
            <v>85</v>
          </cell>
          <cell r="J2813">
            <v>0.84</v>
          </cell>
          <cell r="K2813"/>
          <cell r="L2813"/>
          <cell r="M2813"/>
          <cell r="N2813">
            <v>0.92</v>
          </cell>
          <cell r="O2813"/>
          <cell r="P2813"/>
          <cell r="Q2813"/>
          <cell r="R2813"/>
          <cell r="S2813"/>
          <cell r="T2813"/>
          <cell r="U2813"/>
          <cell r="V2813"/>
          <cell r="W2813"/>
          <cell r="X2813" t="str">
            <v>MARY</v>
          </cell>
          <cell r="Y2813" t="str">
            <v>MARY 23-MARCH</v>
          </cell>
          <cell r="Z2813" t="str">
            <v>MARY' MAIL 23/3/17</v>
          </cell>
          <cell r="AA2813"/>
          <cell r="AB2813">
            <v>42817</v>
          </cell>
          <cell r="AC2813">
            <v>2421</v>
          </cell>
        </row>
        <row r="2814">
          <cell r="B2814">
            <v>2401</v>
          </cell>
          <cell r="C2814" t="str">
            <v>BG2428</v>
          </cell>
          <cell r="D2814" t="str">
            <v>CREPE</v>
          </cell>
          <cell r="E2814"/>
          <cell r="F2814" t="str">
            <v>R 100%</v>
          </cell>
          <cell r="G2814" t="str">
            <v>100% RAYON</v>
          </cell>
          <cell r="H2814" t="str">
            <v>53/54</v>
          </cell>
          <cell r="I2814">
            <v>92</v>
          </cell>
          <cell r="J2814">
            <v>1.9</v>
          </cell>
          <cell r="K2814">
            <v>2.25</v>
          </cell>
          <cell r="L2814"/>
          <cell r="M2814"/>
          <cell r="N2814">
            <v>1.95</v>
          </cell>
          <cell r="O2814">
            <v>2.35</v>
          </cell>
          <cell r="P2814"/>
          <cell r="Q2814"/>
          <cell r="R2814">
            <v>2.2000000000000002</v>
          </cell>
          <cell r="S2814">
            <v>2.7</v>
          </cell>
          <cell r="T2814"/>
          <cell r="U2814"/>
          <cell r="V2814">
            <v>15</v>
          </cell>
          <cell r="W2814"/>
          <cell r="X2814" t="str">
            <v>ANN</v>
          </cell>
          <cell r="Y2814" t="str">
            <v>ANN 22-MARCH</v>
          </cell>
          <cell r="Z2814" t="str">
            <v>ANN' MAIL 23/3/17</v>
          </cell>
          <cell r="AA2814"/>
          <cell r="AB2814">
            <v>42817</v>
          </cell>
          <cell r="AC2814">
            <v>2401</v>
          </cell>
        </row>
        <row r="2815">
          <cell r="B2815">
            <v>2345</v>
          </cell>
          <cell r="C2815" t="str">
            <v>ST-W5389</v>
          </cell>
          <cell r="D2815" t="str">
            <v>CHIFFON SATEEN</v>
          </cell>
          <cell r="E2815"/>
          <cell r="F2815" t="str">
            <v>T/S 97/3</v>
          </cell>
          <cell r="G2815" t="str">
            <v>97% POLYESTER 3% SPAN</v>
          </cell>
          <cell r="H2815" t="str">
            <v>57/58</v>
          </cell>
          <cell r="I2815">
            <v>111</v>
          </cell>
          <cell r="J2815">
            <v>1.49</v>
          </cell>
          <cell r="K2815">
            <v>1.69</v>
          </cell>
          <cell r="L2815"/>
          <cell r="M2815"/>
          <cell r="N2815">
            <v>1.55</v>
          </cell>
          <cell r="O2815">
            <v>1.75</v>
          </cell>
          <cell r="P2815"/>
          <cell r="Q2815"/>
          <cell r="R2815">
            <v>1.62</v>
          </cell>
          <cell r="S2815">
            <v>1.82</v>
          </cell>
          <cell r="T2815"/>
          <cell r="U2815"/>
          <cell r="V2815">
            <v>15</v>
          </cell>
          <cell r="W2815"/>
          <cell r="X2815" t="str">
            <v>SIGER</v>
          </cell>
          <cell r="Y2815" t="str">
            <v>SIGER 23-MARCH</v>
          </cell>
          <cell r="Z2815" t="str">
            <v>CARA' MAIL 23/3/17</v>
          </cell>
          <cell r="AA2815"/>
          <cell r="AB2815">
            <v>42817</v>
          </cell>
          <cell r="AC2815">
            <v>2345</v>
          </cell>
        </row>
        <row r="2816">
          <cell r="B2816">
            <v>2282</v>
          </cell>
          <cell r="C2816" t="str">
            <v>OLP-773XS</v>
          </cell>
          <cell r="D2816" t="str">
            <v>SLEEP STYLE</v>
          </cell>
          <cell r="E2816"/>
          <cell r="F2816" t="str">
            <v>T 100%</v>
          </cell>
          <cell r="G2816" t="str">
            <v>100% POLYESTER</v>
          </cell>
          <cell r="H2816" t="str">
            <v>57/58</v>
          </cell>
          <cell r="I2816">
            <v>53</v>
          </cell>
          <cell r="J2816">
            <v>1.93</v>
          </cell>
          <cell r="K2816">
            <v>2.25</v>
          </cell>
          <cell r="L2816">
            <v>2.15</v>
          </cell>
          <cell r="M2816"/>
          <cell r="N2816">
            <v>2.1</v>
          </cell>
          <cell r="O2816">
            <v>2.38</v>
          </cell>
          <cell r="P2816"/>
          <cell r="Q2816"/>
          <cell r="R2816">
            <v>2.2999999999999998</v>
          </cell>
          <cell r="S2816">
            <v>2.83</v>
          </cell>
          <cell r="T2816"/>
          <cell r="U2816"/>
          <cell r="V2816">
            <v>15</v>
          </cell>
          <cell r="W2816"/>
          <cell r="X2816" t="str">
            <v>OWEN</v>
          </cell>
          <cell r="Y2816" t="str">
            <v>OWEN - 23-MARCH</v>
          </cell>
          <cell r="Z2816" t="str">
            <v>SANDY' MAIL 23/3/17</v>
          </cell>
          <cell r="AA2816"/>
          <cell r="AB2816">
            <v>42817</v>
          </cell>
          <cell r="AC2816">
            <v>2282</v>
          </cell>
        </row>
        <row r="2817">
          <cell r="B2817">
            <v>1696</v>
          </cell>
          <cell r="C2817" t="str">
            <v>BG2704</v>
          </cell>
          <cell r="D2817" t="str">
            <v>COTTON POPLIN</v>
          </cell>
          <cell r="E2817"/>
          <cell r="F2817" t="str">
            <v>C 100%</v>
          </cell>
          <cell r="G2817" t="str">
            <v>100% COTTON</v>
          </cell>
          <cell r="H2817" t="str">
            <v>57/58</v>
          </cell>
          <cell r="I2817">
            <v>98</v>
          </cell>
          <cell r="J2817">
            <v>2.25</v>
          </cell>
          <cell r="K2817">
            <v>2.5</v>
          </cell>
          <cell r="L2817"/>
          <cell r="M2817"/>
          <cell r="N2817">
            <v>2.2999999999999998</v>
          </cell>
          <cell r="O2817">
            <v>2.6</v>
          </cell>
          <cell r="P2817"/>
          <cell r="Q2817"/>
          <cell r="R2817">
            <v>2.5499999999999998</v>
          </cell>
          <cell r="S2817">
            <v>3</v>
          </cell>
          <cell r="T2817"/>
          <cell r="U2817"/>
          <cell r="V2817"/>
          <cell r="W2817"/>
          <cell r="X2817" t="str">
            <v>ANN</v>
          </cell>
          <cell r="Y2817" t="str">
            <v>ANN 22-MARCH</v>
          </cell>
          <cell r="Z2817" t="str">
            <v>ANN' MAIL 23/3/17</v>
          </cell>
          <cell r="AA2817"/>
          <cell r="AB2817">
            <v>42817</v>
          </cell>
          <cell r="AC2817">
            <v>1696</v>
          </cell>
        </row>
        <row r="2818">
          <cell r="B2818">
            <v>1680</v>
          </cell>
          <cell r="C2818" t="str">
            <v>ST-4403</v>
          </cell>
          <cell r="D2818" t="str">
            <v>CHIFFON SATEEN</v>
          </cell>
          <cell r="E2818"/>
          <cell r="F2818" t="str">
            <v>T 100%</v>
          </cell>
          <cell r="G2818" t="str">
            <v>100% POLYESTER</v>
          </cell>
          <cell r="H2818" t="str">
            <v>57/58</v>
          </cell>
          <cell r="I2818">
            <v>94</v>
          </cell>
          <cell r="J2818">
            <v>1.44</v>
          </cell>
          <cell r="K2818">
            <v>1.65</v>
          </cell>
          <cell r="L2818"/>
          <cell r="M2818"/>
          <cell r="N2818">
            <v>1.48</v>
          </cell>
          <cell r="O2818">
            <v>1.69</v>
          </cell>
          <cell r="P2818"/>
          <cell r="Q2818"/>
          <cell r="R2818">
            <v>1.55</v>
          </cell>
          <cell r="S2818">
            <v>1.77</v>
          </cell>
          <cell r="T2818"/>
          <cell r="U2818"/>
          <cell r="V2818">
            <v>15</v>
          </cell>
          <cell r="W2818"/>
          <cell r="X2818" t="str">
            <v>SIGER</v>
          </cell>
          <cell r="Y2818"/>
          <cell r="Z2818"/>
          <cell r="AA2818"/>
          <cell r="AB2818">
            <v>42817</v>
          </cell>
          <cell r="AC2818">
            <v>1680</v>
          </cell>
        </row>
        <row r="2819">
          <cell r="B2819">
            <v>234</v>
          </cell>
          <cell r="C2819" t="str">
            <v>BG-1735</v>
          </cell>
          <cell r="D2819" t="str">
            <v>CHIFFON SATEEN</v>
          </cell>
          <cell r="E2819"/>
          <cell r="F2819" t="str">
            <v>T 100%</v>
          </cell>
          <cell r="G2819" t="str">
            <v>100%POLYESTER</v>
          </cell>
          <cell r="H2819" t="str">
            <v>57/58</v>
          </cell>
          <cell r="I2819">
            <v>80</v>
          </cell>
          <cell r="J2819">
            <v>1.3</v>
          </cell>
          <cell r="K2819">
            <v>1.65</v>
          </cell>
          <cell r="L2819"/>
          <cell r="M2819"/>
          <cell r="N2819">
            <v>1.35</v>
          </cell>
          <cell r="O2819">
            <v>1.73</v>
          </cell>
          <cell r="P2819"/>
          <cell r="Q2819"/>
          <cell r="R2819">
            <v>1.65</v>
          </cell>
          <cell r="S2819">
            <v>2</v>
          </cell>
          <cell r="T2819"/>
          <cell r="U2819"/>
          <cell r="V2819">
            <v>15</v>
          </cell>
          <cell r="W2819" t="str">
            <v>AMW 234 AND AMW 2465 ARE THE SAME</v>
          </cell>
          <cell r="X2819" t="str">
            <v>ANN</v>
          </cell>
          <cell r="Y2819" t="str">
            <v>ANN 23-MARCH</v>
          </cell>
          <cell r="Z2819" t="str">
            <v>ANN' MAIL 23/3/17</v>
          </cell>
          <cell r="AA2819"/>
          <cell r="AB2819">
            <v>42817</v>
          </cell>
          <cell r="AC2819">
            <v>234</v>
          </cell>
        </row>
        <row r="2820">
          <cell r="B2820">
            <v>2975</v>
          </cell>
          <cell r="C2820" t="str">
            <v>RF6320</v>
          </cell>
          <cell r="D2820" t="str">
            <v>RAYON DOBBY</v>
          </cell>
          <cell r="E2820" t="str">
            <v>60x60 / 90x88 DOBBY</v>
          </cell>
          <cell r="F2820" t="str">
            <v>R 100%</v>
          </cell>
          <cell r="G2820" t="str">
            <v>100% RAYON</v>
          </cell>
          <cell r="H2820">
            <v>53</v>
          </cell>
          <cell r="I2820">
            <v>80</v>
          </cell>
          <cell r="J2820">
            <v>1.55</v>
          </cell>
          <cell r="K2820">
            <v>1.7</v>
          </cell>
          <cell r="L2820">
            <v>1.75</v>
          </cell>
          <cell r="M2820">
            <v>1.9</v>
          </cell>
          <cell r="N2820">
            <v>1.75</v>
          </cell>
          <cell r="O2820">
            <v>1.9</v>
          </cell>
          <cell r="P2820"/>
          <cell r="Q2820"/>
          <cell r="R2820">
            <v>2.5499999999999998</v>
          </cell>
          <cell r="S2820">
            <v>2.7</v>
          </cell>
          <cell r="T2820" t="str">
            <v>yes</v>
          </cell>
          <cell r="U2820"/>
          <cell r="V2820">
            <v>15</v>
          </cell>
          <cell r="W2820" t="str">
            <v>SOLID $/m CIF Vietnam by  T/T payment - PRINT (0n PFD base) $/m CIF Vietnam by T/T payment</v>
          </cell>
          <cell r="X2820" t="str">
            <v>PANI</v>
          </cell>
          <cell r="Y2820" t="str">
            <v>PANI 21-MARCH'</v>
          </cell>
          <cell r="Z2820" t="str">
            <v>AMY' MAIL 22/3/17</v>
          </cell>
          <cell r="AA2820"/>
          <cell r="AB2820">
            <v>42816</v>
          </cell>
          <cell r="AC2820">
            <v>2975</v>
          </cell>
        </row>
        <row r="2821">
          <cell r="B2821">
            <v>2400</v>
          </cell>
          <cell r="C2821" t="str">
            <v>BG3135</v>
          </cell>
          <cell r="D2821" t="str">
            <v>CREPE</v>
          </cell>
          <cell r="E2821"/>
          <cell r="F2821" t="str">
            <v>R 100%</v>
          </cell>
          <cell r="G2821" t="str">
            <v>100%RAYON</v>
          </cell>
          <cell r="H2821" t="str">
            <v>53/54</v>
          </cell>
          <cell r="I2821">
            <v>195</v>
          </cell>
          <cell r="J2821">
            <v>2.1</v>
          </cell>
          <cell r="K2821">
            <v>2.35</v>
          </cell>
          <cell r="L2821"/>
          <cell r="M2821"/>
          <cell r="N2821">
            <v>2.15</v>
          </cell>
          <cell r="O2821">
            <v>2.4500000000000002</v>
          </cell>
          <cell r="P2821"/>
          <cell r="Q2821"/>
          <cell r="R2821">
            <v>2.25</v>
          </cell>
          <cell r="S2821">
            <v>2.85</v>
          </cell>
          <cell r="T2821"/>
          <cell r="U2821"/>
          <cell r="V2821"/>
          <cell r="W2821"/>
          <cell r="X2821" t="str">
            <v>ANN</v>
          </cell>
          <cell r="Y2821" t="str">
            <v>ANN 24-MARCH</v>
          </cell>
          <cell r="Z2821" t="str">
            <v>ANN' MAIL 30/3/17</v>
          </cell>
          <cell r="AA2821"/>
          <cell r="AB2821">
            <v>42816</v>
          </cell>
          <cell r="AC2821">
            <v>2400</v>
          </cell>
        </row>
        <row r="2822">
          <cell r="B2822">
            <v>2981</v>
          </cell>
          <cell r="C2822" t="str">
            <v>HLT1844</v>
          </cell>
          <cell r="D2822" t="str">
            <v>LACE</v>
          </cell>
          <cell r="E2822"/>
          <cell r="F2822" t="str">
            <v>N 100%</v>
          </cell>
          <cell r="G2822" t="str">
            <v>100% NYLON</v>
          </cell>
          <cell r="H2822" t="str">
            <v>160CM</v>
          </cell>
          <cell r="I2822"/>
          <cell r="J2822">
            <v>1.4</v>
          </cell>
          <cell r="K2822"/>
          <cell r="L2822"/>
          <cell r="M2822"/>
          <cell r="N2822">
            <v>1.5</v>
          </cell>
          <cell r="O2822"/>
          <cell r="P2822"/>
          <cell r="Q2822"/>
          <cell r="R2822">
            <v>1.6</v>
          </cell>
          <cell r="S2822"/>
          <cell r="T2822"/>
          <cell r="U2822"/>
          <cell r="V2822">
            <v>15</v>
          </cell>
          <cell r="W2822"/>
          <cell r="X2822" t="str">
            <v>CANDY</v>
          </cell>
          <cell r="Y2822" t="str">
            <v>CANDY 14-MARCH</v>
          </cell>
          <cell r="Z2822" t="str">
            <v>CANDY' MAIL 21/3/17</v>
          </cell>
          <cell r="AA2822"/>
          <cell r="AB2822">
            <v>42815</v>
          </cell>
          <cell r="AC2822">
            <v>2981</v>
          </cell>
        </row>
        <row r="2823">
          <cell r="B2823">
            <v>2980</v>
          </cell>
          <cell r="C2823" t="str">
            <v>HLT1819</v>
          </cell>
          <cell r="D2823" t="str">
            <v>LACE</v>
          </cell>
          <cell r="E2823"/>
          <cell r="F2823" t="str">
            <v>N/T/S 60/32/8</v>
          </cell>
          <cell r="G2823" t="str">
            <v>60% NYLON 32% POLYESTER 8% SPAN</v>
          </cell>
          <cell r="H2823" t="str">
            <v>150CM</v>
          </cell>
          <cell r="I2823"/>
          <cell r="J2823">
            <v>1.87</v>
          </cell>
          <cell r="K2823"/>
          <cell r="L2823"/>
          <cell r="M2823"/>
          <cell r="N2823">
            <v>1.95</v>
          </cell>
          <cell r="O2823"/>
          <cell r="P2823"/>
          <cell r="Q2823"/>
          <cell r="R2823">
            <v>2.0499999999999998</v>
          </cell>
          <cell r="S2823"/>
          <cell r="T2823"/>
          <cell r="U2823"/>
          <cell r="V2823">
            <v>15</v>
          </cell>
          <cell r="W2823"/>
          <cell r="X2823" t="str">
            <v>CANDY</v>
          </cell>
          <cell r="Y2823" t="str">
            <v>CANDY 14-MARCH</v>
          </cell>
          <cell r="Z2823" t="str">
            <v>CANDY' MAIL 21/3/17</v>
          </cell>
          <cell r="AA2823"/>
          <cell r="AB2823">
            <v>42815</v>
          </cell>
          <cell r="AC2823">
            <v>2980</v>
          </cell>
        </row>
        <row r="2824">
          <cell r="B2824">
            <v>2979</v>
          </cell>
          <cell r="C2824" t="str">
            <v>BG3635</v>
          </cell>
          <cell r="D2824" t="str">
            <v>CREPE</v>
          </cell>
          <cell r="E2824"/>
          <cell r="F2824" t="str">
            <v>R 100%</v>
          </cell>
          <cell r="G2824" t="str">
            <v>100%RAYON</v>
          </cell>
          <cell r="H2824" t="str">
            <v>44/45</v>
          </cell>
          <cell r="I2824">
            <v>120</v>
          </cell>
          <cell r="J2824">
            <v>1.75</v>
          </cell>
          <cell r="K2824">
            <v>2.35</v>
          </cell>
          <cell r="L2824"/>
          <cell r="M2824"/>
          <cell r="N2824">
            <v>1.82</v>
          </cell>
          <cell r="O2824">
            <v>2.4500000000000002</v>
          </cell>
          <cell r="P2824"/>
          <cell r="Q2824"/>
          <cell r="R2824">
            <v>1.95</v>
          </cell>
          <cell r="S2824">
            <v>2.7</v>
          </cell>
          <cell r="T2824"/>
          <cell r="U2824"/>
          <cell r="V2824">
            <v>15</v>
          </cell>
          <cell r="W2824"/>
          <cell r="X2824" t="str">
            <v>ANN</v>
          </cell>
          <cell r="Y2824" t="str">
            <v>ANN 21-MARCH</v>
          </cell>
          <cell r="Z2824" t="str">
            <v>ANN SENT VIA WECHAT (IN FOLDER)</v>
          </cell>
          <cell r="AA2824"/>
          <cell r="AB2824">
            <v>42815</v>
          </cell>
          <cell r="AC2824">
            <v>2979</v>
          </cell>
        </row>
        <row r="2825">
          <cell r="B2825">
            <v>337</v>
          </cell>
          <cell r="C2825" t="str">
            <v>263T-9745</v>
          </cell>
          <cell r="D2825" t="str">
            <v>CHIFFON SATEEN</v>
          </cell>
          <cell r="E2825"/>
          <cell r="F2825" t="str">
            <v>T 100%</v>
          </cell>
          <cell r="G2825" t="str">
            <v>100% POLYESTER</v>
          </cell>
          <cell r="H2825" t="str">
            <v>57/58</v>
          </cell>
          <cell r="I2825">
            <v>87</v>
          </cell>
          <cell r="J2825">
            <v>1.8</v>
          </cell>
          <cell r="K2825">
            <v>1.95</v>
          </cell>
          <cell r="L2825"/>
          <cell r="M2825"/>
          <cell r="N2825">
            <v>1.8</v>
          </cell>
          <cell r="O2825">
            <v>1.95</v>
          </cell>
          <cell r="P2825"/>
          <cell r="Q2825"/>
          <cell r="R2825">
            <v>2.5499999999999998</v>
          </cell>
          <cell r="S2825">
            <v>3.25</v>
          </cell>
          <cell r="T2825"/>
          <cell r="U2825"/>
          <cell r="V2825"/>
          <cell r="W2825" t="str">
            <v>PRICES FOR 8 COLORS PRINT ONLY</v>
          </cell>
          <cell r="X2825" t="str">
            <v>TERRY</v>
          </cell>
          <cell r="Y2825" t="str">
            <v>TERRY 15-MARCH</v>
          </cell>
          <cell r="Z2825" t="str">
            <v>JANICE' MAIL 21/3/17</v>
          </cell>
          <cell r="AA2825"/>
          <cell r="AB2825">
            <v>42815</v>
          </cell>
          <cell r="AC2825">
            <v>337</v>
          </cell>
        </row>
        <row r="2826">
          <cell r="B2826">
            <v>335</v>
          </cell>
          <cell r="C2826" t="str">
            <v>655T-11248</v>
          </cell>
          <cell r="D2826" t="str">
            <v>CHIFFON SATEEN</v>
          </cell>
          <cell r="E2826"/>
          <cell r="F2826" t="str">
            <v>T 100%</v>
          </cell>
          <cell r="G2826" t="str">
            <v>100%POLYESTER</v>
          </cell>
          <cell r="H2826" t="str">
            <v>57/58</v>
          </cell>
          <cell r="I2826">
            <v>100</v>
          </cell>
          <cell r="J2826">
            <v>2.0499999999999998</v>
          </cell>
          <cell r="K2826">
            <v>2.2999999999999998</v>
          </cell>
          <cell r="L2826"/>
          <cell r="M2826"/>
          <cell r="N2826">
            <v>2.0499999999999998</v>
          </cell>
          <cell r="O2826">
            <v>2.2999999999999998</v>
          </cell>
          <cell r="P2826"/>
          <cell r="Q2826"/>
          <cell r="R2826">
            <v>2.8</v>
          </cell>
          <cell r="S2826">
            <v>4.75</v>
          </cell>
          <cell r="T2826"/>
          <cell r="U2826"/>
          <cell r="V2826">
            <v>15</v>
          </cell>
          <cell r="W2826" t="str">
            <v>PRICES FOR 8 COLORS PRINT ONLY</v>
          </cell>
          <cell r="X2826" t="str">
            <v>TERRY</v>
          </cell>
          <cell r="Y2826" t="str">
            <v>TERRY 15-MARCH</v>
          </cell>
          <cell r="Z2826" t="str">
            <v>JANICE' MAIL 21/3/17</v>
          </cell>
          <cell r="AA2826"/>
          <cell r="AB2826">
            <v>42815</v>
          </cell>
          <cell r="AC2826">
            <v>335</v>
          </cell>
        </row>
        <row r="2827">
          <cell r="B2827" t="str">
            <v>2587-1</v>
          </cell>
          <cell r="C2827" t="str">
            <v>UD-JR-351294</v>
          </cell>
          <cell r="D2827" t="str">
            <v>SOLID AND PRINT TO REPLACE YARNDYED</v>
          </cell>
          <cell r="E2827" t="str">
            <v>40 x 40 - 110 x 70</v>
          </cell>
          <cell r="F2827" t="str">
            <v>R 100%</v>
          </cell>
          <cell r="G2827" t="str">
            <v>100% RAYON</v>
          </cell>
          <cell r="H2827" t="str">
            <v>54/56</v>
          </cell>
          <cell r="I2827">
            <v>110</v>
          </cell>
          <cell r="J2827">
            <v>1.33</v>
          </cell>
          <cell r="K2827">
            <v>1.5</v>
          </cell>
          <cell r="L2827"/>
          <cell r="M2827"/>
          <cell r="N2827">
            <v>1.53</v>
          </cell>
          <cell r="O2827">
            <v>2.0299999999999998</v>
          </cell>
          <cell r="P2827"/>
          <cell r="Q2827"/>
          <cell r="R2827">
            <v>1.9</v>
          </cell>
          <cell r="S2827">
            <v>3.25</v>
          </cell>
          <cell r="T2827"/>
          <cell r="U2827"/>
          <cell r="V2827">
            <v>15</v>
          </cell>
          <cell r="W2827"/>
          <cell r="X2827" t="str">
            <v>WANG HUA</v>
          </cell>
          <cell r="Y2827" t="str">
            <v>HANGER</v>
          </cell>
          <cell r="Z2827" t="str">
            <v>HANGER</v>
          </cell>
          <cell r="AA2827"/>
          <cell r="AB2827">
            <v>42814</v>
          </cell>
          <cell r="AC2827" t="str">
            <v>2587-1</v>
          </cell>
        </row>
        <row r="2828">
          <cell r="B2828">
            <v>2977</v>
          </cell>
          <cell r="C2828" t="str">
            <v>TS-158</v>
          </cell>
          <cell r="D2828" t="str">
            <v>SINGLE JERSEY</v>
          </cell>
          <cell r="E2828" t="str">
            <v>SINGLER JERSEY</v>
          </cell>
          <cell r="F2828" t="str">
            <v xml:space="preserve">T/S 96/4 </v>
          </cell>
          <cell r="G2828" t="str">
            <v xml:space="preserve">96% POLYESTER / 4% SPAN </v>
          </cell>
          <cell r="H2828" t="str">
            <v>58/59</v>
          </cell>
          <cell r="I2828">
            <v>225</v>
          </cell>
          <cell r="J2828">
            <v>2.2200000000000002</v>
          </cell>
          <cell r="K2828">
            <v>2.39</v>
          </cell>
          <cell r="L2828"/>
          <cell r="M2828"/>
          <cell r="N2828">
            <v>2.25</v>
          </cell>
          <cell r="O2828">
            <v>2.4500000000000002</v>
          </cell>
          <cell r="P2828"/>
          <cell r="Q2828"/>
          <cell r="R2828">
            <v>2.4</v>
          </cell>
          <cell r="S2828">
            <v>2.7</v>
          </cell>
          <cell r="T2828"/>
          <cell r="U2828"/>
          <cell r="V2828">
            <v>15</v>
          </cell>
          <cell r="W2828"/>
          <cell r="X2828" t="str">
            <v>GAVIN</v>
          </cell>
          <cell r="Y2828" t="str">
            <v>GAVIN 20-MARCH</v>
          </cell>
          <cell r="Z2828" t="str">
            <v>GAVIN' MAIL 20/3/17</v>
          </cell>
          <cell r="AA2828"/>
          <cell r="AB2828">
            <v>42814</v>
          </cell>
          <cell r="AC2828">
            <v>2977</v>
          </cell>
        </row>
        <row r="2829">
          <cell r="B2829">
            <v>2963</v>
          </cell>
          <cell r="C2829" t="str">
            <v>TS-148</v>
          </cell>
          <cell r="D2829" t="str">
            <v>PONTE</v>
          </cell>
          <cell r="E2829"/>
          <cell r="F2829" t="str">
            <v>N/T/S 70/25.5/4.5</v>
          </cell>
          <cell r="G2829" t="str">
            <v xml:space="preserve">70% RAYON 25.5% POLY 4.5% SPANDEX </v>
          </cell>
          <cell r="H2829" t="str">
            <v>58/59</v>
          </cell>
          <cell r="I2829">
            <v>330</v>
          </cell>
          <cell r="J2829">
            <v>3.37</v>
          </cell>
          <cell r="K2829">
            <v>3.59</v>
          </cell>
          <cell r="L2829"/>
          <cell r="M2829"/>
          <cell r="N2829">
            <v>3.4</v>
          </cell>
          <cell r="O2829">
            <v>3.65</v>
          </cell>
          <cell r="P2829"/>
          <cell r="Q2829"/>
          <cell r="R2829">
            <v>3.55</v>
          </cell>
          <cell r="S2829">
            <v>3.9</v>
          </cell>
          <cell r="T2829"/>
          <cell r="U2829"/>
          <cell r="V2829">
            <v>15</v>
          </cell>
          <cell r="W2829"/>
          <cell r="X2829" t="str">
            <v>GAVIN</v>
          </cell>
          <cell r="Y2829" t="str">
            <v>GAVIN 20-MARCH</v>
          </cell>
          <cell r="Z2829" t="str">
            <v>GAVIN' MAIL 20/3/17</v>
          </cell>
          <cell r="AA2829"/>
          <cell r="AB2829">
            <v>42814</v>
          </cell>
          <cell r="AC2829">
            <v>2963</v>
          </cell>
        </row>
        <row r="2830">
          <cell r="B2830">
            <v>2588</v>
          </cell>
          <cell r="C2830" t="str">
            <v>UD-JR-351293</v>
          </cell>
          <cell r="D2830" t="str">
            <v>YARN DYED TWILL</v>
          </cell>
          <cell r="E2830" t="str">
            <v>Y/D TWILL - 32 x 32 / 100 x 70</v>
          </cell>
          <cell r="F2830" t="str">
            <v>R 100%</v>
          </cell>
          <cell r="G2830" t="str">
            <v>100% RAYON</v>
          </cell>
          <cell r="H2830" t="str">
            <v>57/58</v>
          </cell>
          <cell r="I2830">
            <v>128</v>
          </cell>
          <cell r="J2830">
            <v>1.82</v>
          </cell>
          <cell r="K2830"/>
          <cell r="L2830"/>
          <cell r="M2830"/>
          <cell r="N2830">
            <v>1.92</v>
          </cell>
          <cell r="O2830"/>
          <cell r="P2830"/>
          <cell r="Q2830"/>
          <cell r="R2830">
            <v>2.12</v>
          </cell>
          <cell r="S2830"/>
          <cell r="T2830"/>
          <cell r="U2830"/>
          <cell r="V2830">
            <v>15</v>
          </cell>
          <cell r="W2830" t="str">
            <v>YARNDYED PRICES - CONFIRM PRICE BY MAIL 20/3/17</v>
          </cell>
          <cell r="X2830" t="str">
            <v>WANG HUA</v>
          </cell>
          <cell r="Y2830" t="str">
            <v>WANGHUA 7-DEC</v>
          </cell>
          <cell r="Z2830" t="str">
            <v>WANGHUA' MAIL CONFIRM PRICE 20/3/17</v>
          </cell>
          <cell r="AA2830"/>
          <cell r="AB2830">
            <v>42814</v>
          </cell>
          <cell r="AC2830">
            <v>2588</v>
          </cell>
        </row>
        <row r="2831">
          <cell r="B2831">
            <v>2587</v>
          </cell>
          <cell r="C2831" t="str">
            <v>UD-JR-351294</v>
          </cell>
          <cell r="D2831" t="str">
            <v>YARNDYE CREPE</v>
          </cell>
          <cell r="E2831" t="str">
            <v>40 x 40 - 110 x 70</v>
          </cell>
          <cell r="F2831" t="str">
            <v>R 100%</v>
          </cell>
          <cell r="G2831" t="str">
            <v>100% RAYON YARNDYE</v>
          </cell>
          <cell r="H2831" t="str">
            <v>57/58</v>
          </cell>
          <cell r="I2831">
            <v>113</v>
          </cell>
          <cell r="J2831">
            <v>1.7</v>
          </cell>
          <cell r="K2831"/>
          <cell r="L2831"/>
          <cell r="M2831"/>
          <cell r="N2831">
            <v>1.8</v>
          </cell>
          <cell r="O2831"/>
          <cell r="P2831"/>
          <cell r="Q2831"/>
          <cell r="R2831">
            <v>2</v>
          </cell>
          <cell r="S2831"/>
          <cell r="T2831"/>
          <cell r="U2831"/>
          <cell r="V2831">
            <v>15</v>
          </cell>
          <cell r="W2831" t="str">
            <v>20/3/17: WANGHUA CONFIRMED KEEP THESE PRICES</v>
          </cell>
          <cell r="X2831" t="str">
            <v>WANG HUA</v>
          </cell>
          <cell r="Y2831" t="str">
            <v>WANGHUA 7-DEC</v>
          </cell>
          <cell r="Z2831" t="str">
            <v>WANGHUA' MAIL 20/3/17</v>
          </cell>
          <cell r="AA2831"/>
          <cell r="AB2831">
            <v>42814</v>
          </cell>
          <cell r="AC2831">
            <v>2587</v>
          </cell>
        </row>
        <row r="2832">
          <cell r="B2832">
            <v>2457</v>
          </cell>
          <cell r="C2832" t="str">
            <v>HLT 3217</v>
          </cell>
          <cell r="D2832"/>
          <cell r="E2832"/>
          <cell r="F2832" t="str">
            <v>T/S 97/3</v>
          </cell>
          <cell r="G2832" t="str">
            <v>97% POLYESTER 3% SPAN</v>
          </cell>
          <cell r="H2832" t="str">
            <v>57/58</v>
          </cell>
          <cell r="I2832">
            <v>128</v>
          </cell>
          <cell r="J2832">
            <v>1.34</v>
          </cell>
          <cell r="K2832">
            <v>1.48</v>
          </cell>
          <cell r="L2832"/>
          <cell r="M2832"/>
          <cell r="N2832">
            <v>1.4400000000000002</v>
          </cell>
          <cell r="O2832">
            <v>1.63</v>
          </cell>
          <cell r="P2832"/>
          <cell r="Q2832"/>
          <cell r="R2832">
            <v>1.5400000000000003</v>
          </cell>
          <cell r="S2832">
            <v>1.8299999999999998</v>
          </cell>
          <cell r="T2832"/>
          <cell r="U2832"/>
          <cell r="V2832">
            <v>15</v>
          </cell>
          <cell r="W2832"/>
          <cell r="X2832" t="str">
            <v>CANDY</v>
          </cell>
          <cell r="Y2832" t="str">
            <v>CANDY 15-MARCH</v>
          </cell>
          <cell r="Z2832" t="str">
            <v>CANDY' MAIL 20/3/17</v>
          </cell>
          <cell r="AA2832"/>
          <cell r="AB2832">
            <v>42814</v>
          </cell>
          <cell r="AC2832">
            <v>2457</v>
          </cell>
        </row>
        <row r="2833">
          <cell r="B2833">
            <v>2456</v>
          </cell>
          <cell r="C2833" t="str">
            <v>HLT 3214</v>
          </cell>
          <cell r="D2833"/>
          <cell r="E2833"/>
          <cell r="F2833" t="str">
            <v>T/S 97/3</v>
          </cell>
          <cell r="G2833" t="str">
            <v>97% POLYESTER 3% SPAN</v>
          </cell>
          <cell r="H2833" t="str">
            <v>57/58</v>
          </cell>
          <cell r="I2833">
            <v>137</v>
          </cell>
          <cell r="J2833">
            <v>1.34</v>
          </cell>
          <cell r="K2833">
            <v>1.48</v>
          </cell>
          <cell r="L2833"/>
          <cell r="M2833"/>
          <cell r="N2833">
            <v>1.4400000000000002</v>
          </cell>
          <cell r="O2833">
            <v>1.63</v>
          </cell>
          <cell r="P2833"/>
          <cell r="Q2833"/>
          <cell r="R2833">
            <v>1.5400000000000003</v>
          </cell>
          <cell r="S2833">
            <v>1.8299999999999998</v>
          </cell>
          <cell r="T2833"/>
          <cell r="U2833"/>
          <cell r="V2833">
            <v>15</v>
          </cell>
          <cell r="W2833"/>
          <cell r="X2833" t="str">
            <v>CANDY</v>
          </cell>
          <cell r="Y2833" t="str">
            <v>CANDY 15-MARCH</v>
          </cell>
          <cell r="Z2833" t="str">
            <v>CANDY' MAIL 20/3/17</v>
          </cell>
          <cell r="AA2833"/>
          <cell r="AB2833">
            <v>42814</v>
          </cell>
          <cell r="AC2833">
            <v>2456</v>
          </cell>
        </row>
        <row r="2834">
          <cell r="B2834">
            <v>2455</v>
          </cell>
          <cell r="C2834" t="str">
            <v>HLT 3216</v>
          </cell>
          <cell r="D2834" t="str">
            <v>BUBBLE CREPE</v>
          </cell>
          <cell r="E2834"/>
          <cell r="F2834" t="str">
            <v>T/S 97/3</v>
          </cell>
          <cell r="G2834" t="str">
            <v>97% POLYESTER 3% SPAN</v>
          </cell>
          <cell r="H2834" t="str">
            <v>57/58</v>
          </cell>
          <cell r="I2834">
            <v>116</v>
          </cell>
          <cell r="J2834">
            <v>1.34</v>
          </cell>
          <cell r="K2834">
            <v>1.48</v>
          </cell>
          <cell r="L2834"/>
          <cell r="M2834"/>
          <cell r="N2834">
            <v>1.4400000000000002</v>
          </cell>
          <cell r="O2834">
            <v>1.63</v>
          </cell>
          <cell r="P2834"/>
          <cell r="Q2834"/>
          <cell r="R2834">
            <v>1.5400000000000003</v>
          </cell>
          <cell r="S2834">
            <v>1.8299999999999998</v>
          </cell>
          <cell r="T2834"/>
          <cell r="U2834"/>
          <cell r="V2834">
            <v>15</v>
          </cell>
          <cell r="W2834"/>
          <cell r="X2834" t="str">
            <v>CANDY</v>
          </cell>
          <cell r="Y2834" t="str">
            <v>CANDY 14-MARCH (UPDATE PRICE)</v>
          </cell>
          <cell r="Z2834" t="str">
            <v>CANDY' MAIL 20/3/17</v>
          </cell>
          <cell r="AA2834"/>
          <cell r="AB2834">
            <v>42814</v>
          </cell>
          <cell r="AC2834">
            <v>2455</v>
          </cell>
        </row>
        <row r="2835">
          <cell r="B2835">
            <v>2193</v>
          </cell>
          <cell r="C2835" t="str">
            <v>HLT 187</v>
          </cell>
          <cell r="D2835"/>
          <cell r="E2835"/>
          <cell r="F2835" t="str">
            <v>T/S 97/3</v>
          </cell>
          <cell r="G2835" t="str">
            <v>97% POLYESTER 3% SPAN</v>
          </cell>
          <cell r="H2835" t="str">
            <v>57/58</v>
          </cell>
          <cell r="I2835">
            <v>125</v>
          </cell>
          <cell r="J2835">
            <v>1.34</v>
          </cell>
          <cell r="K2835">
            <v>1.48</v>
          </cell>
          <cell r="L2835"/>
          <cell r="M2835"/>
          <cell r="N2835">
            <v>1.4400000000000002</v>
          </cell>
          <cell r="O2835">
            <v>1.63</v>
          </cell>
          <cell r="P2835"/>
          <cell r="Q2835"/>
          <cell r="R2835">
            <v>1.5400000000000003</v>
          </cell>
          <cell r="S2835">
            <v>1.8299999999999998</v>
          </cell>
          <cell r="T2835"/>
          <cell r="U2835"/>
          <cell r="V2835">
            <v>15</v>
          </cell>
          <cell r="W2835"/>
          <cell r="X2835" t="str">
            <v>CANDY</v>
          </cell>
          <cell r="Y2835" t="str">
            <v>CANDY 15-MARCH</v>
          </cell>
          <cell r="Z2835" t="str">
            <v>CANDY' MAIL 20/3/17</v>
          </cell>
          <cell r="AA2835"/>
          <cell r="AB2835">
            <v>42814</v>
          </cell>
          <cell r="AC2835">
            <v>2193</v>
          </cell>
        </row>
        <row r="2836">
          <cell r="B2836">
            <v>1992</v>
          </cell>
          <cell r="C2836" t="str">
            <v>GL1361</v>
          </cell>
          <cell r="D2836" t="str">
            <v>PONTE</v>
          </cell>
          <cell r="E2836"/>
          <cell r="F2836" t="str">
            <v>T/R/S 75/20/5</v>
          </cell>
          <cell r="G2836" t="str">
            <v>75% POLYESTER 20% RAYON 5% SPAN</v>
          </cell>
          <cell r="H2836" t="str">
            <v>59/60</v>
          </cell>
          <cell r="I2836">
            <v>320</v>
          </cell>
          <cell r="J2836">
            <v>2.2000000000000002</v>
          </cell>
          <cell r="K2836"/>
          <cell r="L2836"/>
          <cell r="M2836"/>
          <cell r="N2836">
            <v>2.25</v>
          </cell>
          <cell r="O2836"/>
          <cell r="P2836"/>
          <cell r="Q2836"/>
          <cell r="R2836">
            <v>2.4</v>
          </cell>
          <cell r="S2836"/>
          <cell r="T2836"/>
          <cell r="U2836"/>
          <cell r="V2836">
            <v>15</v>
          </cell>
          <cell r="W2836"/>
          <cell r="X2836" t="str">
            <v>NICKY</v>
          </cell>
          <cell r="Y2836" t="str">
            <v>NICKY 20-MARCH</v>
          </cell>
          <cell r="Z2836" t="str">
            <v>NICKY' MAIL 20/3/17</v>
          </cell>
          <cell r="AA2836"/>
          <cell r="AB2836">
            <v>42814</v>
          </cell>
          <cell r="AC2836">
            <v>1992</v>
          </cell>
        </row>
        <row r="2837">
          <cell r="B2837">
            <v>1441</v>
          </cell>
          <cell r="C2837" t="str">
            <v>#9619</v>
          </cell>
          <cell r="D2837" t="str">
            <v>TERRY CREPE</v>
          </cell>
          <cell r="E2837"/>
          <cell r="F2837" t="str">
            <v>R 100%</v>
          </cell>
          <cell r="G2837" t="str">
            <v>100% RAYON</v>
          </cell>
          <cell r="H2837" t="str">
            <v>53/54</v>
          </cell>
          <cell r="I2837">
            <v>125</v>
          </cell>
          <cell r="J2837">
            <v>2.06</v>
          </cell>
          <cell r="K2837">
            <v>2.4300000000000002</v>
          </cell>
          <cell r="L2837"/>
          <cell r="M2837"/>
          <cell r="N2837">
            <v>2.16</v>
          </cell>
          <cell r="O2837">
            <v>2.63</v>
          </cell>
          <cell r="P2837"/>
          <cell r="Q2837"/>
          <cell r="R2837">
            <v>2.36</v>
          </cell>
          <cell r="S2837">
            <v>3.33</v>
          </cell>
          <cell r="T2837"/>
          <cell r="U2837"/>
          <cell r="V2837">
            <v>15</v>
          </cell>
          <cell r="W2837" t="str">
            <v>MOQ PRINT: 1.500m - $43/COL FOR SCREEN CHARGE - $169 FOR SUCHARGE(1-5 SCREEN) - $211 FOR SURCHARGE(6-10 SCREEN)</v>
          </cell>
          <cell r="X2837" t="str">
            <v>TERESA</v>
          </cell>
          <cell r="Y2837" t="str">
            <v>TERESA 15-MARCH</v>
          </cell>
          <cell r="Z2837" t="str">
            <v>TERESA' MAIL 20/3/17</v>
          </cell>
          <cell r="AA2837"/>
          <cell r="AB2837">
            <v>42814</v>
          </cell>
          <cell r="AC2837">
            <v>1441</v>
          </cell>
        </row>
        <row r="2838">
          <cell r="B2838">
            <v>1014</v>
          </cell>
          <cell r="C2838" t="str">
            <v>#6060</v>
          </cell>
          <cell r="D2838" t="str">
            <v>PLAIN RAYON 60</v>
          </cell>
          <cell r="E2838" t="str">
            <v>60 x 60</v>
          </cell>
          <cell r="F2838" t="str">
            <v>R 100%</v>
          </cell>
          <cell r="G2838" t="str">
            <v>100%RAYON</v>
          </cell>
          <cell r="H2838" t="str">
            <v>53/54</v>
          </cell>
          <cell r="I2838">
            <v>85</v>
          </cell>
          <cell r="J2838">
            <v>1.34</v>
          </cell>
          <cell r="K2838">
            <v>1.57</v>
          </cell>
          <cell r="L2838"/>
          <cell r="M2838"/>
          <cell r="N2838">
            <v>1.35</v>
          </cell>
          <cell r="O2838">
            <v>1.64</v>
          </cell>
          <cell r="P2838"/>
          <cell r="Q2838"/>
          <cell r="R2838">
            <v>1.45</v>
          </cell>
          <cell r="S2838">
            <v>1.79</v>
          </cell>
          <cell r="T2838"/>
          <cell r="U2838"/>
          <cell r="V2838">
            <v>15</v>
          </cell>
          <cell r="W2838"/>
          <cell r="X2838" t="str">
            <v>TERESA</v>
          </cell>
          <cell r="Y2838" t="str">
            <v>RAYON PRICES FROM TERESA</v>
          </cell>
          <cell r="Z2838" t="str">
            <v>TERESA' MAIL 20/3/17</v>
          </cell>
          <cell r="AA2838"/>
          <cell r="AB2838">
            <v>42814</v>
          </cell>
          <cell r="AC2838">
            <v>1014</v>
          </cell>
        </row>
        <row r="2839">
          <cell r="B2839">
            <v>1010</v>
          </cell>
          <cell r="C2839" t="str">
            <v>R012</v>
          </cell>
          <cell r="D2839" t="str">
            <v>PLAIN RAYON 30</v>
          </cell>
          <cell r="E2839" t="str">
            <v>30x30 / 68x68</v>
          </cell>
          <cell r="F2839" t="str">
            <v>R 100%</v>
          </cell>
          <cell r="G2839" t="str">
            <v>100%RAYON</v>
          </cell>
          <cell r="H2839" t="str">
            <v>53/54</v>
          </cell>
          <cell r="I2839">
            <v>120</v>
          </cell>
          <cell r="J2839">
            <v>1.33</v>
          </cell>
          <cell r="K2839">
            <v>1.55</v>
          </cell>
          <cell r="L2839"/>
          <cell r="M2839"/>
          <cell r="N2839">
            <v>1.34</v>
          </cell>
          <cell r="O2839">
            <v>1.62</v>
          </cell>
          <cell r="P2839"/>
          <cell r="Q2839"/>
          <cell r="R2839">
            <v>1.44</v>
          </cell>
          <cell r="S2839">
            <v>1.77</v>
          </cell>
          <cell r="T2839"/>
          <cell r="U2839"/>
          <cell r="V2839">
            <v>15</v>
          </cell>
          <cell r="W2839"/>
          <cell r="X2839" t="str">
            <v>TERESA</v>
          </cell>
          <cell r="Y2839" t="str">
            <v>RAYON PRICES FROM TERESA</v>
          </cell>
          <cell r="Z2839" t="str">
            <v>TERESA' MAIL 20/3/17</v>
          </cell>
          <cell r="AA2839"/>
          <cell r="AB2839">
            <v>42814</v>
          </cell>
          <cell r="AC2839">
            <v>1010</v>
          </cell>
        </row>
        <row r="2840">
          <cell r="B2840">
            <v>981</v>
          </cell>
          <cell r="C2840" t="str">
            <v>R056</v>
          </cell>
          <cell r="D2840" t="str">
            <v>PLAIN RAYON 40</v>
          </cell>
          <cell r="E2840" t="str">
            <v>40x40 / 119x89</v>
          </cell>
          <cell r="F2840" t="str">
            <v>R 100%</v>
          </cell>
          <cell r="G2840" t="str">
            <v>100%RAYON</v>
          </cell>
          <cell r="H2840" t="str">
            <v>53/54</v>
          </cell>
          <cell r="I2840">
            <v>130</v>
          </cell>
          <cell r="J2840">
            <v>1.49</v>
          </cell>
          <cell r="K2840">
            <v>1.85</v>
          </cell>
          <cell r="L2840"/>
          <cell r="M2840"/>
          <cell r="N2840">
            <v>1.5</v>
          </cell>
          <cell r="O2840">
            <v>1.92</v>
          </cell>
          <cell r="P2840"/>
          <cell r="Q2840"/>
          <cell r="R2840">
            <v>1.6</v>
          </cell>
          <cell r="S2840">
            <v>2.0699999999999998</v>
          </cell>
          <cell r="T2840"/>
          <cell r="U2840"/>
          <cell r="V2840">
            <v>15</v>
          </cell>
          <cell r="W2840"/>
          <cell r="X2840" t="str">
            <v>TERESA</v>
          </cell>
          <cell r="Y2840" t="str">
            <v>RAYON PRICES FROM TERESA</v>
          </cell>
          <cell r="Z2840" t="str">
            <v>TERESA' MAIL 20/3/17</v>
          </cell>
          <cell r="AA2840"/>
          <cell r="AB2840">
            <v>42814</v>
          </cell>
          <cell r="AC2840">
            <v>981</v>
          </cell>
        </row>
        <row r="2841">
          <cell r="B2841">
            <v>300</v>
          </cell>
          <cell r="C2841" t="str">
            <v>TS-086</v>
          </cell>
          <cell r="D2841" t="str">
            <v>PONTE</v>
          </cell>
          <cell r="E2841"/>
          <cell r="F2841" t="str">
            <v>T/R/S 65/30/5</v>
          </cell>
          <cell r="G2841" t="str">
            <v>65%POLYESTER 30% RAYON 5% SPAN</v>
          </cell>
          <cell r="H2841" t="str">
            <v>58/59</v>
          </cell>
          <cell r="I2841">
            <v>280</v>
          </cell>
          <cell r="J2841">
            <v>2.62</v>
          </cell>
          <cell r="K2841">
            <v>2.79</v>
          </cell>
          <cell r="L2841"/>
          <cell r="M2841"/>
          <cell r="N2841">
            <v>2.65</v>
          </cell>
          <cell r="O2841">
            <v>2.85</v>
          </cell>
          <cell r="P2841"/>
          <cell r="Q2841"/>
          <cell r="R2841">
            <v>2.8</v>
          </cell>
          <cell r="S2841">
            <v>3.1</v>
          </cell>
          <cell r="T2841"/>
          <cell r="U2841"/>
          <cell r="V2841">
            <v>15</v>
          </cell>
          <cell r="W2841"/>
          <cell r="X2841" t="str">
            <v>GAVIN</v>
          </cell>
          <cell r="Y2841" t="str">
            <v>GAVIN 20-MARCH</v>
          </cell>
          <cell r="Z2841" t="str">
            <v>GAVIN' MAIL 20/3/17</v>
          </cell>
          <cell r="AA2841"/>
          <cell r="AB2841">
            <v>42814</v>
          </cell>
          <cell r="AC2841">
            <v>300</v>
          </cell>
        </row>
        <row r="2842">
          <cell r="B2842">
            <v>4218</v>
          </cell>
          <cell r="C2842" t="str">
            <v>SH1550</v>
          </cell>
          <cell r="D2842" t="str">
            <v>CHIFFON WITH FOIL</v>
          </cell>
          <cell r="E2842"/>
          <cell r="F2842" t="str">
            <v>T100%</v>
          </cell>
          <cell r="G2842" t="str">
            <v xml:space="preserve">100% POLYESTER </v>
          </cell>
          <cell r="H2842" t="str">
            <v>57/58</v>
          </cell>
          <cell r="I2842">
            <v>70</v>
          </cell>
          <cell r="J2842">
            <v>0.98</v>
          </cell>
          <cell r="K2842">
            <v>1.33</v>
          </cell>
          <cell r="L2842">
            <v>1</v>
          </cell>
          <cell r="M2842">
            <v>1.35</v>
          </cell>
          <cell r="N2842">
            <v>1</v>
          </cell>
          <cell r="O2842">
            <v>1.35</v>
          </cell>
          <cell r="P2842"/>
          <cell r="Q2842"/>
          <cell r="R2842">
            <v>1.1000000000000001</v>
          </cell>
          <cell r="S2842">
            <v>1.45</v>
          </cell>
          <cell r="T2842"/>
          <cell r="U2842"/>
          <cell r="V2842">
            <v>15</v>
          </cell>
          <cell r="W2842"/>
          <cell r="X2842" t="str">
            <v>PANI</v>
          </cell>
          <cell r="Y2842"/>
          <cell r="Z2842" t="str">
            <v>AMY 19/3/18</v>
          </cell>
          <cell r="AA2842"/>
          <cell r="AB2842">
            <v>42813</v>
          </cell>
          <cell r="AC2842">
            <v>4218</v>
          </cell>
        </row>
        <row r="2843">
          <cell r="B2843">
            <v>4217</v>
          </cell>
          <cell r="C2843" t="str">
            <v>SH151</v>
          </cell>
          <cell r="D2843" t="str">
            <v>CHIFFON WITH FOIL</v>
          </cell>
          <cell r="E2843"/>
          <cell r="F2843" t="str">
            <v>T100%</v>
          </cell>
          <cell r="G2843" t="str">
            <v xml:space="preserve">100% POLYESTER </v>
          </cell>
          <cell r="H2843" t="str">
            <v>57/58</v>
          </cell>
          <cell r="I2843">
            <v>70</v>
          </cell>
          <cell r="J2843">
            <v>0.98</v>
          </cell>
          <cell r="K2843">
            <v>1.33</v>
          </cell>
          <cell r="L2843">
            <v>1</v>
          </cell>
          <cell r="M2843">
            <v>1.35</v>
          </cell>
          <cell r="N2843">
            <v>1</v>
          </cell>
          <cell r="O2843">
            <v>1.35</v>
          </cell>
          <cell r="P2843"/>
          <cell r="Q2843"/>
          <cell r="R2843">
            <v>1.1000000000000001</v>
          </cell>
          <cell r="S2843">
            <v>1.45</v>
          </cell>
          <cell r="T2843"/>
          <cell r="U2843"/>
          <cell r="V2843">
            <v>15</v>
          </cell>
          <cell r="W2843"/>
          <cell r="X2843" t="str">
            <v>PANI</v>
          </cell>
          <cell r="Y2843"/>
          <cell r="Z2843" t="str">
            <v>AMY 19/3/18</v>
          </cell>
          <cell r="AA2843"/>
          <cell r="AB2843">
            <v>42813</v>
          </cell>
          <cell r="AC2843">
            <v>4217</v>
          </cell>
        </row>
        <row r="2844">
          <cell r="B2844">
            <v>2982</v>
          </cell>
          <cell r="C2844" t="str">
            <v>WW-21069</v>
          </cell>
          <cell r="D2844" t="str">
            <v>CDC-CREPE</v>
          </cell>
          <cell r="E2844" t="str">
            <v>(20+26)x 75D</v>
          </cell>
          <cell r="F2844" t="str">
            <v>T 100%</v>
          </cell>
          <cell r="G2844" t="str">
            <v>100% POLYESTER</v>
          </cell>
          <cell r="H2844" t="str">
            <v>57/58</v>
          </cell>
          <cell r="I2844">
            <v>72</v>
          </cell>
          <cell r="J2844">
            <v>0.97</v>
          </cell>
          <cell r="K2844">
            <v>1.22</v>
          </cell>
          <cell r="L2844"/>
          <cell r="M2844"/>
          <cell r="N2844">
            <v>1</v>
          </cell>
          <cell r="O2844">
            <v>1.25</v>
          </cell>
          <cell r="P2844"/>
          <cell r="Q2844"/>
          <cell r="R2844">
            <v>1.05</v>
          </cell>
          <cell r="S2844">
            <v>1.3</v>
          </cell>
          <cell r="T2844"/>
          <cell r="U2844"/>
          <cell r="V2844">
            <v>15</v>
          </cell>
          <cell r="W2844"/>
          <cell r="X2844" t="str">
            <v>PANI</v>
          </cell>
          <cell r="Y2844" t="str">
            <v>PANI 16-MARCH'</v>
          </cell>
          <cell r="Z2844" t="str">
            <v>AMY' MAIL 19/3/17</v>
          </cell>
          <cell r="AA2844"/>
          <cell r="AB2844">
            <v>42813</v>
          </cell>
          <cell r="AC2844">
            <v>2982</v>
          </cell>
        </row>
        <row r="2845">
          <cell r="B2845">
            <v>2976</v>
          </cell>
          <cell r="C2845" t="str">
            <v>BG3258 (FLOCKING)</v>
          </cell>
          <cell r="D2845" t="str">
            <v>SCUBA FLOCKING</v>
          </cell>
          <cell r="E2845"/>
          <cell r="F2845" t="str">
            <v>T/S 94/6</v>
          </cell>
          <cell r="G2845" t="str">
            <v>94% POLYESTER 6% SPAN</v>
          </cell>
          <cell r="H2845" t="str">
            <v>58/59</v>
          </cell>
          <cell r="I2845">
            <v>210</v>
          </cell>
          <cell r="J2845">
            <v>2.65</v>
          </cell>
          <cell r="K2845"/>
          <cell r="L2845"/>
          <cell r="M2845"/>
          <cell r="N2845">
            <v>2.8</v>
          </cell>
          <cell r="O2845"/>
          <cell r="P2845"/>
          <cell r="Q2845"/>
          <cell r="R2845">
            <v>3.1</v>
          </cell>
          <cell r="S2845"/>
          <cell r="T2845"/>
          <cell r="U2845"/>
          <cell r="V2845"/>
          <cell r="W2845"/>
          <cell r="X2845" t="str">
            <v>ANN</v>
          </cell>
          <cell r="Y2845" t="str">
            <v>ANN 17-JAN</v>
          </cell>
          <cell r="Z2845" t="str">
            <v>ANN' MAIL 18/1/17 (CONFIRMED IN 18/3/17)</v>
          </cell>
          <cell r="AA2845"/>
          <cell r="AB2845">
            <v>42812</v>
          </cell>
          <cell r="AC2845">
            <v>2976</v>
          </cell>
        </row>
        <row r="2846">
          <cell r="B2846">
            <v>842</v>
          </cell>
          <cell r="C2846" t="str">
            <v>BG2176</v>
          </cell>
          <cell r="D2846" t="str">
            <v>CHIFFON SATEEN</v>
          </cell>
          <cell r="E2846"/>
          <cell r="F2846" t="str">
            <v>T 100%</v>
          </cell>
          <cell r="G2846" t="str">
            <v>100% POLYESTER</v>
          </cell>
          <cell r="H2846" t="str">
            <v>57/58</v>
          </cell>
          <cell r="I2846">
            <v>95</v>
          </cell>
          <cell r="J2846">
            <v>1.55</v>
          </cell>
          <cell r="K2846">
            <v>1.78</v>
          </cell>
          <cell r="L2846"/>
          <cell r="M2846"/>
          <cell r="N2846">
            <v>1.6</v>
          </cell>
          <cell r="O2846">
            <v>1.85</v>
          </cell>
          <cell r="P2846"/>
          <cell r="Q2846"/>
          <cell r="R2846">
            <v>1.85</v>
          </cell>
          <cell r="S2846">
            <v>2.1</v>
          </cell>
          <cell r="T2846"/>
          <cell r="U2846"/>
          <cell r="V2846"/>
          <cell r="W2846"/>
          <cell r="X2846" t="str">
            <v>ANN</v>
          </cell>
          <cell r="Y2846" t="str">
            <v>ANN 17-MARCH</v>
          </cell>
          <cell r="Z2846" t="str">
            <v>ANN' MAIL 18/3/17</v>
          </cell>
          <cell r="AA2846"/>
          <cell r="AB2846">
            <v>42812</v>
          </cell>
          <cell r="AC2846">
            <v>842</v>
          </cell>
        </row>
        <row r="2847">
          <cell r="B2847">
            <v>784</v>
          </cell>
          <cell r="C2847" t="str">
            <v>BG2617</v>
          </cell>
          <cell r="D2847" t="str">
            <v>CHIFFON SATEEN</v>
          </cell>
          <cell r="E2847"/>
          <cell r="F2847" t="str">
            <v>T 100%</v>
          </cell>
          <cell r="G2847" t="str">
            <v>100% POLYESTER</v>
          </cell>
          <cell r="H2847" t="str">
            <v>57/58</v>
          </cell>
          <cell r="I2847">
            <v>85</v>
          </cell>
          <cell r="J2847">
            <v>1.45</v>
          </cell>
          <cell r="K2847">
            <v>1.68</v>
          </cell>
          <cell r="L2847"/>
          <cell r="M2847"/>
          <cell r="N2847">
            <v>1.5</v>
          </cell>
          <cell r="O2847">
            <v>1.75</v>
          </cell>
          <cell r="P2847"/>
          <cell r="Q2847"/>
          <cell r="R2847">
            <v>1.75</v>
          </cell>
          <cell r="S2847">
            <v>2</v>
          </cell>
          <cell r="T2847"/>
          <cell r="U2847"/>
          <cell r="V2847"/>
          <cell r="W2847"/>
          <cell r="X2847" t="str">
            <v>ANN</v>
          </cell>
          <cell r="Y2847" t="str">
            <v>ANN 17-MARCH</v>
          </cell>
          <cell r="Z2847" t="str">
            <v>ANN' MAIL 18/3/17</v>
          </cell>
          <cell r="AA2847"/>
          <cell r="AB2847">
            <v>42812</v>
          </cell>
          <cell r="AC2847">
            <v>784</v>
          </cell>
        </row>
        <row r="2848">
          <cell r="B2848">
            <v>2435</v>
          </cell>
          <cell r="C2848" t="str">
            <v>581T-11942-M</v>
          </cell>
          <cell r="D2848" t="str">
            <v>CHIFFON SATEEN</v>
          </cell>
          <cell r="E2848"/>
          <cell r="F2848" t="str">
            <v>T 100%</v>
          </cell>
          <cell r="G2848" t="str">
            <v>100% POLYESTER</v>
          </cell>
          <cell r="H2848" t="str">
            <v>56/57</v>
          </cell>
          <cell r="I2848">
            <v>90</v>
          </cell>
          <cell r="J2848"/>
          <cell r="K2848"/>
          <cell r="L2848"/>
          <cell r="M2848"/>
          <cell r="N2848"/>
          <cell r="O2848"/>
          <cell r="P2848"/>
          <cell r="Q2848"/>
          <cell r="R2848"/>
          <cell r="S2848"/>
          <cell r="T2848"/>
          <cell r="U2848"/>
          <cell r="V2848"/>
          <cell r="W2848"/>
          <cell r="X2848" t="str">
            <v>TERRY</v>
          </cell>
          <cell r="Y2848" t="str">
            <v>HANGER</v>
          </cell>
          <cell r="Z2848" t="str">
            <v>HANGER</v>
          </cell>
          <cell r="AA2848"/>
          <cell r="AB2848">
            <v>42811</v>
          </cell>
          <cell r="AC2848">
            <v>2435</v>
          </cell>
        </row>
        <row r="2849">
          <cell r="B2849">
            <v>2015</v>
          </cell>
          <cell r="C2849" t="str">
            <v>ST-W6159</v>
          </cell>
          <cell r="D2849" t="str">
            <v>BUBBLE</v>
          </cell>
          <cell r="E2849"/>
          <cell r="F2849" t="str">
            <v>T/S 97/3</v>
          </cell>
          <cell r="G2849" t="str">
            <v>97% POLYESTER 3% SPANDEX</v>
          </cell>
          <cell r="H2849" t="str">
            <v>57/58</v>
          </cell>
          <cell r="I2849">
            <v>126</v>
          </cell>
          <cell r="J2849">
            <v>1.41</v>
          </cell>
          <cell r="K2849">
            <v>1.59</v>
          </cell>
          <cell r="L2849"/>
          <cell r="M2849"/>
          <cell r="N2849">
            <v>1.48</v>
          </cell>
          <cell r="O2849">
            <v>1.67</v>
          </cell>
          <cell r="P2849"/>
          <cell r="Q2849"/>
          <cell r="R2849">
            <v>1.53</v>
          </cell>
          <cell r="S2849">
            <v>1.72</v>
          </cell>
          <cell r="T2849"/>
          <cell r="U2849"/>
          <cell r="V2849">
            <v>15</v>
          </cell>
          <cell r="W2849"/>
          <cell r="X2849" t="str">
            <v>SIGER</v>
          </cell>
          <cell r="Y2849" t="str">
            <v>SIGER 15-MARCH</v>
          </cell>
          <cell r="Z2849" t="str">
            <v>CARA' MAIL 17/3/17</v>
          </cell>
          <cell r="AA2849"/>
          <cell r="AB2849">
            <v>42811</v>
          </cell>
          <cell r="AC2849">
            <v>2015</v>
          </cell>
        </row>
        <row r="2850">
          <cell r="B2850">
            <v>1874</v>
          </cell>
          <cell r="C2850" t="str">
            <v>LX123</v>
          </cell>
          <cell r="D2850" t="str">
            <v>BUBBLE</v>
          </cell>
          <cell r="E2850"/>
          <cell r="F2850" t="str">
            <v>V/R 54/46</v>
          </cell>
          <cell r="G2850" t="str">
            <v>54% VISCOSE 46% RAYON</v>
          </cell>
          <cell r="H2850" t="str">
            <v>51/52</v>
          </cell>
          <cell r="I2850">
            <v>180</v>
          </cell>
          <cell r="J2850">
            <v>2.62</v>
          </cell>
          <cell r="K2850">
            <v>3.28</v>
          </cell>
          <cell r="L2850">
            <v>4.9000000000000004</v>
          </cell>
          <cell r="M2850">
            <v>5.9</v>
          </cell>
          <cell r="N2850">
            <v>2.67</v>
          </cell>
          <cell r="O2850">
            <v>3.33</v>
          </cell>
          <cell r="P2850"/>
          <cell r="Q2850"/>
          <cell r="R2850">
            <v>2.9</v>
          </cell>
          <cell r="S2850">
            <v>3.51</v>
          </cell>
          <cell r="T2850"/>
          <cell r="U2850"/>
          <cell r="V2850">
            <v>15</v>
          </cell>
          <cell r="W2850"/>
          <cell r="X2850" t="str">
            <v>TINA</v>
          </cell>
          <cell r="Y2850" t="str">
            <v>TINA 15-MARCH</v>
          </cell>
          <cell r="Z2850" t="str">
            <v>TINA' MAIL 14/1/17</v>
          </cell>
          <cell r="AA2850"/>
          <cell r="AB2850">
            <v>42811</v>
          </cell>
          <cell r="AC2850">
            <v>1874</v>
          </cell>
        </row>
        <row r="2851">
          <cell r="B2851">
            <v>1733</v>
          </cell>
          <cell r="C2851" t="str">
            <v>ST-W6258</v>
          </cell>
          <cell r="D2851" t="str">
            <v>CREPE</v>
          </cell>
          <cell r="E2851" t="str">
            <v>32 x 24 / 68 x 44</v>
          </cell>
          <cell r="F2851" t="str">
            <v>R 100%</v>
          </cell>
          <cell r="G2851" t="str">
            <v>100%RAYON</v>
          </cell>
          <cell r="H2851" t="str">
            <v>130CM</v>
          </cell>
          <cell r="I2851">
            <v>145</v>
          </cell>
          <cell r="J2851">
            <v>1.58</v>
          </cell>
          <cell r="K2851">
            <v>1.68</v>
          </cell>
          <cell r="L2851"/>
          <cell r="M2851"/>
          <cell r="N2851">
            <v>1.65</v>
          </cell>
          <cell r="O2851">
            <v>1.76</v>
          </cell>
          <cell r="P2851"/>
          <cell r="Q2851"/>
          <cell r="R2851">
            <v>1.72</v>
          </cell>
          <cell r="S2851">
            <v>1.79</v>
          </cell>
          <cell r="T2851"/>
          <cell r="U2851"/>
          <cell r="V2851">
            <v>15</v>
          </cell>
          <cell r="W2851"/>
          <cell r="X2851" t="str">
            <v>SIGER</v>
          </cell>
          <cell r="Y2851" t="str">
            <v>SIGER 15-MARCH</v>
          </cell>
          <cell r="Z2851" t="str">
            <v>CARA' MAIL 17/3/17</v>
          </cell>
          <cell r="AA2851"/>
          <cell r="AB2851">
            <v>42811</v>
          </cell>
          <cell r="AC2851">
            <v>1733</v>
          </cell>
        </row>
        <row r="2852">
          <cell r="B2852">
            <v>1245</v>
          </cell>
          <cell r="C2852" t="str">
            <v>ST-W5091</v>
          </cell>
          <cell r="D2852" t="str">
            <v>BUBBLE</v>
          </cell>
          <cell r="E2852"/>
          <cell r="F2852" t="str">
            <v>T/S 97/3</v>
          </cell>
          <cell r="G2852" t="str">
            <v>97% POLYESTER 3% SPAN</v>
          </cell>
          <cell r="H2852" t="str">
            <v>57/58</v>
          </cell>
          <cell r="I2852">
            <v>125</v>
          </cell>
          <cell r="J2852">
            <v>1.65</v>
          </cell>
          <cell r="K2852">
            <v>1.85</v>
          </cell>
          <cell r="L2852"/>
          <cell r="M2852"/>
          <cell r="N2852">
            <v>1.7</v>
          </cell>
          <cell r="O2852">
            <v>1.92</v>
          </cell>
          <cell r="P2852"/>
          <cell r="Q2852"/>
          <cell r="R2852">
            <v>1.76</v>
          </cell>
          <cell r="S2852">
            <v>1.99</v>
          </cell>
          <cell r="T2852"/>
          <cell r="U2852"/>
          <cell r="V2852">
            <v>15</v>
          </cell>
          <cell r="W2852"/>
          <cell r="X2852" t="str">
            <v>SIGER</v>
          </cell>
          <cell r="Y2852" t="str">
            <v>SIGER 15-MARCH</v>
          </cell>
          <cell r="Z2852" t="str">
            <v>CARA' MAIL 17/3/17</v>
          </cell>
          <cell r="AA2852"/>
          <cell r="AB2852">
            <v>42811</v>
          </cell>
          <cell r="AC2852">
            <v>1245</v>
          </cell>
        </row>
        <row r="2853">
          <cell r="B2853">
            <v>1237</v>
          </cell>
          <cell r="C2853" t="str">
            <v>ST-W5041</v>
          </cell>
          <cell r="D2853" t="str">
            <v>BUBBLE</v>
          </cell>
          <cell r="E2853"/>
          <cell r="F2853" t="str">
            <v>T/S 97/3</v>
          </cell>
          <cell r="G2853" t="str">
            <v>97%POLYESTER 3%SPANDEX</v>
          </cell>
          <cell r="H2853" t="str">
            <v>57/58</v>
          </cell>
          <cell r="I2853">
            <v>120</v>
          </cell>
          <cell r="J2853">
            <v>1.41</v>
          </cell>
          <cell r="K2853">
            <v>1.59</v>
          </cell>
          <cell r="L2853"/>
          <cell r="M2853"/>
          <cell r="N2853">
            <v>1.48</v>
          </cell>
          <cell r="O2853">
            <v>1.67</v>
          </cell>
          <cell r="P2853"/>
          <cell r="Q2853"/>
          <cell r="R2853">
            <v>1.53</v>
          </cell>
          <cell r="S2853">
            <v>1.72</v>
          </cell>
          <cell r="T2853"/>
          <cell r="U2853"/>
          <cell r="V2853">
            <v>15</v>
          </cell>
          <cell r="W2853"/>
          <cell r="X2853" t="str">
            <v>SIGER</v>
          </cell>
          <cell r="Y2853" t="str">
            <v>SIGER 15-MARCH</v>
          </cell>
          <cell r="Z2853" t="str">
            <v>CARA' MAIL 17/3/17</v>
          </cell>
          <cell r="AA2853"/>
          <cell r="AB2853">
            <v>42811</v>
          </cell>
          <cell r="AC2853">
            <v>1237</v>
          </cell>
        </row>
        <row r="2854">
          <cell r="B2854">
            <v>677</v>
          </cell>
          <cell r="C2854" t="str">
            <v>ST-410183-B</v>
          </cell>
          <cell r="D2854" t="str">
            <v>BUBBLE</v>
          </cell>
          <cell r="E2854"/>
          <cell r="F2854" t="str">
            <v>T/S 97/3</v>
          </cell>
          <cell r="G2854" t="str">
            <v>97% POLYESTER 3% SPANDEX</v>
          </cell>
          <cell r="H2854" t="str">
            <v>57/58</v>
          </cell>
          <cell r="I2854">
            <v>140</v>
          </cell>
          <cell r="J2854">
            <v>1.41</v>
          </cell>
          <cell r="K2854">
            <v>1.59</v>
          </cell>
          <cell r="L2854"/>
          <cell r="M2854"/>
          <cell r="N2854">
            <v>1.48</v>
          </cell>
          <cell r="O2854">
            <v>1.67</v>
          </cell>
          <cell r="P2854"/>
          <cell r="Q2854"/>
          <cell r="R2854">
            <v>1.53</v>
          </cell>
          <cell r="S2854">
            <v>1.72</v>
          </cell>
          <cell r="T2854"/>
          <cell r="U2854"/>
          <cell r="V2854">
            <v>15</v>
          </cell>
          <cell r="W2854"/>
          <cell r="X2854" t="str">
            <v>SIGER</v>
          </cell>
          <cell r="Y2854" t="str">
            <v>SIGER 15-MARCH</v>
          </cell>
          <cell r="Z2854" t="str">
            <v>CARA' MAIL 17/3/17</v>
          </cell>
          <cell r="AA2854"/>
          <cell r="AB2854">
            <v>42811</v>
          </cell>
          <cell r="AC2854">
            <v>677</v>
          </cell>
        </row>
        <row r="2855">
          <cell r="B2855">
            <v>676</v>
          </cell>
          <cell r="C2855" t="str">
            <v>ST-49143</v>
          </cell>
          <cell r="D2855" t="str">
            <v>BUBBLE</v>
          </cell>
          <cell r="E2855"/>
          <cell r="F2855" t="str">
            <v>T/S 97/3</v>
          </cell>
          <cell r="G2855" t="str">
            <v>97% POLYESTER 3% SPANDEX</v>
          </cell>
          <cell r="H2855" t="str">
            <v>57/58</v>
          </cell>
          <cell r="I2855">
            <v>126</v>
          </cell>
          <cell r="J2855">
            <v>1.65</v>
          </cell>
          <cell r="K2855">
            <v>1.85</v>
          </cell>
          <cell r="L2855"/>
          <cell r="M2855"/>
          <cell r="N2855">
            <v>1.7</v>
          </cell>
          <cell r="O2855">
            <v>1.92</v>
          </cell>
          <cell r="P2855"/>
          <cell r="Q2855"/>
          <cell r="R2855">
            <v>1.76</v>
          </cell>
          <cell r="S2855">
            <v>1.99</v>
          </cell>
          <cell r="T2855"/>
          <cell r="U2855"/>
          <cell r="V2855">
            <v>15</v>
          </cell>
          <cell r="W2855"/>
          <cell r="X2855" t="str">
            <v>SIGER</v>
          </cell>
          <cell r="Y2855" t="str">
            <v>SIGER 15-MARCH</v>
          </cell>
          <cell r="Z2855" t="str">
            <v>CARA' MAIL 17/3/17</v>
          </cell>
          <cell r="AA2855"/>
          <cell r="AB2855">
            <v>42811</v>
          </cell>
          <cell r="AC2855">
            <v>676</v>
          </cell>
        </row>
        <row r="2856">
          <cell r="B2856">
            <v>2978</v>
          </cell>
          <cell r="C2856" t="str">
            <v>TS-076</v>
          </cell>
          <cell r="D2856" t="str">
            <v>BUBBLE</v>
          </cell>
          <cell r="E2856"/>
          <cell r="F2856" t="str">
            <v>T/S 96/4</v>
          </cell>
          <cell r="G2856" t="str">
            <v>96% POLYESTER 4% SPAN</v>
          </cell>
          <cell r="H2856" t="str">
            <v>57/58</v>
          </cell>
          <cell r="I2856">
            <v>120</v>
          </cell>
          <cell r="J2856">
            <v>1.19</v>
          </cell>
          <cell r="K2856">
            <v>1.4</v>
          </cell>
          <cell r="L2856"/>
          <cell r="M2856"/>
          <cell r="N2856">
            <v>1.22</v>
          </cell>
          <cell r="O2856">
            <v>1.45</v>
          </cell>
          <cell r="P2856"/>
          <cell r="Q2856"/>
          <cell r="R2856">
            <v>1.4</v>
          </cell>
          <cell r="S2856">
            <v>1.75</v>
          </cell>
          <cell r="T2856"/>
          <cell r="U2856"/>
          <cell r="V2856">
            <v>15</v>
          </cell>
          <cell r="W2856"/>
          <cell r="X2856" t="str">
            <v>GAVIN</v>
          </cell>
          <cell r="Y2856" t="str">
            <v>GAVIN 15-MARCH</v>
          </cell>
          <cell r="Z2856" t="str">
            <v>GAVIN' MAIL 15/3/17</v>
          </cell>
          <cell r="AA2856"/>
          <cell r="AB2856">
            <v>42810</v>
          </cell>
          <cell r="AC2856">
            <v>2978</v>
          </cell>
        </row>
        <row r="2857">
          <cell r="B2857">
            <v>2974</v>
          </cell>
          <cell r="C2857" t="str">
            <v>WF-259</v>
          </cell>
          <cell r="D2857" t="str">
            <v>FLOCKING LACE</v>
          </cell>
          <cell r="E2857"/>
          <cell r="F2857" t="str">
            <v>T 100%</v>
          </cell>
          <cell r="G2857" t="str">
            <v>100% POLYESTER</v>
          </cell>
          <cell r="H2857" t="str">
            <v>58/60</v>
          </cell>
          <cell r="I2857">
            <v>45</v>
          </cell>
          <cell r="J2857">
            <v>1.5</v>
          </cell>
          <cell r="K2857"/>
          <cell r="L2857"/>
          <cell r="M2857"/>
          <cell r="N2857">
            <v>1.55</v>
          </cell>
          <cell r="O2857"/>
          <cell r="P2857"/>
          <cell r="Q2857"/>
          <cell r="R2857">
            <v>2.0499999999999998</v>
          </cell>
          <cell r="S2857"/>
          <cell r="T2857"/>
          <cell r="U2857"/>
          <cell r="V2857">
            <v>15</v>
          </cell>
          <cell r="W2857"/>
          <cell r="X2857" t="str">
            <v>LIVALTEX</v>
          </cell>
          <cell r="Y2857" t="str">
            <v>LIVALTEX 11-MARCH</v>
          </cell>
          <cell r="Z2857" t="str">
            <v>ROSE' MAIL 16/3/17</v>
          </cell>
          <cell r="AA2857"/>
          <cell r="AB2857">
            <v>42810</v>
          </cell>
          <cell r="AC2857">
            <v>2974</v>
          </cell>
        </row>
        <row r="2858">
          <cell r="B2858">
            <v>2973</v>
          </cell>
          <cell r="C2858" t="str">
            <v>WF-257</v>
          </cell>
          <cell r="D2858" t="str">
            <v>FLOCKING LACE</v>
          </cell>
          <cell r="E2858"/>
          <cell r="F2858" t="str">
            <v>C/N 70/30</v>
          </cell>
          <cell r="G2858" t="str">
            <v>70% COTTON 30% NYLON</v>
          </cell>
          <cell r="H2858" t="str">
            <v>57/58</v>
          </cell>
          <cell r="I2858">
            <v>104</v>
          </cell>
          <cell r="J2858">
            <v>3.05</v>
          </cell>
          <cell r="K2858"/>
          <cell r="L2858"/>
          <cell r="M2858"/>
          <cell r="N2858">
            <v>3.1</v>
          </cell>
          <cell r="O2858"/>
          <cell r="P2858"/>
          <cell r="Q2858"/>
          <cell r="R2858">
            <v>3.6</v>
          </cell>
          <cell r="S2858"/>
          <cell r="T2858"/>
          <cell r="U2858"/>
          <cell r="V2858">
            <v>15</v>
          </cell>
          <cell r="W2858"/>
          <cell r="X2858" t="str">
            <v>LIVALTEX</v>
          </cell>
          <cell r="Y2858" t="str">
            <v>LIVALTEX 11-MARCH</v>
          </cell>
          <cell r="Z2858" t="str">
            <v>ROSE' MAIL 16/3/17</v>
          </cell>
          <cell r="AA2858"/>
          <cell r="AB2858">
            <v>42810</v>
          </cell>
          <cell r="AC2858">
            <v>2973</v>
          </cell>
        </row>
        <row r="2859">
          <cell r="B2859">
            <v>2972</v>
          </cell>
          <cell r="C2859" t="str">
            <v>LX537</v>
          </cell>
          <cell r="D2859" t="str">
            <v>SATEEN (PAPER)</v>
          </cell>
          <cell r="E2859" t="str">
            <v>(20+26) x 50D</v>
          </cell>
          <cell r="F2859" t="str">
            <v>T 100%</v>
          </cell>
          <cell r="G2859" t="str">
            <v>100% POLYESTER</v>
          </cell>
          <cell r="H2859" t="str">
            <v>57/58</v>
          </cell>
          <cell r="I2859">
            <v>100</v>
          </cell>
          <cell r="J2859">
            <v>1.69</v>
          </cell>
          <cell r="K2859">
            <v>1.82</v>
          </cell>
          <cell r="L2859"/>
          <cell r="M2859"/>
          <cell r="N2859">
            <v>1.72</v>
          </cell>
          <cell r="O2859">
            <v>1.93</v>
          </cell>
          <cell r="P2859"/>
          <cell r="Q2859"/>
          <cell r="R2859">
            <v>1.87</v>
          </cell>
          <cell r="S2859">
            <v>1.92</v>
          </cell>
          <cell r="T2859"/>
          <cell r="U2859"/>
          <cell r="V2859">
            <v>15</v>
          </cell>
          <cell r="W2859"/>
          <cell r="X2859" t="str">
            <v>TINA</v>
          </cell>
          <cell r="Y2859" t="str">
            <v>TINA 6-MARCH</v>
          </cell>
          <cell r="Z2859" t="str">
            <v>TINA' MAIL 8/3/17</v>
          </cell>
          <cell r="AA2859"/>
          <cell r="AB2859">
            <v>42810</v>
          </cell>
          <cell r="AC2859">
            <v>2972</v>
          </cell>
        </row>
        <row r="2860">
          <cell r="B2860">
            <v>2971</v>
          </cell>
          <cell r="C2860" t="str">
            <v>LX531</v>
          </cell>
          <cell r="D2860" t="str">
            <v>SCUBA CREPE</v>
          </cell>
          <cell r="E2860"/>
          <cell r="F2860" t="str">
            <v>T/S 95/5</v>
          </cell>
          <cell r="G2860" t="str">
            <v>95%P 5%SP</v>
          </cell>
          <cell r="H2860" t="str">
            <v>150CM</v>
          </cell>
          <cell r="I2860" t="str">
            <v>300-320</v>
          </cell>
          <cell r="J2860">
            <v>3.13</v>
          </cell>
          <cell r="K2860">
            <v>3.27</v>
          </cell>
          <cell r="L2860"/>
          <cell r="M2860"/>
          <cell r="N2860">
            <v>3.16</v>
          </cell>
          <cell r="O2860">
            <v>3.38</v>
          </cell>
          <cell r="P2860"/>
          <cell r="Q2860"/>
          <cell r="R2860">
            <v>3.32</v>
          </cell>
          <cell r="S2860">
            <v>3.58</v>
          </cell>
          <cell r="T2860"/>
          <cell r="U2860"/>
          <cell r="V2860">
            <v>15</v>
          </cell>
          <cell r="W2860"/>
          <cell r="X2860" t="str">
            <v>TINA</v>
          </cell>
          <cell r="Y2860" t="str">
            <v>TINA 6-MARCH</v>
          </cell>
          <cell r="Z2860" t="str">
            <v>TINA' MAIL 8/3/17</v>
          </cell>
          <cell r="AA2860"/>
          <cell r="AB2860">
            <v>42810</v>
          </cell>
          <cell r="AC2860">
            <v>2971</v>
          </cell>
        </row>
        <row r="2861">
          <cell r="B2861">
            <v>2970</v>
          </cell>
          <cell r="C2861" t="str">
            <v>LX526</v>
          </cell>
          <cell r="D2861" t="str">
            <v>JACQUARD - DOBBY - NEW TEXTURE</v>
          </cell>
          <cell r="E2861" t="str">
            <v>180D x 180D</v>
          </cell>
          <cell r="F2861" t="str">
            <v>T 100%</v>
          </cell>
          <cell r="G2861" t="str">
            <v>100% POLYESTER</v>
          </cell>
          <cell r="H2861" t="str">
            <v>57/58</v>
          </cell>
          <cell r="I2861">
            <v>215</v>
          </cell>
          <cell r="J2861">
            <v>2.59</v>
          </cell>
          <cell r="K2861">
            <v>2.75</v>
          </cell>
          <cell r="L2861"/>
          <cell r="M2861"/>
          <cell r="N2861">
            <v>2.62</v>
          </cell>
          <cell r="O2861">
            <v>2.8</v>
          </cell>
          <cell r="P2861"/>
          <cell r="Q2861"/>
          <cell r="R2861">
            <v>2.78</v>
          </cell>
          <cell r="S2861">
            <v>2.99</v>
          </cell>
          <cell r="T2861"/>
          <cell r="U2861"/>
          <cell r="V2861">
            <v>15</v>
          </cell>
          <cell r="W2861"/>
          <cell r="X2861" t="str">
            <v>TINA</v>
          </cell>
          <cell r="Y2861" t="str">
            <v>TINA 6-MARCH</v>
          </cell>
          <cell r="Z2861" t="str">
            <v>TINA' MAIL 8/3/17</v>
          </cell>
          <cell r="AA2861"/>
          <cell r="AB2861">
            <v>42810</v>
          </cell>
          <cell r="AC2861">
            <v>2970</v>
          </cell>
        </row>
        <row r="2862">
          <cell r="B2862">
            <v>2966</v>
          </cell>
          <cell r="C2862" t="str">
            <v>LX249</v>
          </cell>
          <cell r="D2862" t="str">
            <v>SATEEN</v>
          </cell>
          <cell r="E2862" t="str">
            <v>50D x 50D</v>
          </cell>
          <cell r="F2862" t="str">
            <v>T 100%</v>
          </cell>
          <cell r="G2862" t="str">
            <v>100% POLYESTER</v>
          </cell>
          <cell r="H2862" t="str">
            <v>57/58</v>
          </cell>
          <cell r="I2862">
            <v>90</v>
          </cell>
          <cell r="J2862">
            <v>1.25</v>
          </cell>
          <cell r="K2862">
            <v>1.42</v>
          </cell>
          <cell r="L2862"/>
          <cell r="M2862"/>
          <cell r="N2862">
            <v>1.28</v>
          </cell>
          <cell r="O2862">
            <v>1.45</v>
          </cell>
          <cell r="P2862"/>
          <cell r="Q2862"/>
          <cell r="R2862">
            <v>1.43</v>
          </cell>
          <cell r="S2862">
            <v>1.65</v>
          </cell>
          <cell r="T2862"/>
          <cell r="U2862"/>
          <cell r="V2862">
            <v>15</v>
          </cell>
          <cell r="W2862"/>
          <cell r="X2862" t="str">
            <v>TINA</v>
          </cell>
          <cell r="Y2862" t="str">
            <v>TINA 6-MARCH</v>
          </cell>
          <cell r="Z2862" t="str">
            <v>TINA' MAIL 8/3/17</v>
          </cell>
          <cell r="AA2862"/>
          <cell r="AB2862">
            <v>42810</v>
          </cell>
          <cell r="AC2862">
            <v>2966</v>
          </cell>
        </row>
        <row r="2863">
          <cell r="B2863">
            <v>2490</v>
          </cell>
          <cell r="C2863" t="str">
            <v>GLLPPS-102303</v>
          </cell>
          <cell r="D2863" t="str">
            <v>BUBBLE</v>
          </cell>
          <cell r="E2863"/>
          <cell r="F2863" t="str">
            <v>T/S 97/3</v>
          </cell>
          <cell r="G2863" t="str">
            <v>97% POLYESTER 3% SPANDEX</v>
          </cell>
          <cell r="H2863" t="str">
            <v>57/58</v>
          </cell>
          <cell r="I2863">
            <v>120</v>
          </cell>
          <cell r="J2863">
            <v>1.25</v>
          </cell>
          <cell r="K2863">
            <v>1.47</v>
          </cell>
          <cell r="L2863"/>
          <cell r="M2863"/>
          <cell r="N2863">
            <v>1.28</v>
          </cell>
          <cell r="O2863">
            <v>1.61</v>
          </cell>
          <cell r="P2863"/>
          <cell r="Q2863"/>
          <cell r="R2863">
            <v>1.33</v>
          </cell>
          <cell r="S2863">
            <v>1.91</v>
          </cell>
          <cell r="T2863"/>
          <cell r="U2863"/>
          <cell r="V2863">
            <v>15</v>
          </cell>
          <cell r="W2863"/>
          <cell r="X2863" t="str">
            <v>HOWARD</v>
          </cell>
          <cell r="Y2863" t="str">
            <v>HOWARD 15-MARCH</v>
          </cell>
          <cell r="Z2863" t="str">
            <v>HOWARD' MAIL 16/3/17</v>
          </cell>
          <cell r="AA2863"/>
          <cell r="AB2863">
            <v>42810</v>
          </cell>
          <cell r="AC2863">
            <v>2490</v>
          </cell>
        </row>
        <row r="2864">
          <cell r="B2864">
            <v>2458</v>
          </cell>
          <cell r="C2864" t="str">
            <v>BG 3121</v>
          </cell>
          <cell r="D2864" t="str">
            <v>BUBBLE</v>
          </cell>
          <cell r="E2864" t="str">
            <v>21 x 200D+40D</v>
          </cell>
          <cell r="F2864" t="str">
            <v>T/S 94/6</v>
          </cell>
          <cell r="G2864" t="str">
            <v>94% POYLY 6% SPAN</v>
          </cell>
          <cell r="H2864" t="str">
            <v>57/58</v>
          </cell>
          <cell r="I2864">
            <v>125</v>
          </cell>
          <cell r="J2864">
            <v>1.65</v>
          </cell>
          <cell r="K2864"/>
          <cell r="L2864"/>
          <cell r="M2864"/>
          <cell r="N2864">
            <v>1.68</v>
          </cell>
          <cell r="O2864"/>
          <cell r="P2864"/>
          <cell r="Q2864"/>
          <cell r="R2864">
            <v>1.92</v>
          </cell>
          <cell r="S2864"/>
          <cell r="T2864"/>
          <cell r="U2864"/>
          <cell r="V2864">
            <v>15</v>
          </cell>
          <cell r="W2864" t="str">
            <v>AMW 1786 AND AMW 2458 ARE THE SAME</v>
          </cell>
          <cell r="X2864" t="str">
            <v>ANN</v>
          </cell>
          <cell r="Y2864" t="str">
            <v>ANN 15-MARCH</v>
          </cell>
          <cell r="Z2864" t="str">
            <v>ANN' MAIL 16/3/17</v>
          </cell>
          <cell r="AA2864"/>
          <cell r="AB2864">
            <v>42810</v>
          </cell>
          <cell r="AC2864">
            <v>2458</v>
          </cell>
        </row>
        <row r="2865">
          <cell r="B2865">
            <v>2442</v>
          </cell>
          <cell r="C2865" t="str">
            <v>TS-076</v>
          </cell>
          <cell r="D2865" t="str">
            <v>BUBBLE</v>
          </cell>
          <cell r="E2865"/>
          <cell r="F2865" t="str">
            <v>T/S 96/4</v>
          </cell>
          <cell r="G2865" t="str">
            <v>96% POLYESTER 4% SPAN</v>
          </cell>
          <cell r="H2865" t="str">
            <v>57/58</v>
          </cell>
          <cell r="I2865">
            <v>132</v>
          </cell>
          <cell r="J2865">
            <v>1.37</v>
          </cell>
          <cell r="K2865">
            <v>1.59</v>
          </cell>
          <cell r="L2865"/>
          <cell r="M2865"/>
          <cell r="N2865">
            <v>1.4</v>
          </cell>
          <cell r="O2865">
            <v>1.65</v>
          </cell>
          <cell r="P2865"/>
          <cell r="Q2865"/>
          <cell r="R2865">
            <v>1.58</v>
          </cell>
          <cell r="S2865">
            <v>1.93</v>
          </cell>
          <cell r="T2865"/>
          <cell r="U2865"/>
          <cell r="V2865">
            <v>15</v>
          </cell>
          <cell r="W2865"/>
          <cell r="X2865" t="str">
            <v>GAVIN</v>
          </cell>
          <cell r="Y2865" t="str">
            <v>GAVIN 15-MARCH</v>
          </cell>
          <cell r="Z2865" t="str">
            <v>GAVIN' MAIL 15/3/17</v>
          </cell>
          <cell r="AA2865"/>
          <cell r="AB2865">
            <v>42810</v>
          </cell>
          <cell r="AC2865">
            <v>2442</v>
          </cell>
        </row>
        <row r="2866">
          <cell r="B2866">
            <v>2391</v>
          </cell>
          <cell r="C2866" t="str">
            <v>M09638</v>
          </cell>
          <cell r="D2866" t="str">
            <v>BUBBLE</v>
          </cell>
          <cell r="E2866"/>
          <cell r="F2866" t="str">
            <v>T 100%</v>
          </cell>
          <cell r="G2866" t="str">
            <v>100% POLYESTER</v>
          </cell>
          <cell r="H2866" t="str">
            <v>57/58</v>
          </cell>
          <cell r="I2866">
            <v>133</v>
          </cell>
          <cell r="J2866">
            <v>1.08</v>
          </cell>
          <cell r="K2866">
            <v>1.23</v>
          </cell>
          <cell r="L2866">
            <v>1.1299999999999999</v>
          </cell>
          <cell r="M2866">
            <v>1.3</v>
          </cell>
          <cell r="N2866">
            <v>1.2</v>
          </cell>
          <cell r="O2866">
            <v>1.4</v>
          </cell>
          <cell r="P2866"/>
          <cell r="Q2866"/>
          <cell r="R2866">
            <v>1.48</v>
          </cell>
          <cell r="S2866">
            <v>1.7</v>
          </cell>
          <cell r="T2866"/>
          <cell r="U2866"/>
          <cell r="V2866">
            <v>15</v>
          </cell>
          <cell r="W2866" t="str">
            <v>16/3/17: MARY CONFIRMED KEEP THESE PRICES</v>
          </cell>
          <cell r="X2866" t="str">
            <v>MARY</v>
          </cell>
          <cell r="Y2866" t="str">
            <v>MARY 6-JAN</v>
          </cell>
          <cell r="Z2866" t="str">
            <v>MARY' MAIL 16/3/17</v>
          </cell>
          <cell r="AA2866"/>
          <cell r="AB2866">
            <v>42810</v>
          </cell>
          <cell r="AC2866">
            <v>2391</v>
          </cell>
        </row>
        <row r="2867">
          <cell r="B2867">
            <v>2390</v>
          </cell>
          <cell r="C2867" t="str">
            <v>M09634</v>
          </cell>
          <cell r="D2867" t="str">
            <v>BUBBLE</v>
          </cell>
          <cell r="E2867"/>
          <cell r="F2867" t="str">
            <v>T 100%</v>
          </cell>
          <cell r="G2867" t="str">
            <v>100% POLYESTER</v>
          </cell>
          <cell r="H2867" t="str">
            <v>57/58</v>
          </cell>
          <cell r="I2867">
            <v>130</v>
          </cell>
          <cell r="J2867">
            <v>1.08</v>
          </cell>
          <cell r="K2867">
            <v>1.23</v>
          </cell>
          <cell r="L2867">
            <v>1.1299999999999999</v>
          </cell>
          <cell r="M2867">
            <v>1.3</v>
          </cell>
          <cell r="N2867">
            <v>1.2</v>
          </cell>
          <cell r="O2867">
            <v>1.4</v>
          </cell>
          <cell r="P2867"/>
          <cell r="Q2867"/>
          <cell r="R2867">
            <v>1.48</v>
          </cell>
          <cell r="S2867">
            <v>1.7</v>
          </cell>
          <cell r="T2867"/>
          <cell r="U2867"/>
          <cell r="V2867">
            <v>15</v>
          </cell>
          <cell r="W2867" t="str">
            <v>16/3/17: MARY CONFIRMED KEEP THESE PRICES</v>
          </cell>
          <cell r="X2867" t="str">
            <v>MARY</v>
          </cell>
          <cell r="Y2867" t="str">
            <v>MARY 6-JAN</v>
          </cell>
          <cell r="Z2867" t="str">
            <v>MARY' MAIL 16/3/17</v>
          </cell>
          <cell r="AA2867"/>
          <cell r="AB2867">
            <v>42810</v>
          </cell>
          <cell r="AC2867">
            <v>2390</v>
          </cell>
        </row>
        <row r="2868">
          <cell r="B2868">
            <v>2389</v>
          </cell>
          <cell r="C2868" t="str">
            <v>JMR 16048B</v>
          </cell>
          <cell r="D2868" t="str">
            <v>BUBBLE</v>
          </cell>
          <cell r="E2868"/>
          <cell r="F2868" t="str">
            <v>T 100%</v>
          </cell>
          <cell r="G2868" t="str">
            <v>100% POLYESTER</v>
          </cell>
          <cell r="H2868" t="str">
            <v>57/58</v>
          </cell>
          <cell r="I2868">
            <v>117</v>
          </cell>
          <cell r="J2868">
            <v>1.08</v>
          </cell>
          <cell r="K2868">
            <v>1.23</v>
          </cell>
          <cell r="L2868">
            <v>1.1299999999999999</v>
          </cell>
          <cell r="M2868">
            <v>1.3</v>
          </cell>
          <cell r="N2868">
            <v>1.2</v>
          </cell>
          <cell r="O2868">
            <v>1.4</v>
          </cell>
          <cell r="P2868"/>
          <cell r="Q2868"/>
          <cell r="R2868">
            <v>1.48</v>
          </cell>
          <cell r="S2868">
            <v>1.7</v>
          </cell>
          <cell r="T2868"/>
          <cell r="U2868"/>
          <cell r="V2868">
            <v>15</v>
          </cell>
          <cell r="W2868" t="str">
            <v>16/3/17: MARY CONFIRMED KEEP THESE PRICE</v>
          </cell>
          <cell r="X2868" t="str">
            <v>MARY</v>
          </cell>
          <cell r="Y2868" t="str">
            <v>MARY 6-JAN</v>
          </cell>
          <cell r="Z2868" t="str">
            <v>MARY' MAIL 16/3/17</v>
          </cell>
          <cell r="AA2868"/>
          <cell r="AB2868">
            <v>42810</v>
          </cell>
          <cell r="AC2868">
            <v>2389</v>
          </cell>
        </row>
        <row r="2869">
          <cell r="B2869">
            <v>2287</v>
          </cell>
          <cell r="C2869" t="str">
            <v>M12213</v>
          </cell>
          <cell r="D2869" t="str">
            <v>CREPE - RUFFLE</v>
          </cell>
          <cell r="E2869"/>
          <cell r="F2869" t="str">
            <v>R 100%</v>
          </cell>
          <cell r="G2869" t="str">
            <v>100% RAYON</v>
          </cell>
          <cell r="H2869" t="str">
            <v>57/58</v>
          </cell>
          <cell r="I2869">
            <v>115</v>
          </cell>
          <cell r="J2869">
            <v>1.65</v>
          </cell>
          <cell r="K2869">
            <v>1.79</v>
          </cell>
          <cell r="L2869"/>
          <cell r="M2869"/>
          <cell r="N2869">
            <v>1.73</v>
          </cell>
          <cell r="O2869">
            <v>1.87</v>
          </cell>
          <cell r="P2869"/>
          <cell r="Q2869"/>
          <cell r="R2869">
            <v>2</v>
          </cell>
          <cell r="S2869"/>
          <cell r="T2869"/>
          <cell r="U2869"/>
          <cell r="V2869">
            <v>15</v>
          </cell>
          <cell r="W2869" t="str">
            <v>16/3/17: MARY CONFIRMED KEEP THESE PRICES</v>
          </cell>
          <cell r="X2869" t="str">
            <v>MARY</v>
          </cell>
          <cell r="Y2869" t="str">
            <v>MARY 16-JAN</v>
          </cell>
          <cell r="Z2869" t="str">
            <v>MARY' MAIL 16/3/17</v>
          </cell>
          <cell r="AA2869"/>
          <cell r="AB2869">
            <v>42810</v>
          </cell>
          <cell r="AC2869">
            <v>2287</v>
          </cell>
        </row>
        <row r="2870">
          <cell r="B2870">
            <v>2211</v>
          </cell>
          <cell r="C2870" t="str">
            <v>OLP-6011JQ</v>
          </cell>
          <cell r="D2870" t="str">
            <v>TERRY CREPE</v>
          </cell>
          <cell r="E2870"/>
          <cell r="F2870" t="str">
            <v>V 100%</v>
          </cell>
          <cell r="G2870" t="str">
            <v>100% VISCOSE</v>
          </cell>
          <cell r="H2870" t="str">
            <v>49/50</v>
          </cell>
          <cell r="I2870">
            <v>105</v>
          </cell>
          <cell r="J2870">
            <v>2.4</v>
          </cell>
          <cell r="K2870">
            <v>2.8</v>
          </cell>
          <cell r="L2870"/>
          <cell r="M2870"/>
          <cell r="N2870">
            <v>2.48</v>
          </cell>
          <cell r="O2870">
            <v>3.05</v>
          </cell>
          <cell r="P2870"/>
          <cell r="Q2870"/>
          <cell r="R2870">
            <v>2.63</v>
          </cell>
          <cell r="S2870">
            <v>3.45</v>
          </cell>
          <cell r="T2870"/>
          <cell r="U2870"/>
          <cell r="V2870"/>
          <cell r="W2870"/>
          <cell r="X2870" t="str">
            <v>OWEN</v>
          </cell>
          <cell r="Y2870" t="str">
            <v>OWEN 15-MARCH</v>
          </cell>
          <cell r="Z2870" t="str">
            <v>SANDY' MAIL 16/3/17</v>
          </cell>
          <cell r="AA2870"/>
          <cell r="AB2870">
            <v>42810</v>
          </cell>
          <cell r="AC2870">
            <v>2211</v>
          </cell>
        </row>
        <row r="2871">
          <cell r="B2871">
            <v>1787</v>
          </cell>
          <cell r="C2871" t="str">
            <v>BG3118</v>
          </cell>
          <cell r="D2871" t="str">
            <v>BUBBLE</v>
          </cell>
          <cell r="E2871"/>
          <cell r="F2871" t="str">
            <v>T/S 94/6</v>
          </cell>
          <cell r="G2871" t="str">
            <v>94% POLYESTER 6% SPAN</v>
          </cell>
          <cell r="H2871" t="str">
            <v>57/58</v>
          </cell>
          <cell r="I2871">
            <v>125</v>
          </cell>
          <cell r="J2871">
            <v>1.65</v>
          </cell>
          <cell r="K2871">
            <v>0</v>
          </cell>
          <cell r="L2871"/>
          <cell r="M2871"/>
          <cell r="N2871">
            <v>1.68</v>
          </cell>
          <cell r="O2871">
            <v>0</v>
          </cell>
          <cell r="P2871"/>
          <cell r="Q2871"/>
          <cell r="R2871">
            <v>1.92</v>
          </cell>
          <cell r="S2871">
            <v>0</v>
          </cell>
          <cell r="T2871"/>
          <cell r="U2871"/>
          <cell r="V2871">
            <v>15</v>
          </cell>
          <cell r="W2871"/>
          <cell r="X2871" t="str">
            <v>ANN</v>
          </cell>
          <cell r="Y2871" t="str">
            <v>ANN 15-MARCH</v>
          </cell>
          <cell r="Z2871" t="str">
            <v>ANN' MAIL 16/3/17</v>
          </cell>
          <cell r="AA2871"/>
          <cell r="AB2871">
            <v>42810</v>
          </cell>
          <cell r="AC2871">
            <v>1787</v>
          </cell>
        </row>
        <row r="2872">
          <cell r="B2872">
            <v>1786</v>
          </cell>
          <cell r="C2872" t="str">
            <v>BG 3121</v>
          </cell>
          <cell r="D2872" t="str">
            <v>BUBBLE</v>
          </cell>
          <cell r="E2872" t="str">
            <v>21 x 200D+40D</v>
          </cell>
          <cell r="F2872" t="str">
            <v>T/S 94/6</v>
          </cell>
          <cell r="G2872" t="str">
            <v>94% POLYESTER 6% SPAN</v>
          </cell>
          <cell r="H2872" t="str">
            <v>57/58</v>
          </cell>
          <cell r="I2872">
            <v>125</v>
          </cell>
          <cell r="J2872">
            <v>1.65</v>
          </cell>
          <cell r="K2872">
            <v>0</v>
          </cell>
          <cell r="L2872"/>
          <cell r="M2872"/>
          <cell r="N2872">
            <v>1.68</v>
          </cell>
          <cell r="O2872">
            <v>0</v>
          </cell>
          <cell r="P2872"/>
          <cell r="Q2872"/>
          <cell r="R2872">
            <v>1.92</v>
          </cell>
          <cell r="S2872">
            <v>0</v>
          </cell>
          <cell r="T2872"/>
          <cell r="U2872"/>
          <cell r="V2872">
            <v>15</v>
          </cell>
          <cell r="W2872" t="str">
            <v>AMW 1786 AND AMW 2458 ARE THE SAME</v>
          </cell>
          <cell r="X2872" t="str">
            <v>ANN</v>
          </cell>
          <cell r="Y2872" t="str">
            <v>ANN 15-MARCH</v>
          </cell>
          <cell r="Z2872" t="str">
            <v>ANN' MAIL 16/3/17</v>
          </cell>
          <cell r="AA2872"/>
          <cell r="AB2872">
            <v>42810</v>
          </cell>
          <cell r="AC2872">
            <v>1786</v>
          </cell>
        </row>
        <row r="2873">
          <cell r="B2873">
            <v>1784</v>
          </cell>
          <cell r="C2873" t="str">
            <v>BG1403</v>
          </cell>
          <cell r="D2873" t="str">
            <v>CRINKLE</v>
          </cell>
          <cell r="E2873"/>
          <cell r="F2873" t="str">
            <v>R 100%</v>
          </cell>
          <cell r="G2873" t="str">
            <v>100% RAYON</v>
          </cell>
          <cell r="H2873" t="str">
            <v>53/54</v>
          </cell>
          <cell r="I2873">
            <v>125</v>
          </cell>
          <cell r="J2873">
            <v>1.43</v>
          </cell>
          <cell r="K2873">
            <v>1.65</v>
          </cell>
          <cell r="L2873"/>
          <cell r="M2873"/>
          <cell r="N2873">
            <v>1.46</v>
          </cell>
          <cell r="O2873">
            <v>1.7</v>
          </cell>
          <cell r="P2873"/>
          <cell r="Q2873"/>
          <cell r="R2873">
            <v>1.6</v>
          </cell>
          <cell r="S2873">
            <v>1.95</v>
          </cell>
          <cell r="T2873"/>
          <cell r="U2873"/>
          <cell r="V2873">
            <v>15</v>
          </cell>
          <cell r="W2873"/>
          <cell r="X2873" t="str">
            <v>ANN</v>
          </cell>
          <cell r="Y2873" t="str">
            <v>ANN 15-MARCH</v>
          </cell>
          <cell r="Z2873" t="str">
            <v>ANN' MAIL 16/3/17</v>
          </cell>
          <cell r="AA2873"/>
          <cell r="AB2873">
            <v>42810</v>
          </cell>
          <cell r="AC2873">
            <v>1784</v>
          </cell>
        </row>
        <row r="2874">
          <cell r="B2874">
            <v>1748</v>
          </cell>
          <cell r="C2874" t="str">
            <v>CFTS-394DY</v>
          </cell>
          <cell r="D2874" t="str">
            <v>TERRY CREPE</v>
          </cell>
          <cell r="E2874"/>
          <cell r="F2874" t="str">
            <v>V 100%</v>
          </cell>
          <cell r="G2874" t="str">
            <v>100% VISCOSE</v>
          </cell>
          <cell r="H2874" t="str">
            <v>49/50</v>
          </cell>
          <cell r="I2874">
            <v>120</v>
          </cell>
          <cell r="J2874">
            <v>2.65</v>
          </cell>
          <cell r="K2874">
            <v>3.05</v>
          </cell>
          <cell r="L2874"/>
          <cell r="M2874"/>
          <cell r="N2874">
            <v>2.75</v>
          </cell>
          <cell r="O2874">
            <v>3.3</v>
          </cell>
          <cell r="P2874"/>
          <cell r="Q2874"/>
          <cell r="R2874">
            <v>2.9</v>
          </cell>
          <cell r="S2874">
            <v>3.7</v>
          </cell>
          <cell r="T2874"/>
          <cell r="U2874"/>
          <cell r="V2874">
            <v>15</v>
          </cell>
          <cell r="W2874"/>
          <cell r="X2874" t="str">
            <v>OWEN</v>
          </cell>
          <cell r="Y2874" t="str">
            <v>OWEN 15-MARCH</v>
          </cell>
          <cell r="Z2874" t="str">
            <v>SANDY' MAIL 16/3/17</v>
          </cell>
          <cell r="AA2874"/>
          <cell r="AB2874">
            <v>42810</v>
          </cell>
          <cell r="AC2874">
            <v>1748</v>
          </cell>
        </row>
        <row r="2875">
          <cell r="B2875">
            <v>1725</v>
          </cell>
          <cell r="C2875" t="str">
            <v>JQ-J5015A</v>
          </cell>
          <cell r="D2875" t="str">
            <v>TERRY CREPE</v>
          </cell>
          <cell r="E2875"/>
          <cell r="F2875" t="str">
            <v>V 100%</v>
          </cell>
          <cell r="G2875" t="str">
            <v>100% VISCOSE</v>
          </cell>
          <cell r="H2875" t="str">
            <v>51/52</v>
          </cell>
          <cell r="I2875">
            <v>147</v>
          </cell>
          <cell r="J2875">
            <v>1.9</v>
          </cell>
          <cell r="K2875">
            <v>2.3199999999999998</v>
          </cell>
          <cell r="L2875"/>
          <cell r="M2875"/>
          <cell r="N2875">
            <v>1.98</v>
          </cell>
          <cell r="O2875">
            <v>2.5</v>
          </cell>
          <cell r="P2875"/>
          <cell r="Q2875"/>
          <cell r="R2875">
            <v>2.2000000000000002</v>
          </cell>
          <cell r="S2875">
            <v>2.9</v>
          </cell>
          <cell r="T2875"/>
          <cell r="U2875"/>
          <cell r="V2875">
            <v>15</v>
          </cell>
          <cell r="W2875"/>
          <cell r="X2875" t="str">
            <v>OWEN</v>
          </cell>
          <cell r="Y2875" t="str">
            <v>OWEN 15-MARCH</v>
          </cell>
          <cell r="Z2875" t="str">
            <v>SANDY' MAIL 16/3/17</v>
          </cell>
          <cell r="AA2875"/>
          <cell r="AB2875">
            <v>42810</v>
          </cell>
          <cell r="AC2875">
            <v>1725</v>
          </cell>
        </row>
        <row r="2876">
          <cell r="B2876">
            <v>391</v>
          </cell>
          <cell r="C2876" t="str">
            <v>M06526</v>
          </cell>
          <cell r="D2876" t="str">
            <v>BUBBLE</v>
          </cell>
          <cell r="E2876"/>
          <cell r="F2876" t="str">
            <v>T 100%</v>
          </cell>
          <cell r="G2876" t="str">
            <v>100% POLYESTER</v>
          </cell>
          <cell r="H2876" t="str">
            <v>58/59</v>
          </cell>
          <cell r="I2876">
            <v>115</v>
          </cell>
          <cell r="J2876">
            <v>1.08</v>
          </cell>
          <cell r="K2876">
            <v>1.23</v>
          </cell>
          <cell r="L2876"/>
          <cell r="M2876"/>
          <cell r="N2876">
            <v>1.1299999999999999</v>
          </cell>
          <cell r="O2876">
            <v>1.3</v>
          </cell>
          <cell r="P2876"/>
          <cell r="Q2876"/>
          <cell r="R2876">
            <v>1.35</v>
          </cell>
          <cell r="S2876">
            <v>1.6</v>
          </cell>
          <cell r="T2876"/>
          <cell r="U2876"/>
          <cell r="V2876">
            <v>15</v>
          </cell>
          <cell r="W2876" t="str">
            <v>16/3/17: MARY CONFIRMED KEEP THESE PRICES</v>
          </cell>
          <cell r="X2876" t="str">
            <v>MARY</v>
          </cell>
          <cell r="Y2876" t="str">
            <v>MARY 6-JAN</v>
          </cell>
          <cell r="Z2876" t="str">
            <v>MARY' MAIL 16/3/17</v>
          </cell>
          <cell r="AA2876"/>
          <cell r="AB2876">
            <v>42810</v>
          </cell>
          <cell r="AC2876">
            <v>391</v>
          </cell>
        </row>
        <row r="2877">
          <cell r="B2877"/>
          <cell r="C2877" t="str">
            <v>WK-25299</v>
          </cell>
          <cell r="D2877" t="str">
            <v>VELVET CRUSHED</v>
          </cell>
          <cell r="E2877"/>
          <cell r="F2877" t="str">
            <v>T/S 95/5</v>
          </cell>
          <cell r="G2877" t="str">
            <v>95%POLYESTER 5%SP</v>
          </cell>
          <cell r="H2877" t="str">
            <v>150CM</v>
          </cell>
          <cell r="I2877">
            <v>250</v>
          </cell>
          <cell r="J2877">
            <v>1.8</v>
          </cell>
          <cell r="K2877">
            <v>2.2000000000000002</v>
          </cell>
          <cell r="L2877"/>
          <cell r="M2877"/>
          <cell r="N2877">
            <v>1.9</v>
          </cell>
          <cell r="O2877">
            <v>2.2999999999999998</v>
          </cell>
          <cell r="P2877"/>
          <cell r="Q2877"/>
          <cell r="R2877">
            <v>2.1</v>
          </cell>
          <cell r="S2877">
            <v>2.5</v>
          </cell>
          <cell r="T2877"/>
          <cell r="U2877"/>
          <cell r="V2877">
            <v>15</v>
          </cell>
          <cell r="W2877"/>
          <cell r="X2877" t="str">
            <v>PANI</v>
          </cell>
          <cell r="Y2877" t="str">
            <v>PANI 24-MARCH'</v>
          </cell>
          <cell r="Z2877" t="str">
            <v>AMY' MAIL 24/3/17</v>
          </cell>
          <cell r="AA2877"/>
          <cell r="AB2877">
            <v>42810</v>
          </cell>
          <cell r="AC2877">
            <v>0</v>
          </cell>
        </row>
        <row r="2878">
          <cell r="B2878">
            <v>2969</v>
          </cell>
          <cell r="C2878" t="str">
            <v>OLP-1722711YH</v>
          </cell>
          <cell r="D2878" t="str">
            <v>CREPE</v>
          </cell>
          <cell r="E2878" t="str">
            <v>40/2+40D x 40/2+40D / 107x65</v>
          </cell>
          <cell r="F2878" t="str">
            <v>T/R/S 65/31/4</v>
          </cell>
          <cell r="G2878" t="str">
            <v>65%POLYESTER 31%RAYON 4%SPANDEX</v>
          </cell>
          <cell r="H2878">
            <v>56</v>
          </cell>
          <cell r="I2878">
            <v>270</v>
          </cell>
          <cell r="J2878">
            <v>3.65</v>
          </cell>
          <cell r="K2878"/>
          <cell r="L2878"/>
          <cell r="M2878"/>
          <cell r="N2878">
            <v>3.7</v>
          </cell>
          <cell r="O2878"/>
          <cell r="P2878"/>
          <cell r="Q2878"/>
          <cell r="R2878">
            <v>3.85</v>
          </cell>
          <cell r="S2878"/>
          <cell r="T2878"/>
          <cell r="U2878"/>
          <cell r="V2878">
            <v>15</v>
          </cell>
          <cell r="W2878"/>
          <cell r="X2878" t="str">
            <v>OWEN</v>
          </cell>
          <cell r="Y2878" t="str">
            <v>OWEN 2-MARCH</v>
          </cell>
          <cell r="Z2878" t="str">
            <v>SANDY' MAIL 3/3/17</v>
          </cell>
          <cell r="AA2878"/>
          <cell r="AB2878">
            <v>42809</v>
          </cell>
          <cell r="AC2878">
            <v>2969</v>
          </cell>
        </row>
        <row r="2879">
          <cell r="B2879">
            <v>2968</v>
          </cell>
          <cell r="C2879" t="str">
            <v>OLP-1722710YH</v>
          </cell>
          <cell r="D2879" t="str">
            <v>CREPE</v>
          </cell>
          <cell r="E2879" t="str">
            <v>180x180 / 148x108</v>
          </cell>
          <cell r="F2879" t="str">
            <v>T 100%</v>
          </cell>
          <cell r="G2879" t="str">
            <v>100% POLYESTER</v>
          </cell>
          <cell r="H2879" t="str">
            <v>57/58</v>
          </cell>
          <cell r="I2879">
            <v>250</v>
          </cell>
          <cell r="J2879">
            <v>3.59</v>
          </cell>
          <cell r="K2879">
            <v>3.78</v>
          </cell>
          <cell r="L2879"/>
          <cell r="M2879"/>
          <cell r="N2879">
            <v>3.64</v>
          </cell>
          <cell r="O2879">
            <v>3.98</v>
          </cell>
          <cell r="P2879"/>
          <cell r="Q2879"/>
          <cell r="R2879">
            <v>3.8</v>
          </cell>
          <cell r="S2879">
            <v>4.28</v>
          </cell>
          <cell r="T2879"/>
          <cell r="U2879"/>
          <cell r="V2879">
            <v>15</v>
          </cell>
          <cell r="W2879"/>
          <cell r="X2879" t="str">
            <v>OWEN</v>
          </cell>
          <cell r="Y2879" t="str">
            <v>OWEN 2-MARCH</v>
          </cell>
          <cell r="Z2879" t="str">
            <v>SANDY' MAIL 3/3/17</v>
          </cell>
          <cell r="AA2879"/>
          <cell r="AB2879">
            <v>42809</v>
          </cell>
          <cell r="AC2879">
            <v>2968</v>
          </cell>
        </row>
        <row r="2880">
          <cell r="B2880">
            <v>2967</v>
          </cell>
          <cell r="C2880" t="str">
            <v>OLP-1722709YH</v>
          </cell>
          <cell r="D2880" t="str">
            <v>CREPE</v>
          </cell>
          <cell r="E2880" t="str">
            <v>25+40D x 25+40D / 95x90</v>
          </cell>
          <cell r="F2880" t="str">
            <v>T/R/S 62/33/5</v>
          </cell>
          <cell r="G2880" t="str">
            <v>62%POLYESTER 33%RAYON 5%SPANDEX</v>
          </cell>
          <cell r="H2880">
            <v>56</v>
          </cell>
          <cell r="I2880">
            <v>270</v>
          </cell>
          <cell r="J2880">
            <v>3.65</v>
          </cell>
          <cell r="K2880"/>
          <cell r="L2880"/>
          <cell r="M2880"/>
          <cell r="N2880">
            <v>3.7</v>
          </cell>
          <cell r="O2880"/>
          <cell r="P2880"/>
          <cell r="Q2880"/>
          <cell r="R2880">
            <v>3.85</v>
          </cell>
          <cell r="S2880"/>
          <cell r="T2880"/>
          <cell r="U2880"/>
          <cell r="V2880">
            <v>15</v>
          </cell>
          <cell r="W2880"/>
          <cell r="X2880" t="str">
            <v>OWEN</v>
          </cell>
          <cell r="Y2880" t="str">
            <v>OWEN 2-MARCH</v>
          </cell>
          <cell r="Z2880" t="str">
            <v>SANDY' MAIL 3/3/17</v>
          </cell>
          <cell r="AA2880"/>
          <cell r="AB2880">
            <v>42809</v>
          </cell>
          <cell r="AC2880">
            <v>2967</v>
          </cell>
        </row>
        <row r="2881">
          <cell r="B2881">
            <v>2965</v>
          </cell>
          <cell r="C2881" t="str">
            <v>OLP-1731111</v>
          </cell>
          <cell r="D2881" t="str">
            <v>LACE</v>
          </cell>
          <cell r="E2881"/>
          <cell r="F2881" t="str">
            <v>T/S 92/8</v>
          </cell>
          <cell r="G2881" t="str">
            <v>92% POLYESTER 8% SPAN</v>
          </cell>
          <cell r="H2881" t="str">
            <v>58/59</v>
          </cell>
          <cell r="I2881">
            <v>130</v>
          </cell>
          <cell r="J2881">
            <v>1.47</v>
          </cell>
          <cell r="K2881"/>
          <cell r="L2881"/>
          <cell r="M2881"/>
          <cell r="N2881">
            <v>1.62</v>
          </cell>
          <cell r="O2881"/>
          <cell r="P2881"/>
          <cell r="Q2881"/>
          <cell r="R2881">
            <v>1.85</v>
          </cell>
          <cell r="S2881"/>
          <cell r="T2881"/>
          <cell r="U2881"/>
          <cell r="V2881">
            <v>15</v>
          </cell>
          <cell r="W2881"/>
          <cell r="X2881" t="str">
            <v>OWEN</v>
          </cell>
          <cell r="Y2881" t="str">
            <v>OWEN 14-MARCH</v>
          </cell>
          <cell r="Z2881" t="str">
            <v>SANDY' MAIL 14/3/17</v>
          </cell>
          <cell r="AA2881"/>
          <cell r="AB2881">
            <v>42809</v>
          </cell>
          <cell r="AC2881">
            <v>2965</v>
          </cell>
        </row>
        <row r="2882">
          <cell r="B2882">
            <v>1877</v>
          </cell>
          <cell r="C2882" t="str">
            <v>#G52</v>
          </cell>
          <cell r="D2882" t="str">
            <v>TERRY CREPE</v>
          </cell>
          <cell r="E2882"/>
          <cell r="F2882" t="str">
            <v>R 100%</v>
          </cell>
          <cell r="G2882" t="str">
            <v>100% RAYON</v>
          </cell>
          <cell r="H2882" t="str">
            <v>52/53</v>
          </cell>
          <cell r="I2882">
            <v>130</v>
          </cell>
          <cell r="J2882">
            <v>2.0299999999999998</v>
          </cell>
          <cell r="K2882">
            <v>2.72</v>
          </cell>
          <cell r="L2882"/>
          <cell r="M2882"/>
          <cell r="N2882">
            <v>2.0499999999999998</v>
          </cell>
          <cell r="O2882">
            <v>2.77</v>
          </cell>
          <cell r="P2882"/>
          <cell r="Q2882"/>
          <cell r="R2882">
            <v>2.15</v>
          </cell>
          <cell r="S2882">
            <v>3.15</v>
          </cell>
          <cell r="T2882"/>
          <cell r="U2882"/>
          <cell r="V2882">
            <v>15</v>
          </cell>
          <cell r="W2882"/>
          <cell r="X2882" t="str">
            <v>HOWARD</v>
          </cell>
          <cell r="Y2882"/>
          <cell r="Z2882" t="str">
            <v>HOWARD' MALI 14/3/17</v>
          </cell>
          <cell r="AA2882"/>
          <cell r="AB2882">
            <v>42809</v>
          </cell>
          <cell r="AC2882">
            <v>1877</v>
          </cell>
        </row>
        <row r="2883">
          <cell r="B2883">
            <v>2964</v>
          </cell>
          <cell r="C2883" t="str">
            <v>PAN-24777</v>
          </cell>
          <cell r="D2883" t="str">
            <v>SCALLOP LACE (ALISON HAYE)</v>
          </cell>
          <cell r="E2883"/>
          <cell r="F2883" t="str">
            <v>N/S 98/2</v>
          </cell>
          <cell r="G2883" t="str">
            <v>98% NYLON 2% SPANDEX</v>
          </cell>
          <cell r="H2883" t="str">
            <v>138CM</v>
          </cell>
          <cell r="I2883">
            <v>152</v>
          </cell>
          <cell r="J2883">
            <v>2.8</v>
          </cell>
          <cell r="K2883"/>
          <cell r="L2883"/>
          <cell r="M2883"/>
          <cell r="N2883">
            <v>2.8</v>
          </cell>
          <cell r="O2883"/>
          <cell r="P2883"/>
          <cell r="Q2883"/>
          <cell r="R2883">
            <v>3</v>
          </cell>
          <cell r="S2883"/>
          <cell r="T2883"/>
          <cell r="U2883"/>
          <cell r="V2883">
            <v>15</v>
          </cell>
          <cell r="W2883" t="str">
            <v>MAKE CODE FOR SEARS - THIS IS SCALLOP LACE FROM ALISON HAYE</v>
          </cell>
          <cell r="X2883" t="str">
            <v>FUSIONASIA</v>
          </cell>
          <cell r="Y2883" t="str">
            <v>FUSIONASIA 16-MARCH</v>
          </cell>
          <cell r="Z2883" t="str">
            <v>KIM' MAIL 16/3/17</v>
          </cell>
          <cell r="AA2883"/>
          <cell r="AB2883">
            <v>42808</v>
          </cell>
          <cell r="AC2883">
            <v>2964</v>
          </cell>
        </row>
        <row r="2884">
          <cell r="B2884">
            <v>2928</v>
          </cell>
          <cell r="C2884" t="str">
            <v>RF6120-193</v>
          </cell>
          <cell r="D2884" t="str">
            <v>PLAIN</v>
          </cell>
          <cell r="E2884" t="str">
            <v>30x30 / 68x68</v>
          </cell>
          <cell r="F2884" t="str">
            <v>R 100%</v>
          </cell>
          <cell r="G2884" t="str">
            <v>100% RAYON</v>
          </cell>
          <cell r="H2884">
            <v>53</v>
          </cell>
          <cell r="I2884">
            <v>120</v>
          </cell>
          <cell r="J2884">
            <v>1.35</v>
          </cell>
          <cell r="K2884">
            <v>1.35</v>
          </cell>
          <cell r="L2884"/>
          <cell r="M2884"/>
          <cell r="N2884">
            <v>1.7</v>
          </cell>
          <cell r="O2884">
            <v>1.83</v>
          </cell>
          <cell r="P2884"/>
          <cell r="Q2884"/>
          <cell r="R2884">
            <v>2.37</v>
          </cell>
          <cell r="S2884">
            <v>2.76</v>
          </cell>
          <cell r="T2884"/>
          <cell r="U2884"/>
          <cell r="V2884">
            <v>15</v>
          </cell>
          <cell r="W2884" t="str">
            <v>MAKE CODE TO SEND TO SEARS</v>
          </cell>
          <cell r="X2884" t="str">
            <v>PANI</v>
          </cell>
          <cell r="Y2884" t="str">
            <v>PANI 14-MARCH</v>
          </cell>
          <cell r="Z2884" t="str">
            <v>AMY' MAIL 14/3/17</v>
          </cell>
          <cell r="AA2884"/>
          <cell r="AB2884">
            <v>42808</v>
          </cell>
          <cell r="AC2884">
            <v>2928</v>
          </cell>
        </row>
        <row r="2885">
          <cell r="B2885">
            <v>2455</v>
          </cell>
          <cell r="C2885" t="str">
            <v>HLT 3216</v>
          </cell>
          <cell r="D2885" t="str">
            <v>BUBBLE CREPE</v>
          </cell>
          <cell r="E2885"/>
          <cell r="F2885" t="str">
            <v>T/S 97/3</v>
          </cell>
          <cell r="G2885" t="str">
            <v>97% POLYESTER 3% SPAN</v>
          </cell>
          <cell r="H2885" t="str">
            <v>57/58</v>
          </cell>
          <cell r="I2885">
            <v>116</v>
          </cell>
          <cell r="J2885">
            <v>1.59</v>
          </cell>
          <cell r="K2885">
            <v>1.75</v>
          </cell>
          <cell r="L2885"/>
          <cell r="M2885"/>
          <cell r="N2885">
            <v>1.7</v>
          </cell>
          <cell r="O2885">
            <v>1.91</v>
          </cell>
          <cell r="P2885"/>
          <cell r="Q2885"/>
          <cell r="R2885">
            <v>1.91</v>
          </cell>
          <cell r="S2885">
            <v>2.08</v>
          </cell>
          <cell r="T2885"/>
          <cell r="U2885"/>
          <cell r="V2885">
            <v>15</v>
          </cell>
          <cell r="W2885"/>
          <cell r="X2885" t="str">
            <v>CANDY</v>
          </cell>
          <cell r="Y2885" t="str">
            <v>CANDY 14-MARCH</v>
          </cell>
          <cell r="Z2885" t="str">
            <v>CANDY' MAIL 14/3/17</v>
          </cell>
          <cell r="AA2885"/>
          <cell r="AB2885">
            <v>42808</v>
          </cell>
          <cell r="AC2885">
            <v>2455</v>
          </cell>
        </row>
        <row r="2886">
          <cell r="B2886">
            <v>2962</v>
          </cell>
          <cell r="C2886" t="str">
            <v>TCY-249</v>
          </cell>
          <cell r="D2886" t="str">
            <v>YARNDYED</v>
          </cell>
          <cell r="E2886" t="str">
            <v>100D x 16+70D / 220x66</v>
          </cell>
          <cell r="F2886" t="str">
            <v>T/C/R 68/23/9</v>
          </cell>
          <cell r="G2886" t="str">
            <v>68% POLYESTER 23% COTTON 9% RAYON</v>
          </cell>
          <cell r="H2886" t="str">
            <v>57/58</v>
          </cell>
          <cell r="I2886">
            <v>234</v>
          </cell>
          <cell r="J2886">
            <v>4.1500000000000004</v>
          </cell>
          <cell r="K2886"/>
          <cell r="L2886"/>
          <cell r="M2886"/>
          <cell r="N2886">
            <v>4.2</v>
          </cell>
          <cell r="O2886"/>
          <cell r="P2886"/>
          <cell r="Q2886"/>
          <cell r="R2886">
            <v>4.5999999999999996</v>
          </cell>
          <cell r="S2886"/>
          <cell r="T2886"/>
          <cell r="U2886" t="str">
            <v>YES</v>
          </cell>
          <cell r="V2886">
            <v>15</v>
          </cell>
          <cell r="W2886"/>
          <cell r="X2886" t="str">
            <v>LIVALTEX</v>
          </cell>
          <cell r="Y2886" t="str">
            <v>LIVALTEX 12-APRIL</v>
          </cell>
          <cell r="Z2886" t="str">
            <v>ROSE' MAIL 13/4/17</v>
          </cell>
          <cell r="AA2886"/>
          <cell r="AB2886">
            <v>42807</v>
          </cell>
          <cell r="AC2886">
            <v>2962</v>
          </cell>
        </row>
        <row r="2887">
          <cell r="B2887">
            <v>2961</v>
          </cell>
          <cell r="C2887" t="str">
            <v>TCPSJ-136</v>
          </cell>
          <cell r="D2887" t="str">
            <v>METALIC YARN / JACQUARD</v>
          </cell>
          <cell r="E2887" t="str">
            <v>150D x 12+70D / 160x70</v>
          </cell>
          <cell r="F2887" t="str">
            <v>C/T/LUREX/S 45/35/17/3</v>
          </cell>
          <cell r="G2887" t="str">
            <v>45% COTTON 35% POLYESTER 17% LUREX 3% SPANDEX</v>
          </cell>
          <cell r="H2887" t="str">
            <v>57/58</v>
          </cell>
          <cell r="I2887">
            <v>190</v>
          </cell>
          <cell r="J2887">
            <v>3.5</v>
          </cell>
          <cell r="K2887"/>
          <cell r="L2887"/>
          <cell r="M2887"/>
          <cell r="N2887">
            <v>3.55</v>
          </cell>
          <cell r="O2887"/>
          <cell r="P2887"/>
          <cell r="Q2887"/>
          <cell r="R2887">
            <v>4.2</v>
          </cell>
          <cell r="S2887"/>
          <cell r="T2887"/>
          <cell r="U2887" t="str">
            <v>NO</v>
          </cell>
          <cell r="V2887"/>
          <cell r="W2887"/>
          <cell r="X2887" t="str">
            <v>LIVALTEX</v>
          </cell>
          <cell r="Y2887" t="str">
            <v>LIVALTEX 12-APRIL</v>
          </cell>
          <cell r="Z2887" t="str">
            <v>ROSE' MAIL 13/4/17</v>
          </cell>
          <cell r="AA2887"/>
          <cell r="AB2887">
            <v>42807</v>
          </cell>
          <cell r="AC2887">
            <v>2961</v>
          </cell>
        </row>
        <row r="2888">
          <cell r="B2888">
            <v>2960</v>
          </cell>
          <cell r="C2888" t="str">
            <v>TCPSJ-135</v>
          </cell>
          <cell r="D2888" t="str">
            <v>JACQUARD</v>
          </cell>
          <cell r="E2888"/>
          <cell r="F2888" t="str">
            <v>C/T/S 70/25/5</v>
          </cell>
          <cell r="G2888" t="str">
            <v>70% COTTON 25% POLYESTER 5% SPANDEX</v>
          </cell>
          <cell r="H2888" t="str">
            <v>57/58</v>
          </cell>
          <cell r="I2888">
            <v>300</v>
          </cell>
          <cell r="J2888">
            <v>3.55</v>
          </cell>
          <cell r="K2888"/>
          <cell r="L2888"/>
          <cell r="M2888"/>
          <cell r="N2888">
            <v>3.6</v>
          </cell>
          <cell r="O2888"/>
          <cell r="P2888"/>
          <cell r="Q2888"/>
          <cell r="R2888">
            <v>4.0999999999999996</v>
          </cell>
          <cell r="S2888"/>
          <cell r="T2888"/>
          <cell r="U2888" t="str">
            <v>YES</v>
          </cell>
          <cell r="V2888">
            <v>15</v>
          </cell>
          <cell r="W2888"/>
          <cell r="X2888" t="str">
            <v>LIVALTEX</v>
          </cell>
          <cell r="Y2888" t="str">
            <v>LIVALTEX 12-APRIL</v>
          </cell>
          <cell r="Z2888" t="str">
            <v>ROSE' MAIL 13/4/17</v>
          </cell>
          <cell r="AA2888"/>
          <cell r="AB2888">
            <v>42807</v>
          </cell>
          <cell r="AC2888">
            <v>2960</v>
          </cell>
        </row>
        <row r="2889">
          <cell r="B2889">
            <v>2957</v>
          </cell>
          <cell r="C2889" t="str">
            <v>TCPJ-118</v>
          </cell>
          <cell r="D2889" t="str">
            <v>JACQUARD</v>
          </cell>
          <cell r="E2889"/>
          <cell r="F2889" t="str">
            <v>T/C 85/15</v>
          </cell>
          <cell r="G2889" t="str">
            <v>85% POLYESTER 15% NYLON</v>
          </cell>
          <cell r="H2889" t="str">
            <v>57/58</v>
          </cell>
          <cell r="I2889">
            <v>277</v>
          </cell>
          <cell r="J2889">
            <v>3.7</v>
          </cell>
          <cell r="K2889"/>
          <cell r="L2889"/>
          <cell r="M2889"/>
          <cell r="N2889">
            <v>3.75</v>
          </cell>
          <cell r="O2889"/>
          <cell r="P2889"/>
          <cell r="Q2889"/>
          <cell r="R2889">
            <v>4.25</v>
          </cell>
          <cell r="S2889"/>
          <cell r="T2889"/>
          <cell r="U2889"/>
          <cell r="V2889">
            <v>15</v>
          </cell>
          <cell r="W2889"/>
          <cell r="X2889" t="str">
            <v>ROSE</v>
          </cell>
          <cell r="Y2889" t="str">
            <v>ROSE 11-MARCH</v>
          </cell>
          <cell r="Z2889" t="str">
            <v xml:space="preserve">ROSE'S MAIL </v>
          </cell>
          <cell r="AA2889"/>
          <cell r="AB2889">
            <v>42807</v>
          </cell>
          <cell r="AC2889">
            <v>2957</v>
          </cell>
        </row>
        <row r="2890">
          <cell r="B2890">
            <v>2955</v>
          </cell>
          <cell r="C2890" t="str">
            <v>T-2059</v>
          </cell>
          <cell r="D2890" t="str">
            <v>FOIL FLOCKING</v>
          </cell>
          <cell r="E2890"/>
          <cell r="F2890" t="str">
            <v>T 100%</v>
          </cell>
          <cell r="G2890" t="str">
            <v>100% POLYESTER</v>
          </cell>
          <cell r="H2890" t="str">
            <v>57/58</v>
          </cell>
          <cell r="I2890">
            <v>145</v>
          </cell>
          <cell r="J2890"/>
          <cell r="K2890">
            <v>3.35</v>
          </cell>
          <cell r="L2890"/>
          <cell r="M2890"/>
          <cell r="N2890"/>
          <cell r="O2890">
            <v>3.4</v>
          </cell>
          <cell r="P2890"/>
          <cell r="Q2890"/>
          <cell r="R2890"/>
          <cell r="S2890">
            <v>3.9</v>
          </cell>
          <cell r="T2890"/>
          <cell r="U2890"/>
          <cell r="V2890">
            <v>15</v>
          </cell>
          <cell r="W2890"/>
          <cell r="X2890" t="str">
            <v>LIVALTEX</v>
          </cell>
          <cell r="Y2890" t="str">
            <v>LIVALTEX 11-MARCH</v>
          </cell>
          <cell r="Z2890" t="str">
            <v>ROSE' MAIL 16/3/17</v>
          </cell>
          <cell r="AA2890"/>
          <cell r="AB2890">
            <v>42807</v>
          </cell>
          <cell r="AC2890">
            <v>2955</v>
          </cell>
        </row>
        <row r="2891">
          <cell r="B2891">
            <v>2954</v>
          </cell>
          <cell r="C2891" t="str">
            <v>SPSJ-037</v>
          </cell>
          <cell r="D2891" t="str">
            <v>YARNDYED DOBBY NEW STRUCTURE-JACQUARD</v>
          </cell>
          <cell r="E2891" t="str">
            <v>200D+200D+150D+300D+75D+32 x 200D+200D+150D+300D+75D+32</v>
          </cell>
          <cell r="F2891" t="str">
            <v>T/R/S 60/35/5</v>
          </cell>
          <cell r="G2891" t="str">
            <v>60% POLYESTER 35% RAYON 5% SPANDEX</v>
          </cell>
          <cell r="H2891" t="str">
            <v>56/57</v>
          </cell>
          <cell r="I2891">
            <v>250</v>
          </cell>
          <cell r="J2891">
            <v>2.87</v>
          </cell>
          <cell r="K2891"/>
          <cell r="L2891"/>
          <cell r="M2891"/>
          <cell r="N2891">
            <v>2.92</v>
          </cell>
          <cell r="O2891"/>
          <cell r="P2891"/>
          <cell r="Q2891"/>
          <cell r="R2891">
            <v>3.52</v>
          </cell>
          <cell r="S2891"/>
          <cell r="T2891"/>
          <cell r="U2891"/>
          <cell r="V2891">
            <v>15</v>
          </cell>
          <cell r="W2891"/>
          <cell r="X2891" t="str">
            <v>LIVALTEX</v>
          </cell>
          <cell r="Y2891" t="str">
            <v>LIVALTEX 12-APRIL</v>
          </cell>
          <cell r="Z2891" t="str">
            <v>ROSE' MAIL 13/4/17</v>
          </cell>
          <cell r="AA2891"/>
          <cell r="AB2891">
            <v>42807</v>
          </cell>
          <cell r="AC2891">
            <v>2954</v>
          </cell>
        </row>
        <row r="2892">
          <cell r="B2892">
            <v>2951</v>
          </cell>
          <cell r="C2892" t="str">
            <v>SP-640</v>
          </cell>
          <cell r="D2892" t="str">
            <v xml:space="preserve">YARNDYED - MELLANGE EFFECT  </v>
          </cell>
          <cell r="E2892" t="str">
            <v>150D+150D+120D+10+100D x 150D+150D+120D+10+100D</v>
          </cell>
          <cell r="F2892" t="str">
            <v>T/S 71/29</v>
          </cell>
          <cell r="G2892" t="str">
            <v>71% POLYESTER 29% SPANDEX</v>
          </cell>
          <cell r="H2892" t="str">
            <v>57/58</v>
          </cell>
          <cell r="I2892">
            <v>310</v>
          </cell>
          <cell r="J2892">
            <v>2.7</v>
          </cell>
          <cell r="K2892"/>
          <cell r="L2892"/>
          <cell r="M2892"/>
          <cell r="N2892">
            <v>2.75</v>
          </cell>
          <cell r="O2892"/>
          <cell r="P2892"/>
          <cell r="Q2892"/>
          <cell r="R2892">
            <v>3.25</v>
          </cell>
          <cell r="S2892"/>
          <cell r="T2892"/>
          <cell r="U2892"/>
          <cell r="V2892">
            <v>15</v>
          </cell>
          <cell r="W2892"/>
          <cell r="X2892" t="str">
            <v>LIVALTEX</v>
          </cell>
          <cell r="Y2892" t="str">
            <v>LIVALTEX 11-MARCH</v>
          </cell>
          <cell r="Z2892" t="str">
            <v>ROSE' MAIL 16/3/17</v>
          </cell>
          <cell r="AA2892"/>
          <cell r="AB2892">
            <v>42807</v>
          </cell>
          <cell r="AC2892">
            <v>2951</v>
          </cell>
        </row>
        <row r="2893">
          <cell r="B2893">
            <v>2950</v>
          </cell>
          <cell r="C2893" t="str">
            <v>SP-639</v>
          </cell>
          <cell r="D2893" t="str">
            <v>YARNDYED - MELLANGE EFFECT</v>
          </cell>
          <cell r="E2893" t="str">
            <v>(200D+200D+150D+300D+75D+32)x(200D+200D+150D+300D+75D+32)</v>
          </cell>
          <cell r="F2893" t="str">
            <v>T/S 90/10</v>
          </cell>
          <cell r="G2893" t="str">
            <v>90% POLYESTER 10% SPAN</v>
          </cell>
          <cell r="H2893" t="str">
            <v>57/58</v>
          </cell>
          <cell r="I2893">
            <v>320</v>
          </cell>
          <cell r="J2893">
            <v>2.4300000000000002</v>
          </cell>
          <cell r="K2893"/>
          <cell r="L2893"/>
          <cell r="M2893"/>
          <cell r="N2893">
            <v>2.48</v>
          </cell>
          <cell r="O2893"/>
          <cell r="P2893"/>
          <cell r="Q2893"/>
          <cell r="R2893">
            <v>2.98</v>
          </cell>
          <cell r="S2893"/>
          <cell r="T2893"/>
          <cell r="U2893"/>
          <cell r="V2893">
            <v>15</v>
          </cell>
          <cell r="W2893"/>
          <cell r="X2893" t="str">
            <v>LIVALTEX</v>
          </cell>
          <cell r="Y2893" t="str">
            <v>LIVALTEX 11-MARCH</v>
          </cell>
          <cell r="Z2893" t="str">
            <v>ROSE' MAIL 16/3/17</v>
          </cell>
          <cell r="AA2893"/>
          <cell r="AB2893">
            <v>42807</v>
          </cell>
          <cell r="AC2893">
            <v>2950</v>
          </cell>
        </row>
        <row r="2894">
          <cell r="B2894">
            <v>2947</v>
          </cell>
          <cell r="C2894" t="str">
            <v>KB-301S</v>
          </cell>
          <cell r="D2894" t="str">
            <v>LEATHER FAKE</v>
          </cell>
          <cell r="E2894"/>
          <cell r="F2894" t="str">
            <v>T 100%</v>
          </cell>
          <cell r="G2894" t="str">
            <v>100% POLYESTER (FACE PU)</v>
          </cell>
          <cell r="H2894" t="str">
            <v>54/55</v>
          </cell>
          <cell r="I2894">
            <v>270</v>
          </cell>
          <cell r="J2894">
            <v>2.77</v>
          </cell>
          <cell r="K2894"/>
          <cell r="L2894"/>
          <cell r="M2894"/>
          <cell r="N2894">
            <v>2.82</v>
          </cell>
          <cell r="O2894"/>
          <cell r="P2894"/>
          <cell r="Q2894"/>
          <cell r="R2894">
            <v>3.32</v>
          </cell>
          <cell r="S2894"/>
          <cell r="T2894"/>
          <cell r="U2894"/>
          <cell r="V2894">
            <v>15</v>
          </cell>
          <cell r="W2894"/>
          <cell r="X2894" t="str">
            <v>LIVALTEX</v>
          </cell>
          <cell r="Y2894" t="str">
            <v>LIVALTEX 11-MARCH</v>
          </cell>
          <cell r="Z2894" t="str">
            <v>ROSE' MAIL 16/3/17</v>
          </cell>
          <cell r="AA2894"/>
          <cell r="AB2894">
            <v>42807</v>
          </cell>
          <cell r="AC2894">
            <v>2947</v>
          </cell>
        </row>
        <row r="2895">
          <cell r="B2895">
            <v>2946</v>
          </cell>
          <cell r="C2895" t="str">
            <v>KB-301G</v>
          </cell>
          <cell r="D2895" t="str">
            <v>LEATHER FAKE</v>
          </cell>
          <cell r="E2895"/>
          <cell r="F2895" t="str">
            <v>T 100%</v>
          </cell>
          <cell r="G2895" t="str">
            <v>100% POLYESTER (FACE PU)</v>
          </cell>
          <cell r="H2895" t="str">
            <v>54/55</v>
          </cell>
          <cell r="I2895">
            <v>270</v>
          </cell>
          <cell r="J2895">
            <v>2.77</v>
          </cell>
          <cell r="K2895"/>
          <cell r="L2895"/>
          <cell r="M2895"/>
          <cell r="N2895">
            <v>2.82</v>
          </cell>
          <cell r="O2895"/>
          <cell r="P2895"/>
          <cell r="Q2895"/>
          <cell r="R2895">
            <v>3.32</v>
          </cell>
          <cell r="S2895"/>
          <cell r="T2895"/>
          <cell r="U2895"/>
          <cell r="V2895">
            <v>15</v>
          </cell>
          <cell r="W2895"/>
          <cell r="X2895" t="str">
            <v>LIVALTEX</v>
          </cell>
          <cell r="Y2895" t="str">
            <v>LIVALTEX 11-MARCH</v>
          </cell>
          <cell r="Z2895" t="str">
            <v>ROSE' MAIL 16/3/17</v>
          </cell>
          <cell r="AA2895"/>
          <cell r="AB2895">
            <v>42807</v>
          </cell>
          <cell r="AC2895">
            <v>2946</v>
          </cell>
        </row>
        <row r="2896">
          <cell r="B2896">
            <v>2945</v>
          </cell>
          <cell r="C2896" t="str">
            <v>K-2895</v>
          </cell>
          <cell r="D2896" t="str">
            <v xml:space="preserve">KNIT JACQ </v>
          </cell>
          <cell r="E2896"/>
          <cell r="F2896" t="str">
            <v>C/T/S 60/35/5</v>
          </cell>
          <cell r="G2896" t="str">
            <v>60% COTTON 35% POLYESTER 5% SPANDEX</v>
          </cell>
          <cell r="H2896" t="str">
            <v>65/66</v>
          </cell>
          <cell r="I2896">
            <v>330</v>
          </cell>
          <cell r="J2896">
            <v>3.68</v>
          </cell>
          <cell r="K2896"/>
          <cell r="L2896"/>
          <cell r="M2896"/>
          <cell r="N2896">
            <v>3.72</v>
          </cell>
          <cell r="O2896"/>
          <cell r="P2896"/>
          <cell r="Q2896"/>
          <cell r="R2896">
            <v>4.22</v>
          </cell>
          <cell r="S2896"/>
          <cell r="T2896"/>
          <cell r="U2896"/>
          <cell r="V2896">
            <v>15</v>
          </cell>
          <cell r="W2896"/>
          <cell r="X2896" t="str">
            <v>LIVALTEX</v>
          </cell>
          <cell r="Y2896" t="str">
            <v>LIVALTEX 11-MARCH</v>
          </cell>
          <cell r="Z2896" t="str">
            <v>ROSE' MAIL 16/3/17</v>
          </cell>
          <cell r="AA2896"/>
          <cell r="AB2896">
            <v>42807</v>
          </cell>
          <cell r="AC2896">
            <v>2945</v>
          </cell>
        </row>
        <row r="2897">
          <cell r="B2897">
            <v>2944</v>
          </cell>
          <cell r="C2897" t="str">
            <v>K-2882</v>
          </cell>
          <cell r="D2897" t="str">
            <v>LEATHER FAKE</v>
          </cell>
          <cell r="E2897"/>
          <cell r="F2897" t="str">
            <v>T 100%</v>
          </cell>
          <cell r="G2897" t="str">
            <v>100% POLYESTER (FACE PU)</v>
          </cell>
          <cell r="H2897" t="str">
            <v>57/58</v>
          </cell>
          <cell r="I2897">
            <v>305</v>
          </cell>
          <cell r="J2897">
            <v>2.8</v>
          </cell>
          <cell r="K2897"/>
          <cell r="L2897"/>
          <cell r="M2897"/>
          <cell r="N2897">
            <v>2.85</v>
          </cell>
          <cell r="O2897"/>
          <cell r="P2897"/>
          <cell r="Q2897"/>
          <cell r="R2897">
            <v>3.35</v>
          </cell>
          <cell r="S2897"/>
          <cell r="T2897"/>
          <cell r="U2897"/>
          <cell r="V2897">
            <v>15</v>
          </cell>
          <cell r="W2897"/>
          <cell r="X2897" t="str">
            <v>LIVALTEX</v>
          </cell>
          <cell r="Y2897" t="str">
            <v>LIVALTEX 11-MARCH</v>
          </cell>
          <cell r="Z2897" t="str">
            <v>ROSE' MAIL 16/3/17</v>
          </cell>
          <cell r="AA2897"/>
          <cell r="AB2897">
            <v>42807</v>
          </cell>
          <cell r="AC2897">
            <v>2944</v>
          </cell>
        </row>
        <row r="2898">
          <cell r="B2898">
            <v>2943</v>
          </cell>
          <cell r="C2898" t="str">
            <v>K-2875</v>
          </cell>
          <cell r="D2898" t="str">
            <v>LEATHER FAKE</v>
          </cell>
          <cell r="E2898"/>
          <cell r="F2898" t="str">
            <v>T/S 92/8</v>
          </cell>
          <cell r="G2898" t="str">
            <v>92% POLYESTER 8% SPAN</v>
          </cell>
          <cell r="H2898" t="str">
            <v>150CM</v>
          </cell>
          <cell r="I2898">
            <v>320</v>
          </cell>
          <cell r="J2898">
            <v>3.1</v>
          </cell>
          <cell r="K2898"/>
          <cell r="L2898"/>
          <cell r="M2898"/>
          <cell r="N2898">
            <v>3.15</v>
          </cell>
          <cell r="O2898"/>
          <cell r="P2898"/>
          <cell r="Q2898"/>
          <cell r="R2898">
            <v>3.65</v>
          </cell>
          <cell r="S2898"/>
          <cell r="T2898"/>
          <cell r="U2898"/>
          <cell r="V2898">
            <v>15</v>
          </cell>
          <cell r="W2898"/>
          <cell r="X2898" t="str">
            <v>LIVALTEX</v>
          </cell>
          <cell r="Y2898" t="str">
            <v>LIVALTEX 11-MARCH</v>
          </cell>
          <cell r="Z2898" t="str">
            <v>ROSE' MAIL 16/3/17</v>
          </cell>
          <cell r="AA2898"/>
          <cell r="AB2898">
            <v>42807</v>
          </cell>
          <cell r="AC2898">
            <v>2943</v>
          </cell>
        </row>
        <row r="2899">
          <cell r="B2899">
            <v>2942</v>
          </cell>
          <cell r="C2899" t="str">
            <v>K-2872</v>
          </cell>
          <cell r="D2899" t="str">
            <v>LEATHER FAKE</v>
          </cell>
          <cell r="E2899"/>
          <cell r="F2899" t="str">
            <v>T/S 92/8</v>
          </cell>
          <cell r="G2899" t="str">
            <v>92% POLYESTER 8% SPAN</v>
          </cell>
          <cell r="H2899" t="str">
            <v>150CM</v>
          </cell>
          <cell r="I2899">
            <v>320</v>
          </cell>
          <cell r="J2899">
            <v>3.1</v>
          </cell>
          <cell r="K2899"/>
          <cell r="L2899"/>
          <cell r="M2899"/>
          <cell r="N2899">
            <v>3.15</v>
          </cell>
          <cell r="O2899"/>
          <cell r="P2899"/>
          <cell r="Q2899"/>
          <cell r="R2899">
            <v>3.65</v>
          </cell>
          <cell r="S2899"/>
          <cell r="T2899"/>
          <cell r="U2899"/>
          <cell r="V2899">
            <v>15</v>
          </cell>
          <cell r="W2899"/>
          <cell r="X2899" t="str">
            <v>LIVALTEX</v>
          </cell>
          <cell r="Y2899" t="str">
            <v>LIVALTEX 11-MARCH</v>
          </cell>
          <cell r="Z2899" t="str">
            <v>ROSE' MAIL 16/3/17</v>
          </cell>
          <cell r="AA2899"/>
          <cell r="AB2899">
            <v>42807</v>
          </cell>
          <cell r="AC2899">
            <v>2942</v>
          </cell>
        </row>
        <row r="2900">
          <cell r="B2900">
            <v>2941</v>
          </cell>
          <cell r="C2900" t="str">
            <v>K-2767A</v>
          </cell>
          <cell r="D2900" t="str">
            <v>KNIT FOIL</v>
          </cell>
          <cell r="E2900"/>
          <cell r="F2900" t="str">
            <v>T 100%</v>
          </cell>
          <cell r="G2900" t="str">
            <v>100% POLYESTER</v>
          </cell>
          <cell r="H2900" t="str">
            <v>57/58</v>
          </cell>
          <cell r="I2900">
            <v>125</v>
          </cell>
          <cell r="J2900"/>
          <cell r="K2900">
            <v>1.95</v>
          </cell>
          <cell r="L2900"/>
          <cell r="M2900"/>
          <cell r="N2900"/>
          <cell r="O2900">
            <v>2</v>
          </cell>
          <cell r="P2900"/>
          <cell r="Q2900"/>
          <cell r="R2900"/>
          <cell r="S2900">
            <v>2.5</v>
          </cell>
          <cell r="T2900"/>
          <cell r="U2900"/>
          <cell r="V2900">
            <v>15</v>
          </cell>
          <cell r="W2900"/>
          <cell r="X2900" t="str">
            <v>LIVALTEX</v>
          </cell>
          <cell r="Y2900" t="str">
            <v>LIVALTEX 11-MARCH</v>
          </cell>
          <cell r="Z2900" t="str">
            <v>ROSE' MAIL 16/3/17</v>
          </cell>
          <cell r="AA2900"/>
          <cell r="AB2900">
            <v>42807</v>
          </cell>
          <cell r="AC2900">
            <v>2941</v>
          </cell>
        </row>
        <row r="2901">
          <cell r="B2901">
            <v>2940</v>
          </cell>
          <cell r="C2901" t="str">
            <v>K-2510</v>
          </cell>
          <cell r="D2901" t="str">
            <v>LEATHER FAKE</v>
          </cell>
          <cell r="E2901"/>
          <cell r="F2901" t="str">
            <v>T 100%</v>
          </cell>
          <cell r="G2901" t="str">
            <v>100% POLYESTER</v>
          </cell>
          <cell r="H2901" t="str">
            <v>57/58</v>
          </cell>
          <cell r="I2901">
            <v>279</v>
          </cell>
          <cell r="J2901"/>
          <cell r="K2901">
            <v>4.7300000000000004</v>
          </cell>
          <cell r="L2901"/>
          <cell r="M2901"/>
          <cell r="N2901"/>
          <cell r="O2901">
            <v>4.78</v>
          </cell>
          <cell r="P2901"/>
          <cell r="Q2901"/>
          <cell r="R2901"/>
          <cell r="S2901">
            <v>5.28</v>
          </cell>
          <cell r="T2901"/>
          <cell r="U2901"/>
          <cell r="V2901">
            <v>15</v>
          </cell>
          <cell r="W2901"/>
          <cell r="X2901" t="str">
            <v>LIVALTEX</v>
          </cell>
          <cell r="Y2901" t="str">
            <v>LIVALTEX 11-MARCH</v>
          </cell>
          <cell r="Z2901" t="str">
            <v>ROSE' MAIL 16/3/17</v>
          </cell>
          <cell r="AA2901"/>
          <cell r="AB2901">
            <v>42807</v>
          </cell>
          <cell r="AC2901">
            <v>2940</v>
          </cell>
        </row>
        <row r="2902">
          <cell r="B2902">
            <v>2939</v>
          </cell>
          <cell r="C2902" t="str">
            <v>W-A144</v>
          </cell>
          <cell r="D2902" t="str">
            <v>DOBBY MESH</v>
          </cell>
          <cell r="E2902"/>
          <cell r="F2902" t="str">
            <v>N/T 50/50</v>
          </cell>
          <cell r="G2902" t="str">
            <v>50%POLYESTER50%NYLON</v>
          </cell>
          <cell r="H2902">
            <v>60</v>
          </cell>
          <cell r="I2902">
            <v>48</v>
          </cell>
          <cell r="J2902">
            <v>0.6</v>
          </cell>
          <cell r="K2902"/>
          <cell r="L2902"/>
          <cell r="M2902"/>
          <cell r="N2902">
            <v>0.61</v>
          </cell>
          <cell r="O2902"/>
          <cell r="P2902"/>
          <cell r="Q2902"/>
          <cell r="R2902">
            <v>0.77</v>
          </cell>
          <cell r="S2902"/>
          <cell r="T2902"/>
          <cell r="U2902"/>
          <cell r="V2902">
            <v>15</v>
          </cell>
          <cell r="W2902"/>
          <cell r="X2902" t="str">
            <v>ANGELA</v>
          </cell>
          <cell r="Y2902" t="str">
            <v>ANGELA 10-MARCH</v>
          </cell>
          <cell r="Z2902" t="str">
            <v>ANGELA' MAIL 10/3/17</v>
          </cell>
          <cell r="AA2902"/>
          <cell r="AB2902">
            <v>42805</v>
          </cell>
          <cell r="AC2902">
            <v>2939</v>
          </cell>
        </row>
        <row r="2903">
          <cell r="B2903">
            <v>2938</v>
          </cell>
          <cell r="C2903" t="str">
            <v>TE-149</v>
          </cell>
          <cell r="D2903" t="str">
            <v>DOBBY/EMBROIDERY</v>
          </cell>
          <cell r="E2903"/>
          <cell r="F2903" t="str">
            <v xml:space="preserve">T 100% </v>
          </cell>
          <cell r="G2903" t="str">
            <v xml:space="preserve">100%POLYESTER </v>
          </cell>
          <cell r="H2903" t="str">
            <v>50/51</v>
          </cell>
          <cell r="I2903">
            <v>120</v>
          </cell>
          <cell r="J2903">
            <v>4.2</v>
          </cell>
          <cell r="K2903"/>
          <cell r="L2903"/>
          <cell r="M2903"/>
          <cell r="N2903">
            <v>4.25</v>
          </cell>
          <cell r="O2903"/>
          <cell r="P2903"/>
          <cell r="Q2903"/>
          <cell r="R2903">
            <v>4.3499999999999996</v>
          </cell>
          <cell r="S2903"/>
          <cell r="T2903"/>
          <cell r="U2903"/>
          <cell r="V2903">
            <v>15</v>
          </cell>
          <cell r="W2903"/>
          <cell r="X2903" t="str">
            <v>LIVALTEX</v>
          </cell>
          <cell r="Y2903" t="str">
            <v>LINDA 16-FEB</v>
          </cell>
          <cell r="Z2903" t="str">
            <v>ROSE' MAIL 9/3/17</v>
          </cell>
          <cell r="AA2903"/>
          <cell r="AB2903">
            <v>42804</v>
          </cell>
          <cell r="AC2903">
            <v>2938</v>
          </cell>
        </row>
        <row r="2904">
          <cell r="B2904">
            <v>2937</v>
          </cell>
          <cell r="C2904" t="str">
            <v>CPE-413</v>
          </cell>
          <cell r="D2904" t="str">
            <v>DOBBY/EMBROIDERY</v>
          </cell>
          <cell r="E2904"/>
          <cell r="F2904" t="str">
            <v>C 100%</v>
          </cell>
          <cell r="G2904" t="str">
            <v>100%COTTON</v>
          </cell>
          <cell r="H2904" t="str">
            <v>50/51</v>
          </cell>
          <cell r="I2904">
            <v>120</v>
          </cell>
          <cell r="J2904">
            <v>4.1500000000000004</v>
          </cell>
          <cell r="K2904"/>
          <cell r="L2904"/>
          <cell r="M2904"/>
          <cell r="N2904">
            <v>4.2</v>
          </cell>
          <cell r="O2904"/>
          <cell r="P2904"/>
          <cell r="Q2904"/>
          <cell r="R2904">
            <v>4.3</v>
          </cell>
          <cell r="S2904"/>
          <cell r="T2904"/>
          <cell r="U2904"/>
          <cell r="V2904">
            <v>15</v>
          </cell>
          <cell r="W2904"/>
          <cell r="X2904" t="str">
            <v>LIVALTEX</v>
          </cell>
          <cell r="Y2904" t="str">
            <v>LINDA 16-FEB</v>
          </cell>
          <cell r="Z2904" t="str">
            <v>ROSE' MAIL 9/3/17</v>
          </cell>
          <cell r="AA2904"/>
          <cell r="AB2904">
            <v>42804</v>
          </cell>
          <cell r="AC2904">
            <v>2937</v>
          </cell>
        </row>
        <row r="2905">
          <cell r="B2905">
            <v>2936</v>
          </cell>
          <cell r="C2905" t="str">
            <v>CPE-412</v>
          </cell>
          <cell r="D2905" t="str">
            <v>DOBBY/EMBROIDERY</v>
          </cell>
          <cell r="E2905"/>
          <cell r="F2905" t="str">
            <v>C 100%</v>
          </cell>
          <cell r="G2905" t="str">
            <v>100%COTTON</v>
          </cell>
          <cell r="H2905" t="str">
            <v>50/51</v>
          </cell>
          <cell r="I2905">
            <v>145</v>
          </cell>
          <cell r="J2905">
            <v>4.1500000000000004</v>
          </cell>
          <cell r="K2905"/>
          <cell r="L2905"/>
          <cell r="M2905"/>
          <cell r="N2905">
            <v>4.2</v>
          </cell>
          <cell r="O2905"/>
          <cell r="P2905"/>
          <cell r="Q2905"/>
          <cell r="R2905">
            <v>4.3</v>
          </cell>
          <cell r="S2905"/>
          <cell r="T2905"/>
          <cell r="U2905"/>
          <cell r="V2905">
            <v>15</v>
          </cell>
          <cell r="W2905"/>
          <cell r="X2905" t="str">
            <v>LIVALTEX</v>
          </cell>
          <cell r="Y2905" t="str">
            <v>LINDA 16-FEB</v>
          </cell>
          <cell r="Z2905" t="str">
            <v>ROSE' MAIL 9/3/17</v>
          </cell>
          <cell r="AA2905"/>
          <cell r="AB2905">
            <v>42804</v>
          </cell>
          <cell r="AC2905">
            <v>2936</v>
          </cell>
        </row>
        <row r="2906">
          <cell r="B2906">
            <v>2935</v>
          </cell>
          <cell r="C2906" t="str">
            <v>CPK-229</v>
          </cell>
          <cell r="D2906" t="str">
            <v>DOBBY/EMBROIDERY</v>
          </cell>
          <cell r="E2906"/>
          <cell r="F2906" t="str">
            <v>C 100%</v>
          </cell>
          <cell r="G2906" t="str">
            <v>100%COTTON</v>
          </cell>
          <cell r="H2906" t="str">
            <v>56/57</v>
          </cell>
          <cell r="I2906">
            <v>105</v>
          </cell>
          <cell r="J2906">
            <v>2.21</v>
          </cell>
          <cell r="K2906"/>
          <cell r="L2906"/>
          <cell r="M2906"/>
          <cell r="N2906">
            <v>2.2599999999999998</v>
          </cell>
          <cell r="O2906"/>
          <cell r="P2906"/>
          <cell r="Q2906"/>
          <cell r="R2906">
            <v>2.66</v>
          </cell>
          <cell r="S2906"/>
          <cell r="T2906"/>
          <cell r="U2906"/>
          <cell r="V2906">
            <v>15</v>
          </cell>
          <cell r="W2906"/>
          <cell r="X2906" t="str">
            <v>LIVALTEX</v>
          </cell>
          <cell r="Y2906" t="str">
            <v>LINDA 16-FEB</v>
          </cell>
          <cell r="Z2906" t="str">
            <v>ROSE' MAIL 9/3/17</v>
          </cell>
          <cell r="AA2906"/>
          <cell r="AB2906">
            <v>42804</v>
          </cell>
          <cell r="AC2906">
            <v>2935</v>
          </cell>
        </row>
        <row r="2907">
          <cell r="B2907">
            <v>2934</v>
          </cell>
          <cell r="C2907" t="str">
            <v>M-435</v>
          </cell>
          <cell r="D2907" t="str">
            <v>LACE</v>
          </cell>
          <cell r="E2907"/>
          <cell r="F2907" t="str">
            <v>C/N 70/30</v>
          </cell>
          <cell r="G2907" t="str">
            <v>70% COTTON 30%NYLON</v>
          </cell>
          <cell r="H2907" t="str">
            <v>57/58</v>
          </cell>
          <cell r="I2907">
            <v>109</v>
          </cell>
          <cell r="J2907">
            <v>2.5499999999999998</v>
          </cell>
          <cell r="K2907"/>
          <cell r="L2907"/>
          <cell r="M2907"/>
          <cell r="N2907">
            <v>2.6</v>
          </cell>
          <cell r="O2907"/>
          <cell r="P2907"/>
          <cell r="Q2907"/>
          <cell r="R2907">
            <v>2.7</v>
          </cell>
          <cell r="S2907"/>
          <cell r="T2907"/>
          <cell r="U2907"/>
          <cell r="V2907">
            <v>15</v>
          </cell>
          <cell r="W2907"/>
          <cell r="X2907" t="str">
            <v>LIVALTEX</v>
          </cell>
          <cell r="Y2907" t="str">
            <v>LINDA 16-FEB</v>
          </cell>
          <cell r="Z2907" t="str">
            <v>ROSE' MAIL 9/3/17</v>
          </cell>
          <cell r="AA2907"/>
          <cell r="AB2907">
            <v>42804</v>
          </cell>
          <cell r="AC2907">
            <v>2934</v>
          </cell>
        </row>
        <row r="2908">
          <cell r="B2908">
            <v>2933</v>
          </cell>
          <cell r="C2908" t="str">
            <v>M-434</v>
          </cell>
          <cell r="D2908" t="str">
            <v>LACE</v>
          </cell>
          <cell r="E2908"/>
          <cell r="F2908" t="str">
            <v>C/N 70/30</v>
          </cell>
          <cell r="G2908" t="str">
            <v>70% COTTON 30%NYLON</v>
          </cell>
          <cell r="H2908" t="str">
            <v>57/58</v>
          </cell>
          <cell r="I2908">
            <v>119</v>
          </cell>
          <cell r="J2908">
            <v>2.5499999999999998</v>
          </cell>
          <cell r="K2908"/>
          <cell r="L2908"/>
          <cell r="M2908"/>
          <cell r="N2908">
            <v>2.6</v>
          </cell>
          <cell r="O2908"/>
          <cell r="P2908"/>
          <cell r="Q2908"/>
          <cell r="R2908">
            <v>2.7</v>
          </cell>
          <cell r="S2908"/>
          <cell r="T2908"/>
          <cell r="U2908"/>
          <cell r="V2908">
            <v>15</v>
          </cell>
          <cell r="W2908"/>
          <cell r="X2908" t="str">
            <v>LIVALTEX</v>
          </cell>
          <cell r="Y2908" t="str">
            <v>LINDA 16-FEB</v>
          </cell>
          <cell r="Z2908" t="str">
            <v>ROSE' MAIL 9/3/17</v>
          </cell>
          <cell r="AA2908"/>
          <cell r="AB2908">
            <v>42804</v>
          </cell>
          <cell r="AC2908">
            <v>2933</v>
          </cell>
        </row>
        <row r="2909">
          <cell r="B2909">
            <v>1773</v>
          </cell>
          <cell r="C2909" t="str">
            <v>ST-W6248</v>
          </cell>
          <cell r="D2909" t="str">
            <v>CREPE</v>
          </cell>
          <cell r="E2909" t="str">
            <v>(100D+40D) x (100D+40D) / 50x38</v>
          </cell>
          <cell r="F2909" t="str">
            <v>T/S 97/3</v>
          </cell>
          <cell r="G2909" t="str">
            <v>97% POLYESTER 3% SPAN</v>
          </cell>
          <cell r="H2909" t="str">
            <v>143CM</v>
          </cell>
          <cell r="I2909">
            <v>173</v>
          </cell>
          <cell r="J2909">
            <v>1.75</v>
          </cell>
          <cell r="K2909">
            <v>1.9</v>
          </cell>
          <cell r="L2909"/>
          <cell r="M2909"/>
          <cell r="N2909">
            <v>1.81</v>
          </cell>
          <cell r="O2909">
            <v>1.96</v>
          </cell>
          <cell r="P2909"/>
          <cell r="Q2909"/>
          <cell r="R2909">
            <v>1.84</v>
          </cell>
          <cell r="S2909">
            <v>2</v>
          </cell>
          <cell r="T2909"/>
          <cell r="U2909"/>
          <cell r="V2909">
            <v>15</v>
          </cell>
          <cell r="W2909"/>
          <cell r="X2909" t="str">
            <v>SIGER</v>
          </cell>
          <cell r="Y2909" t="str">
            <v>SIGER 9-MARCH</v>
          </cell>
          <cell r="Z2909" t="str">
            <v>SIGER' MAIL 10/3/17</v>
          </cell>
          <cell r="AA2909"/>
          <cell r="AB2909">
            <v>42804</v>
          </cell>
          <cell r="AC2909">
            <v>1773</v>
          </cell>
        </row>
        <row r="2910">
          <cell r="B2910">
            <v>1590</v>
          </cell>
          <cell r="C2910" t="str">
            <v>ST-W5326</v>
          </cell>
          <cell r="D2910"/>
          <cell r="E2910" t="str">
            <v>(50+68) x (50+68)</v>
          </cell>
          <cell r="F2910" t="str">
            <v>T 100%</v>
          </cell>
          <cell r="G2910" t="str">
            <v>100% POLYESTER</v>
          </cell>
          <cell r="H2910" t="str">
            <v>57/58</v>
          </cell>
          <cell r="I2910">
            <v>205</v>
          </cell>
          <cell r="J2910">
            <v>1.7</v>
          </cell>
          <cell r="K2910">
            <v>1.87</v>
          </cell>
          <cell r="L2910"/>
          <cell r="M2910"/>
          <cell r="N2910">
            <v>1.77</v>
          </cell>
          <cell r="O2910">
            <v>1.94</v>
          </cell>
          <cell r="P2910"/>
          <cell r="Q2910"/>
          <cell r="R2910">
            <v>1.8</v>
          </cell>
          <cell r="S2910">
            <v>2.02</v>
          </cell>
          <cell r="T2910"/>
          <cell r="U2910"/>
          <cell r="V2910">
            <v>15</v>
          </cell>
          <cell r="W2910"/>
          <cell r="X2910" t="str">
            <v>SIGER</v>
          </cell>
          <cell r="Y2910" t="str">
            <v>SIGER 9-MARCH</v>
          </cell>
          <cell r="Z2910" t="str">
            <v>SIGER' MAIL 10/3/17</v>
          </cell>
          <cell r="AA2910"/>
          <cell r="AB2910">
            <v>42804</v>
          </cell>
          <cell r="AC2910">
            <v>1590</v>
          </cell>
        </row>
        <row r="2911">
          <cell r="B2911">
            <v>2932</v>
          </cell>
          <cell r="C2911" t="str">
            <v>TS-333</v>
          </cell>
          <cell r="D2911" t="str">
            <v>CREPE</v>
          </cell>
          <cell r="E2911"/>
          <cell r="F2911" t="str">
            <v>T/S 98/2</v>
          </cell>
          <cell r="G2911" t="str">
            <v>98% POLYESTER 2% SPAN</v>
          </cell>
          <cell r="H2911" t="str">
            <v>57/58</v>
          </cell>
          <cell r="I2911">
            <v>160</v>
          </cell>
          <cell r="J2911">
            <v>1.42</v>
          </cell>
          <cell r="K2911">
            <v>1.59</v>
          </cell>
          <cell r="L2911"/>
          <cell r="M2911"/>
          <cell r="N2911">
            <v>1.45</v>
          </cell>
          <cell r="O2911">
            <v>1.65</v>
          </cell>
          <cell r="P2911"/>
          <cell r="Q2911"/>
          <cell r="R2911">
            <v>1.6</v>
          </cell>
          <cell r="S2911">
            <v>1.85</v>
          </cell>
          <cell r="T2911"/>
          <cell r="U2911"/>
          <cell r="V2911">
            <v>15</v>
          </cell>
          <cell r="W2911"/>
          <cell r="X2911" t="str">
            <v>GAVIN</v>
          </cell>
          <cell r="Y2911" t="str">
            <v>GAVIN 6-MARCH</v>
          </cell>
          <cell r="Z2911" t="str">
            <v>GAVIN' MAIL 6/3/17</v>
          </cell>
          <cell r="AA2911"/>
          <cell r="AB2911">
            <v>42803</v>
          </cell>
          <cell r="AC2911">
            <v>2932</v>
          </cell>
        </row>
        <row r="2912">
          <cell r="B2912">
            <v>2931</v>
          </cell>
          <cell r="C2912" t="str">
            <v>TS-334</v>
          </cell>
          <cell r="D2912" t="str">
            <v>CREPE ONE FACE</v>
          </cell>
          <cell r="E2912"/>
          <cell r="F2912" t="str">
            <v>T 100%</v>
          </cell>
          <cell r="G2912" t="str">
            <v>100% POLYESTER</v>
          </cell>
          <cell r="H2912" t="str">
            <v>57/58</v>
          </cell>
          <cell r="I2912">
            <v>250</v>
          </cell>
          <cell r="J2912">
            <v>2.27</v>
          </cell>
          <cell r="K2912">
            <v>2.44</v>
          </cell>
          <cell r="L2912"/>
          <cell r="M2912"/>
          <cell r="N2912">
            <v>2.2999999999999998</v>
          </cell>
          <cell r="O2912">
            <v>2.5</v>
          </cell>
          <cell r="P2912"/>
          <cell r="Q2912"/>
          <cell r="R2912">
            <v>2.4500000000000002</v>
          </cell>
          <cell r="S2912">
            <v>2.75</v>
          </cell>
          <cell r="T2912"/>
          <cell r="U2912"/>
          <cell r="V2912">
            <v>15</v>
          </cell>
          <cell r="W2912"/>
          <cell r="X2912" t="str">
            <v>GAVIN</v>
          </cell>
          <cell r="Y2912" t="str">
            <v>GAVIN 6-MARCH</v>
          </cell>
          <cell r="Z2912" t="str">
            <v>GAVIN' MAIL 6/3/17</v>
          </cell>
          <cell r="AA2912"/>
          <cell r="AB2912">
            <v>42803</v>
          </cell>
          <cell r="AC2912">
            <v>2931</v>
          </cell>
        </row>
        <row r="2913">
          <cell r="B2913">
            <v>2930</v>
          </cell>
          <cell r="C2913" t="str">
            <v>BO-316</v>
          </cell>
          <cell r="D2913" t="str">
            <v>VELVET BURNOUT</v>
          </cell>
          <cell r="E2913"/>
          <cell r="F2913" t="str">
            <v>V/N 75/25</v>
          </cell>
          <cell r="G2913" t="str">
            <v>75% VISCOSE 25% NYLON</v>
          </cell>
          <cell r="H2913" t="str">
            <v>140CM</v>
          </cell>
          <cell r="I2913"/>
          <cell r="J2913"/>
          <cell r="K2913">
            <v>4.9000000000000004</v>
          </cell>
          <cell r="L2913"/>
          <cell r="M2913"/>
          <cell r="N2913"/>
          <cell r="O2913">
            <v>4.95</v>
          </cell>
          <cell r="P2913"/>
          <cell r="Q2913"/>
          <cell r="R2913"/>
          <cell r="S2913">
            <v>5.45</v>
          </cell>
          <cell r="T2913"/>
          <cell r="U2913"/>
          <cell r="V2913">
            <v>15</v>
          </cell>
          <cell r="W2913" t="str">
            <v>MAKE CODE TO SEND TO SEARS</v>
          </cell>
          <cell r="X2913" t="str">
            <v>LIVALTEX</v>
          </cell>
          <cell r="Y2913" t="str">
            <v>LINDA 16-FEB</v>
          </cell>
          <cell r="Z2913" t="str">
            <v>ROSE' MAIL 9/3/17</v>
          </cell>
          <cell r="AA2913"/>
          <cell r="AB2913">
            <v>42803</v>
          </cell>
          <cell r="AC2913">
            <v>2930</v>
          </cell>
        </row>
        <row r="2914">
          <cell r="B2914">
            <v>2929</v>
          </cell>
          <cell r="C2914" t="str">
            <v>SP-645</v>
          </cell>
          <cell r="D2914" t="str">
            <v>VELVET</v>
          </cell>
          <cell r="E2914"/>
          <cell r="F2914" t="str">
            <v>R/N 70/30</v>
          </cell>
          <cell r="G2914" t="str">
            <v>70% RAYON 30% NYLON</v>
          </cell>
          <cell r="H2914" t="str">
            <v>140CM</v>
          </cell>
          <cell r="I2914">
            <v>150</v>
          </cell>
          <cell r="J2914">
            <v>5.2</v>
          </cell>
          <cell r="K2914"/>
          <cell r="L2914"/>
          <cell r="M2914"/>
          <cell r="N2914">
            <v>5.25</v>
          </cell>
          <cell r="O2914"/>
          <cell r="P2914"/>
          <cell r="Q2914"/>
          <cell r="R2914">
            <v>5.55</v>
          </cell>
          <cell r="S2914"/>
          <cell r="T2914"/>
          <cell r="U2914"/>
          <cell r="V2914">
            <v>15</v>
          </cell>
          <cell r="W2914" t="str">
            <v>MAKE CODE TO SEND TO SEARS</v>
          </cell>
          <cell r="X2914" t="str">
            <v>LIVALTEX</v>
          </cell>
          <cell r="Y2914" t="str">
            <v>LINDA 16-FEB</v>
          </cell>
          <cell r="Z2914" t="str">
            <v>ROSE' MAIL 9/3/17</v>
          </cell>
          <cell r="AA2914"/>
          <cell r="AB2914">
            <v>42803</v>
          </cell>
          <cell r="AC2914">
            <v>2929</v>
          </cell>
        </row>
        <row r="2915">
          <cell r="B2915">
            <v>2927</v>
          </cell>
          <cell r="C2915" t="str">
            <v>KPK-22128</v>
          </cell>
          <cell r="D2915" t="str">
            <v>VELVET PLEAT</v>
          </cell>
          <cell r="E2915"/>
          <cell r="F2915" t="str">
            <v>T/S 95/5</v>
          </cell>
          <cell r="G2915" t="str">
            <v>95%POLYESTER 5% SPANDEX</v>
          </cell>
          <cell r="H2915" t="str">
            <v>164CM</v>
          </cell>
          <cell r="I2915">
            <v>301</v>
          </cell>
          <cell r="J2915">
            <v>3.1</v>
          </cell>
          <cell r="K2915"/>
          <cell r="L2915"/>
          <cell r="M2915"/>
          <cell r="N2915">
            <v>3.2</v>
          </cell>
          <cell r="O2915"/>
          <cell r="P2915"/>
          <cell r="Q2915"/>
          <cell r="R2915">
            <v>3.5200000000000005</v>
          </cell>
          <cell r="S2915"/>
          <cell r="T2915"/>
          <cell r="U2915"/>
          <cell r="V2915">
            <v>15</v>
          </cell>
          <cell r="W2915"/>
          <cell r="X2915" t="str">
            <v>PANI</v>
          </cell>
          <cell r="Y2915" t="str">
            <v>PANI 27-FEB</v>
          </cell>
          <cell r="Z2915" t="str">
            <v>AMY' MAIL 3/3/17</v>
          </cell>
          <cell r="AA2915"/>
          <cell r="AB2915">
            <v>42803</v>
          </cell>
          <cell r="AC2915">
            <v>2927</v>
          </cell>
        </row>
        <row r="2916">
          <cell r="B2916">
            <v>2926</v>
          </cell>
          <cell r="C2916" t="str">
            <v>BO-315</v>
          </cell>
          <cell r="D2916" t="str">
            <v>VELVET BURNOUT</v>
          </cell>
          <cell r="E2916"/>
          <cell r="F2916" t="str">
            <v>N/R</v>
          </cell>
          <cell r="G2916" t="str">
            <v xml:space="preserve">NYLON/RAYON </v>
          </cell>
          <cell r="H2916" t="str">
            <v>140CM</v>
          </cell>
          <cell r="I2916"/>
          <cell r="J2916"/>
          <cell r="K2916">
            <v>5.05</v>
          </cell>
          <cell r="L2916"/>
          <cell r="M2916"/>
          <cell r="N2916"/>
          <cell r="O2916">
            <v>5.0999999999999996</v>
          </cell>
          <cell r="P2916"/>
          <cell r="Q2916"/>
          <cell r="R2916"/>
          <cell r="S2916">
            <v>5.6</v>
          </cell>
          <cell r="T2916"/>
          <cell r="U2916"/>
          <cell r="V2916">
            <v>15</v>
          </cell>
          <cell r="W2916"/>
          <cell r="X2916" t="str">
            <v>LIVALTEX</v>
          </cell>
          <cell r="Y2916" t="str">
            <v>LIVALTEX 7-MARCH</v>
          </cell>
          <cell r="Z2916" t="str">
            <v>ROSE' MAIL 7/3/17</v>
          </cell>
          <cell r="AA2916"/>
          <cell r="AB2916">
            <v>42803</v>
          </cell>
          <cell r="AC2916">
            <v>2926</v>
          </cell>
        </row>
        <row r="2917">
          <cell r="B2917">
            <v>2925</v>
          </cell>
          <cell r="C2917" t="str">
            <v>K-2902</v>
          </cell>
          <cell r="D2917" t="str">
            <v>VELVET FOIL</v>
          </cell>
          <cell r="E2917"/>
          <cell r="F2917" t="str">
            <v>T/S</v>
          </cell>
          <cell r="G2917" t="str">
            <v>POLYESTER/SPAN</v>
          </cell>
          <cell r="H2917" t="str">
            <v>60/61</v>
          </cell>
          <cell r="I2917">
            <v>280</v>
          </cell>
          <cell r="J2917"/>
          <cell r="K2917">
            <v>3.05</v>
          </cell>
          <cell r="L2917"/>
          <cell r="M2917"/>
          <cell r="N2917"/>
          <cell r="O2917">
            <v>3.1</v>
          </cell>
          <cell r="P2917"/>
          <cell r="Q2917"/>
          <cell r="R2917"/>
          <cell r="S2917">
            <v>3.6</v>
          </cell>
          <cell r="T2917"/>
          <cell r="U2917"/>
          <cell r="V2917">
            <v>15</v>
          </cell>
          <cell r="W2917"/>
          <cell r="X2917" t="str">
            <v>LIVALTEX</v>
          </cell>
          <cell r="Y2917" t="str">
            <v>LIVALTEX 7-MARCH</v>
          </cell>
          <cell r="Z2917" t="str">
            <v>ROSE' MAIL 7/3/17</v>
          </cell>
          <cell r="AA2917"/>
          <cell r="AB2917">
            <v>42803</v>
          </cell>
          <cell r="AC2917">
            <v>2925</v>
          </cell>
        </row>
        <row r="2918">
          <cell r="B2918">
            <v>2924</v>
          </cell>
          <cell r="C2918" t="str">
            <v>K-2903</v>
          </cell>
          <cell r="D2918" t="str">
            <v>VELVET FOIL</v>
          </cell>
          <cell r="E2918"/>
          <cell r="F2918" t="str">
            <v>T/S</v>
          </cell>
          <cell r="G2918" t="str">
            <v>POLYESTER/SPAN</v>
          </cell>
          <cell r="H2918" t="str">
            <v>60/61</v>
          </cell>
          <cell r="I2918">
            <v>258</v>
          </cell>
          <cell r="J2918"/>
          <cell r="K2918">
            <v>3.05</v>
          </cell>
          <cell r="L2918"/>
          <cell r="M2918"/>
          <cell r="N2918"/>
          <cell r="O2918">
            <v>3.1</v>
          </cell>
          <cell r="P2918"/>
          <cell r="Q2918"/>
          <cell r="R2918"/>
          <cell r="S2918">
            <v>3.6</v>
          </cell>
          <cell r="T2918"/>
          <cell r="U2918"/>
          <cell r="V2918">
            <v>15</v>
          </cell>
          <cell r="W2918"/>
          <cell r="X2918" t="str">
            <v>LIVALTEX</v>
          </cell>
          <cell r="Y2918" t="str">
            <v>LIVALTEX 7-MARCH</v>
          </cell>
          <cell r="Z2918" t="str">
            <v>ROSE' MAIL 7/3/17</v>
          </cell>
          <cell r="AA2918"/>
          <cell r="AB2918">
            <v>42803</v>
          </cell>
          <cell r="AC2918">
            <v>2924</v>
          </cell>
        </row>
        <row r="2919">
          <cell r="B2919">
            <v>2923</v>
          </cell>
          <cell r="C2919" t="str">
            <v>BO-318</v>
          </cell>
          <cell r="D2919" t="str">
            <v>VELVET BURNOUT</v>
          </cell>
          <cell r="E2919"/>
          <cell r="F2919" t="str">
            <v>N/R/S</v>
          </cell>
          <cell r="G2919" t="str">
            <v>NYLON/RAYON/SPANDEX</v>
          </cell>
          <cell r="H2919" t="str">
            <v>57/58</v>
          </cell>
          <cell r="I2919"/>
          <cell r="J2919">
            <v>4.25</v>
          </cell>
          <cell r="K2919"/>
          <cell r="L2919"/>
          <cell r="M2919"/>
          <cell r="N2919">
            <v>4.3</v>
          </cell>
          <cell r="O2919"/>
          <cell r="P2919"/>
          <cell r="Q2919"/>
          <cell r="R2919">
            <v>4.5999999999999996</v>
          </cell>
          <cell r="S2919"/>
          <cell r="T2919"/>
          <cell r="U2919"/>
          <cell r="V2919">
            <v>15</v>
          </cell>
          <cell r="W2919"/>
          <cell r="X2919" t="str">
            <v>LIVALTEX</v>
          </cell>
          <cell r="Y2919" t="str">
            <v>LIVALTEX 7-MARCH</v>
          </cell>
          <cell r="Z2919" t="str">
            <v>ROSE' MAIL 7/3/17</v>
          </cell>
          <cell r="AA2919"/>
          <cell r="AB2919">
            <v>42803</v>
          </cell>
          <cell r="AC2919">
            <v>2923</v>
          </cell>
        </row>
        <row r="2920">
          <cell r="B2920">
            <v>2922</v>
          </cell>
          <cell r="C2920" t="str">
            <v>K-2901</v>
          </cell>
          <cell r="D2920" t="str">
            <v>SINGLE JERSEY FOIL</v>
          </cell>
          <cell r="E2920"/>
          <cell r="F2920" t="str">
            <v>T/S</v>
          </cell>
          <cell r="G2920" t="str">
            <v>POLYESTER/SPANDEX</v>
          </cell>
          <cell r="H2920" t="str">
            <v>60/61</v>
          </cell>
          <cell r="I2920">
            <v>240</v>
          </cell>
          <cell r="J2920">
            <v>2.6</v>
          </cell>
          <cell r="K2920"/>
          <cell r="L2920"/>
          <cell r="M2920"/>
          <cell r="N2920">
            <v>2.65</v>
          </cell>
          <cell r="O2920"/>
          <cell r="P2920"/>
          <cell r="Q2920"/>
          <cell r="R2920">
            <v>2.95</v>
          </cell>
          <cell r="S2920"/>
          <cell r="T2920"/>
          <cell r="U2920"/>
          <cell r="V2920">
            <v>15</v>
          </cell>
          <cell r="W2920"/>
          <cell r="X2920" t="str">
            <v>LIVALTEX</v>
          </cell>
          <cell r="Y2920" t="str">
            <v>LIVALTEX 7-MARCH</v>
          </cell>
          <cell r="Z2920" t="str">
            <v>ROSE' MAIL 7/3/17</v>
          </cell>
          <cell r="AA2920"/>
          <cell r="AB2920">
            <v>42803</v>
          </cell>
          <cell r="AC2920">
            <v>2922</v>
          </cell>
        </row>
        <row r="2921">
          <cell r="B2921">
            <v>2921</v>
          </cell>
          <cell r="C2921" t="str">
            <v>T-2060</v>
          </cell>
          <cell r="D2921" t="str">
            <v>VELVET METALIC</v>
          </cell>
          <cell r="E2921"/>
          <cell r="F2921" t="str">
            <v>T 100%</v>
          </cell>
          <cell r="G2921" t="str">
            <v>100% POLYESTER</v>
          </cell>
          <cell r="H2921" t="str">
            <v>140CM</v>
          </cell>
          <cell r="I2921">
            <v>174</v>
          </cell>
          <cell r="J2921">
            <v>3.4</v>
          </cell>
          <cell r="K2921"/>
          <cell r="L2921"/>
          <cell r="M2921"/>
          <cell r="N2921">
            <v>3.45</v>
          </cell>
          <cell r="O2921"/>
          <cell r="P2921"/>
          <cell r="Q2921"/>
          <cell r="R2921">
            <v>3.75</v>
          </cell>
          <cell r="S2921"/>
          <cell r="T2921"/>
          <cell r="U2921"/>
          <cell r="V2921">
            <v>15</v>
          </cell>
          <cell r="W2921"/>
          <cell r="X2921" t="str">
            <v>LIVALTEX</v>
          </cell>
          <cell r="Y2921" t="str">
            <v>LIVALTEX 7-MARCH</v>
          </cell>
          <cell r="Z2921" t="str">
            <v>ROSE' MAIL 7/3/17</v>
          </cell>
          <cell r="AA2921"/>
          <cell r="AB2921">
            <v>42803</v>
          </cell>
          <cell r="AC2921">
            <v>2921</v>
          </cell>
        </row>
        <row r="2922">
          <cell r="B2922">
            <v>2697</v>
          </cell>
          <cell r="C2922" t="str">
            <v>BG3258 (FLOCKING)</v>
          </cell>
          <cell r="D2922" t="str">
            <v>SCUBA FLOCKING</v>
          </cell>
          <cell r="E2922"/>
          <cell r="F2922" t="str">
            <v>T/S 94/6</v>
          </cell>
          <cell r="G2922" t="str">
            <v>94% POLYESTER 6% SPAN</v>
          </cell>
          <cell r="H2922" t="str">
            <v>58/59</v>
          </cell>
          <cell r="I2922">
            <v>285</v>
          </cell>
          <cell r="J2922">
            <v>3.05</v>
          </cell>
          <cell r="K2922"/>
          <cell r="L2922"/>
          <cell r="M2922"/>
          <cell r="N2922">
            <v>3.15</v>
          </cell>
          <cell r="O2922"/>
          <cell r="P2922"/>
          <cell r="Q2922"/>
          <cell r="R2922">
            <v>3.35</v>
          </cell>
          <cell r="S2922"/>
          <cell r="T2922"/>
          <cell r="U2922"/>
          <cell r="V2922">
            <v>15</v>
          </cell>
          <cell r="W2922" t="str">
            <v>CHAT WITH ANN IN WECHAT 9/3/17</v>
          </cell>
          <cell r="X2922" t="str">
            <v>ANN</v>
          </cell>
          <cell r="Y2922" t="str">
            <v>ANN 9-MARCH</v>
          </cell>
          <cell r="Z2922" t="str">
            <v>CHAT WITH ANN ON WECHAT</v>
          </cell>
          <cell r="AA2922"/>
          <cell r="AB2922">
            <v>42803</v>
          </cell>
          <cell r="AC2922">
            <v>2697</v>
          </cell>
        </row>
        <row r="2923">
          <cell r="B2923">
            <v>2920</v>
          </cell>
          <cell r="C2923" t="str">
            <v>SH884-1</v>
          </cell>
          <cell r="D2923" t="str">
            <v>MOSS CREPE</v>
          </cell>
          <cell r="E2923"/>
          <cell r="F2923" t="str">
            <v>T 100%</v>
          </cell>
          <cell r="G2923" t="str">
            <v>100% POLYESTER</v>
          </cell>
          <cell r="H2923" t="str">
            <v>150CM</v>
          </cell>
          <cell r="I2923">
            <v>105</v>
          </cell>
          <cell r="J2923">
            <v>1.55</v>
          </cell>
          <cell r="K2923">
            <v>1.8499999999999999</v>
          </cell>
          <cell r="L2923"/>
          <cell r="M2923"/>
          <cell r="N2923">
            <v>1.6</v>
          </cell>
          <cell r="O2923">
            <v>1.9</v>
          </cell>
          <cell r="P2923"/>
          <cell r="Q2923"/>
          <cell r="R2923">
            <v>1.7000000000000002</v>
          </cell>
          <cell r="S2923">
            <v>2</v>
          </cell>
          <cell r="T2923"/>
          <cell r="U2923"/>
          <cell r="V2923">
            <v>15</v>
          </cell>
          <cell r="W2923"/>
          <cell r="X2923" t="str">
            <v>PANI</v>
          </cell>
          <cell r="Y2923" t="str">
            <v>PANI 4-MARCH</v>
          </cell>
          <cell r="Z2923" t="str">
            <v>AMY' MAIL 7/3/17</v>
          </cell>
          <cell r="AA2923"/>
          <cell r="AB2923">
            <v>42802</v>
          </cell>
          <cell r="AC2923">
            <v>2920</v>
          </cell>
        </row>
        <row r="2924">
          <cell r="B2924">
            <v>2919</v>
          </cell>
          <cell r="C2924" t="str">
            <v>WW-21859-2</v>
          </cell>
          <cell r="D2924" t="str">
            <v>POLY SATEEN</v>
          </cell>
          <cell r="E2924"/>
          <cell r="F2924" t="str">
            <v>T 100%</v>
          </cell>
          <cell r="G2924" t="str">
            <v>100% POLYESTER</v>
          </cell>
          <cell r="H2924" t="str">
            <v>57/58</v>
          </cell>
          <cell r="I2924">
            <v>120</v>
          </cell>
          <cell r="J2924">
            <v>1.55</v>
          </cell>
          <cell r="K2924">
            <v>1.8499999999999999</v>
          </cell>
          <cell r="L2924"/>
          <cell r="M2924"/>
          <cell r="N2924">
            <v>1.6</v>
          </cell>
          <cell r="O2924">
            <v>1.9</v>
          </cell>
          <cell r="P2924"/>
          <cell r="Q2924"/>
          <cell r="R2924">
            <v>1.7000000000000002</v>
          </cell>
          <cell r="S2924">
            <v>2</v>
          </cell>
          <cell r="T2924"/>
          <cell r="U2924"/>
          <cell r="V2924">
            <v>15</v>
          </cell>
          <cell r="W2924"/>
          <cell r="X2924" t="str">
            <v>PANI</v>
          </cell>
          <cell r="Y2924" t="str">
            <v>PANI 4-MARCH</v>
          </cell>
          <cell r="Z2924" t="str">
            <v>AMY' MAIL 7/3/17</v>
          </cell>
          <cell r="AA2924"/>
          <cell r="AB2924">
            <v>42802</v>
          </cell>
          <cell r="AC2924">
            <v>2919</v>
          </cell>
        </row>
        <row r="2925">
          <cell r="B2925">
            <v>2918</v>
          </cell>
          <cell r="C2925" t="str">
            <v>WW-21534</v>
          </cell>
          <cell r="D2925"/>
          <cell r="E2925"/>
          <cell r="F2925" t="str">
            <v>T/S 95/5</v>
          </cell>
          <cell r="G2925" t="str">
            <v>95% POLYESTER 5% SPANDEX</v>
          </cell>
          <cell r="H2925" t="str">
            <v>57/58</v>
          </cell>
          <cell r="I2925">
            <v>265</v>
          </cell>
          <cell r="J2925">
            <v>2.6500000000000004</v>
          </cell>
          <cell r="K2925">
            <v>3.1500000000000004</v>
          </cell>
          <cell r="L2925"/>
          <cell r="M2925"/>
          <cell r="N2925">
            <v>2.7</v>
          </cell>
          <cell r="O2925">
            <v>3.2</v>
          </cell>
          <cell r="P2925"/>
          <cell r="Q2925"/>
          <cell r="R2925">
            <v>2.8000000000000003</v>
          </cell>
          <cell r="S2925">
            <v>3.3000000000000003</v>
          </cell>
          <cell r="T2925"/>
          <cell r="U2925"/>
          <cell r="V2925">
            <v>15</v>
          </cell>
          <cell r="W2925"/>
          <cell r="X2925" t="str">
            <v>PANI</v>
          </cell>
          <cell r="Y2925" t="str">
            <v>PANI 4-MARCH</v>
          </cell>
          <cell r="Z2925" t="str">
            <v>AMY' MAIL 7/3/17</v>
          </cell>
          <cell r="AA2925"/>
          <cell r="AB2925">
            <v>42802</v>
          </cell>
          <cell r="AC2925">
            <v>2918</v>
          </cell>
        </row>
        <row r="2926">
          <cell r="B2926">
            <v>2917</v>
          </cell>
          <cell r="C2926" t="str">
            <v>WW-23335</v>
          </cell>
          <cell r="D2926" t="str">
            <v>SATEEN</v>
          </cell>
          <cell r="E2926"/>
          <cell r="F2926" t="str">
            <v>T 100%</v>
          </cell>
          <cell r="G2926" t="str">
            <v>100% POLYESTER</v>
          </cell>
          <cell r="H2926" t="str">
            <v>57/58</v>
          </cell>
          <cell r="I2926">
            <v>140</v>
          </cell>
          <cell r="J2926">
            <v>1.4</v>
          </cell>
          <cell r="K2926">
            <v>1.75</v>
          </cell>
          <cell r="L2926"/>
          <cell r="M2926"/>
          <cell r="N2926">
            <v>1.45</v>
          </cell>
          <cell r="O2926">
            <v>1.8</v>
          </cell>
          <cell r="P2926"/>
          <cell r="Q2926"/>
          <cell r="R2926">
            <v>1.55</v>
          </cell>
          <cell r="S2926">
            <v>1.9000000000000001</v>
          </cell>
          <cell r="T2926"/>
          <cell r="U2926"/>
          <cell r="V2926">
            <v>15</v>
          </cell>
          <cell r="W2926"/>
          <cell r="X2926" t="str">
            <v>PANI</v>
          </cell>
          <cell r="Y2926" t="str">
            <v>PANI 4-MARCH</v>
          </cell>
          <cell r="Z2926" t="str">
            <v>AMY' MAIL 7/3/17</v>
          </cell>
          <cell r="AA2926"/>
          <cell r="AB2926">
            <v>42802</v>
          </cell>
          <cell r="AC2926">
            <v>2917</v>
          </cell>
        </row>
        <row r="2927">
          <cell r="B2927">
            <v>2916</v>
          </cell>
          <cell r="C2927" t="str">
            <v>WW-22222</v>
          </cell>
          <cell r="D2927" t="str">
            <v>SATEEN</v>
          </cell>
          <cell r="E2927"/>
          <cell r="F2927" t="str">
            <v>T 100%</v>
          </cell>
          <cell r="G2927" t="str">
            <v>100% POLYESTER</v>
          </cell>
          <cell r="H2927" t="str">
            <v>57/58</v>
          </cell>
          <cell r="I2927">
            <v>135</v>
          </cell>
          <cell r="J2927">
            <v>1.55</v>
          </cell>
          <cell r="K2927">
            <v>1.8499999999999999</v>
          </cell>
          <cell r="L2927"/>
          <cell r="M2927"/>
          <cell r="N2927">
            <v>1.6</v>
          </cell>
          <cell r="O2927">
            <v>1.9</v>
          </cell>
          <cell r="P2927"/>
          <cell r="Q2927"/>
          <cell r="R2927">
            <v>1.7000000000000002</v>
          </cell>
          <cell r="S2927">
            <v>2</v>
          </cell>
          <cell r="T2927"/>
          <cell r="U2927"/>
          <cell r="V2927">
            <v>15</v>
          </cell>
          <cell r="W2927"/>
          <cell r="X2927" t="str">
            <v>PANI</v>
          </cell>
          <cell r="Y2927" t="str">
            <v>PANI 4-MARCH</v>
          </cell>
          <cell r="Z2927" t="str">
            <v>AMY' MAIL 7/3/17</v>
          </cell>
          <cell r="AA2927"/>
          <cell r="AB2927">
            <v>42802</v>
          </cell>
          <cell r="AC2927">
            <v>2916</v>
          </cell>
        </row>
        <row r="2928">
          <cell r="B2928">
            <v>2915</v>
          </cell>
          <cell r="C2928" t="str">
            <v>WW-22223</v>
          </cell>
          <cell r="D2928" t="str">
            <v>SATEEN</v>
          </cell>
          <cell r="E2928"/>
          <cell r="F2928" t="str">
            <v>T 100%</v>
          </cell>
          <cell r="G2928" t="str">
            <v>100% POLYESTER</v>
          </cell>
          <cell r="H2928" t="str">
            <v>57/58</v>
          </cell>
          <cell r="I2928">
            <v>165</v>
          </cell>
          <cell r="J2928">
            <v>1.75</v>
          </cell>
          <cell r="K2928">
            <v>2.0500000000000003</v>
          </cell>
          <cell r="L2928"/>
          <cell r="M2928"/>
          <cell r="N2928">
            <v>1.8</v>
          </cell>
          <cell r="O2928">
            <v>2.1</v>
          </cell>
          <cell r="P2928"/>
          <cell r="Q2928"/>
          <cell r="R2928">
            <v>1.9000000000000001</v>
          </cell>
          <cell r="S2928">
            <v>2.2000000000000002</v>
          </cell>
          <cell r="T2928"/>
          <cell r="U2928"/>
          <cell r="V2928">
            <v>15</v>
          </cell>
          <cell r="W2928"/>
          <cell r="X2928" t="str">
            <v>PANI</v>
          </cell>
          <cell r="Y2928" t="str">
            <v>PANI 4-MARCH</v>
          </cell>
          <cell r="Z2928" t="str">
            <v>AMY' MAIL 7/3/17</v>
          </cell>
          <cell r="AA2928"/>
          <cell r="AB2928">
            <v>42802</v>
          </cell>
          <cell r="AC2928">
            <v>2915</v>
          </cell>
        </row>
        <row r="2929">
          <cell r="B2929">
            <v>2914</v>
          </cell>
          <cell r="C2929" t="str">
            <v>GL1699 (RING-SPUN)</v>
          </cell>
          <cell r="D2929" t="str">
            <v>SINGLE JERSEY</v>
          </cell>
          <cell r="E2929"/>
          <cell r="F2929" t="str">
            <v>V/S 95/5</v>
          </cell>
          <cell r="G2929" t="str">
            <v>95% VISCOSE 5%SPANDEX</v>
          </cell>
          <cell r="H2929" t="str">
            <v>165CM</v>
          </cell>
          <cell r="I2929">
            <v>180</v>
          </cell>
          <cell r="J2929">
            <v>1.57</v>
          </cell>
          <cell r="K2929"/>
          <cell r="L2929"/>
          <cell r="M2929"/>
          <cell r="N2929">
            <v>1.67</v>
          </cell>
          <cell r="O2929"/>
          <cell r="P2929"/>
          <cell r="Q2929"/>
          <cell r="R2929">
            <v>1.82</v>
          </cell>
          <cell r="S2929"/>
          <cell r="T2929"/>
          <cell r="U2929"/>
          <cell r="V2929">
            <v>0</v>
          </cell>
          <cell r="W2929" t="str">
            <v>Ring-spun - Nicky mail upDate 30/3/17</v>
          </cell>
          <cell r="X2929" t="str">
            <v>NICKY</v>
          </cell>
          <cell r="Y2929" t="str">
            <v>DMCARE-TRI-01</v>
          </cell>
          <cell r="Z2929" t="str">
            <v>NICKY' MAIL 7/3/17</v>
          </cell>
          <cell r="AA2929"/>
          <cell r="AB2929">
            <v>42801</v>
          </cell>
          <cell r="AC2929">
            <v>2914</v>
          </cell>
        </row>
        <row r="2930">
          <cell r="B2930">
            <v>2913</v>
          </cell>
          <cell r="C2930" t="str">
            <v>FL61208-7</v>
          </cell>
          <cell r="D2930" t="str">
            <v>LACE</v>
          </cell>
          <cell r="E2930"/>
          <cell r="F2930" t="str">
            <v>C/N 65/35</v>
          </cell>
          <cell r="G2930" t="str">
            <v>35%NYLON 65%COTTON</v>
          </cell>
          <cell r="H2930" t="str">
            <v>150CM</v>
          </cell>
          <cell r="I2930">
            <v>158</v>
          </cell>
          <cell r="J2930">
            <v>2.66</v>
          </cell>
          <cell r="K2930">
            <v>4.3899999999999997</v>
          </cell>
          <cell r="L2930">
            <v>0</v>
          </cell>
          <cell r="M2930">
            <v>0</v>
          </cell>
          <cell r="N2930">
            <v>2.73</v>
          </cell>
          <cell r="O2930">
            <v>4.46</v>
          </cell>
          <cell r="P2930"/>
          <cell r="Q2930"/>
          <cell r="R2930">
            <v>2.83</v>
          </cell>
          <cell r="S2930">
            <v>4.5599999999999996</v>
          </cell>
          <cell r="T2930"/>
          <cell r="U2930"/>
          <cell r="V2930">
            <v>15</v>
          </cell>
          <cell r="W2930"/>
          <cell r="X2930" t="str">
            <v>SCALER</v>
          </cell>
          <cell r="Y2930" t="str">
            <v>SCALER 24-FEB</v>
          </cell>
          <cell r="Z2930" t="str">
            <v>SCALER' MAIL 1/3/17</v>
          </cell>
          <cell r="AA2930"/>
          <cell r="AB2930">
            <v>42801</v>
          </cell>
          <cell r="AC2930">
            <v>2913</v>
          </cell>
        </row>
        <row r="2931">
          <cell r="B2931">
            <v>2912</v>
          </cell>
          <cell r="C2931" t="str">
            <v>FL61209-8</v>
          </cell>
          <cell r="D2931" t="str">
            <v>LACE</v>
          </cell>
          <cell r="E2931"/>
          <cell r="F2931" t="str">
            <v>C/N 70/30</v>
          </cell>
          <cell r="G2931" t="str">
            <v>30%NYLON 70%COTTON</v>
          </cell>
          <cell r="H2931" t="str">
            <v>150CM</v>
          </cell>
          <cell r="I2931">
            <v>200</v>
          </cell>
          <cell r="J2931">
            <v>2.6</v>
          </cell>
          <cell r="K2931">
            <v>4.25</v>
          </cell>
          <cell r="L2931">
            <v>0</v>
          </cell>
          <cell r="M2931">
            <v>0</v>
          </cell>
          <cell r="N2931">
            <v>2.68</v>
          </cell>
          <cell r="O2931">
            <v>4.33</v>
          </cell>
          <cell r="P2931"/>
          <cell r="Q2931"/>
          <cell r="R2931">
            <v>2.78</v>
          </cell>
          <cell r="S2931">
            <v>4.43</v>
          </cell>
          <cell r="T2931"/>
          <cell r="U2931"/>
          <cell r="V2931">
            <v>15</v>
          </cell>
          <cell r="W2931"/>
          <cell r="X2931" t="str">
            <v>SCALER</v>
          </cell>
          <cell r="Y2931" t="str">
            <v>SCALER 24-FEB</v>
          </cell>
          <cell r="Z2931" t="str">
            <v>SCALER' MAIL 1/3/17</v>
          </cell>
          <cell r="AA2931"/>
          <cell r="AB2931">
            <v>42801</v>
          </cell>
          <cell r="AC2931">
            <v>2912</v>
          </cell>
        </row>
        <row r="2932">
          <cell r="B2932">
            <v>2911</v>
          </cell>
          <cell r="C2932" t="str">
            <v>SH1208</v>
          </cell>
          <cell r="D2932" t="str">
            <v>LACE</v>
          </cell>
          <cell r="E2932"/>
          <cell r="F2932" t="str">
            <v>N/C 80/20</v>
          </cell>
          <cell r="G2932" t="str">
            <v>80% NYLON 20% COTTON</v>
          </cell>
          <cell r="H2932" t="str">
            <v>147CM</v>
          </cell>
          <cell r="I2932">
            <v>190</v>
          </cell>
          <cell r="J2932">
            <v>1.9</v>
          </cell>
          <cell r="K2932"/>
          <cell r="L2932"/>
          <cell r="M2932"/>
          <cell r="N2932">
            <v>2</v>
          </cell>
          <cell r="O2932"/>
          <cell r="P2932"/>
          <cell r="Q2932"/>
          <cell r="R2932">
            <v>2.2000000000000002</v>
          </cell>
          <cell r="S2932"/>
          <cell r="T2932"/>
          <cell r="U2932"/>
          <cell r="V2932">
            <v>15</v>
          </cell>
          <cell r="W2932"/>
          <cell r="X2932" t="str">
            <v>PANI</v>
          </cell>
          <cell r="Y2932" t="str">
            <v>PANI 27-FEB</v>
          </cell>
          <cell r="Z2932" t="str">
            <v>AMY' MAIL 3/3/17</v>
          </cell>
          <cell r="AA2932"/>
          <cell r="AB2932">
            <v>42801</v>
          </cell>
          <cell r="AC2932">
            <v>2911</v>
          </cell>
        </row>
        <row r="2933">
          <cell r="B2933">
            <v>2910</v>
          </cell>
          <cell r="C2933" t="str">
            <v>SH1207</v>
          </cell>
          <cell r="D2933" t="str">
            <v>LACE</v>
          </cell>
          <cell r="E2933"/>
          <cell r="F2933" t="str">
            <v>N/C 80/20</v>
          </cell>
          <cell r="G2933" t="str">
            <v>80% NYLON 20% COTTON</v>
          </cell>
          <cell r="H2933" t="str">
            <v>144CM</v>
          </cell>
          <cell r="I2933">
            <v>150</v>
          </cell>
          <cell r="J2933">
            <v>1.7</v>
          </cell>
          <cell r="K2933"/>
          <cell r="L2933"/>
          <cell r="M2933"/>
          <cell r="N2933">
            <v>1.8</v>
          </cell>
          <cell r="O2933"/>
          <cell r="P2933"/>
          <cell r="Q2933"/>
          <cell r="R2933">
            <v>1.9800000000000002</v>
          </cell>
          <cell r="S2933"/>
          <cell r="T2933"/>
          <cell r="U2933"/>
          <cell r="V2933">
            <v>15</v>
          </cell>
          <cell r="W2933"/>
          <cell r="X2933" t="str">
            <v>PANI</v>
          </cell>
          <cell r="Y2933" t="str">
            <v>PANI 27-FEB</v>
          </cell>
          <cell r="Z2933" t="str">
            <v>AMY' MAIL 3/3/17</v>
          </cell>
          <cell r="AA2933"/>
          <cell r="AB2933">
            <v>42801</v>
          </cell>
          <cell r="AC2933">
            <v>2910</v>
          </cell>
        </row>
        <row r="2934">
          <cell r="B2934">
            <v>2909</v>
          </cell>
          <cell r="C2934" t="str">
            <v>SH1225</v>
          </cell>
          <cell r="D2934" t="str">
            <v>LACE</v>
          </cell>
          <cell r="E2934"/>
          <cell r="F2934" t="str">
            <v>N/C 80/20</v>
          </cell>
          <cell r="G2934" t="str">
            <v>80% NYLON 20% COTTON</v>
          </cell>
          <cell r="H2934" t="str">
            <v>144CM</v>
          </cell>
          <cell r="I2934">
            <v>190</v>
          </cell>
          <cell r="J2934">
            <v>1.9</v>
          </cell>
          <cell r="K2934"/>
          <cell r="L2934"/>
          <cell r="M2934"/>
          <cell r="N2934">
            <v>2</v>
          </cell>
          <cell r="O2934"/>
          <cell r="P2934"/>
          <cell r="Q2934"/>
          <cell r="R2934">
            <v>2.2000000000000002</v>
          </cell>
          <cell r="S2934"/>
          <cell r="T2934"/>
          <cell r="U2934"/>
          <cell r="V2934">
            <v>15</v>
          </cell>
          <cell r="W2934"/>
          <cell r="X2934" t="str">
            <v>PANI</v>
          </cell>
          <cell r="Y2934" t="str">
            <v>PANI 27-FEB</v>
          </cell>
          <cell r="Z2934" t="str">
            <v>AMY' MAIL 3/3/17</v>
          </cell>
          <cell r="AA2934"/>
          <cell r="AB2934">
            <v>42801</v>
          </cell>
          <cell r="AC2934">
            <v>2909</v>
          </cell>
        </row>
        <row r="2935">
          <cell r="B2935">
            <v>2908</v>
          </cell>
          <cell r="C2935" t="str">
            <v>SH1224</v>
          </cell>
          <cell r="D2935" t="str">
            <v>LACE</v>
          </cell>
          <cell r="E2935"/>
          <cell r="F2935" t="str">
            <v>N/C 80/20</v>
          </cell>
          <cell r="G2935" t="str">
            <v>80% NYLON 20% COTTON</v>
          </cell>
          <cell r="H2935" t="str">
            <v>147CM</v>
          </cell>
          <cell r="I2935">
            <v>190</v>
          </cell>
          <cell r="J2935">
            <v>2.1</v>
          </cell>
          <cell r="K2935"/>
          <cell r="L2935"/>
          <cell r="M2935"/>
          <cell r="N2935">
            <v>2.2000000000000002</v>
          </cell>
          <cell r="O2935"/>
          <cell r="P2935"/>
          <cell r="Q2935"/>
          <cell r="R2935">
            <v>2.4200000000000004</v>
          </cell>
          <cell r="S2935"/>
          <cell r="T2935"/>
          <cell r="U2935"/>
          <cell r="V2935">
            <v>15</v>
          </cell>
          <cell r="W2935"/>
          <cell r="X2935" t="str">
            <v>PANI</v>
          </cell>
          <cell r="Y2935" t="str">
            <v>PANI 27-FEB</v>
          </cell>
          <cell r="Z2935" t="str">
            <v>AMY' MAIL 3/3/17</v>
          </cell>
          <cell r="AA2935"/>
          <cell r="AB2935">
            <v>42801</v>
          </cell>
          <cell r="AC2935">
            <v>2908</v>
          </cell>
        </row>
        <row r="2936">
          <cell r="B2936">
            <v>2907</v>
          </cell>
          <cell r="C2936" t="str">
            <v>SH1223</v>
          </cell>
          <cell r="D2936" t="str">
            <v>LACE</v>
          </cell>
          <cell r="E2936"/>
          <cell r="F2936" t="str">
            <v>N/C 85/15</v>
          </cell>
          <cell r="G2936" t="str">
            <v>85% NYLON 15% COTTON</v>
          </cell>
          <cell r="H2936" t="str">
            <v>152CM</v>
          </cell>
          <cell r="I2936">
            <v>230</v>
          </cell>
          <cell r="J2936">
            <v>2.4</v>
          </cell>
          <cell r="K2936"/>
          <cell r="L2936"/>
          <cell r="M2936"/>
          <cell r="N2936">
            <v>2.5</v>
          </cell>
          <cell r="O2936"/>
          <cell r="P2936"/>
          <cell r="Q2936"/>
          <cell r="R2936">
            <v>2.75</v>
          </cell>
          <cell r="S2936"/>
          <cell r="T2936"/>
          <cell r="U2936"/>
          <cell r="V2936">
            <v>15</v>
          </cell>
          <cell r="W2936"/>
          <cell r="X2936" t="str">
            <v>PANI</v>
          </cell>
          <cell r="Y2936" t="str">
            <v>PANI 27-FEB</v>
          </cell>
          <cell r="Z2936" t="str">
            <v>AMY' MAIL 3/3/17</v>
          </cell>
          <cell r="AA2936"/>
          <cell r="AB2936">
            <v>42801</v>
          </cell>
          <cell r="AC2936">
            <v>2907</v>
          </cell>
        </row>
        <row r="2937">
          <cell r="B2937">
            <v>2906</v>
          </cell>
          <cell r="C2937" t="str">
            <v>SH1222</v>
          </cell>
          <cell r="D2937" t="str">
            <v>LACE</v>
          </cell>
          <cell r="E2937"/>
          <cell r="F2937" t="str">
            <v>N/C 85/15</v>
          </cell>
          <cell r="G2937" t="str">
            <v>85% NYLON 15% COTTON</v>
          </cell>
          <cell r="H2937" t="str">
            <v>150CM</v>
          </cell>
          <cell r="I2937">
            <v>200</v>
          </cell>
          <cell r="J2937">
            <v>2.15</v>
          </cell>
          <cell r="K2937"/>
          <cell r="L2937"/>
          <cell r="M2937"/>
          <cell r="N2937">
            <v>2.25</v>
          </cell>
          <cell r="O2937"/>
          <cell r="P2937"/>
          <cell r="Q2937"/>
          <cell r="R2937">
            <v>2.4750000000000001</v>
          </cell>
          <cell r="S2937"/>
          <cell r="T2937"/>
          <cell r="U2937"/>
          <cell r="V2937">
            <v>15</v>
          </cell>
          <cell r="W2937"/>
          <cell r="X2937" t="str">
            <v>PANI</v>
          </cell>
          <cell r="Y2937" t="str">
            <v>PANI 27-FEB</v>
          </cell>
          <cell r="Z2937" t="str">
            <v>AMY' MAIL 3/3/17</v>
          </cell>
          <cell r="AA2937"/>
          <cell r="AB2937">
            <v>42801</v>
          </cell>
          <cell r="AC2937">
            <v>2906</v>
          </cell>
        </row>
        <row r="2938">
          <cell r="B2938">
            <v>2905</v>
          </cell>
          <cell r="C2938" t="str">
            <v>SH1221</v>
          </cell>
          <cell r="D2938" t="str">
            <v>LACE</v>
          </cell>
          <cell r="E2938"/>
          <cell r="F2938" t="str">
            <v>N/C 85/15</v>
          </cell>
          <cell r="G2938" t="str">
            <v>85% NYLON 15% COTTON</v>
          </cell>
          <cell r="H2938" t="str">
            <v>155CM</v>
          </cell>
          <cell r="I2938">
            <v>190</v>
          </cell>
          <cell r="J2938">
            <v>2</v>
          </cell>
          <cell r="K2938"/>
          <cell r="L2938"/>
          <cell r="M2938"/>
          <cell r="N2938">
            <v>2.1</v>
          </cell>
          <cell r="O2938"/>
          <cell r="P2938"/>
          <cell r="Q2938"/>
          <cell r="R2938">
            <v>2.3100000000000005</v>
          </cell>
          <cell r="S2938"/>
          <cell r="T2938"/>
          <cell r="U2938"/>
          <cell r="V2938">
            <v>15</v>
          </cell>
          <cell r="W2938"/>
          <cell r="X2938" t="str">
            <v>PANI</v>
          </cell>
          <cell r="Y2938" t="str">
            <v>PANI 27-FEB</v>
          </cell>
          <cell r="Z2938" t="str">
            <v>AMY' MAIL 3/3/17</v>
          </cell>
          <cell r="AA2938"/>
          <cell r="AB2938">
            <v>42801</v>
          </cell>
          <cell r="AC2938">
            <v>2905</v>
          </cell>
        </row>
        <row r="2939">
          <cell r="B2939">
            <v>2904</v>
          </cell>
          <cell r="C2939" t="str">
            <v>SH1220</v>
          </cell>
          <cell r="D2939" t="str">
            <v>LACE</v>
          </cell>
          <cell r="E2939"/>
          <cell r="F2939" t="str">
            <v>N/C 80/20</v>
          </cell>
          <cell r="G2939" t="str">
            <v>80% NYLON 20% COTTON</v>
          </cell>
          <cell r="H2939" t="str">
            <v>147CM</v>
          </cell>
          <cell r="I2939">
            <v>173</v>
          </cell>
          <cell r="J2939">
            <v>1.9</v>
          </cell>
          <cell r="K2939"/>
          <cell r="L2939"/>
          <cell r="M2939"/>
          <cell r="N2939">
            <v>2</v>
          </cell>
          <cell r="O2939"/>
          <cell r="P2939"/>
          <cell r="Q2939"/>
          <cell r="R2939">
            <v>2.2000000000000002</v>
          </cell>
          <cell r="S2939"/>
          <cell r="T2939"/>
          <cell r="U2939"/>
          <cell r="V2939">
            <v>15</v>
          </cell>
          <cell r="W2939"/>
          <cell r="X2939" t="str">
            <v>PANI</v>
          </cell>
          <cell r="Y2939" t="str">
            <v>PANI 27-FEB</v>
          </cell>
          <cell r="Z2939" t="str">
            <v>AMY' MAIL 3/3/17</v>
          </cell>
          <cell r="AA2939"/>
          <cell r="AB2939">
            <v>42801</v>
          </cell>
          <cell r="AC2939">
            <v>2904</v>
          </cell>
        </row>
        <row r="2940">
          <cell r="B2940">
            <v>2903</v>
          </cell>
          <cell r="C2940" t="str">
            <v>SH1219</v>
          </cell>
          <cell r="D2940" t="str">
            <v>LACE</v>
          </cell>
          <cell r="E2940"/>
          <cell r="F2940" t="str">
            <v>N/C 80/20</v>
          </cell>
          <cell r="G2940" t="str">
            <v>80% NYLON 20% COTTON</v>
          </cell>
          <cell r="H2940" t="str">
            <v>150CM</v>
          </cell>
          <cell r="I2940">
            <v>220</v>
          </cell>
          <cell r="J2940">
            <v>2.1999999999999997</v>
          </cell>
          <cell r="K2940"/>
          <cell r="L2940"/>
          <cell r="M2940"/>
          <cell r="N2940">
            <v>2.2999999999999998</v>
          </cell>
          <cell r="O2940"/>
          <cell r="P2940"/>
          <cell r="Q2940"/>
          <cell r="R2940">
            <v>2.5299999999999998</v>
          </cell>
          <cell r="S2940"/>
          <cell r="T2940"/>
          <cell r="U2940"/>
          <cell r="V2940">
            <v>15</v>
          </cell>
          <cell r="W2940"/>
          <cell r="X2940" t="str">
            <v>PANI</v>
          </cell>
          <cell r="Y2940" t="str">
            <v>PANI 27-FEB</v>
          </cell>
          <cell r="Z2940" t="str">
            <v>AMY' MAIL 3/3/17</v>
          </cell>
          <cell r="AA2940"/>
          <cell r="AB2940">
            <v>42801</v>
          </cell>
          <cell r="AC2940">
            <v>2903</v>
          </cell>
        </row>
        <row r="2941">
          <cell r="B2941">
            <v>2902</v>
          </cell>
          <cell r="C2941" t="str">
            <v>SH1218</v>
          </cell>
          <cell r="D2941" t="str">
            <v>LACE</v>
          </cell>
          <cell r="E2941"/>
          <cell r="F2941" t="str">
            <v>N/C 80/20</v>
          </cell>
          <cell r="G2941" t="str">
            <v>80% NYLON 20% COTTON</v>
          </cell>
          <cell r="H2941" t="str">
            <v>149CM</v>
          </cell>
          <cell r="I2941">
            <v>175</v>
          </cell>
          <cell r="J2941">
            <v>1.7999999999999998</v>
          </cell>
          <cell r="K2941"/>
          <cell r="L2941"/>
          <cell r="M2941"/>
          <cell r="N2941">
            <v>1.9</v>
          </cell>
          <cell r="O2941"/>
          <cell r="P2941"/>
          <cell r="Q2941"/>
          <cell r="R2941">
            <v>2.09</v>
          </cell>
          <cell r="S2941"/>
          <cell r="T2941"/>
          <cell r="U2941"/>
          <cell r="V2941">
            <v>15</v>
          </cell>
          <cell r="W2941"/>
          <cell r="X2941" t="str">
            <v>PANI</v>
          </cell>
          <cell r="Y2941" t="str">
            <v>PANI 27-FEB</v>
          </cell>
          <cell r="Z2941" t="str">
            <v>AMY' MAIL 3/3/17</v>
          </cell>
          <cell r="AA2941"/>
          <cell r="AB2941">
            <v>42801</v>
          </cell>
          <cell r="AC2941">
            <v>2902</v>
          </cell>
        </row>
        <row r="2942">
          <cell r="B2942">
            <v>2901</v>
          </cell>
          <cell r="C2942" t="str">
            <v>SH1217</v>
          </cell>
          <cell r="D2942" t="str">
            <v>LACE</v>
          </cell>
          <cell r="E2942"/>
          <cell r="F2942" t="str">
            <v>N/C 85/15</v>
          </cell>
          <cell r="G2942" t="str">
            <v>85% NYLON 15% COTTON</v>
          </cell>
          <cell r="H2942" t="str">
            <v>143CM</v>
          </cell>
          <cell r="I2942">
            <v>160</v>
          </cell>
          <cell r="J2942">
            <v>1.65</v>
          </cell>
          <cell r="K2942"/>
          <cell r="L2942"/>
          <cell r="M2942"/>
          <cell r="N2942">
            <v>1.75</v>
          </cell>
          <cell r="O2942"/>
          <cell r="P2942"/>
          <cell r="Q2942"/>
          <cell r="R2942">
            <v>1.9250000000000003</v>
          </cell>
          <cell r="S2942"/>
          <cell r="T2942"/>
          <cell r="U2942"/>
          <cell r="V2942">
            <v>15</v>
          </cell>
          <cell r="W2942"/>
          <cell r="X2942" t="str">
            <v>PANI</v>
          </cell>
          <cell r="Y2942" t="str">
            <v>PANI 27-FEB</v>
          </cell>
          <cell r="Z2942" t="str">
            <v>AMY' MAIL 3/3/17</v>
          </cell>
          <cell r="AA2942"/>
          <cell r="AB2942">
            <v>42801</v>
          </cell>
          <cell r="AC2942">
            <v>2901</v>
          </cell>
        </row>
        <row r="2943">
          <cell r="B2943">
            <v>2900</v>
          </cell>
          <cell r="C2943" t="str">
            <v>SH1216</v>
          </cell>
          <cell r="D2943" t="str">
            <v>LACE</v>
          </cell>
          <cell r="E2943"/>
          <cell r="F2943" t="str">
            <v>N/C 85/15</v>
          </cell>
          <cell r="G2943" t="str">
            <v>85% NYLON 15% COTTON</v>
          </cell>
          <cell r="H2943" t="str">
            <v>142CM</v>
          </cell>
          <cell r="I2943">
            <v>150</v>
          </cell>
          <cell r="J2943">
            <v>1.7999999999999998</v>
          </cell>
          <cell r="K2943"/>
          <cell r="L2943"/>
          <cell r="M2943"/>
          <cell r="N2943">
            <v>1.9</v>
          </cell>
          <cell r="O2943"/>
          <cell r="P2943"/>
          <cell r="Q2943"/>
          <cell r="R2943">
            <v>2.09</v>
          </cell>
          <cell r="S2943"/>
          <cell r="T2943"/>
          <cell r="U2943"/>
          <cell r="V2943">
            <v>15</v>
          </cell>
          <cell r="W2943"/>
          <cell r="X2943" t="str">
            <v>PANI</v>
          </cell>
          <cell r="Y2943" t="str">
            <v>PANI 27-FEB</v>
          </cell>
          <cell r="Z2943" t="str">
            <v>AMY' MAIL 3/3/17</v>
          </cell>
          <cell r="AA2943"/>
          <cell r="AB2943">
            <v>42801</v>
          </cell>
          <cell r="AC2943">
            <v>2900</v>
          </cell>
        </row>
        <row r="2944">
          <cell r="B2944">
            <v>2899</v>
          </cell>
          <cell r="C2944" t="str">
            <v>SH1215</v>
          </cell>
          <cell r="D2944" t="str">
            <v>LACE</v>
          </cell>
          <cell r="E2944"/>
          <cell r="F2944" t="str">
            <v>N/C 80/20</v>
          </cell>
          <cell r="G2944" t="str">
            <v>80% NYLON 20% COTTON</v>
          </cell>
          <cell r="H2944" t="str">
            <v>142CM</v>
          </cell>
          <cell r="I2944">
            <v>210</v>
          </cell>
          <cell r="J2944">
            <v>2.1</v>
          </cell>
          <cell r="K2944"/>
          <cell r="L2944"/>
          <cell r="M2944"/>
          <cell r="N2944">
            <v>2.2000000000000002</v>
          </cell>
          <cell r="O2944"/>
          <cell r="P2944"/>
          <cell r="Q2944"/>
          <cell r="R2944">
            <v>2.4200000000000004</v>
          </cell>
          <cell r="S2944"/>
          <cell r="T2944"/>
          <cell r="U2944"/>
          <cell r="V2944">
            <v>15</v>
          </cell>
          <cell r="W2944"/>
          <cell r="X2944" t="str">
            <v>PANI</v>
          </cell>
          <cell r="Y2944" t="str">
            <v>PANI 27-FEB</v>
          </cell>
          <cell r="Z2944" t="str">
            <v>AMY' MAIL 3/3/17</v>
          </cell>
          <cell r="AA2944"/>
          <cell r="AB2944">
            <v>42801</v>
          </cell>
          <cell r="AC2944">
            <v>2899</v>
          </cell>
        </row>
        <row r="2945">
          <cell r="B2945">
            <v>2898</v>
          </cell>
          <cell r="C2945" t="str">
            <v>SH1214</v>
          </cell>
          <cell r="D2945" t="str">
            <v>LACE</v>
          </cell>
          <cell r="E2945"/>
          <cell r="F2945" t="str">
            <v>N/C 80/20</v>
          </cell>
          <cell r="G2945" t="str">
            <v>80% NYLON 20% COTTON</v>
          </cell>
          <cell r="H2945" t="str">
            <v>145CM</v>
          </cell>
          <cell r="I2945">
            <v>175</v>
          </cell>
          <cell r="J2945">
            <v>1.7999999999999998</v>
          </cell>
          <cell r="K2945"/>
          <cell r="L2945"/>
          <cell r="M2945"/>
          <cell r="N2945">
            <v>1.9</v>
          </cell>
          <cell r="O2945"/>
          <cell r="P2945"/>
          <cell r="Q2945"/>
          <cell r="R2945">
            <v>2.09</v>
          </cell>
          <cell r="S2945"/>
          <cell r="T2945"/>
          <cell r="U2945"/>
          <cell r="V2945">
            <v>15</v>
          </cell>
          <cell r="W2945"/>
          <cell r="X2945" t="str">
            <v>PANI</v>
          </cell>
          <cell r="Y2945" t="str">
            <v>PANI 27-FEB</v>
          </cell>
          <cell r="Z2945" t="str">
            <v>AMY' MAIL 3/3/17</v>
          </cell>
          <cell r="AA2945"/>
          <cell r="AB2945">
            <v>42801</v>
          </cell>
          <cell r="AC2945">
            <v>2898</v>
          </cell>
        </row>
        <row r="2946">
          <cell r="B2946">
            <v>2897</v>
          </cell>
          <cell r="C2946" t="str">
            <v>SH1213</v>
          </cell>
          <cell r="D2946" t="str">
            <v>LACE</v>
          </cell>
          <cell r="E2946"/>
          <cell r="F2946" t="str">
            <v>N/C 80/20</v>
          </cell>
          <cell r="G2946" t="str">
            <v>80% NYLON 20% COTTON</v>
          </cell>
          <cell r="H2946" t="str">
            <v>155CM</v>
          </cell>
          <cell r="I2946">
            <v>135</v>
          </cell>
          <cell r="J2946">
            <v>1.5</v>
          </cell>
          <cell r="K2946"/>
          <cell r="L2946"/>
          <cell r="M2946"/>
          <cell r="N2946">
            <v>1.6</v>
          </cell>
          <cell r="O2946"/>
          <cell r="P2946"/>
          <cell r="Q2946"/>
          <cell r="R2946">
            <v>1.7600000000000002</v>
          </cell>
          <cell r="S2946"/>
          <cell r="T2946"/>
          <cell r="U2946"/>
          <cell r="V2946">
            <v>15</v>
          </cell>
          <cell r="W2946"/>
          <cell r="X2946" t="str">
            <v>PANI</v>
          </cell>
          <cell r="Y2946" t="str">
            <v>PANI 27-FEB</v>
          </cell>
          <cell r="Z2946" t="str">
            <v>AMY' MAIL 3/3/17</v>
          </cell>
          <cell r="AA2946"/>
          <cell r="AB2946">
            <v>42801</v>
          </cell>
          <cell r="AC2946">
            <v>2897</v>
          </cell>
        </row>
        <row r="2947">
          <cell r="B2947">
            <v>2896</v>
          </cell>
          <cell r="C2947" t="str">
            <v>SH1212</v>
          </cell>
          <cell r="D2947" t="str">
            <v>LACE</v>
          </cell>
          <cell r="E2947"/>
          <cell r="F2947" t="str">
            <v>N/C 85/15</v>
          </cell>
          <cell r="G2947" t="str">
            <v>85% NYLON 15% COTTON</v>
          </cell>
          <cell r="H2947" t="str">
            <v>148CM</v>
          </cell>
          <cell r="I2947">
            <v>125</v>
          </cell>
          <cell r="J2947">
            <v>1.3499999999999999</v>
          </cell>
          <cell r="K2947"/>
          <cell r="L2947"/>
          <cell r="M2947"/>
          <cell r="N2947">
            <v>1.45</v>
          </cell>
          <cell r="O2947"/>
          <cell r="P2947"/>
          <cell r="Q2947"/>
          <cell r="R2947">
            <v>1.595</v>
          </cell>
          <cell r="S2947"/>
          <cell r="T2947"/>
          <cell r="U2947"/>
          <cell r="V2947">
            <v>15</v>
          </cell>
          <cell r="W2947"/>
          <cell r="X2947" t="str">
            <v>PANI</v>
          </cell>
          <cell r="Y2947" t="str">
            <v>PANI 27-FEB</v>
          </cell>
          <cell r="Z2947" t="str">
            <v>AMY' MAIL 3/3/17</v>
          </cell>
          <cell r="AA2947"/>
          <cell r="AB2947">
            <v>42801</v>
          </cell>
          <cell r="AC2947">
            <v>2896</v>
          </cell>
        </row>
        <row r="2948">
          <cell r="B2948">
            <v>2895</v>
          </cell>
          <cell r="C2948" t="str">
            <v>SH1211</v>
          </cell>
          <cell r="D2948" t="str">
            <v>LACE</v>
          </cell>
          <cell r="E2948"/>
          <cell r="F2948" t="str">
            <v>N/C 85/15</v>
          </cell>
          <cell r="G2948" t="str">
            <v>85% NYLON 15% COTTON</v>
          </cell>
          <cell r="H2948" t="str">
            <v>150CM</v>
          </cell>
          <cell r="I2948">
            <v>95</v>
          </cell>
          <cell r="J2948">
            <v>1.2999999999999998</v>
          </cell>
          <cell r="K2948"/>
          <cell r="L2948"/>
          <cell r="M2948"/>
          <cell r="N2948">
            <v>1.4</v>
          </cell>
          <cell r="O2948"/>
          <cell r="P2948"/>
          <cell r="Q2948"/>
          <cell r="R2948">
            <v>1.54</v>
          </cell>
          <cell r="S2948"/>
          <cell r="T2948"/>
          <cell r="U2948"/>
          <cell r="V2948">
            <v>15</v>
          </cell>
          <cell r="W2948"/>
          <cell r="X2948" t="str">
            <v>PANI</v>
          </cell>
          <cell r="Y2948" t="str">
            <v>PANI 27-FEB</v>
          </cell>
          <cell r="Z2948" t="str">
            <v>AMY' MAIL 3/3/17</v>
          </cell>
          <cell r="AA2948"/>
          <cell r="AB2948">
            <v>42801</v>
          </cell>
          <cell r="AC2948">
            <v>2895</v>
          </cell>
        </row>
        <row r="2949">
          <cell r="B2949">
            <v>2894</v>
          </cell>
          <cell r="C2949" t="str">
            <v>SH1210</v>
          </cell>
          <cell r="D2949" t="str">
            <v>LACE</v>
          </cell>
          <cell r="E2949"/>
          <cell r="F2949" t="str">
            <v>N/C 85/15</v>
          </cell>
          <cell r="G2949" t="str">
            <v>85% NYLON 15% COTTON</v>
          </cell>
          <cell r="H2949" t="str">
            <v>150CM</v>
          </cell>
          <cell r="I2949">
            <v>150</v>
          </cell>
          <cell r="J2949">
            <v>1.7</v>
          </cell>
          <cell r="K2949"/>
          <cell r="L2949"/>
          <cell r="M2949"/>
          <cell r="N2949">
            <v>1.8</v>
          </cell>
          <cell r="O2949"/>
          <cell r="P2949"/>
          <cell r="Q2949"/>
          <cell r="R2949">
            <v>1.9800000000000002</v>
          </cell>
          <cell r="S2949"/>
          <cell r="T2949"/>
          <cell r="U2949"/>
          <cell r="V2949">
            <v>15</v>
          </cell>
          <cell r="W2949"/>
          <cell r="X2949" t="str">
            <v>PANI</v>
          </cell>
          <cell r="Y2949" t="str">
            <v>PANI 27-FEB</v>
          </cell>
          <cell r="Z2949" t="str">
            <v>AMY' MAIL 3/3/17</v>
          </cell>
          <cell r="AA2949"/>
          <cell r="AB2949">
            <v>42801</v>
          </cell>
          <cell r="AC2949">
            <v>2894</v>
          </cell>
        </row>
        <row r="2950">
          <cell r="B2950">
            <v>2893</v>
          </cell>
          <cell r="C2950" t="str">
            <v>SH1209</v>
          </cell>
          <cell r="D2950" t="str">
            <v>LACE</v>
          </cell>
          <cell r="E2950"/>
          <cell r="F2950" t="str">
            <v>N/C 85/15</v>
          </cell>
          <cell r="G2950" t="str">
            <v>85% NYLON 15% COTTON</v>
          </cell>
          <cell r="H2950" t="str">
            <v>150CM</v>
          </cell>
          <cell r="I2950">
            <v>155</v>
          </cell>
          <cell r="J2950">
            <v>1.65</v>
          </cell>
          <cell r="K2950"/>
          <cell r="L2950"/>
          <cell r="M2950"/>
          <cell r="N2950">
            <v>1.75</v>
          </cell>
          <cell r="O2950"/>
          <cell r="P2950"/>
          <cell r="Q2950"/>
          <cell r="R2950">
            <v>1.9250000000000003</v>
          </cell>
          <cell r="S2950"/>
          <cell r="T2950"/>
          <cell r="U2950"/>
          <cell r="V2950">
            <v>15</v>
          </cell>
          <cell r="W2950"/>
          <cell r="X2950" t="str">
            <v>PANI</v>
          </cell>
          <cell r="Y2950" t="str">
            <v>PANI 27-FEB</v>
          </cell>
          <cell r="Z2950" t="str">
            <v>AMY' MAIL 3/3/17</v>
          </cell>
          <cell r="AA2950"/>
          <cell r="AB2950">
            <v>42801</v>
          </cell>
          <cell r="AC2950">
            <v>2893</v>
          </cell>
        </row>
        <row r="2951">
          <cell r="B2951">
            <v>899</v>
          </cell>
          <cell r="C2951" t="str">
            <v>GL14069 (SIRO-SPUN)</v>
          </cell>
          <cell r="D2951" t="str">
            <v>SINGLE JERSEY</v>
          </cell>
          <cell r="E2951"/>
          <cell r="F2951" t="str">
            <v>R/S 95/5</v>
          </cell>
          <cell r="G2951" t="str">
            <v>95% VISCOSE 5%SPANDEX</v>
          </cell>
          <cell r="H2951" t="str">
            <v>165CM</v>
          </cell>
          <cell r="I2951">
            <v>180</v>
          </cell>
          <cell r="J2951">
            <v>1.62</v>
          </cell>
          <cell r="K2951"/>
          <cell r="L2951"/>
          <cell r="M2951"/>
          <cell r="N2951">
            <v>1.75</v>
          </cell>
          <cell r="O2951"/>
          <cell r="P2951"/>
          <cell r="Q2951"/>
          <cell r="R2951">
            <v>1.9</v>
          </cell>
          <cell r="S2951"/>
          <cell r="T2951"/>
          <cell r="U2951"/>
          <cell r="V2951">
            <v>3</v>
          </cell>
          <cell r="W2951" t="str">
            <v>Siro-spun - Nicky mail upDate 30/3/17</v>
          </cell>
          <cell r="X2951" t="str">
            <v>NICKY</v>
          </cell>
          <cell r="Y2951" t="str">
            <v>NICKY MAIL</v>
          </cell>
          <cell r="Z2951" t="str">
            <v>NICKY' MAIL 7/3/17</v>
          </cell>
          <cell r="AA2951"/>
          <cell r="AB2951">
            <v>42801</v>
          </cell>
          <cell r="AC2951">
            <v>899</v>
          </cell>
        </row>
        <row r="2952">
          <cell r="B2952">
            <v>2892</v>
          </cell>
          <cell r="C2952" t="str">
            <v>OLP-1722305HP</v>
          </cell>
          <cell r="D2952" t="str">
            <v>LACE</v>
          </cell>
          <cell r="E2952"/>
          <cell r="F2952" t="str">
            <v>T/S 90/10</v>
          </cell>
          <cell r="G2952" t="str">
            <v>T/S 90/10</v>
          </cell>
          <cell r="H2952" t="str">
            <v>150cm</v>
          </cell>
          <cell r="I2952">
            <v>115</v>
          </cell>
          <cell r="J2952">
            <v>1.7</v>
          </cell>
          <cell r="K2952"/>
          <cell r="L2952"/>
          <cell r="M2952"/>
          <cell r="N2952">
            <v>1.75</v>
          </cell>
          <cell r="O2952"/>
          <cell r="P2952"/>
          <cell r="Q2952"/>
          <cell r="R2952">
            <v>1.9</v>
          </cell>
          <cell r="S2952"/>
          <cell r="T2952"/>
          <cell r="U2952"/>
          <cell r="V2952">
            <v>15</v>
          </cell>
          <cell r="W2952"/>
          <cell r="X2952" t="str">
            <v>OWEN</v>
          </cell>
          <cell r="Y2952" t="str">
            <v>OWEN 25-FEB</v>
          </cell>
          <cell r="Z2952" t="str">
            <v>SANDY' MAIL 2/3/17</v>
          </cell>
          <cell r="AA2952"/>
          <cell r="AB2952">
            <v>42800</v>
          </cell>
          <cell r="AC2952">
            <v>2892</v>
          </cell>
        </row>
        <row r="2953">
          <cell r="B2953">
            <v>2891</v>
          </cell>
          <cell r="C2953" t="str">
            <v>OLP-1722304HP</v>
          </cell>
          <cell r="D2953" t="str">
            <v>LACE</v>
          </cell>
          <cell r="E2953"/>
          <cell r="F2953" t="str">
            <v>N/S 92/8</v>
          </cell>
          <cell r="G2953" t="str">
            <v>N/S 92/8</v>
          </cell>
          <cell r="H2953" t="str">
            <v>148cm</v>
          </cell>
          <cell r="I2953">
            <v>117</v>
          </cell>
          <cell r="J2953">
            <v>2.34</v>
          </cell>
          <cell r="K2953"/>
          <cell r="L2953"/>
          <cell r="M2953"/>
          <cell r="N2953">
            <v>2.4</v>
          </cell>
          <cell r="O2953"/>
          <cell r="P2953"/>
          <cell r="Q2953"/>
          <cell r="R2953">
            <v>2.5499999999999998</v>
          </cell>
          <cell r="S2953"/>
          <cell r="T2953"/>
          <cell r="U2953"/>
          <cell r="V2953">
            <v>15</v>
          </cell>
          <cell r="W2953"/>
          <cell r="X2953" t="str">
            <v>OWEN</v>
          </cell>
          <cell r="Y2953" t="str">
            <v>OWEN 25-FEB</v>
          </cell>
          <cell r="Z2953" t="str">
            <v>SANDY' MAIL 2/3/17</v>
          </cell>
          <cell r="AA2953"/>
          <cell r="AB2953">
            <v>42800</v>
          </cell>
          <cell r="AC2953">
            <v>2891</v>
          </cell>
        </row>
        <row r="2954">
          <cell r="B2954">
            <v>2890</v>
          </cell>
          <cell r="C2954" t="str">
            <v>OLP-1722303HP</v>
          </cell>
          <cell r="D2954" t="str">
            <v>LACE</v>
          </cell>
          <cell r="E2954"/>
          <cell r="F2954" t="str">
            <v>N/S 92/8</v>
          </cell>
          <cell r="G2954" t="str">
            <v>N/S 92/8</v>
          </cell>
          <cell r="H2954" t="str">
            <v>150CM</v>
          </cell>
          <cell r="I2954">
            <v>135</v>
          </cell>
          <cell r="J2954">
            <v>2.2000000000000002</v>
          </cell>
          <cell r="K2954"/>
          <cell r="L2954"/>
          <cell r="M2954"/>
          <cell r="N2954">
            <v>2.25</v>
          </cell>
          <cell r="O2954"/>
          <cell r="P2954"/>
          <cell r="Q2954"/>
          <cell r="R2954">
            <v>2.4</v>
          </cell>
          <cell r="S2954"/>
          <cell r="T2954"/>
          <cell r="U2954"/>
          <cell r="V2954">
            <v>15</v>
          </cell>
          <cell r="W2954"/>
          <cell r="X2954" t="str">
            <v>OWEN</v>
          </cell>
          <cell r="Y2954" t="str">
            <v>OWEN 25-FEB</v>
          </cell>
          <cell r="Z2954" t="str">
            <v>SANDY' MAIL 2/3/17</v>
          </cell>
          <cell r="AA2954"/>
          <cell r="AB2954">
            <v>42800</v>
          </cell>
          <cell r="AC2954">
            <v>2890</v>
          </cell>
        </row>
        <row r="2955">
          <cell r="B2955">
            <v>2889</v>
          </cell>
          <cell r="C2955" t="str">
            <v>OLP-1722301JQ</v>
          </cell>
          <cell r="D2955" t="str">
            <v>PLAIN - SOURCING FOR W01275</v>
          </cell>
          <cell r="E2955"/>
          <cell r="F2955" t="str">
            <v>70% MODAL 30% POLY</v>
          </cell>
          <cell r="G2955" t="str">
            <v>70% MODAL 30% POLYESTER</v>
          </cell>
          <cell r="H2955" t="str">
            <v>57/58</v>
          </cell>
          <cell r="I2955">
            <v>115</v>
          </cell>
          <cell r="J2955">
            <v>2.79</v>
          </cell>
          <cell r="K2955"/>
          <cell r="L2955"/>
          <cell r="M2955"/>
          <cell r="N2955">
            <v>2.85</v>
          </cell>
          <cell r="O2955"/>
          <cell r="P2955"/>
          <cell r="Q2955"/>
          <cell r="R2955">
            <v>3</v>
          </cell>
          <cell r="S2955"/>
          <cell r="T2955"/>
          <cell r="U2955"/>
          <cell r="V2955">
            <v>15</v>
          </cell>
          <cell r="W2955"/>
          <cell r="X2955" t="str">
            <v>OWEN</v>
          </cell>
          <cell r="Y2955" t="str">
            <v>OWEN 25-FEB</v>
          </cell>
          <cell r="Z2955" t="str">
            <v>SANDY' MAIL 2/3/17</v>
          </cell>
          <cell r="AA2955"/>
          <cell r="AB2955">
            <v>42800</v>
          </cell>
          <cell r="AC2955">
            <v>2889</v>
          </cell>
        </row>
        <row r="2956">
          <cell r="B2956">
            <v>2888</v>
          </cell>
          <cell r="C2956" t="str">
            <v>QWF-8026</v>
          </cell>
          <cell r="D2956" t="str">
            <v>LACE</v>
          </cell>
          <cell r="E2956"/>
          <cell r="F2956" t="str">
            <v>N/C/R 35/35/30</v>
          </cell>
          <cell r="G2956" t="str">
            <v>35%NYLON 35%COTTON 30%RAYON</v>
          </cell>
          <cell r="H2956" t="str">
            <v>150CM</v>
          </cell>
          <cell r="I2956">
            <v>138</v>
          </cell>
          <cell r="J2956">
            <v>1.99</v>
          </cell>
          <cell r="K2956"/>
          <cell r="L2956"/>
          <cell r="M2956"/>
          <cell r="N2956">
            <v>2.1</v>
          </cell>
          <cell r="O2956"/>
          <cell r="P2956"/>
          <cell r="Q2956"/>
          <cell r="R2956">
            <v>2.2999999999999998</v>
          </cell>
          <cell r="S2956"/>
          <cell r="T2956"/>
          <cell r="U2956"/>
          <cell r="V2956">
            <v>15</v>
          </cell>
          <cell r="W2956" t="str">
            <v>The color shoulD be printeD on your stanDarD when the quantity reach 1000M</v>
          </cell>
          <cell r="X2956" t="str">
            <v>ABBY</v>
          </cell>
          <cell r="Y2956" t="str">
            <v>ABBY 6-MARCH</v>
          </cell>
          <cell r="Z2956" t="str">
            <v>ABBY' MAIL 6/3/17</v>
          </cell>
          <cell r="AA2956"/>
          <cell r="AB2956">
            <v>42800</v>
          </cell>
          <cell r="AC2956">
            <v>2888</v>
          </cell>
        </row>
        <row r="2957">
          <cell r="B2957">
            <v>2531</v>
          </cell>
          <cell r="C2957" t="str">
            <v>HLT 1844</v>
          </cell>
          <cell r="D2957" t="str">
            <v>LACE</v>
          </cell>
          <cell r="E2957"/>
          <cell r="F2957" t="str">
            <v>N 100%</v>
          </cell>
          <cell r="G2957" t="str">
            <v>100% NYLON</v>
          </cell>
          <cell r="H2957" t="str">
            <v>160CM</v>
          </cell>
          <cell r="I2957">
            <v>68</v>
          </cell>
          <cell r="J2957">
            <v>1.55</v>
          </cell>
          <cell r="K2957"/>
          <cell r="L2957"/>
          <cell r="M2957"/>
          <cell r="N2957">
            <v>1.66</v>
          </cell>
          <cell r="O2957"/>
          <cell r="P2957"/>
          <cell r="Q2957"/>
          <cell r="R2957">
            <v>1.77</v>
          </cell>
          <cell r="S2957"/>
          <cell r="T2957"/>
          <cell r="U2957"/>
          <cell r="V2957"/>
          <cell r="W2957" t="str">
            <v>THE LACE FABRIC IS QUOTED BASED ON YARD</v>
          </cell>
          <cell r="X2957" t="str">
            <v>CANDY</v>
          </cell>
          <cell r="Y2957" t="str">
            <v>CANDY 6-MARCH</v>
          </cell>
          <cell r="Z2957" t="str">
            <v>CANDY' MAIL 6/3/17</v>
          </cell>
          <cell r="AA2957"/>
          <cell r="AB2957">
            <v>42800</v>
          </cell>
          <cell r="AC2957">
            <v>2531</v>
          </cell>
        </row>
        <row r="2958">
          <cell r="B2958">
            <v>2484</v>
          </cell>
          <cell r="C2958" t="str">
            <v>T-2327-D</v>
          </cell>
          <cell r="D2958" t="str">
            <v>LACE</v>
          </cell>
          <cell r="E2958"/>
          <cell r="F2958" t="str">
            <v>N/S 92/8</v>
          </cell>
          <cell r="G2958" t="str">
            <v>N/S 92/8</v>
          </cell>
          <cell r="H2958" t="str">
            <v>57/58</v>
          </cell>
          <cell r="I2958">
            <v>130</v>
          </cell>
          <cell r="J2958">
            <v>1.8</v>
          </cell>
          <cell r="K2958"/>
          <cell r="L2958"/>
          <cell r="M2958"/>
          <cell r="N2958">
            <v>1.86</v>
          </cell>
          <cell r="O2958"/>
          <cell r="P2958"/>
          <cell r="Q2958"/>
          <cell r="R2958">
            <v>1.86</v>
          </cell>
          <cell r="S2958"/>
          <cell r="T2958"/>
          <cell r="U2958"/>
          <cell r="V2958"/>
          <cell r="W2958"/>
          <cell r="X2958" t="str">
            <v>ANGELA</v>
          </cell>
          <cell r="Y2958" t="str">
            <v>ANGELA 6-MARCH</v>
          </cell>
          <cell r="Z2958" t="str">
            <v>ANGELA' MAIL 6/3/17</v>
          </cell>
          <cell r="AA2958"/>
          <cell r="AB2958">
            <v>42800</v>
          </cell>
          <cell r="AC2958">
            <v>2484</v>
          </cell>
        </row>
        <row r="2959">
          <cell r="B2959">
            <v>2476</v>
          </cell>
          <cell r="C2959" t="str">
            <v>T-3003-M</v>
          </cell>
          <cell r="D2959" t="str">
            <v>LACE</v>
          </cell>
          <cell r="E2959"/>
          <cell r="F2959" t="str">
            <v>C/N 60/40</v>
          </cell>
          <cell r="G2959" t="str">
            <v>60%COTTON 40%NYLON</v>
          </cell>
          <cell r="H2959" t="str">
            <v>57/58</v>
          </cell>
          <cell r="I2959">
            <v>147</v>
          </cell>
          <cell r="J2959">
            <v>1.97</v>
          </cell>
          <cell r="K2959"/>
          <cell r="L2959"/>
          <cell r="M2959"/>
          <cell r="N2959">
            <v>2.08</v>
          </cell>
          <cell r="O2959"/>
          <cell r="P2959"/>
          <cell r="Q2959"/>
          <cell r="R2959">
            <v>2.19</v>
          </cell>
          <cell r="S2959"/>
          <cell r="T2959"/>
          <cell r="U2959"/>
          <cell r="V2959"/>
          <cell r="W2959"/>
          <cell r="X2959" t="str">
            <v>ANGELA</v>
          </cell>
          <cell r="Y2959" t="str">
            <v>ANGELA 6-MARCH</v>
          </cell>
          <cell r="Z2959" t="str">
            <v>ANGELA' MAIL 6/3/17</v>
          </cell>
          <cell r="AA2959"/>
          <cell r="AB2959">
            <v>42800</v>
          </cell>
          <cell r="AC2959">
            <v>2476</v>
          </cell>
        </row>
        <row r="2960">
          <cell r="B2960">
            <v>2403</v>
          </cell>
          <cell r="C2960" t="str">
            <v>QWF-8022</v>
          </cell>
          <cell r="D2960" t="str">
            <v>SCALLOP LACE</v>
          </cell>
          <cell r="E2960"/>
          <cell r="F2960" t="str">
            <v>N/C/R 35/35/30</v>
          </cell>
          <cell r="G2960" t="str">
            <v>35%NYLON 35%COTTON 30%RAYON</v>
          </cell>
          <cell r="H2960" t="str">
            <v>150CM</v>
          </cell>
          <cell r="I2960">
            <v>128</v>
          </cell>
          <cell r="J2960">
            <v>1.85</v>
          </cell>
          <cell r="K2960"/>
          <cell r="L2960"/>
          <cell r="M2960"/>
          <cell r="N2960">
            <v>1.9</v>
          </cell>
          <cell r="O2960"/>
          <cell r="P2960"/>
          <cell r="Q2960"/>
          <cell r="R2960">
            <v>2.1</v>
          </cell>
          <cell r="S2960"/>
          <cell r="T2960"/>
          <cell r="U2960"/>
          <cell r="V2960">
            <v>15</v>
          </cell>
          <cell r="W2960" t="str">
            <v>The color shoulD be printeD on your stanDarD when the quantity reach 1000M</v>
          </cell>
          <cell r="X2960" t="str">
            <v>ABBY</v>
          </cell>
          <cell r="Y2960" t="str">
            <v>ABBY 6-MARCH</v>
          </cell>
          <cell r="Z2960" t="str">
            <v>ABBY' MAIL 6/3/17</v>
          </cell>
          <cell r="AA2960"/>
          <cell r="AB2960">
            <v>42800</v>
          </cell>
          <cell r="AC2960">
            <v>2403</v>
          </cell>
        </row>
        <row r="2961">
          <cell r="B2961">
            <v>2087</v>
          </cell>
          <cell r="C2961" t="str">
            <v>T2742-B</v>
          </cell>
          <cell r="D2961" t="str">
            <v>SCALLOP LACE</v>
          </cell>
          <cell r="E2961"/>
          <cell r="F2961" t="str">
            <v>T 100%</v>
          </cell>
          <cell r="G2961" t="str">
            <v>100% POLYESTER</v>
          </cell>
          <cell r="H2961" t="str">
            <v>57/58</v>
          </cell>
          <cell r="I2961">
            <v>109</v>
          </cell>
          <cell r="J2961">
            <v>1.26</v>
          </cell>
          <cell r="K2961"/>
          <cell r="L2961"/>
          <cell r="M2961"/>
          <cell r="N2961">
            <v>1.31</v>
          </cell>
          <cell r="O2961"/>
          <cell r="P2961"/>
          <cell r="Q2961"/>
          <cell r="R2961">
            <v>1.42</v>
          </cell>
          <cell r="S2961"/>
          <cell r="T2961"/>
          <cell r="U2961"/>
          <cell r="V2961"/>
          <cell r="W2961"/>
          <cell r="X2961" t="str">
            <v>ANGELA</v>
          </cell>
          <cell r="Y2961" t="str">
            <v>ANGELA 6-MARCH</v>
          </cell>
          <cell r="Z2961" t="str">
            <v>ANGELA' MAIL 6/3/17</v>
          </cell>
          <cell r="AA2961"/>
          <cell r="AB2961">
            <v>42800</v>
          </cell>
          <cell r="AC2961">
            <v>2087</v>
          </cell>
        </row>
        <row r="2962">
          <cell r="B2962">
            <v>2070</v>
          </cell>
          <cell r="C2962" t="str">
            <v>T2728-M</v>
          </cell>
          <cell r="D2962" t="str">
            <v>LACE</v>
          </cell>
          <cell r="E2962"/>
          <cell r="F2962" t="str">
            <v>C/N 60/40</v>
          </cell>
          <cell r="G2962" t="str">
            <v>60%COTTON 40%NYLON</v>
          </cell>
          <cell r="H2962" t="str">
            <v>57/58</v>
          </cell>
          <cell r="I2962">
            <v>130</v>
          </cell>
          <cell r="J2962">
            <v>1.86</v>
          </cell>
          <cell r="K2962"/>
          <cell r="L2962"/>
          <cell r="M2962"/>
          <cell r="N2962">
            <v>1.91</v>
          </cell>
          <cell r="O2962"/>
          <cell r="P2962"/>
          <cell r="Q2962"/>
          <cell r="R2962">
            <v>1.97</v>
          </cell>
          <cell r="S2962"/>
          <cell r="T2962"/>
          <cell r="U2962"/>
          <cell r="V2962"/>
          <cell r="W2962"/>
          <cell r="X2962" t="str">
            <v>ANGELA</v>
          </cell>
          <cell r="Y2962" t="str">
            <v>ANGELA 6-MARCH</v>
          </cell>
          <cell r="Z2962" t="str">
            <v>ANGELA' MAIL 6/3/17</v>
          </cell>
          <cell r="AA2962"/>
          <cell r="AB2962">
            <v>42800</v>
          </cell>
          <cell r="AC2962">
            <v>2070</v>
          </cell>
        </row>
        <row r="2963">
          <cell r="B2963">
            <v>2887</v>
          </cell>
          <cell r="C2963" t="str">
            <v>MR16018JD</v>
          </cell>
          <cell r="D2963" t="str">
            <v>TWILL</v>
          </cell>
          <cell r="E2963"/>
          <cell r="F2963" t="str">
            <v>R 100%</v>
          </cell>
          <cell r="G2963" t="str">
            <v>100% RAYON TWILL</v>
          </cell>
          <cell r="H2963" t="str">
            <v>54/55</v>
          </cell>
          <cell r="I2963" t="str">
            <v>75-80</v>
          </cell>
          <cell r="J2963">
            <v>1.48</v>
          </cell>
          <cell r="K2963">
            <v>1.58</v>
          </cell>
          <cell r="L2963"/>
          <cell r="M2963"/>
          <cell r="N2963">
            <v>1.48</v>
          </cell>
          <cell r="O2963">
            <v>1.58</v>
          </cell>
          <cell r="P2963"/>
          <cell r="Q2963"/>
          <cell r="R2963">
            <v>1.58</v>
          </cell>
          <cell r="S2963">
            <v>1.78</v>
          </cell>
          <cell r="T2963"/>
          <cell r="U2963"/>
          <cell r="V2963"/>
          <cell r="W2963" t="str">
            <v>$3/M         (If we have meter samples)</v>
          </cell>
          <cell r="X2963" t="str">
            <v>ZOE</v>
          </cell>
          <cell r="Y2963" t="str">
            <v>ZOE 4-MARCH</v>
          </cell>
          <cell r="Z2963" t="str">
            <v>ZOE' MAIL 6/3/17</v>
          </cell>
          <cell r="AA2963"/>
          <cell r="AB2963">
            <v>42798</v>
          </cell>
          <cell r="AC2963">
            <v>2887</v>
          </cell>
        </row>
        <row r="2964">
          <cell r="B2964">
            <v>2886</v>
          </cell>
          <cell r="C2964" t="str">
            <v>MR16027JD</v>
          </cell>
          <cell r="D2964" t="str">
            <v>SOWAR TWILL</v>
          </cell>
          <cell r="E2964"/>
          <cell r="F2964" t="str">
            <v>R 100%</v>
          </cell>
          <cell r="G2964" t="str">
            <v>100% RAYON SOWAR TWILL</v>
          </cell>
          <cell r="H2964" t="str">
            <v>54/55</v>
          </cell>
          <cell r="I2964" t="str">
            <v>90-95</v>
          </cell>
          <cell r="J2964">
            <v>1.55</v>
          </cell>
          <cell r="K2964">
            <v>1.66</v>
          </cell>
          <cell r="L2964"/>
          <cell r="M2964"/>
          <cell r="N2964">
            <v>1.55</v>
          </cell>
          <cell r="O2964">
            <v>1.66</v>
          </cell>
          <cell r="P2964"/>
          <cell r="Q2964"/>
          <cell r="R2964">
            <v>1.65</v>
          </cell>
          <cell r="S2964">
            <v>1.86</v>
          </cell>
          <cell r="T2964"/>
          <cell r="U2964"/>
          <cell r="V2964"/>
          <cell r="W2964" t="str">
            <v>$3/M         (If we have meter samples)</v>
          </cell>
          <cell r="X2964" t="str">
            <v>ZOE</v>
          </cell>
          <cell r="Y2964" t="str">
            <v>ZOE 4-MARCH</v>
          </cell>
          <cell r="Z2964" t="str">
            <v>ZOE' MAIL 6/3/17</v>
          </cell>
          <cell r="AA2964"/>
          <cell r="AB2964">
            <v>42798</v>
          </cell>
          <cell r="AC2964">
            <v>2886</v>
          </cell>
        </row>
        <row r="2965">
          <cell r="B2965">
            <v>2885</v>
          </cell>
          <cell r="C2965" t="str">
            <v>LIVALTEX-F</v>
          </cell>
          <cell r="D2965" t="str">
            <v>TWILL FOIL DOT</v>
          </cell>
          <cell r="E2965" t="str">
            <v>16*16+70D/127*38</v>
          </cell>
          <cell r="F2965" t="str">
            <v xml:space="preserve">C/S 97/3 </v>
          </cell>
          <cell r="G2965" t="str">
            <v xml:space="preserve">C/S 97/3 </v>
          </cell>
          <cell r="H2965" t="str">
            <v>56/57</v>
          </cell>
          <cell r="I2965">
            <v>250</v>
          </cell>
          <cell r="J2965">
            <v>2.7</v>
          </cell>
          <cell r="K2965"/>
          <cell r="L2965"/>
          <cell r="M2965"/>
          <cell r="N2965">
            <v>2.78</v>
          </cell>
          <cell r="O2965"/>
          <cell r="P2965"/>
          <cell r="Q2965"/>
          <cell r="R2965">
            <v>3.13</v>
          </cell>
          <cell r="S2965"/>
          <cell r="T2965"/>
          <cell r="U2965"/>
          <cell r="V2965">
            <v>15</v>
          </cell>
          <cell r="W2965"/>
          <cell r="X2965" t="str">
            <v>LIVALTEX</v>
          </cell>
          <cell r="Y2965" t="str">
            <v>ROSE 3-MARCH</v>
          </cell>
          <cell r="Z2965" t="str">
            <v>ROSE' MAIL 3/3/17</v>
          </cell>
          <cell r="AA2965"/>
          <cell r="AB2965">
            <v>42797</v>
          </cell>
          <cell r="AC2965">
            <v>2885</v>
          </cell>
        </row>
        <row r="2966">
          <cell r="B2966">
            <v>2884</v>
          </cell>
          <cell r="C2966" t="str">
            <v>LIVALTEX-E</v>
          </cell>
          <cell r="D2966" t="str">
            <v>TWILL FOIL DOT</v>
          </cell>
          <cell r="E2966" t="str">
            <v>32*21+70D/206*64</v>
          </cell>
          <cell r="F2966" t="str">
            <v xml:space="preserve">C/S 97/3 </v>
          </cell>
          <cell r="G2966" t="str">
            <v xml:space="preserve">C/S 97/3 </v>
          </cell>
          <cell r="H2966" t="str">
            <v>56/57</v>
          </cell>
          <cell r="I2966">
            <v>225</v>
          </cell>
          <cell r="J2966">
            <v>3.03</v>
          </cell>
          <cell r="K2966"/>
          <cell r="L2966"/>
          <cell r="M2966"/>
          <cell r="N2966">
            <v>3.11</v>
          </cell>
          <cell r="O2966"/>
          <cell r="P2966"/>
          <cell r="Q2966"/>
          <cell r="R2966">
            <v>3.46</v>
          </cell>
          <cell r="S2966"/>
          <cell r="T2966"/>
          <cell r="U2966"/>
          <cell r="V2966">
            <v>15</v>
          </cell>
          <cell r="W2966"/>
          <cell r="X2966" t="str">
            <v>LIVALTEX</v>
          </cell>
          <cell r="Y2966" t="str">
            <v>ROSE 3-MARCH</v>
          </cell>
          <cell r="Z2966" t="str">
            <v>ROSE' MAIL 3/3/17</v>
          </cell>
          <cell r="AA2966"/>
          <cell r="AB2966">
            <v>42797</v>
          </cell>
          <cell r="AC2966">
            <v>2884</v>
          </cell>
        </row>
        <row r="2967">
          <cell r="B2967">
            <v>2883</v>
          </cell>
          <cell r="C2967" t="str">
            <v>LIVALTEX-D</v>
          </cell>
          <cell r="D2967" t="str">
            <v>TWILL FOIL DOT</v>
          </cell>
          <cell r="E2967" t="str">
            <v>32/2*12+70D/112*54</v>
          </cell>
          <cell r="F2967" t="str">
            <v xml:space="preserve">C/S 97/3  </v>
          </cell>
          <cell r="G2967" t="str">
            <v xml:space="preserve">C/S 97/3  </v>
          </cell>
          <cell r="H2967" t="str">
            <v>48/50</v>
          </cell>
          <cell r="I2967">
            <v>285</v>
          </cell>
          <cell r="J2967">
            <v>4.0199999999999996</v>
          </cell>
          <cell r="K2967"/>
          <cell r="L2967"/>
          <cell r="M2967"/>
          <cell r="N2967">
            <v>4.0999999999999996</v>
          </cell>
          <cell r="O2967"/>
          <cell r="P2967"/>
          <cell r="Q2967"/>
          <cell r="R2967">
            <v>4.45</v>
          </cell>
          <cell r="S2967"/>
          <cell r="T2967"/>
          <cell r="U2967"/>
          <cell r="V2967">
            <v>2</v>
          </cell>
          <cell r="W2967"/>
          <cell r="X2967" t="str">
            <v>LIVALTEX</v>
          </cell>
          <cell r="Y2967" t="str">
            <v>ROSE 3-MARCH</v>
          </cell>
          <cell r="Z2967" t="str">
            <v>ROSE' MAIL 3/3/17</v>
          </cell>
          <cell r="AA2967"/>
          <cell r="AB2967">
            <v>42797</v>
          </cell>
          <cell r="AC2967">
            <v>2883</v>
          </cell>
        </row>
        <row r="2968">
          <cell r="B2968">
            <v>2882</v>
          </cell>
          <cell r="C2968" t="str">
            <v>LIVALTEX-C</v>
          </cell>
          <cell r="D2968" t="str">
            <v>TWILL FOIL DOT</v>
          </cell>
          <cell r="E2968" t="str">
            <v>32*21+70D/206*64</v>
          </cell>
          <cell r="F2968" t="str">
            <v xml:space="preserve">C/S 97/3 </v>
          </cell>
          <cell r="G2968" t="str">
            <v xml:space="preserve">C/S 97/3 </v>
          </cell>
          <cell r="H2968" t="str">
            <v>56/57</v>
          </cell>
          <cell r="I2968">
            <v>225</v>
          </cell>
          <cell r="J2968">
            <v>3.03</v>
          </cell>
          <cell r="K2968"/>
          <cell r="L2968"/>
          <cell r="M2968"/>
          <cell r="N2968">
            <v>3.11</v>
          </cell>
          <cell r="O2968"/>
          <cell r="P2968"/>
          <cell r="Q2968"/>
          <cell r="R2968">
            <v>3.46</v>
          </cell>
          <cell r="S2968"/>
          <cell r="T2968"/>
          <cell r="U2968"/>
          <cell r="V2968">
            <v>15</v>
          </cell>
          <cell r="W2968"/>
          <cell r="X2968" t="str">
            <v>LIVALTEX</v>
          </cell>
          <cell r="Y2968" t="str">
            <v>ROSE 3-MARCH</v>
          </cell>
          <cell r="Z2968" t="str">
            <v>ROSE' MAIL 3/3/17</v>
          </cell>
          <cell r="AA2968"/>
          <cell r="AB2968">
            <v>42797</v>
          </cell>
          <cell r="AC2968">
            <v>2882</v>
          </cell>
        </row>
        <row r="2969">
          <cell r="B2969">
            <v>2881</v>
          </cell>
          <cell r="C2969" t="str">
            <v>LIVALTEX-B</v>
          </cell>
          <cell r="D2969" t="str">
            <v>TWILL FOIL DOT</v>
          </cell>
          <cell r="E2969" t="str">
            <v>16*16+70D/127*38</v>
          </cell>
          <cell r="F2969" t="str">
            <v xml:space="preserve">C/S 97/3 </v>
          </cell>
          <cell r="G2969" t="str">
            <v xml:space="preserve">C/S 97/3 </v>
          </cell>
          <cell r="H2969" t="str">
            <v>56/57</v>
          </cell>
          <cell r="I2969">
            <v>250</v>
          </cell>
          <cell r="J2969">
            <v>2.7</v>
          </cell>
          <cell r="K2969"/>
          <cell r="L2969"/>
          <cell r="M2969"/>
          <cell r="N2969">
            <v>2.78</v>
          </cell>
          <cell r="O2969"/>
          <cell r="P2969"/>
          <cell r="Q2969"/>
          <cell r="R2969">
            <v>3.13</v>
          </cell>
          <cell r="S2969"/>
          <cell r="T2969"/>
          <cell r="U2969"/>
          <cell r="V2969">
            <v>15</v>
          </cell>
          <cell r="W2969"/>
          <cell r="X2969" t="str">
            <v>LIVALTEX</v>
          </cell>
          <cell r="Y2969" t="str">
            <v>ROSE 3-MARCH</v>
          </cell>
          <cell r="Z2969" t="str">
            <v>ROSE' MAIL 3/3/17</v>
          </cell>
          <cell r="AA2969"/>
          <cell r="AB2969">
            <v>42797</v>
          </cell>
          <cell r="AC2969">
            <v>2881</v>
          </cell>
        </row>
        <row r="2970">
          <cell r="B2970">
            <v>2880</v>
          </cell>
          <cell r="C2970" t="str">
            <v>LIVALTEX-A</v>
          </cell>
          <cell r="D2970" t="str">
            <v>TWILL FOIL DOT</v>
          </cell>
          <cell r="E2970" t="str">
            <v>20*16+70D/152*50</v>
          </cell>
          <cell r="F2970" t="str">
            <v xml:space="preserve">C/S 97/3 </v>
          </cell>
          <cell r="G2970" t="str">
            <v xml:space="preserve">C/S 97/3 </v>
          </cell>
          <cell r="H2970" t="str">
            <v>56/57</v>
          </cell>
          <cell r="I2970">
            <v>258</v>
          </cell>
          <cell r="J2970">
            <v>2.87</v>
          </cell>
          <cell r="K2970"/>
          <cell r="L2970"/>
          <cell r="M2970"/>
          <cell r="N2970">
            <v>2.95</v>
          </cell>
          <cell r="O2970"/>
          <cell r="P2970"/>
          <cell r="Q2970"/>
          <cell r="R2970">
            <v>3.3</v>
          </cell>
          <cell r="S2970"/>
          <cell r="T2970"/>
          <cell r="U2970"/>
          <cell r="V2970">
            <v>15</v>
          </cell>
          <cell r="W2970"/>
          <cell r="X2970" t="str">
            <v>LIVALTEX</v>
          </cell>
          <cell r="Y2970" t="str">
            <v>ROSE 3-MARCH</v>
          </cell>
          <cell r="Z2970" t="str">
            <v>ROSE' MAIL 3/3/17</v>
          </cell>
          <cell r="AA2970"/>
          <cell r="AB2970">
            <v>42797</v>
          </cell>
          <cell r="AC2970">
            <v>2880</v>
          </cell>
        </row>
        <row r="2971">
          <cell r="B2971">
            <v>2879</v>
          </cell>
          <cell r="C2971" t="str">
            <v>T100-D</v>
          </cell>
          <cell r="D2971" t="str">
            <v>LACE</v>
          </cell>
          <cell r="E2971"/>
          <cell r="F2971" t="str">
            <v>N/S 92/8</v>
          </cell>
          <cell r="G2971" t="str">
            <v>N/S 92/8</v>
          </cell>
          <cell r="H2971" t="str">
            <v>150CM</v>
          </cell>
          <cell r="I2971">
            <v>98</v>
          </cell>
          <cell r="J2971">
            <v>1.2</v>
          </cell>
          <cell r="K2971"/>
          <cell r="L2971">
            <v>0</v>
          </cell>
          <cell r="M2971">
            <v>0</v>
          </cell>
          <cell r="N2971">
            <v>1.31</v>
          </cell>
          <cell r="O2971"/>
          <cell r="P2971"/>
          <cell r="Q2971"/>
          <cell r="R2971">
            <v>1.31</v>
          </cell>
          <cell r="S2971"/>
          <cell r="T2971"/>
          <cell r="U2971"/>
          <cell r="V2971">
            <v>15</v>
          </cell>
          <cell r="W2971"/>
          <cell r="X2971" t="str">
            <v>ANGELA</v>
          </cell>
          <cell r="Y2971" t="str">
            <v>ANGELA 28-FEB</v>
          </cell>
          <cell r="Z2971" t="str">
            <v>ANGELA' MAIL 01/3/17</v>
          </cell>
          <cell r="AA2971"/>
          <cell r="AB2971">
            <v>42797</v>
          </cell>
          <cell r="AC2971">
            <v>2879</v>
          </cell>
        </row>
        <row r="2972">
          <cell r="B2972">
            <v>2878</v>
          </cell>
          <cell r="C2972" t="str">
            <v>T109-D</v>
          </cell>
          <cell r="D2972" t="str">
            <v>LACE</v>
          </cell>
          <cell r="E2972"/>
          <cell r="F2972" t="str">
            <v>N/S 92/8</v>
          </cell>
          <cell r="G2972" t="str">
            <v>N/S 92/8</v>
          </cell>
          <cell r="H2972" t="str">
            <v>150CM</v>
          </cell>
          <cell r="I2972">
            <v>95</v>
          </cell>
          <cell r="J2972">
            <v>1.2</v>
          </cell>
          <cell r="K2972"/>
          <cell r="L2972">
            <v>0</v>
          </cell>
          <cell r="M2972">
            <v>0</v>
          </cell>
          <cell r="N2972">
            <v>1.31</v>
          </cell>
          <cell r="O2972"/>
          <cell r="P2972"/>
          <cell r="Q2972"/>
          <cell r="R2972">
            <v>1.31</v>
          </cell>
          <cell r="S2972"/>
          <cell r="T2972"/>
          <cell r="U2972"/>
          <cell r="V2972">
            <v>15</v>
          </cell>
          <cell r="W2972"/>
          <cell r="X2972" t="str">
            <v>ANGELA</v>
          </cell>
          <cell r="Y2972" t="str">
            <v>ANGELA 28-FEB</v>
          </cell>
          <cell r="Z2972" t="str">
            <v>ANGELA' MAIL 01/3/17</v>
          </cell>
          <cell r="AA2972"/>
          <cell r="AB2972">
            <v>42797</v>
          </cell>
          <cell r="AC2972">
            <v>2878</v>
          </cell>
        </row>
        <row r="2973">
          <cell r="B2973">
            <v>2877</v>
          </cell>
          <cell r="C2973" t="str">
            <v>T1740-D</v>
          </cell>
          <cell r="D2973" t="str">
            <v>LACE</v>
          </cell>
          <cell r="E2973"/>
          <cell r="F2973" t="str">
            <v>N/S 92/8</v>
          </cell>
          <cell r="G2973" t="str">
            <v>N/S 92/8</v>
          </cell>
          <cell r="H2973" t="str">
            <v>150CM</v>
          </cell>
          <cell r="I2973">
            <v>120</v>
          </cell>
          <cell r="J2973">
            <v>1.86</v>
          </cell>
          <cell r="K2973"/>
          <cell r="L2973">
            <v>0</v>
          </cell>
          <cell r="M2973">
            <v>0</v>
          </cell>
          <cell r="N2973">
            <v>1.86</v>
          </cell>
          <cell r="O2973"/>
          <cell r="P2973"/>
          <cell r="Q2973"/>
          <cell r="R2973">
            <v>1.91</v>
          </cell>
          <cell r="S2973"/>
          <cell r="T2973"/>
          <cell r="U2973"/>
          <cell r="V2973">
            <v>15</v>
          </cell>
          <cell r="W2973"/>
          <cell r="X2973" t="str">
            <v>ANGELA</v>
          </cell>
          <cell r="Y2973" t="str">
            <v>ANGELA 28-FEB</v>
          </cell>
          <cell r="Z2973" t="str">
            <v>ANGELA' MAIL 01/3/17</v>
          </cell>
          <cell r="AA2973"/>
          <cell r="AB2973">
            <v>42797</v>
          </cell>
          <cell r="AC2973">
            <v>2877</v>
          </cell>
        </row>
        <row r="2974">
          <cell r="B2974">
            <v>2876</v>
          </cell>
          <cell r="C2974" t="str">
            <v>T2907-D</v>
          </cell>
          <cell r="D2974" t="str">
            <v>LACE</v>
          </cell>
          <cell r="E2974"/>
          <cell r="F2974" t="str">
            <v>N/S 92/8</v>
          </cell>
          <cell r="G2974" t="str">
            <v>N/S 92/8</v>
          </cell>
          <cell r="H2974" t="str">
            <v>150CM</v>
          </cell>
          <cell r="I2974">
            <v>98</v>
          </cell>
          <cell r="J2974">
            <v>1.97</v>
          </cell>
          <cell r="K2974"/>
          <cell r="L2974">
            <v>0</v>
          </cell>
          <cell r="M2974">
            <v>0</v>
          </cell>
          <cell r="N2974">
            <v>2.02</v>
          </cell>
          <cell r="O2974"/>
          <cell r="P2974"/>
          <cell r="Q2974"/>
          <cell r="R2974">
            <v>2.02</v>
          </cell>
          <cell r="S2974"/>
          <cell r="T2974"/>
          <cell r="U2974"/>
          <cell r="V2974">
            <v>15</v>
          </cell>
          <cell r="W2974"/>
          <cell r="X2974" t="str">
            <v>ANGELA</v>
          </cell>
          <cell r="Y2974" t="str">
            <v>ANGELA 28-FEB</v>
          </cell>
          <cell r="Z2974" t="str">
            <v>ANGELA' MAIL 01/3/17</v>
          </cell>
          <cell r="AA2974"/>
          <cell r="AB2974">
            <v>42797</v>
          </cell>
          <cell r="AC2974">
            <v>2876</v>
          </cell>
        </row>
        <row r="2975">
          <cell r="B2975">
            <v>2875</v>
          </cell>
          <cell r="C2975" t="str">
            <v>T1927-1-D</v>
          </cell>
          <cell r="D2975" t="str">
            <v>LACE</v>
          </cell>
          <cell r="E2975"/>
          <cell r="F2975" t="str">
            <v>N/S 92/8</v>
          </cell>
          <cell r="G2975" t="str">
            <v>N/S 92/8</v>
          </cell>
          <cell r="H2975" t="str">
            <v>150CM</v>
          </cell>
          <cell r="I2975">
            <v>99</v>
          </cell>
          <cell r="J2975">
            <v>1.86</v>
          </cell>
          <cell r="K2975"/>
          <cell r="L2975">
            <v>0</v>
          </cell>
          <cell r="M2975">
            <v>0</v>
          </cell>
          <cell r="N2975">
            <v>1.86</v>
          </cell>
          <cell r="O2975"/>
          <cell r="P2975"/>
          <cell r="Q2975"/>
          <cell r="R2975">
            <v>1.91</v>
          </cell>
          <cell r="S2975"/>
          <cell r="T2975"/>
          <cell r="U2975"/>
          <cell r="V2975">
            <v>15</v>
          </cell>
          <cell r="W2975"/>
          <cell r="X2975" t="str">
            <v>ANGELA</v>
          </cell>
          <cell r="Y2975" t="str">
            <v>ANGELA 28-FEB</v>
          </cell>
          <cell r="Z2975" t="str">
            <v>ANGELA' MAIL 01/3/17</v>
          </cell>
          <cell r="AA2975"/>
          <cell r="AB2975">
            <v>42797</v>
          </cell>
          <cell r="AC2975">
            <v>2875</v>
          </cell>
        </row>
        <row r="2976">
          <cell r="B2976">
            <v>2874</v>
          </cell>
          <cell r="C2976" t="str">
            <v>T1363-D</v>
          </cell>
          <cell r="D2976" t="str">
            <v>LACE</v>
          </cell>
          <cell r="E2976"/>
          <cell r="F2976" t="str">
            <v>N/S 92/8</v>
          </cell>
          <cell r="G2976" t="str">
            <v>N/S 92/8</v>
          </cell>
          <cell r="H2976" t="str">
            <v>150CM</v>
          </cell>
          <cell r="I2976">
            <v>128</v>
          </cell>
          <cell r="J2976">
            <v>2.08</v>
          </cell>
          <cell r="K2976"/>
          <cell r="L2976">
            <v>0</v>
          </cell>
          <cell r="M2976">
            <v>0</v>
          </cell>
          <cell r="N2976">
            <v>2.19</v>
          </cell>
          <cell r="O2976"/>
          <cell r="P2976"/>
          <cell r="Q2976"/>
          <cell r="R2976">
            <v>2.19</v>
          </cell>
          <cell r="S2976"/>
          <cell r="T2976"/>
          <cell r="U2976"/>
          <cell r="V2976">
            <v>15</v>
          </cell>
          <cell r="W2976"/>
          <cell r="X2976" t="str">
            <v>ANGELA</v>
          </cell>
          <cell r="Y2976" t="str">
            <v>ANGELA 28-FEB</v>
          </cell>
          <cell r="Z2976" t="str">
            <v>ANGELA' MAIL 01/3/17</v>
          </cell>
          <cell r="AA2976"/>
          <cell r="AB2976">
            <v>42797</v>
          </cell>
          <cell r="AC2976">
            <v>2874</v>
          </cell>
        </row>
        <row r="2977">
          <cell r="B2977">
            <v>2873</v>
          </cell>
          <cell r="C2977" t="str">
            <v>T-635M</v>
          </cell>
          <cell r="D2977" t="str">
            <v>LACE</v>
          </cell>
          <cell r="E2977"/>
          <cell r="F2977" t="str">
            <v>75% COTTON 25% NYLON</v>
          </cell>
          <cell r="G2977" t="str">
            <v>75% COTTON 25% NYLON</v>
          </cell>
          <cell r="H2977" t="str">
            <v>150CM</v>
          </cell>
          <cell r="I2977"/>
          <cell r="J2977">
            <v>1.86</v>
          </cell>
          <cell r="K2977"/>
          <cell r="L2977">
            <v>0</v>
          </cell>
          <cell r="M2977">
            <v>0</v>
          </cell>
          <cell r="N2977">
            <v>1.86</v>
          </cell>
          <cell r="O2977"/>
          <cell r="P2977"/>
          <cell r="Q2977"/>
          <cell r="R2977">
            <v>1.91</v>
          </cell>
          <cell r="S2977"/>
          <cell r="T2977"/>
          <cell r="U2977"/>
          <cell r="V2977">
            <v>15</v>
          </cell>
          <cell r="W2977"/>
          <cell r="X2977" t="str">
            <v>ANGELA</v>
          </cell>
          <cell r="Y2977" t="str">
            <v>ANGELA 28-FEB</v>
          </cell>
          <cell r="Z2977" t="str">
            <v>ANGELA' MAIL 01/3/17</v>
          </cell>
          <cell r="AA2977"/>
          <cell r="AB2977">
            <v>42797</v>
          </cell>
          <cell r="AC2977">
            <v>2873</v>
          </cell>
        </row>
        <row r="2978">
          <cell r="B2978">
            <v>2872</v>
          </cell>
          <cell r="C2978" t="str">
            <v>T-958-1-M</v>
          </cell>
          <cell r="D2978" t="str">
            <v>LACE</v>
          </cell>
          <cell r="E2978"/>
          <cell r="F2978" t="str">
            <v>60% COTTON 40% NYLON</v>
          </cell>
          <cell r="G2978" t="str">
            <v>60% COTTON 40% NYLON</v>
          </cell>
          <cell r="H2978" t="str">
            <v>150CM</v>
          </cell>
          <cell r="I2978"/>
          <cell r="J2978">
            <v>1.97</v>
          </cell>
          <cell r="K2978"/>
          <cell r="L2978">
            <v>0</v>
          </cell>
          <cell r="M2978">
            <v>0</v>
          </cell>
          <cell r="N2978">
            <v>2.02</v>
          </cell>
          <cell r="O2978"/>
          <cell r="P2978"/>
          <cell r="Q2978"/>
          <cell r="R2978">
            <v>2.02</v>
          </cell>
          <cell r="S2978"/>
          <cell r="T2978"/>
          <cell r="U2978"/>
          <cell r="V2978">
            <v>15</v>
          </cell>
          <cell r="W2978"/>
          <cell r="X2978" t="str">
            <v>ANGELA</v>
          </cell>
          <cell r="Y2978" t="str">
            <v>ANGELA 28-FEB</v>
          </cell>
          <cell r="Z2978" t="str">
            <v>ANGELA' MAIL 01/3/17</v>
          </cell>
          <cell r="AA2978"/>
          <cell r="AB2978">
            <v>42797</v>
          </cell>
          <cell r="AC2978">
            <v>2872</v>
          </cell>
        </row>
        <row r="2979">
          <cell r="B2979">
            <v>1890</v>
          </cell>
          <cell r="C2979" t="str">
            <v>ZR103</v>
          </cell>
          <cell r="D2979" t="str">
            <v>FLOCKED MESH</v>
          </cell>
          <cell r="E2979"/>
          <cell r="F2979" t="str">
            <v>T/S 92/8</v>
          </cell>
          <cell r="G2979" t="str">
            <v>T/S 92/8</v>
          </cell>
          <cell r="H2979" t="str">
            <v>61/62</v>
          </cell>
          <cell r="I2979">
            <v>95</v>
          </cell>
          <cell r="J2979">
            <v>1.8044619422572177</v>
          </cell>
          <cell r="K2979"/>
          <cell r="L2979">
            <v>0</v>
          </cell>
          <cell r="M2979">
            <v>0</v>
          </cell>
          <cell r="N2979">
            <v>1.8044619422572177</v>
          </cell>
          <cell r="O2979"/>
          <cell r="P2979"/>
          <cell r="Q2979"/>
          <cell r="R2979">
            <v>1.8591426071741033</v>
          </cell>
          <cell r="S2979"/>
          <cell r="T2979"/>
          <cell r="U2979"/>
          <cell r="V2979"/>
          <cell r="W2979" t="str">
            <v>BEFOE FLOCKING IS W-B11 (AMW1389)</v>
          </cell>
          <cell r="X2979" t="str">
            <v>ANGELA</v>
          </cell>
          <cell r="Y2979" t="str">
            <v>ANGELA 3-MARCH</v>
          </cell>
          <cell r="Z2979" t="str">
            <v>FROM WECHAT ANGELA 3/3/17</v>
          </cell>
          <cell r="AA2979"/>
          <cell r="AB2979">
            <v>42797</v>
          </cell>
          <cell r="AC2979">
            <v>1890</v>
          </cell>
        </row>
        <row r="2980">
          <cell r="B2980">
            <v>1389</v>
          </cell>
          <cell r="C2980" t="str">
            <v>W-B11</v>
          </cell>
          <cell r="D2980" t="str">
            <v>MESH PLAIN</v>
          </cell>
          <cell r="E2980"/>
          <cell r="F2980" t="str">
            <v>T/S 92/8</v>
          </cell>
          <cell r="G2980" t="str">
            <v>T/S 92/8</v>
          </cell>
          <cell r="H2980" t="str">
            <v>61/62</v>
          </cell>
          <cell r="I2980">
            <v>90</v>
          </cell>
          <cell r="J2980">
            <v>1.04</v>
          </cell>
          <cell r="K2980"/>
          <cell r="L2980"/>
          <cell r="M2980"/>
          <cell r="N2980">
            <v>1.0900000000000001</v>
          </cell>
          <cell r="O2980"/>
          <cell r="P2980"/>
          <cell r="Q2980"/>
          <cell r="R2980">
            <v>1.0900000000000001</v>
          </cell>
          <cell r="S2980"/>
          <cell r="T2980"/>
          <cell r="U2980"/>
          <cell r="V2980">
            <v>15</v>
          </cell>
          <cell r="W2980" t="str">
            <v>AFTER FLOCKING IS ZR103 (AMW1890)</v>
          </cell>
          <cell r="X2980" t="str">
            <v>ANGELA</v>
          </cell>
          <cell r="Y2980" t="str">
            <v>ANGELA 3-MARCH</v>
          </cell>
          <cell r="Z2980" t="str">
            <v>ANGELA' MAIL 3/3/17</v>
          </cell>
          <cell r="AA2980"/>
          <cell r="AB2980">
            <v>42797</v>
          </cell>
          <cell r="AC2980">
            <v>1389</v>
          </cell>
        </row>
        <row r="2981">
          <cell r="B2981">
            <v>1615</v>
          </cell>
          <cell r="C2981" t="str">
            <v>TS-054</v>
          </cell>
          <cell r="D2981" t="str">
            <v>SCALLOP LACE</v>
          </cell>
          <cell r="E2981"/>
          <cell r="F2981" t="str">
            <v>N/R 70/30</v>
          </cell>
          <cell r="G2981" t="str">
            <v>70% NYLON 30% RAYON</v>
          </cell>
          <cell r="H2981" t="str">
            <v>150CM</v>
          </cell>
          <cell r="I2981">
            <v>112</v>
          </cell>
          <cell r="J2981">
            <v>2.42</v>
          </cell>
          <cell r="K2981">
            <v>2.57</v>
          </cell>
          <cell r="L2981"/>
          <cell r="M2981"/>
          <cell r="N2981">
            <v>2.4500000000000002</v>
          </cell>
          <cell r="O2981">
            <v>2.6</v>
          </cell>
          <cell r="P2981"/>
          <cell r="Q2981"/>
          <cell r="R2981">
            <v>2.6</v>
          </cell>
          <cell r="S2981">
            <v>2.65</v>
          </cell>
          <cell r="T2981"/>
          <cell r="U2981"/>
          <cell r="V2981">
            <v>15</v>
          </cell>
          <cell r="W2981"/>
          <cell r="X2981" t="str">
            <v>GAVIN</v>
          </cell>
          <cell r="Y2981" t="str">
            <v>GAVIN 2-MARCH</v>
          </cell>
          <cell r="Z2981" t="str">
            <v>GAVIN' MAIL 2/3/17</v>
          </cell>
          <cell r="AA2981"/>
          <cell r="AB2981">
            <v>42796</v>
          </cell>
          <cell r="AC2981">
            <v>1615</v>
          </cell>
        </row>
        <row r="2982">
          <cell r="B2982">
            <v>1096</v>
          </cell>
          <cell r="C2982" t="str">
            <v>BG3026</v>
          </cell>
          <cell r="D2982"/>
          <cell r="E2982"/>
          <cell r="F2982" t="str">
            <v>V 100%</v>
          </cell>
          <cell r="G2982" t="str">
            <v>100% VISCOSE</v>
          </cell>
          <cell r="H2982" t="str">
            <v>53/54</v>
          </cell>
          <cell r="I2982">
            <v>80</v>
          </cell>
          <cell r="J2982">
            <v>1.6</v>
          </cell>
          <cell r="K2982">
            <v>1.85</v>
          </cell>
          <cell r="L2982"/>
          <cell r="M2982"/>
          <cell r="N2982">
            <v>1.65</v>
          </cell>
          <cell r="O2982">
            <v>1.95</v>
          </cell>
          <cell r="P2982"/>
          <cell r="Q2982"/>
          <cell r="R2982">
            <v>1.85</v>
          </cell>
          <cell r="S2982">
            <v>2.5</v>
          </cell>
          <cell r="T2982"/>
          <cell r="U2982"/>
          <cell r="V2982">
            <v>15</v>
          </cell>
          <cell r="W2982"/>
          <cell r="X2982" t="str">
            <v>ANN</v>
          </cell>
          <cell r="Y2982"/>
          <cell r="Z2982" t="str">
            <v>CHAT WITH ANN VIA WECHAT 2/3/17</v>
          </cell>
          <cell r="AA2982"/>
          <cell r="AB2982">
            <v>42796</v>
          </cell>
          <cell r="AC2982">
            <v>1096</v>
          </cell>
        </row>
        <row r="2983">
          <cell r="B2983">
            <v>993</v>
          </cell>
          <cell r="C2983" t="str">
            <v>581-12383</v>
          </cell>
          <cell r="D2983" t="str">
            <v>CRINKLE CHIFFON</v>
          </cell>
          <cell r="E2983"/>
          <cell r="F2983" t="str">
            <v>T 100%</v>
          </cell>
          <cell r="G2983" t="str">
            <v>100% POLYESTER</v>
          </cell>
          <cell r="H2983" t="str">
            <v>146CM</v>
          </cell>
          <cell r="I2983">
            <v>70</v>
          </cell>
          <cell r="J2983">
            <v>1.3</v>
          </cell>
          <cell r="K2983">
            <v>1.7</v>
          </cell>
          <cell r="L2983"/>
          <cell r="M2983"/>
          <cell r="N2983">
            <v>1.3</v>
          </cell>
          <cell r="O2983">
            <v>1.7</v>
          </cell>
          <cell r="P2983"/>
          <cell r="Q2983"/>
          <cell r="R2983">
            <v>1.75</v>
          </cell>
          <cell r="S2983">
            <v>2.35</v>
          </cell>
          <cell r="T2983"/>
          <cell r="U2983"/>
          <cell r="V2983"/>
          <cell r="W2983" t="str">
            <v>THESE INFORMATION FROM MR. STEVE (WRITE ON PAPER)</v>
          </cell>
          <cell r="X2983" t="str">
            <v>TERRY</v>
          </cell>
          <cell r="Y2983" t="str">
            <v>MR. STEVE' PAPER</v>
          </cell>
          <cell r="Z2983" t="str">
            <v>UPDATE FDS FOR DMC - 02/03/2017</v>
          </cell>
          <cell r="AA2983"/>
          <cell r="AB2983">
            <v>42796</v>
          </cell>
          <cell r="AC2983">
            <v>993</v>
          </cell>
        </row>
        <row r="2984">
          <cell r="B2984">
            <v>261</v>
          </cell>
          <cell r="C2984" t="str">
            <v>ST-4206</v>
          </cell>
          <cell r="D2984" t="str">
            <v>CORE - CDC</v>
          </cell>
          <cell r="E2984" t="str">
            <v xml:space="preserve">20*26+75d </v>
          </cell>
          <cell r="F2984" t="str">
            <v>T 100%</v>
          </cell>
          <cell r="G2984" t="str">
            <v>100% POLYESTER</v>
          </cell>
          <cell r="H2984" t="str">
            <v>57/58</v>
          </cell>
          <cell r="I2984">
            <v>70</v>
          </cell>
          <cell r="J2984">
            <v>1.25</v>
          </cell>
          <cell r="K2984">
            <v>1.49</v>
          </cell>
          <cell r="L2984"/>
          <cell r="M2984"/>
          <cell r="N2984">
            <v>1.25</v>
          </cell>
          <cell r="O2984">
            <v>1.49</v>
          </cell>
          <cell r="P2984"/>
          <cell r="Q2984"/>
          <cell r="R2984">
            <v>1.55</v>
          </cell>
          <cell r="S2984">
            <v>1.79</v>
          </cell>
          <cell r="T2984"/>
          <cell r="U2984"/>
          <cell r="V2984"/>
          <cell r="W2984" t="str">
            <v>THESE INFORMATION FROM MR. STEVE (WRITE ON PAPER)</v>
          </cell>
          <cell r="X2984" t="str">
            <v>SIGER</v>
          </cell>
          <cell r="Y2984" t="str">
            <v>MR. STEVE' PAPER</v>
          </cell>
          <cell r="Z2984" t="str">
            <v>UPDATE FDS FOR DMC - 02/03/2017</v>
          </cell>
          <cell r="AA2984"/>
          <cell r="AB2984">
            <v>42796</v>
          </cell>
          <cell r="AC2984">
            <v>261</v>
          </cell>
        </row>
        <row r="2985">
          <cell r="B2985">
            <v>2871</v>
          </cell>
          <cell r="C2985" t="str">
            <v>OLP-1721621SD</v>
          </cell>
          <cell r="D2985"/>
          <cell r="E2985"/>
          <cell r="F2985" t="str">
            <v>72%NYLON 28%COTTON</v>
          </cell>
          <cell r="G2985" t="str">
            <v>72%NYLON 28%COTTON</v>
          </cell>
          <cell r="H2985" t="str">
            <v>142CM</v>
          </cell>
          <cell r="I2985">
            <v>215</v>
          </cell>
          <cell r="J2985">
            <v>3.86</v>
          </cell>
          <cell r="K2985">
            <v>4.5</v>
          </cell>
          <cell r="L2985"/>
          <cell r="M2985"/>
          <cell r="N2985">
            <v>3.91</v>
          </cell>
          <cell r="O2985">
            <v>4.55</v>
          </cell>
          <cell r="P2985"/>
          <cell r="Q2985"/>
          <cell r="R2985">
            <v>4.16</v>
          </cell>
          <cell r="S2985">
            <v>4.95</v>
          </cell>
          <cell r="T2985"/>
          <cell r="U2985"/>
          <cell r="V2985">
            <v>15</v>
          </cell>
          <cell r="W2985"/>
          <cell r="X2985" t="str">
            <v>OWEN</v>
          </cell>
          <cell r="Y2985" t="str">
            <v>OWEN 20-FEB (D)</v>
          </cell>
          <cell r="Z2985" t="str">
            <v>SANDY' MAIL 23/2/17</v>
          </cell>
          <cell r="AA2985"/>
          <cell r="AB2985">
            <v>42795</v>
          </cell>
          <cell r="AC2985">
            <v>2871</v>
          </cell>
        </row>
        <row r="2986">
          <cell r="B2986">
            <v>2870</v>
          </cell>
          <cell r="C2986" t="str">
            <v>OLP-1721609ZZ</v>
          </cell>
          <cell r="D2986" t="str">
            <v>JAQUARD - METALIC</v>
          </cell>
          <cell r="E2986"/>
          <cell r="F2986" t="str">
            <v>T 100%</v>
          </cell>
          <cell r="G2986" t="str">
            <v>100% POLYESTER</v>
          </cell>
          <cell r="H2986" t="str">
            <v>53/54</v>
          </cell>
          <cell r="I2986">
            <v>210</v>
          </cell>
          <cell r="J2986">
            <v>4.54</v>
          </cell>
          <cell r="K2986"/>
          <cell r="L2986"/>
          <cell r="M2986"/>
          <cell r="N2986">
            <v>4.59</v>
          </cell>
          <cell r="O2986"/>
          <cell r="P2986"/>
          <cell r="Q2986"/>
          <cell r="R2986">
            <v>4.75</v>
          </cell>
          <cell r="S2986"/>
          <cell r="T2986"/>
          <cell r="U2986"/>
          <cell r="V2986">
            <v>15</v>
          </cell>
          <cell r="W2986" t="str">
            <v>TEXTURE FABRIC</v>
          </cell>
          <cell r="X2986" t="str">
            <v>OWEN</v>
          </cell>
          <cell r="Y2986" t="str">
            <v>OWEN 20-FEB (D)</v>
          </cell>
          <cell r="Z2986" t="str">
            <v>SANDY' MAIL 23/2/17</v>
          </cell>
          <cell r="AA2986"/>
          <cell r="AB2986">
            <v>42795</v>
          </cell>
          <cell r="AC2986">
            <v>2870</v>
          </cell>
        </row>
        <row r="2987">
          <cell r="B2987">
            <v>2869</v>
          </cell>
          <cell r="C2987" t="str">
            <v>OLP-1721611SD</v>
          </cell>
          <cell r="D2987"/>
          <cell r="E2987"/>
          <cell r="F2987" t="str">
            <v>C/N/R 47/39/14</v>
          </cell>
          <cell r="G2987" t="str">
            <v>47% COTTON 39% NYLON 14% RAYON</v>
          </cell>
          <cell r="H2987" t="str">
            <v>140CM</v>
          </cell>
          <cell r="I2987">
            <v>161</v>
          </cell>
          <cell r="J2987">
            <v>3.85</v>
          </cell>
          <cell r="K2987"/>
          <cell r="L2987"/>
          <cell r="M2987"/>
          <cell r="N2987">
            <v>3.9</v>
          </cell>
          <cell r="O2987"/>
          <cell r="P2987"/>
          <cell r="Q2987"/>
          <cell r="R2987">
            <v>4.0999999999999996</v>
          </cell>
          <cell r="S2987"/>
          <cell r="T2987"/>
          <cell r="U2987"/>
          <cell r="V2987">
            <v>15</v>
          </cell>
          <cell r="W2987"/>
          <cell r="X2987" t="str">
            <v>OWEN</v>
          </cell>
          <cell r="Y2987" t="str">
            <v>OWEN 20-FEB (D)</v>
          </cell>
          <cell r="Z2987" t="str">
            <v>SANDY' MAIL 23/2/17</v>
          </cell>
          <cell r="AA2987"/>
          <cell r="AB2987">
            <v>42795</v>
          </cell>
          <cell r="AC2987">
            <v>2869</v>
          </cell>
        </row>
        <row r="2988">
          <cell r="B2988">
            <v>2868</v>
          </cell>
          <cell r="C2988" t="str">
            <v>OLP-1721612SD</v>
          </cell>
          <cell r="D2988" t="str">
            <v>SCALLOP LACE</v>
          </cell>
          <cell r="E2988"/>
          <cell r="F2988" t="str">
            <v>C/N/T/R 37/31/20/12</v>
          </cell>
          <cell r="G2988" t="str">
            <v>37% COTTON 31%NYLON 20%POLYESTER 12%RAYON</v>
          </cell>
          <cell r="H2988" t="str">
            <v>144CM</v>
          </cell>
          <cell r="I2988">
            <v>167</v>
          </cell>
          <cell r="J2988">
            <v>4.47</v>
          </cell>
          <cell r="K2988"/>
          <cell r="L2988"/>
          <cell r="M2988"/>
          <cell r="N2988">
            <v>4.5199999999999996</v>
          </cell>
          <cell r="O2988"/>
          <cell r="P2988"/>
          <cell r="Q2988"/>
          <cell r="R2988">
            <v>4.72</v>
          </cell>
          <cell r="S2988"/>
          <cell r="T2988"/>
          <cell r="U2988"/>
          <cell r="V2988">
            <v>15</v>
          </cell>
          <cell r="W2988"/>
          <cell r="X2988" t="str">
            <v>OWEN</v>
          </cell>
          <cell r="Y2988" t="str">
            <v>OWEN 20-FEB (D)</v>
          </cell>
          <cell r="Z2988" t="str">
            <v>SANDY' MAIL 23/2/17</v>
          </cell>
          <cell r="AA2988"/>
          <cell r="AB2988">
            <v>42795</v>
          </cell>
          <cell r="AC2988">
            <v>2868</v>
          </cell>
        </row>
        <row r="2989">
          <cell r="B2989">
            <v>2867</v>
          </cell>
          <cell r="C2989" t="str">
            <v>OLP-1721614SD</v>
          </cell>
          <cell r="D2989" t="str">
            <v>YARNDYED DOBBY NEW STRUCTURE</v>
          </cell>
          <cell r="E2989"/>
          <cell r="F2989" t="str">
            <v>C/N58/42</v>
          </cell>
          <cell r="G2989" t="str">
            <v>42%NYLON 58%COTTON</v>
          </cell>
          <cell r="H2989" t="str">
            <v>137CM</v>
          </cell>
          <cell r="I2989">
            <v>210</v>
          </cell>
          <cell r="J2989">
            <v>4.07</v>
          </cell>
          <cell r="K2989"/>
          <cell r="L2989"/>
          <cell r="M2989"/>
          <cell r="N2989">
            <v>4.12</v>
          </cell>
          <cell r="O2989"/>
          <cell r="P2989"/>
          <cell r="Q2989"/>
          <cell r="R2989">
            <v>4.32</v>
          </cell>
          <cell r="S2989"/>
          <cell r="T2989"/>
          <cell r="U2989"/>
          <cell r="V2989">
            <v>15</v>
          </cell>
          <cell r="W2989"/>
          <cell r="X2989" t="str">
            <v>OWEN</v>
          </cell>
          <cell r="Y2989" t="str">
            <v>OWEN 20-FEB (D)</v>
          </cell>
          <cell r="Z2989" t="str">
            <v>SANDY' MAIL 23/2/17</v>
          </cell>
          <cell r="AA2989"/>
          <cell r="AB2989">
            <v>42795</v>
          </cell>
          <cell r="AC2989">
            <v>2867</v>
          </cell>
        </row>
        <row r="2990">
          <cell r="B2990">
            <v>2866</v>
          </cell>
          <cell r="C2990" t="str">
            <v>OLP-1721623HP</v>
          </cell>
          <cell r="D2990" t="str">
            <v>SCALLOP LACE</v>
          </cell>
          <cell r="E2990"/>
          <cell r="F2990" t="str">
            <v>34%NYLON 33%RAYON33%COTTON</v>
          </cell>
          <cell r="G2990" t="str">
            <v>34%NYLON 33%RAYON33%COTTON</v>
          </cell>
          <cell r="H2990" t="str">
            <v>150CM</v>
          </cell>
          <cell r="I2990">
            <v>150</v>
          </cell>
          <cell r="J2990">
            <v>3.71</v>
          </cell>
          <cell r="K2990"/>
          <cell r="L2990"/>
          <cell r="M2990"/>
          <cell r="N2990">
            <v>3.76</v>
          </cell>
          <cell r="O2990"/>
          <cell r="P2990"/>
          <cell r="Q2990"/>
          <cell r="R2990">
            <v>3.93</v>
          </cell>
          <cell r="S2990"/>
          <cell r="T2990"/>
          <cell r="U2990"/>
          <cell r="V2990">
            <v>15</v>
          </cell>
          <cell r="W2990"/>
          <cell r="X2990" t="str">
            <v>OWEN</v>
          </cell>
          <cell r="Y2990" t="str">
            <v>OWEN 20-FEB (D)</v>
          </cell>
          <cell r="Z2990" t="str">
            <v>SANDY' MAIL 23/2/17</v>
          </cell>
          <cell r="AA2990"/>
          <cell r="AB2990">
            <v>42795</v>
          </cell>
          <cell r="AC2990">
            <v>2866</v>
          </cell>
        </row>
        <row r="2991">
          <cell r="B2991">
            <v>2865</v>
          </cell>
          <cell r="C2991" t="str">
            <v>OLP-1721624HP</v>
          </cell>
          <cell r="D2991"/>
          <cell r="E2991"/>
          <cell r="F2991" t="str">
            <v>34%NYLON 33%RAYON 33%COTTON</v>
          </cell>
          <cell r="G2991" t="str">
            <v>34%NYLON 33%RAYON 33%COTTON</v>
          </cell>
          <cell r="H2991" t="str">
            <v>150CM</v>
          </cell>
          <cell r="I2991">
            <v>130</v>
          </cell>
          <cell r="J2991">
            <v>3.71</v>
          </cell>
          <cell r="K2991"/>
          <cell r="L2991"/>
          <cell r="M2991"/>
          <cell r="N2991">
            <v>3.76</v>
          </cell>
          <cell r="O2991"/>
          <cell r="P2991"/>
          <cell r="Q2991"/>
          <cell r="R2991">
            <v>3.93</v>
          </cell>
          <cell r="S2991"/>
          <cell r="T2991"/>
          <cell r="U2991"/>
          <cell r="V2991">
            <v>15</v>
          </cell>
          <cell r="W2991"/>
          <cell r="X2991" t="str">
            <v>OWEN</v>
          </cell>
          <cell r="Y2991" t="str">
            <v>OWEN 20-FEB (D)</v>
          </cell>
          <cell r="Z2991" t="str">
            <v>SANDY' MAIL 23/2/17</v>
          </cell>
          <cell r="AA2991"/>
          <cell r="AB2991">
            <v>42795</v>
          </cell>
          <cell r="AC2991">
            <v>2865</v>
          </cell>
        </row>
        <row r="2992">
          <cell r="B2992">
            <v>2864</v>
          </cell>
          <cell r="C2992" t="str">
            <v>OLP-1721622SD</v>
          </cell>
          <cell r="D2992"/>
          <cell r="E2992"/>
          <cell r="F2992" t="str">
            <v>50%POLY 16%COTTON 24%NYLON</v>
          </cell>
          <cell r="G2992" t="str">
            <v>50%POLYESTER 16%COTTON 24%NYLON</v>
          </cell>
          <cell r="H2992" t="str">
            <v>145CM</v>
          </cell>
          <cell r="I2992">
            <v>197</v>
          </cell>
          <cell r="J2992">
            <v>3.82</v>
          </cell>
          <cell r="K2992"/>
          <cell r="L2992"/>
          <cell r="M2992"/>
          <cell r="N2992">
            <v>3.87</v>
          </cell>
          <cell r="O2992"/>
          <cell r="P2992"/>
          <cell r="Q2992"/>
          <cell r="R2992">
            <v>4.0199999999999996</v>
          </cell>
          <cell r="S2992"/>
          <cell r="T2992"/>
          <cell r="U2992"/>
          <cell r="V2992">
            <v>15</v>
          </cell>
          <cell r="W2992"/>
          <cell r="X2992" t="str">
            <v>OWEN</v>
          </cell>
          <cell r="Y2992" t="str">
            <v>OWEN 20-FEB (D)</v>
          </cell>
          <cell r="Z2992" t="str">
            <v>SANDY' MAIL 23/2/17</v>
          </cell>
          <cell r="AA2992"/>
          <cell r="AB2992">
            <v>42795</v>
          </cell>
          <cell r="AC2992">
            <v>2864</v>
          </cell>
        </row>
        <row r="2993">
          <cell r="B2993">
            <v>2863</v>
          </cell>
          <cell r="C2993" t="str">
            <v>OLP-1721620SD</v>
          </cell>
          <cell r="D2993" t="str">
            <v>SCALLOP LACE</v>
          </cell>
          <cell r="E2993"/>
          <cell r="F2993" t="str">
            <v>42%RAYON 40%COTTON 18%NYLON</v>
          </cell>
          <cell r="G2993" t="str">
            <v>42%RAYON 40%COTTON 18%NYLON</v>
          </cell>
          <cell r="H2993" t="str">
            <v>145CM</v>
          </cell>
          <cell r="I2993">
            <v>278</v>
          </cell>
          <cell r="J2993">
            <v>5.73</v>
          </cell>
          <cell r="K2993"/>
          <cell r="L2993"/>
          <cell r="M2993"/>
          <cell r="N2993">
            <v>5.78</v>
          </cell>
          <cell r="O2993"/>
          <cell r="P2993"/>
          <cell r="Q2993"/>
          <cell r="R2993">
            <v>5.98</v>
          </cell>
          <cell r="S2993"/>
          <cell r="T2993"/>
          <cell r="U2993"/>
          <cell r="V2993">
            <v>15</v>
          </cell>
          <cell r="W2993"/>
          <cell r="X2993" t="str">
            <v>OWEN</v>
          </cell>
          <cell r="Y2993" t="str">
            <v>OWEN 20-FEB (D)</v>
          </cell>
          <cell r="Z2993" t="str">
            <v>SANDY' MAIL 23/2/17</v>
          </cell>
          <cell r="AA2993"/>
          <cell r="AB2993">
            <v>42795</v>
          </cell>
          <cell r="AC2993">
            <v>2863</v>
          </cell>
        </row>
        <row r="2994">
          <cell r="B2994">
            <v>2862</v>
          </cell>
          <cell r="C2994" t="str">
            <v>OLP-1721619SD</v>
          </cell>
          <cell r="D2994"/>
          <cell r="E2994"/>
          <cell r="F2994" t="str">
            <v>R/C/N 60/20/20</v>
          </cell>
          <cell r="G2994" t="str">
            <v>20% NYLON 20%COTTON 60%RAYON</v>
          </cell>
          <cell r="H2994" t="str">
            <v>145CM</v>
          </cell>
          <cell r="I2994">
            <v>220</v>
          </cell>
          <cell r="J2994">
            <v>3.55</v>
          </cell>
          <cell r="K2994"/>
          <cell r="L2994"/>
          <cell r="M2994"/>
          <cell r="N2994">
            <v>3.6</v>
          </cell>
          <cell r="O2994"/>
          <cell r="P2994"/>
          <cell r="Q2994"/>
          <cell r="R2994">
            <v>3.8</v>
          </cell>
          <cell r="S2994"/>
          <cell r="T2994"/>
          <cell r="U2994"/>
          <cell r="V2994">
            <v>15</v>
          </cell>
          <cell r="W2994"/>
          <cell r="X2994" t="str">
            <v>OWEN</v>
          </cell>
          <cell r="Y2994" t="str">
            <v>OWEN 20-FEB (D)</v>
          </cell>
          <cell r="Z2994" t="str">
            <v>SANDY' MAIL 23/2/17</v>
          </cell>
          <cell r="AA2994"/>
          <cell r="AB2994">
            <v>42795</v>
          </cell>
          <cell r="AC2994">
            <v>2862</v>
          </cell>
        </row>
        <row r="2995">
          <cell r="B2995">
            <v>2861</v>
          </cell>
          <cell r="C2995" t="str">
            <v>OLP-1721618SD</v>
          </cell>
          <cell r="D2995"/>
          <cell r="E2995"/>
          <cell r="F2995" t="str">
            <v>69.4%NYLON30.6%POLYESTER</v>
          </cell>
          <cell r="G2995" t="str">
            <v>69.4%NYLON30.6%POLYESTER</v>
          </cell>
          <cell r="H2995" t="str">
            <v>130CM</v>
          </cell>
          <cell r="I2995">
            <v>213</v>
          </cell>
          <cell r="J2995">
            <v>5.0999999999999996</v>
          </cell>
          <cell r="K2995"/>
          <cell r="L2995"/>
          <cell r="M2995"/>
          <cell r="N2995">
            <v>5.15</v>
          </cell>
          <cell r="O2995"/>
          <cell r="P2995"/>
          <cell r="Q2995"/>
          <cell r="R2995">
            <v>5.25</v>
          </cell>
          <cell r="S2995"/>
          <cell r="T2995"/>
          <cell r="U2995"/>
          <cell r="V2995">
            <v>15</v>
          </cell>
          <cell r="W2995"/>
          <cell r="X2995" t="str">
            <v>OWEN</v>
          </cell>
          <cell r="Y2995" t="str">
            <v>OWEN 20-FEB (D)</v>
          </cell>
          <cell r="Z2995" t="str">
            <v>SANDY' MAIL 23/2/17</v>
          </cell>
          <cell r="AA2995"/>
          <cell r="AB2995">
            <v>42795</v>
          </cell>
          <cell r="AC2995">
            <v>2861</v>
          </cell>
        </row>
        <row r="2996">
          <cell r="B2996">
            <v>2860</v>
          </cell>
          <cell r="C2996" t="str">
            <v>OLP-1721607ZZ</v>
          </cell>
          <cell r="D2996" t="str">
            <v>METALIC DOBBY</v>
          </cell>
          <cell r="E2996"/>
          <cell r="F2996" t="str">
            <v>T/C 90/10</v>
          </cell>
          <cell r="G2996" t="str">
            <v>90% POLYESTER 10% COTTON</v>
          </cell>
          <cell r="H2996" t="str">
            <v>57/58</v>
          </cell>
          <cell r="I2996">
            <v>190</v>
          </cell>
          <cell r="J2996">
            <v>5.33</v>
          </cell>
          <cell r="K2996"/>
          <cell r="L2996"/>
          <cell r="M2996"/>
          <cell r="N2996">
            <v>5.38</v>
          </cell>
          <cell r="O2996"/>
          <cell r="P2996"/>
          <cell r="Q2996"/>
          <cell r="R2996">
            <v>5.43</v>
          </cell>
          <cell r="S2996"/>
          <cell r="T2996"/>
          <cell r="U2996"/>
          <cell r="V2996">
            <v>15</v>
          </cell>
          <cell r="W2996"/>
          <cell r="X2996" t="str">
            <v>OWEN</v>
          </cell>
          <cell r="Y2996" t="str">
            <v>OWEN 20-FEB (D)</v>
          </cell>
          <cell r="Z2996" t="str">
            <v>SANDY' MAIL 23/2/17</v>
          </cell>
          <cell r="AA2996"/>
          <cell r="AB2996">
            <v>42795</v>
          </cell>
          <cell r="AC2996">
            <v>2860</v>
          </cell>
        </row>
        <row r="2997">
          <cell r="B2997">
            <v>2859</v>
          </cell>
          <cell r="C2997" t="str">
            <v>OLP-1721605ZZ</v>
          </cell>
          <cell r="D2997" t="str">
            <v>YARNDYED DOBBY - PANTS</v>
          </cell>
          <cell r="E2997"/>
          <cell r="F2997" t="str">
            <v>T/S 97/3</v>
          </cell>
          <cell r="G2997" t="str">
            <v>97% POLYESTER 3% SPANDEX</v>
          </cell>
          <cell r="H2997" t="str">
            <v>57/58</v>
          </cell>
          <cell r="I2997">
            <v>254</v>
          </cell>
          <cell r="J2997">
            <v>4.4800000000000004</v>
          </cell>
          <cell r="K2997"/>
          <cell r="L2997"/>
          <cell r="M2997"/>
          <cell r="N2997">
            <v>4.53</v>
          </cell>
          <cell r="O2997"/>
          <cell r="P2997"/>
          <cell r="Q2997"/>
          <cell r="R2997">
            <v>4.68</v>
          </cell>
          <cell r="S2997"/>
          <cell r="T2997"/>
          <cell r="U2997"/>
          <cell r="V2997">
            <v>15</v>
          </cell>
          <cell r="W2997"/>
          <cell r="X2997" t="str">
            <v>OWEN</v>
          </cell>
          <cell r="Y2997" t="str">
            <v>OWEN 20-FEB (D)</v>
          </cell>
          <cell r="Z2997" t="str">
            <v>SANDY' MAIL 23/2/17</v>
          </cell>
          <cell r="AA2997"/>
          <cell r="AB2997">
            <v>42795</v>
          </cell>
          <cell r="AC2997">
            <v>2859</v>
          </cell>
        </row>
        <row r="2998">
          <cell r="B2998">
            <v>2858</v>
          </cell>
          <cell r="C2998" t="str">
            <v>OLP-1721625SD</v>
          </cell>
          <cell r="D2998"/>
          <cell r="E2998"/>
          <cell r="F2998" t="str">
            <v>30% COTTON 70% NYLON</v>
          </cell>
          <cell r="G2998" t="str">
            <v>30% COTTON 70% NYLON</v>
          </cell>
          <cell r="H2998" t="str">
            <v>145CM</v>
          </cell>
          <cell r="I2998">
            <v>228</v>
          </cell>
          <cell r="J2998">
            <v>5.39</v>
          </cell>
          <cell r="K2998"/>
          <cell r="L2998"/>
          <cell r="M2998"/>
          <cell r="N2998">
            <v>5.44</v>
          </cell>
          <cell r="O2998"/>
          <cell r="P2998"/>
          <cell r="Q2998"/>
          <cell r="R2998">
            <v>5.59</v>
          </cell>
          <cell r="S2998"/>
          <cell r="T2998"/>
          <cell r="U2998"/>
          <cell r="V2998">
            <v>15</v>
          </cell>
          <cell r="W2998"/>
          <cell r="X2998" t="str">
            <v>OWEN</v>
          </cell>
          <cell r="Y2998" t="str">
            <v>OWEN 20-FEB (D)</v>
          </cell>
          <cell r="Z2998" t="str">
            <v>SANDY' MAIL 23/2/17</v>
          </cell>
          <cell r="AA2998"/>
          <cell r="AB2998">
            <v>42795</v>
          </cell>
          <cell r="AC2998">
            <v>2858</v>
          </cell>
        </row>
        <row r="2999">
          <cell r="B2999">
            <v>2857</v>
          </cell>
          <cell r="C2999" t="str">
            <v>OLP-1721626SD</v>
          </cell>
          <cell r="D2999"/>
          <cell r="E2999"/>
          <cell r="F2999" t="str">
            <v>50% COTTON 50% NYLON</v>
          </cell>
          <cell r="G2999" t="str">
            <v>50% COTTON 50% NYLON</v>
          </cell>
          <cell r="H2999" t="str">
            <v>137CM</v>
          </cell>
          <cell r="I2999">
            <v>140</v>
          </cell>
          <cell r="J2999">
            <v>3.87</v>
          </cell>
          <cell r="K2999"/>
          <cell r="L2999"/>
          <cell r="M2999"/>
          <cell r="N2999">
            <v>3.92</v>
          </cell>
          <cell r="O2999"/>
          <cell r="P2999"/>
          <cell r="Q2999"/>
          <cell r="R2999">
            <v>4.12</v>
          </cell>
          <cell r="S2999"/>
          <cell r="T2999"/>
          <cell r="U2999"/>
          <cell r="V2999">
            <v>15</v>
          </cell>
          <cell r="W2999" t="str">
            <v>it is for flocking price</v>
          </cell>
          <cell r="X2999" t="str">
            <v>OWEN</v>
          </cell>
          <cell r="Y2999" t="str">
            <v>OWEN 20-FEB (D)</v>
          </cell>
          <cell r="Z2999" t="str">
            <v>SANDY' MAIL 23/2/17</v>
          </cell>
          <cell r="AA2999"/>
          <cell r="AB2999">
            <v>42795</v>
          </cell>
          <cell r="AC2999">
            <v>2857</v>
          </cell>
        </row>
        <row r="3000">
          <cell r="B3000">
            <v>2856</v>
          </cell>
          <cell r="C3000" t="str">
            <v>OLP-1721627SD</v>
          </cell>
          <cell r="D3000"/>
          <cell r="E3000"/>
          <cell r="F3000" t="str">
            <v>57.1%cotton41.4%NYLON1.5%SPANDEX</v>
          </cell>
          <cell r="G3000" t="str">
            <v>57.1%cotton41.4%NYLON1.5%SPANDEX</v>
          </cell>
          <cell r="H3000" t="str">
            <v>139CM</v>
          </cell>
          <cell r="I3000">
            <v>200</v>
          </cell>
          <cell r="J3000">
            <v>3.87</v>
          </cell>
          <cell r="K3000"/>
          <cell r="L3000"/>
          <cell r="M3000"/>
          <cell r="N3000">
            <v>3.92</v>
          </cell>
          <cell r="O3000"/>
          <cell r="P3000"/>
          <cell r="Q3000"/>
          <cell r="R3000">
            <v>4.12</v>
          </cell>
          <cell r="S3000"/>
          <cell r="T3000"/>
          <cell r="U3000"/>
          <cell r="V3000">
            <v>15</v>
          </cell>
          <cell r="W3000" t="str">
            <v>TEXTURE FABRIC,it is for flocking price</v>
          </cell>
          <cell r="X3000" t="str">
            <v>OWEN</v>
          </cell>
          <cell r="Y3000" t="str">
            <v>OWEN 20-FEB (D)</v>
          </cell>
          <cell r="Z3000" t="str">
            <v>SANDY' MAIL 23/2/17</v>
          </cell>
          <cell r="AA3000"/>
          <cell r="AB3000">
            <v>42795</v>
          </cell>
          <cell r="AC3000">
            <v>2856</v>
          </cell>
        </row>
        <row r="3001">
          <cell r="B3001">
            <v>2855</v>
          </cell>
          <cell r="C3001" t="str">
            <v>OLP-1721629SD</v>
          </cell>
          <cell r="D3001"/>
          <cell r="E3001"/>
          <cell r="F3001" t="str">
            <v>91.5% NYLON 6.4% POLY 2.1%METALIC</v>
          </cell>
          <cell r="G3001" t="str">
            <v>91.5% NYLON 6.4% POLYESTER 2.1%METALIC</v>
          </cell>
          <cell r="H3001" t="str">
            <v>127CM</v>
          </cell>
          <cell r="I3001">
            <v>204</v>
          </cell>
          <cell r="J3001">
            <v>5.64</v>
          </cell>
          <cell r="K3001"/>
          <cell r="L3001"/>
          <cell r="M3001"/>
          <cell r="N3001">
            <v>5.7</v>
          </cell>
          <cell r="O3001"/>
          <cell r="P3001"/>
          <cell r="Q3001"/>
          <cell r="R3001">
            <v>5.9</v>
          </cell>
          <cell r="S3001"/>
          <cell r="T3001"/>
          <cell r="U3001"/>
          <cell r="V3001">
            <v>15</v>
          </cell>
          <cell r="W3001" t="str">
            <v xml:space="preserve">it is for flocking price </v>
          </cell>
          <cell r="X3001" t="str">
            <v>OWEN</v>
          </cell>
          <cell r="Y3001" t="str">
            <v>OWEN 20-FEB (D)</v>
          </cell>
          <cell r="Z3001" t="str">
            <v>SANDY' MAIL 23/2/17</v>
          </cell>
          <cell r="AA3001"/>
          <cell r="AB3001">
            <v>42795</v>
          </cell>
          <cell r="AC3001">
            <v>2855</v>
          </cell>
        </row>
        <row r="3002">
          <cell r="B3002">
            <v>2854</v>
          </cell>
          <cell r="C3002" t="str">
            <v>OLP-1721630SD</v>
          </cell>
          <cell r="D3002"/>
          <cell r="E3002"/>
          <cell r="F3002" t="str">
            <v>95% NYLON 4% POLYESTER 2% METALIC</v>
          </cell>
          <cell r="G3002" t="str">
            <v>95% NYLON 4% POLYESTER 2% METALIC</v>
          </cell>
          <cell r="H3002" t="str">
            <v>145CM</v>
          </cell>
          <cell r="I3002">
            <v>215</v>
          </cell>
          <cell r="J3002">
            <v>5.65</v>
          </cell>
          <cell r="K3002"/>
          <cell r="L3002"/>
          <cell r="M3002"/>
          <cell r="N3002">
            <v>5.7</v>
          </cell>
          <cell r="O3002"/>
          <cell r="P3002"/>
          <cell r="Q3002"/>
          <cell r="R3002">
            <v>5.9</v>
          </cell>
          <cell r="S3002"/>
          <cell r="T3002"/>
          <cell r="U3002"/>
          <cell r="V3002">
            <v>15</v>
          </cell>
          <cell r="W3002" t="str">
            <v xml:space="preserve">it is for flocking price </v>
          </cell>
          <cell r="X3002" t="str">
            <v>OWEN</v>
          </cell>
          <cell r="Y3002" t="str">
            <v>OWEN 20-FEB (D)</v>
          </cell>
          <cell r="Z3002" t="str">
            <v>SANDY' MAIL 23/2/17</v>
          </cell>
          <cell r="AA3002"/>
          <cell r="AB3002">
            <v>42795</v>
          </cell>
          <cell r="AC3002">
            <v>2854</v>
          </cell>
        </row>
        <row r="3003">
          <cell r="B3003">
            <v>2853</v>
          </cell>
          <cell r="C3003" t="str">
            <v>OLP-1721631SD</v>
          </cell>
          <cell r="D3003"/>
          <cell r="E3003"/>
          <cell r="F3003" t="str">
            <v>37% NYLON 63% COTTON</v>
          </cell>
          <cell r="G3003" t="str">
            <v>37% NYLON 63% COTTON</v>
          </cell>
          <cell r="H3003" t="str">
            <v>141CM</v>
          </cell>
          <cell r="I3003">
            <v>148</v>
          </cell>
          <cell r="J3003">
            <v>3.87</v>
          </cell>
          <cell r="K3003"/>
          <cell r="L3003"/>
          <cell r="M3003"/>
          <cell r="N3003">
            <v>3.92</v>
          </cell>
          <cell r="O3003"/>
          <cell r="P3003"/>
          <cell r="Q3003"/>
          <cell r="R3003">
            <v>4.12</v>
          </cell>
          <cell r="S3003"/>
          <cell r="T3003"/>
          <cell r="U3003"/>
          <cell r="V3003">
            <v>15</v>
          </cell>
          <cell r="W3003" t="str">
            <v xml:space="preserve">it is for flocking price </v>
          </cell>
          <cell r="X3003" t="str">
            <v>OWEN</v>
          </cell>
          <cell r="Y3003" t="str">
            <v>OWEN 20-FEB (D)</v>
          </cell>
          <cell r="Z3003" t="str">
            <v>SANDY' MAIL 23/2/17</v>
          </cell>
          <cell r="AA3003"/>
          <cell r="AB3003">
            <v>42795</v>
          </cell>
          <cell r="AC3003">
            <v>2853</v>
          </cell>
        </row>
        <row r="3004">
          <cell r="B3004">
            <v>2852</v>
          </cell>
          <cell r="C3004" t="str">
            <v>OLP-1721632HP</v>
          </cell>
          <cell r="D3004"/>
          <cell r="E3004"/>
          <cell r="F3004" t="str">
            <v>T 100%</v>
          </cell>
          <cell r="G3004" t="str">
            <v>100% POLYESTER</v>
          </cell>
          <cell r="H3004" t="str">
            <v>150 CM</v>
          </cell>
          <cell r="I3004">
            <v>95</v>
          </cell>
          <cell r="J3004">
            <v>3.86</v>
          </cell>
          <cell r="K3004"/>
          <cell r="L3004"/>
          <cell r="M3004"/>
          <cell r="N3004">
            <v>3.91</v>
          </cell>
          <cell r="O3004"/>
          <cell r="P3004"/>
          <cell r="Q3004"/>
          <cell r="R3004">
            <v>4.0999999999999996</v>
          </cell>
          <cell r="S3004"/>
          <cell r="T3004"/>
          <cell r="U3004"/>
          <cell r="V3004">
            <v>15</v>
          </cell>
          <cell r="W3004" t="str">
            <v xml:space="preserve">it is for flocking price </v>
          </cell>
          <cell r="X3004" t="str">
            <v>OWEN</v>
          </cell>
          <cell r="Y3004" t="str">
            <v>OWEN 20-FEB (D)</v>
          </cell>
          <cell r="Z3004" t="str">
            <v>SANDY' MAIL 23/2/17</v>
          </cell>
          <cell r="AA3004"/>
          <cell r="AB3004">
            <v>42795</v>
          </cell>
          <cell r="AC3004">
            <v>2852</v>
          </cell>
        </row>
        <row r="3005">
          <cell r="B3005">
            <v>2851</v>
          </cell>
          <cell r="C3005" t="str">
            <v>OLP-1721633HP</v>
          </cell>
          <cell r="D3005" t="str">
            <v>SCALLOP LACE</v>
          </cell>
          <cell r="E3005"/>
          <cell r="F3005" t="str">
            <v>N/S 92/8</v>
          </cell>
          <cell r="G3005" t="str">
            <v>N/S 92/8</v>
          </cell>
          <cell r="H3005" t="str">
            <v>150CM</v>
          </cell>
          <cell r="I3005" t="str">
            <v>135-150</v>
          </cell>
          <cell r="J3005">
            <v>3.86</v>
          </cell>
          <cell r="K3005"/>
          <cell r="L3005"/>
          <cell r="M3005"/>
          <cell r="N3005">
            <v>3.91</v>
          </cell>
          <cell r="O3005"/>
          <cell r="P3005"/>
          <cell r="Q3005"/>
          <cell r="R3005">
            <v>4.0999999999999996</v>
          </cell>
          <cell r="S3005"/>
          <cell r="T3005"/>
          <cell r="U3005"/>
          <cell r="V3005">
            <v>15</v>
          </cell>
          <cell r="W3005" t="str">
            <v xml:space="preserve">it is for flocking price </v>
          </cell>
          <cell r="X3005" t="str">
            <v>OWEN</v>
          </cell>
          <cell r="Y3005" t="str">
            <v>OWEN 20-FEB (D)</v>
          </cell>
          <cell r="Z3005" t="str">
            <v>SANDY' MAIL 23/2/17</v>
          </cell>
          <cell r="AA3005"/>
          <cell r="AB3005">
            <v>42795</v>
          </cell>
          <cell r="AC3005">
            <v>2851</v>
          </cell>
        </row>
        <row r="3006">
          <cell r="B3006">
            <v>2850</v>
          </cell>
          <cell r="C3006" t="str">
            <v>OLP-1721635SD</v>
          </cell>
          <cell r="D3006"/>
          <cell r="E3006"/>
          <cell r="F3006" t="str">
            <v>N 100%</v>
          </cell>
          <cell r="G3006" t="str">
            <v>100% NYLON</v>
          </cell>
          <cell r="H3006" t="str">
            <v>135CM</v>
          </cell>
          <cell r="I3006">
            <v>160</v>
          </cell>
          <cell r="J3006">
            <v>3.87</v>
          </cell>
          <cell r="K3006"/>
          <cell r="L3006"/>
          <cell r="M3006"/>
          <cell r="N3006">
            <v>3.92</v>
          </cell>
          <cell r="O3006"/>
          <cell r="P3006"/>
          <cell r="Q3006"/>
          <cell r="R3006">
            <v>4.12</v>
          </cell>
          <cell r="S3006"/>
          <cell r="T3006"/>
          <cell r="U3006"/>
          <cell r="V3006">
            <v>15</v>
          </cell>
          <cell r="W3006" t="str">
            <v xml:space="preserve">it is for flocking price </v>
          </cell>
          <cell r="X3006" t="str">
            <v>OWEN</v>
          </cell>
          <cell r="Y3006" t="str">
            <v>OWEN 20-FEB (D)</v>
          </cell>
          <cell r="Z3006" t="str">
            <v>SANDY' MAIL 23/2/17</v>
          </cell>
          <cell r="AA3006"/>
          <cell r="AB3006">
            <v>42795</v>
          </cell>
          <cell r="AC3006">
            <v>2850</v>
          </cell>
        </row>
        <row r="3007">
          <cell r="B3007">
            <v>2849</v>
          </cell>
          <cell r="C3007" t="str">
            <v>OLP-1721636SD</v>
          </cell>
          <cell r="D3007"/>
          <cell r="E3007"/>
          <cell r="F3007" t="str">
            <v>74.2% COTTON 25.8% NYLON</v>
          </cell>
          <cell r="G3007" t="str">
            <v>74.2% COTTON 25.8% NYLON</v>
          </cell>
          <cell r="H3007" t="str">
            <v>143CM</v>
          </cell>
          <cell r="I3007">
            <v>186</v>
          </cell>
          <cell r="J3007">
            <v>3.9</v>
          </cell>
          <cell r="K3007"/>
          <cell r="L3007"/>
          <cell r="M3007"/>
          <cell r="N3007">
            <v>3.95</v>
          </cell>
          <cell r="O3007"/>
          <cell r="P3007"/>
          <cell r="Q3007"/>
          <cell r="R3007">
            <v>4.1500000000000004</v>
          </cell>
          <cell r="S3007"/>
          <cell r="T3007"/>
          <cell r="U3007"/>
          <cell r="V3007">
            <v>15</v>
          </cell>
          <cell r="W3007" t="str">
            <v xml:space="preserve">it is for flocking price </v>
          </cell>
          <cell r="X3007" t="str">
            <v>OWEN</v>
          </cell>
          <cell r="Y3007" t="str">
            <v>OWEN 20-FEB (D)</v>
          </cell>
          <cell r="Z3007" t="str">
            <v>SANDY' MAIL 23/2/17</v>
          </cell>
          <cell r="AA3007"/>
          <cell r="AB3007">
            <v>42795</v>
          </cell>
          <cell r="AC3007">
            <v>2849</v>
          </cell>
        </row>
        <row r="3008">
          <cell r="B3008">
            <v>2848</v>
          </cell>
          <cell r="C3008" t="str">
            <v>OLP-1721606ZZ</v>
          </cell>
          <cell r="D3008" t="str">
            <v>YARNDYED DOBBY</v>
          </cell>
          <cell r="E3008"/>
          <cell r="F3008" t="str">
            <v>T/S 97/3</v>
          </cell>
          <cell r="G3008" t="str">
            <v>97% POLYESTER 3% SPANDEX</v>
          </cell>
          <cell r="H3008" t="str">
            <v>57/58</v>
          </cell>
          <cell r="I3008">
            <v>251</v>
          </cell>
          <cell r="J3008">
            <v>4.5</v>
          </cell>
          <cell r="K3008"/>
          <cell r="L3008"/>
          <cell r="M3008"/>
          <cell r="N3008">
            <v>4.55</v>
          </cell>
          <cell r="O3008"/>
          <cell r="P3008"/>
          <cell r="Q3008"/>
          <cell r="R3008">
            <v>4.7</v>
          </cell>
          <cell r="S3008"/>
          <cell r="T3008"/>
          <cell r="U3008"/>
          <cell r="V3008">
            <v>15</v>
          </cell>
          <cell r="W3008" t="str">
            <v>TEXTURE FABRIC</v>
          </cell>
          <cell r="X3008" t="str">
            <v>OWEN</v>
          </cell>
          <cell r="Y3008" t="str">
            <v>OWEN 20-FEB (D)</v>
          </cell>
          <cell r="Z3008" t="str">
            <v>SANDY' MAIL 23/2/17</v>
          </cell>
          <cell r="AA3008"/>
          <cell r="AB3008">
            <v>42795</v>
          </cell>
          <cell r="AC3008">
            <v>2848</v>
          </cell>
        </row>
        <row r="3009">
          <cell r="B3009">
            <v>2847</v>
          </cell>
          <cell r="C3009" t="str">
            <v>OLP-1721608ZZ</v>
          </cell>
          <cell r="D3009"/>
          <cell r="E3009"/>
          <cell r="F3009" t="str">
            <v>T/N 80/20</v>
          </cell>
          <cell r="G3009" t="str">
            <v>80% POLYESTER 20% NYLON</v>
          </cell>
          <cell r="H3009" t="str">
            <v>53/54</v>
          </cell>
          <cell r="I3009">
            <v>140</v>
          </cell>
          <cell r="J3009">
            <v>5.85</v>
          </cell>
          <cell r="K3009"/>
          <cell r="L3009"/>
          <cell r="M3009"/>
          <cell r="N3009">
            <v>5.9</v>
          </cell>
          <cell r="O3009"/>
          <cell r="P3009"/>
          <cell r="Q3009"/>
          <cell r="R3009">
            <v>6.05</v>
          </cell>
          <cell r="S3009"/>
          <cell r="T3009"/>
          <cell r="U3009"/>
          <cell r="V3009">
            <v>15</v>
          </cell>
          <cell r="W3009" t="str">
            <v>TEXTURE FABRIC</v>
          </cell>
          <cell r="X3009" t="str">
            <v>OWEN</v>
          </cell>
          <cell r="Y3009" t="str">
            <v>OWEN 20-FEB (D)</v>
          </cell>
          <cell r="Z3009" t="str">
            <v>SANDY' MAIL 23/2/17</v>
          </cell>
          <cell r="AA3009"/>
          <cell r="AB3009">
            <v>42795</v>
          </cell>
          <cell r="AC3009">
            <v>2847</v>
          </cell>
        </row>
        <row r="3010">
          <cell r="B3010">
            <v>2846</v>
          </cell>
          <cell r="C3010" t="str">
            <v>MR16023JP</v>
          </cell>
          <cell r="D3010" t="str">
            <v>TWILL</v>
          </cell>
          <cell r="E3010" t="str">
            <v>30x24 / 91x68 - TWILL PRT (AIR JET)</v>
          </cell>
          <cell r="F3010" t="str">
            <v>R 100%</v>
          </cell>
          <cell r="G3010" t="str">
            <v>100% RAYON TWILL</v>
          </cell>
          <cell r="H3010" t="str">
            <v>54/55</v>
          </cell>
          <cell r="I3010" t="str">
            <v>145-150</v>
          </cell>
          <cell r="J3010"/>
          <cell r="K3010"/>
          <cell r="L3010"/>
          <cell r="M3010"/>
          <cell r="N3010"/>
          <cell r="O3010"/>
          <cell r="P3010"/>
          <cell r="Q3010"/>
          <cell r="R3010"/>
          <cell r="S3010"/>
          <cell r="T3010"/>
          <cell r="U3010"/>
          <cell r="V3010">
            <v>15</v>
          </cell>
          <cell r="W3010"/>
          <cell r="X3010" t="str">
            <v>ZOE</v>
          </cell>
          <cell r="Y3010" t="str">
            <v>HANGER FROM ZOE</v>
          </cell>
          <cell r="Z3010" t="str">
            <v>SEND TO SEARS 28/2/17</v>
          </cell>
          <cell r="AA3010"/>
          <cell r="AB3010">
            <v>42794</v>
          </cell>
          <cell r="AC3010">
            <v>2846</v>
          </cell>
        </row>
        <row r="3011">
          <cell r="B3011">
            <v>2845</v>
          </cell>
          <cell r="C3011" t="str">
            <v>OLP-1721628SD</v>
          </cell>
          <cell r="D3011" t="str">
            <v>LACE</v>
          </cell>
          <cell r="E3011"/>
          <cell r="F3011" t="str">
            <v>N 100%</v>
          </cell>
          <cell r="G3011" t="str">
            <v>100% NYLON</v>
          </cell>
          <cell r="H3011" t="str">
            <v>140CM</v>
          </cell>
          <cell r="I3011">
            <v>93</v>
          </cell>
          <cell r="J3011">
            <v>4.0999999999999996</v>
          </cell>
          <cell r="K3011"/>
          <cell r="L3011"/>
          <cell r="M3011"/>
          <cell r="N3011">
            <v>4.1500000000000004</v>
          </cell>
          <cell r="O3011"/>
          <cell r="P3011"/>
          <cell r="Q3011"/>
          <cell r="R3011">
            <v>4.3499999999999996</v>
          </cell>
          <cell r="S3011"/>
          <cell r="T3011"/>
          <cell r="U3011"/>
          <cell r="V3011">
            <v>15</v>
          </cell>
          <cell r="W3011" t="str">
            <v>TEXTURE FABRIC,it is for flocking price</v>
          </cell>
          <cell r="X3011" t="str">
            <v>OWEN</v>
          </cell>
          <cell r="Y3011" t="str">
            <v>OWEN 20-FEB (D)</v>
          </cell>
          <cell r="Z3011" t="str">
            <v>SANDY' MAIL 23/2/17</v>
          </cell>
          <cell r="AA3011"/>
          <cell r="AB3011">
            <v>42794</v>
          </cell>
          <cell r="AC3011">
            <v>2845</v>
          </cell>
        </row>
        <row r="3012">
          <cell r="B3012">
            <v>2844</v>
          </cell>
          <cell r="C3012" t="str">
            <v>OLP-1721610SD</v>
          </cell>
          <cell r="D3012" t="str">
            <v>LACE</v>
          </cell>
          <cell r="E3012"/>
          <cell r="F3012" t="str">
            <v>68%COTTON 32%NYLON</v>
          </cell>
          <cell r="G3012" t="str">
            <v>68%COTTON 32%NYLON</v>
          </cell>
          <cell r="H3012" t="str">
            <v>145CM</v>
          </cell>
          <cell r="I3012">
            <v>127</v>
          </cell>
          <cell r="J3012">
            <v>2.63</v>
          </cell>
          <cell r="K3012">
            <v>3.33</v>
          </cell>
          <cell r="L3012"/>
          <cell r="M3012"/>
          <cell r="N3012">
            <v>2.68</v>
          </cell>
          <cell r="O3012">
            <v>3.38</v>
          </cell>
          <cell r="P3012"/>
          <cell r="Q3012"/>
          <cell r="R3012">
            <v>2.88</v>
          </cell>
          <cell r="S3012">
            <v>3.78</v>
          </cell>
          <cell r="T3012"/>
          <cell r="U3012"/>
          <cell r="V3012">
            <v>15</v>
          </cell>
          <cell r="W3012"/>
          <cell r="X3012" t="str">
            <v>OWEN</v>
          </cell>
          <cell r="Y3012" t="str">
            <v>OWEN 20-FEB (D)</v>
          </cell>
          <cell r="Z3012" t="str">
            <v>SANDY' MAIL 23/2/17</v>
          </cell>
          <cell r="AA3012"/>
          <cell r="AB3012">
            <v>42794</v>
          </cell>
          <cell r="AC3012">
            <v>2844</v>
          </cell>
        </row>
        <row r="3013">
          <cell r="B3013">
            <v>2843</v>
          </cell>
          <cell r="C3013" t="str">
            <v>OLP-1721613SD</v>
          </cell>
          <cell r="D3013" t="str">
            <v>LACE</v>
          </cell>
          <cell r="E3013"/>
          <cell r="F3013" t="str">
            <v>61%NYLON 39%COTTON</v>
          </cell>
          <cell r="G3013" t="str">
            <v>61%NYLON 39%COTTON</v>
          </cell>
          <cell r="H3013" t="str">
            <v>141CM</v>
          </cell>
          <cell r="I3013">
            <v>157</v>
          </cell>
          <cell r="J3013">
            <v>2.4500000000000002</v>
          </cell>
          <cell r="K3013"/>
          <cell r="L3013"/>
          <cell r="M3013"/>
          <cell r="N3013">
            <v>2.5</v>
          </cell>
          <cell r="O3013"/>
          <cell r="P3013"/>
          <cell r="Q3013"/>
          <cell r="R3013">
            <v>2.7</v>
          </cell>
          <cell r="S3013"/>
          <cell r="T3013"/>
          <cell r="U3013"/>
          <cell r="V3013">
            <v>15</v>
          </cell>
          <cell r="W3013"/>
          <cell r="X3013" t="str">
            <v>OWEN</v>
          </cell>
          <cell r="Y3013" t="str">
            <v>OWEN 20-FEB (D)</v>
          </cell>
          <cell r="Z3013" t="str">
            <v>SANDY' MAIL 23/2/17</v>
          </cell>
          <cell r="AA3013"/>
          <cell r="AB3013">
            <v>42794</v>
          </cell>
          <cell r="AC3013">
            <v>2843</v>
          </cell>
        </row>
        <row r="3014">
          <cell r="B3014">
            <v>2842</v>
          </cell>
          <cell r="C3014" t="str">
            <v>OLP-1721617SD</v>
          </cell>
          <cell r="D3014" t="str">
            <v>LACE</v>
          </cell>
          <cell r="E3014"/>
          <cell r="F3014" t="str">
            <v>73%COTTON 27%NYLON</v>
          </cell>
          <cell r="G3014" t="str">
            <v>73%COTTON 27%NYLON</v>
          </cell>
          <cell r="H3014" t="str">
            <v>145CM</v>
          </cell>
          <cell r="I3014">
            <v>130</v>
          </cell>
          <cell r="J3014">
            <v>2.63</v>
          </cell>
          <cell r="K3014">
            <v>3.28</v>
          </cell>
          <cell r="L3014"/>
          <cell r="M3014"/>
          <cell r="N3014">
            <v>2.7</v>
          </cell>
          <cell r="O3014">
            <v>3.35</v>
          </cell>
          <cell r="P3014"/>
          <cell r="Q3014"/>
          <cell r="R3014">
            <v>2.9</v>
          </cell>
          <cell r="S3014">
            <v>3.75</v>
          </cell>
          <cell r="T3014"/>
          <cell r="U3014"/>
          <cell r="V3014">
            <v>15</v>
          </cell>
          <cell r="W3014"/>
          <cell r="X3014" t="str">
            <v>OWEN</v>
          </cell>
          <cell r="Y3014" t="str">
            <v>OWEN 20-FEB (D)</v>
          </cell>
          <cell r="Z3014" t="str">
            <v>SANDY' MAIL 23/2/17</v>
          </cell>
          <cell r="AA3014"/>
          <cell r="AB3014">
            <v>42794</v>
          </cell>
          <cell r="AC3014">
            <v>2842</v>
          </cell>
        </row>
        <row r="3015">
          <cell r="B3015">
            <v>2841</v>
          </cell>
          <cell r="C3015" t="str">
            <v>OLP-1721616SD</v>
          </cell>
          <cell r="D3015" t="str">
            <v>LACE</v>
          </cell>
          <cell r="E3015"/>
          <cell r="F3015" t="str">
            <v>76%COTTON 24%NYLON</v>
          </cell>
          <cell r="G3015" t="str">
            <v>76%COTTON 24%NYLON</v>
          </cell>
          <cell r="H3015" t="str">
            <v>57/58</v>
          </cell>
          <cell r="I3015">
            <v>121</v>
          </cell>
          <cell r="J3015">
            <v>2.38</v>
          </cell>
          <cell r="K3015">
            <v>2.9</v>
          </cell>
          <cell r="L3015"/>
          <cell r="M3015"/>
          <cell r="N3015">
            <v>2.4300000000000002</v>
          </cell>
          <cell r="O3015">
            <v>2.95</v>
          </cell>
          <cell r="P3015"/>
          <cell r="Q3015"/>
          <cell r="R3015">
            <v>2.63</v>
          </cell>
          <cell r="S3015">
            <v>3.25</v>
          </cell>
          <cell r="T3015"/>
          <cell r="U3015"/>
          <cell r="V3015">
            <v>15</v>
          </cell>
          <cell r="W3015"/>
          <cell r="X3015" t="str">
            <v>OWEN</v>
          </cell>
          <cell r="Y3015" t="str">
            <v>OWEN 20-FEB (D)</v>
          </cell>
          <cell r="Z3015" t="str">
            <v>SANDY' MAIL 23/2/17</v>
          </cell>
          <cell r="AA3015"/>
          <cell r="AB3015">
            <v>42794</v>
          </cell>
          <cell r="AC3015">
            <v>2841</v>
          </cell>
        </row>
        <row r="3016">
          <cell r="B3016">
            <v>2840</v>
          </cell>
          <cell r="C3016" t="str">
            <v>M-431</v>
          </cell>
          <cell r="D3016"/>
          <cell r="E3016"/>
          <cell r="F3016" t="str">
            <v>CVC 64/40</v>
          </cell>
          <cell r="G3016" t="str">
            <v>60%COTTON 40% POLYESTER</v>
          </cell>
          <cell r="H3016" t="str">
            <v>54/55</v>
          </cell>
          <cell r="I3016">
            <v>96</v>
          </cell>
          <cell r="J3016">
            <v>3</v>
          </cell>
          <cell r="K3016"/>
          <cell r="L3016"/>
          <cell r="M3016"/>
          <cell r="N3016">
            <v>3.05</v>
          </cell>
          <cell r="O3016"/>
          <cell r="P3016"/>
          <cell r="Q3016"/>
          <cell r="R3016">
            <v>3.15</v>
          </cell>
          <cell r="S3016"/>
          <cell r="T3016"/>
          <cell r="U3016"/>
          <cell r="V3016">
            <v>15</v>
          </cell>
          <cell r="W3016" t="str">
            <v>price incluDe foil</v>
          </cell>
          <cell r="X3016" t="str">
            <v>LIVALTEX</v>
          </cell>
          <cell r="Y3016" t="str">
            <v>LINDA 16-FEB</v>
          </cell>
          <cell r="Z3016" t="str">
            <v>ROSE' MAIL 22/2/17</v>
          </cell>
          <cell r="AA3016"/>
          <cell r="AB3016">
            <v>42794</v>
          </cell>
          <cell r="AC3016">
            <v>2840</v>
          </cell>
        </row>
        <row r="3017">
          <cell r="B3017">
            <v>2839</v>
          </cell>
          <cell r="C3017" t="str">
            <v>ME-325</v>
          </cell>
          <cell r="D3017" t="str">
            <v>LACE</v>
          </cell>
          <cell r="E3017"/>
          <cell r="F3017" t="str">
            <v>T 100%</v>
          </cell>
          <cell r="G3017" t="str">
            <v>100% POLYESTER</v>
          </cell>
          <cell r="H3017" t="str">
            <v>50/51</v>
          </cell>
          <cell r="I3017">
            <v>245</v>
          </cell>
          <cell r="J3017">
            <v>4.55</v>
          </cell>
          <cell r="K3017"/>
          <cell r="L3017"/>
          <cell r="M3017"/>
          <cell r="N3017">
            <v>4.5999999999999996</v>
          </cell>
          <cell r="O3017"/>
          <cell r="P3017"/>
          <cell r="Q3017"/>
          <cell r="R3017">
            <v>4.7</v>
          </cell>
          <cell r="S3017"/>
          <cell r="T3017"/>
          <cell r="U3017"/>
          <cell r="V3017">
            <v>15</v>
          </cell>
          <cell r="W3017"/>
          <cell r="X3017" t="str">
            <v>LIVALTEX</v>
          </cell>
          <cell r="Y3017" t="str">
            <v>LINDA 16-FEB</v>
          </cell>
          <cell r="Z3017" t="str">
            <v>ROSE' MAIL 22/2/17</v>
          </cell>
          <cell r="AA3017"/>
          <cell r="AB3017">
            <v>42794</v>
          </cell>
          <cell r="AC3017">
            <v>2839</v>
          </cell>
        </row>
        <row r="3018">
          <cell r="B3018">
            <v>2838</v>
          </cell>
          <cell r="C3018" t="str">
            <v>M-432</v>
          </cell>
          <cell r="D3018"/>
          <cell r="E3018"/>
          <cell r="F3018" t="str">
            <v>N 100%</v>
          </cell>
          <cell r="G3018" t="str">
            <v>100% NYLON</v>
          </cell>
          <cell r="H3018" t="str">
            <v>54/55</v>
          </cell>
          <cell r="I3018">
            <v>66</v>
          </cell>
          <cell r="J3018">
            <v>3.4</v>
          </cell>
          <cell r="K3018"/>
          <cell r="L3018"/>
          <cell r="M3018"/>
          <cell r="N3018">
            <v>3.45</v>
          </cell>
          <cell r="O3018"/>
          <cell r="P3018"/>
          <cell r="Q3018"/>
          <cell r="R3018">
            <v>3.55</v>
          </cell>
          <cell r="S3018"/>
          <cell r="T3018"/>
          <cell r="U3018"/>
          <cell r="V3018">
            <v>15</v>
          </cell>
          <cell r="W3018" t="str">
            <v>price incluDe foil</v>
          </cell>
          <cell r="X3018" t="str">
            <v>LIVALTEX</v>
          </cell>
          <cell r="Y3018" t="str">
            <v>LINDA 16-FEB</v>
          </cell>
          <cell r="Z3018" t="str">
            <v>ROSE' MAIL 22/2/17</v>
          </cell>
          <cell r="AA3018"/>
          <cell r="AB3018">
            <v>42794</v>
          </cell>
          <cell r="AC3018">
            <v>2838</v>
          </cell>
        </row>
        <row r="3019">
          <cell r="B3019">
            <v>2837</v>
          </cell>
          <cell r="C3019" t="str">
            <v>M-433</v>
          </cell>
          <cell r="D3019"/>
          <cell r="E3019"/>
          <cell r="F3019" t="str">
            <v>N/S 92/8</v>
          </cell>
          <cell r="G3019" t="str">
            <v>N/S 92/8</v>
          </cell>
          <cell r="H3019" t="str">
            <v>47/48</v>
          </cell>
          <cell r="I3019">
            <v>106</v>
          </cell>
          <cell r="J3019">
            <v>3.1</v>
          </cell>
          <cell r="K3019"/>
          <cell r="L3019"/>
          <cell r="M3019"/>
          <cell r="N3019">
            <v>3.15</v>
          </cell>
          <cell r="O3019"/>
          <cell r="P3019"/>
          <cell r="Q3019"/>
          <cell r="R3019">
            <v>3.25</v>
          </cell>
          <cell r="S3019"/>
          <cell r="T3019"/>
          <cell r="U3019"/>
          <cell r="V3019">
            <v>15</v>
          </cell>
          <cell r="W3019" t="str">
            <v>price incluDe foil</v>
          </cell>
          <cell r="X3019" t="str">
            <v>LIVALTEX</v>
          </cell>
          <cell r="Y3019" t="str">
            <v>LINDA 16-FEB</v>
          </cell>
          <cell r="Z3019" t="str">
            <v>ROSE' MAIL 22/2/17</v>
          </cell>
          <cell r="AA3019"/>
          <cell r="AB3019">
            <v>42794</v>
          </cell>
          <cell r="AC3019">
            <v>2837</v>
          </cell>
        </row>
        <row r="3020">
          <cell r="B3020">
            <v>2836</v>
          </cell>
          <cell r="C3020" t="str">
            <v>ME-326</v>
          </cell>
          <cell r="D3020" t="str">
            <v>LACE</v>
          </cell>
          <cell r="E3020"/>
          <cell r="F3020" t="str">
            <v>T 100%</v>
          </cell>
          <cell r="G3020" t="str">
            <v>100% POLYESTER</v>
          </cell>
          <cell r="H3020">
            <v>46</v>
          </cell>
          <cell r="I3020">
            <v>255</v>
          </cell>
          <cell r="J3020">
            <v>4.55</v>
          </cell>
          <cell r="K3020"/>
          <cell r="L3020"/>
          <cell r="M3020"/>
          <cell r="N3020">
            <v>4.5999999999999996</v>
          </cell>
          <cell r="O3020"/>
          <cell r="P3020"/>
          <cell r="Q3020"/>
          <cell r="R3020">
            <v>4.7</v>
          </cell>
          <cell r="S3020"/>
          <cell r="T3020"/>
          <cell r="U3020"/>
          <cell r="V3020">
            <v>15</v>
          </cell>
          <cell r="W3020"/>
          <cell r="X3020" t="str">
            <v>LIVALTEX</v>
          </cell>
          <cell r="Y3020" t="str">
            <v>LINDA 16-FEB</v>
          </cell>
          <cell r="Z3020" t="str">
            <v>ROSE' MAIL 22/2/17</v>
          </cell>
          <cell r="AA3020"/>
          <cell r="AB3020">
            <v>42794</v>
          </cell>
          <cell r="AC3020">
            <v>2836</v>
          </cell>
        </row>
        <row r="3021">
          <cell r="B3021">
            <v>2835</v>
          </cell>
          <cell r="C3021" t="str">
            <v>K-2653</v>
          </cell>
          <cell r="D3021" t="str">
            <v>KNIT TWO LAYER</v>
          </cell>
          <cell r="E3021"/>
          <cell r="F3021" t="str">
            <v>T 100%</v>
          </cell>
          <cell r="G3021" t="str">
            <v>100% POLYESTER</v>
          </cell>
          <cell r="H3021">
            <v>61</v>
          </cell>
          <cell r="I3021">
            <v>230</v>
          </cell>
          <cell r="J3021">
            <v>2.2999999999999998</v>
          </cell>
          <cell r="K3021"/>
          <cell r="L3021"/>
          <cell r="M3021"/>
          <cell r="N3021">
            <v>2.35</v>
          </cell>
          <cell r="O3021"/>
          <cell r="P3021"/>
          <cell r="Q3021"/>
          <cell r="R3021">
            <v>2.5</v>
          </cell>
          <cell r="S3021"/>
          <cell r="T3021"/>
          <cell r="U3021"/>
          <cell r="V3021">
            <v>15</v>
          </cell>
          <cell r="W3021"/>
          <cell r="X3021" t="str">
            <v>LIVALTEX</v>
          </cell>
          <cell r="Y3021" t="str">
            <v>LINDA 16-FEB</v>
          </cell>
          <cell r="Z3021" t="str">
            <v>ROSE' MAIL 22/2/17</v>
          </cell>
          <cell r="AA3021"/>
          <cell r="AB3021">
            <v>42794</v>
          </cell>
          <cell r="AC3021">
            <v>2835</v>
          </cell>
        </row>
        <row r="3022">
          <cell r="B3022">
            <v>2834</v>
          </cell>
          <cell r="C3022" t="str">
            <v>OLP-1721503TB</v>
          </cell>
          <cell r="D3022"/>
          <cell r="E3022" t="str">
            <v>32 x 21 + 70D / 212 x 70</v>
          </cell>
          <cell r="F3022" t="str">
            <v>C/S 97/3</v>
          </cell>
          <cell r="G3022" t="str">
            <v>C/S 97/3</v>
          </cell>
          <cell r="H3022" t="str">
            <v>48/50</v>
          </cell>
          <cell r="I3022">
            <v>270</v>
          </cell>
          <cell r="J3022">
            <v>3.88</v>
          </cell>
          <cell r="K3022"/>
          <cell r="L3022"/>
          <cell r="M3022"/>
          <cell r="N3022">
            <v>3.93</v>
          </cell>
          <cell r="O3022"/>
          <cell r="P3022"/>
          <cell r="Q3022"/>
          <cell r="R3022">
            <v>4.08</v>
          </cell>
          <cell r="S3022"/>
          <cell r="T3022"/>
          <cell r="U3022"/>
          <cell r="V3022">
            <v>15</v>
          </cell>
          <cell r="W3022" t="str">
            <v>before wash - after wash,we will Do the fabric of before wash, the after wash quality only fyi., the price is soliD with foil
Have no 15m available sample, while if you neeDeD, we can arrange at once</v>
          </cell>
          <cell r="X3022" t="str">
            <v>OWEN</v>
          </cell>
          <cell r="Y3022" t="str">
            <v>OWEN 20-FEB (S)</v>
          </cell>
          <cell r="Z3022" t="str">
            <v>SANDY' MAIL 27/2/17</v>
          </cell>
          <cell r="AA3022"/>
          <cell r="AB3022">
            <v>42793</v>
          </cell>
          <cell r="AC3022">
            <v>2834</v>
          </cell>
        </row>
        <row r="3023">
          <cell r="B3023">
            <v>2833</v>
          </cell>
          <cell r="C3023" t="str">
            <v>OLP-1721504TB</v>
          </cell>
          <cell r="D3023"/>
          <cell r="E3023" t="str">
            <v>32 x 21 + 70D / 212 x 70</v>
          </cell>
          <cell r="F3023" t="str">
            <v>97% COTTON 3% SPADEX</v>
          </cell>
          <cell r="G3023" t="str">
            <v>97% COTTON 3% SPADEX</v>
          </cell>
          <cell r="H3023" t="str">
            <v>48/50</v>
          </cell>
          <cell r="I3023">
            <v>270</v>
          </cell>
          <cell r="J3023">
            <v>3.88</v>
          </cell>
          <cell r="K3023"/>
          <cell r="L3023"/>
          <cell r="M3023"/>
          <cell r="N3023">
            <v>3.93</v>
          </cell>
          <cell r="O3023"/>
          <cell r="P3023"/>
          <cell r="Q3023"/>
          <cell r="R3023">
            <v>4.08</v>
          </cell>
          <cell r="S3023"/>
          <cell r="T3023"/>
          <cell r="U3023"/>
          <cell r="V3023">
            <v>15</v>
          </cell>
          <cell r="W3023" t="str">
            <v>before wash - after wash,we will Do the fabric of before wash, the after wash quality only fyi., the price is soliD with foil
Have no 15m available sample, while if you neeDeD, we can arrange at once</v>
          </cell>
          <cell r="X3023" t="str">
            <v>OWEN</v>
          </cell>
          <cell r="Y3023" t="str">
            <v>OWEN 20-FEB (S)</v>
          </cell>
          <cell r="Z3023" t="str">
            <v>SANDY' MAIL 27/2/17</v>
          </cell>
          <cell r="AA3023"/>
          <cell r="AB3023">
            <v>42793</v>
          </cell>
          <cell r="AC3023">
            <v>2833</v>
          </cell>
        </row>
        <row r="3024">
          <cell r="B3024">
            <v>2832</v>
          </cell>
          <cell r="C3024" t="str">
            <v>OLP-1721505TB</v>
          </cell>
          <cell r="D3024"/>
          <cell r="E3024" t="str">
            <v>20 x 16 + 75D + 70D / 108x56</v>
          </cell>
          <cell r="F3024" t="str">
            <v>98% COTTON 2% SPANDEX</v>
          </cell>
          <cell r="G3024" t="str">
            <v>98% COTTON 2% SPANDEX</v>
          </cell>
          <cell r="H3024" t="str">
            <v>48/50</v>
          </cell>
          <cell r="I3024">
            <v>265</v>
          </cell>
          <cell r="J3024">
            <v>3.41</v>
          </cell>
          <cell r="K3024"/>
          <cell r="L3024"/>
          <cell r="M3024"/>
          <cell r="N3024">
            <v>3.46</v>
          </cell>
          <cell r="O3024"/>
          <cell r="P3024"/>
          <cell r="Q3024"/>
          <cell r="R3024">
            <v>3.61</v>
          </cell>
          <cell r="S3024"/>
          <cell r="T3024"/>
          <cell r="U3024"/>
          <cell r="V3024">
            <v>15</v>
          </cell>
          <cell r="W3024" t="str">
            <v>before wash - after wash,we will Do the fabric of before wash, the after wash quality only fyi., the price is soliD with foil
Have no 15m available sample, while if you neeDeD, we can arrange at once</v>
          </cell>
          <cell r="X3024" t="str">
            <v>OWEN</v>
          </cell>
          <cell r="Y3024" t="str">
            <v>OWEN 20-FEB (S)</v>
          </cell>
          <cell r="Z3024" t="str">
            <v>SANDY' MAIL 27/2/17</v>
          </cell>
          <cell r="AA3024"/>
          <cell r="AB3024">
            <v>42793</v>
          </cell>
          <cell r="AC3024">
            <v>2832</v>
          </cell>
        </row>
        <row r="3025">
          <cell r="B3025">
            <v>2831</v>
          </cell>
          <cell r="C3025" t="str">
            <v>OLP-1721506TB</v>
          </cell>
          <cell r="D3025"/>
          <cell r="E3025" t="str">
            <v>40/2 x 21 + 70D / 120 x 70</v>
          </cell>
          <cell r="F3025" t="str">
            <v>C/S 97/3</v>
          </cell>
          <cell r="G3025" t="str">
            <v>C/S 97/3</v>
          </cell>
          <cell r="H3025" t="str">
            <v>48/50</v>
          </cell>
          <cell r="I3025">
            <v>230</v>
          </cell>
          <cell r="J3025">
            <v>3.83</v>
          </cell>
          <cell r="K3025"/>
          <cell r="L3025"/>
          <cell r="M3025"/>
          <cell r="N3025">
            <v>3.88</v>
          </cell>
          <cell r="O3025"/>
          <cell r="P3025"/>
          <cell r="Q3025"/>
          <cell r="R3025">
            <v>4.03</v>
          </cell>
          <cell r="S3025"/>
          <cell r="T3025"/>
          <cell r="U3025"/>
          <cell r="V3025">
            <v>15</v>
          </cell>
          <cell r="W3025"/>
          <cell r="X3025" t="str">
            <v>OWEN</v>
          </cell>
          <cell r="Y3025" t="str">
            <v>OWEN 20-FEB (S)</v>
          </cell>
          <cell r="Z3025" t="str">
            <v>SANDY' MAIL 27/2/17</v>
          </cell>
          <cell r="AA3025"/>
          <cell r="AB3025">
            <v>42793</v>
          </cell>
          <cell r="AC3025">
            <v>2831</v>
          </cell>
        </row>
        <row r="3026">
          <cell r="B3026">
            <v>2830</v>
          </cell>
          <cell r="C3026" t="str">
            <v>OLP-1721507TB</v>
          </cell>
          <cell r="D3026"/>
          <cell r="E3026" t="str">
            <v>SB14 x 32 / +70D / 126 x 86</v>
          </cell>
          <cell r="F3026" t="str">
            <v>C/S 97/3</v>
          </cell>
          <cell r="G3026" t="str">
            <v>C/S 97/3</v>
          </cell>
          <cell r="H3026" t="str">
            <v>48/50</v>
          </cell>
          <cell r="I3026">
            <v>269</v>
          </cell>
          <cell r="J3026">
            <v>3.7</v>
          </cell>
          <cell r="K3026"/>
          <cell r="L3026"/>
          <cell r="M3026"/>
          <cell r="N3026">
            <v>3.75</v>
          </cell>
          <cell r="O3026"/>
          <cell r="P3026"/>
          <cell r="Q3026"/>
          <cell r="R3026">
            <v>3.9</v>
          </cell>
          <cell r="S3026"/>
          <cell r="T3026"/>
          <cell r="U3026"/>
          <cell r="V3026">
            <v>15</v>
          </cell>
          <cell r="W3026"/>
          <cell r="X3026" t="str">
            <v>OWEN</v>
          </cell>
          <cell r="Y3026" t="str">
            <v>OWEN 20-FEB (S)</v>
          </cell>
          <cell r="Z3026" t="str">
            <v>SANDY' MAIL 27/2/17</v>
          </cell>
          <cell r="AA3026"/>
          <cell r="AB3026">
            <v>42793</v>
          </cell>
          <cell r="AC3026">
            <v>2830</v>
          </cell>
        </row>
        <row r="3027">
          <cell r="B3027">
            <v>2829</v>
          </cell>
          <cell r="C3027" t="str">
            <v>OLP-1721508TB</v>
          </cell>
          <cell r="D3027"/>
          <cell r="E3027" t="str">
            <v>14x14 / 58 x 48</v>
          </cell>
          <cell r="F3027" t="str">
            <v>L 100%</v>
          </cell>
          <cell r="G3027" t="str">
            <v>100% LINEN</v>
          </cell>
          <cell r="H3027" t="str">
            <v>53/54</v>
          </cell>
          <cell r="I3027">
            <v>140</v>
          </cell>
          <cell r="J3027">
            <v>4.5</v>
          </cell>
          <cell r="K3027"/>
          <cell r="L3027"/>
          <cell r="M3027"/>
          <cell r="N3027">
            <v>4.55</v>
          </cell>
          <cell r="O3027"/>
          <cell r="P3027"/>
          <cell r="Q3027"/>
          <cell r="R3027">
            <v>4.7</v>
          </cell>
          <cell r="S3027"/>
          <cell r="T3027"/>
          <cell r="U3027"/>
          <cell r="V3027">
            <v>15</v>
          </cell>
          <cell r="W3027"/>
          <cell r="X3027" t="str">
            <v>OWEN</v>
          </cell>
          <cell r="Y3027" t="str">
            <v>OWEN 20-FEB (S)</v>
          </cell>
          <cell r="Z3027" t="str">
            <v>SANDY' MAIL 27/2/17</v>
          </cell>
          <cell r="AA3027"/>
          <cell r="AB3027">
            <v>42793</v>
          </cell>
          <cell r="AC3027">
            <v>2829</v>
          </cell>
        </row>
        <row r="3028">
          <cell r="B3028">
            <v>2828</v>
          </cell>
          <cell r="C3028" t="str">
            <v>OLP-1721501TB</v>
          </cell>
          <cell r="D3028"/>
          <cell r="E3028" t="str">
            <v>20 x 16 + 75D + 70D / 108x56</v>
          </cell>
          <cell r="F3028" t="str">
            <v>98% COTTON 2% SPANDEX</v>
          </cell>
          <cell r="G3028" t="str">
            <v>98% COTTON 2% SPANDEX</v>
          </cell>
          <cell r="H3028" t="str">
            <v>48/50</v>
          </cell>
          <cell r="I3028">
            <v>265</v>
          </cell>
          <cell r="J3028">
            <v>3.41</v>
          </cell>
          <cell r="K3028"/>
          <cell r="L3028"/>
          <cell r="M3028"/>
          <cell r="N3028">
            <v>3.46</v>
          </cell>
          <cell r="O3028"/>
          <cell r="P3028"/>
          <cell r="Q3028"/>
          <cell r="R3028">
            <v>3.61</v>
          </cell>
          <cell r="S3028"/>
          <cell r="T3028"/>
          <cell r="U3028"/>
          <cell r="V3028">
            <v>15</v>
          </cell>
          <cell r="W3028" t="str">
            <v>before wash - after wash,we will Do the fabric of before wash, the after wash quality only fyi., the price is soliD with foil
Have no 15m available sample, while if you neeDeD, we can arrange at once</v>
          </cell>
          <cell r="X3028" t="str">
            <v>OWEN</v>
          </cell>
          <cell r="Y3028" t="str">
            <v>OWEN 20-FEB (S)</v>
          </cell>
          <cell r="Z3028" t="str">
            <v>SANDY' MAIL 27/2/17</v>
          </cell>
          <cell r="AA3028"/>
          <cell r="AB3028">
            <v>42793</v>
          </cell>
          <cell r="AC3028">
            <v>2828</v>
          </cell>
        </row>
        <row r="3029">
          <cell r="B3029">
            <v>2827</v>
          </cell>
          <cell r="C3029" t="str">
            <v>OLP-1721502TB</v>
          </cell>
          <cell r="D3029"/>
          <cell r="E3029" t="str">
            <v>32x21 + 70D / 212 x 70</v>
          </cell>
          <cell r="F3029" t="str">
            <v>C/S 97/3</v>
          </cell>
          <cell r="G3029" t="str">
            <v>C/S 97/3</v>
          </cell>
          <cell r="H3029" t="str">
            <v>48/50</v>
          </cell>
          <cell r="I3029">
            <v>270</v>
          </cell>
          <cell r="J3029">
            <v>3.88</v>
          </cell>
          <cell r="K3029"/>
          <cell r="L3029"/>
          <cell r="M3029"/>
          <cell r="N3029">
            <v>3.93</v>
          </cell>
          <cell r="O3029"/>
          <cell r="P3029"/>
          <cell r="Q3029"/>
          <cell r="R3029">
            <v>4.08</v>
          </cell>
          <cell r="S3029"/>
          <cell r="T3029"/>
          <cell r="U3029"/>
          <cell r="V3029">
            <v>15</v>
          </cell>
          <cell r="W3029" t="str">
            <v>before wash - after wash,we will Do the fabric of before wash, the after wash quality only fyi., the price is soliD with foil
Have no 15m available sample, while if you neeDeD, we can arrange at once</v>
          </cell>
          <cell r="X3029" t="str">
            <v>OWEN</v>
          </cell>
          <cell r="Y3029" t="str">
            <v>OWEN 20-FEB (S)</v>
          </cell>
          <cell r="Z3029" t="str">
            <v>SANDY' MAIL 27/2/17</v>
          </cell>
          <cell r="AA3029"/>
          <cell r="AB3029">
            <v>42793</v>
          </cell>
          <cell r="AC3029">
            <v>2827</v>
          </cell>
        </row>
        <row r="3030">
          <cell r="B3030">
            <v>2826</v>
          </cell>
          <cell r="C3030" t="str">
            <v>MBT0250A2'</v>
          </cell>
          <cell r="D3030" t="str">
            <v xml:space="preserve"> COTTON SPANDEX SATEEN</v>
          </cell>
          <cell r="E3030"/>
          <cell r="F3030" t="str">
            <v>C/S 98/2</v>
          </cell>
          <cell r="G3030" t="str">
            <v xml:space="preserve">98% COTTON 2% SPANDEX </v>
          </cell>
          <cell r="H3030" t="str">
            <v>56/58</v>
          </cell>
          <cell r="I3030">
            <v>142</v>
          </cell>
          <cell r="J3030">
            <v>2.1</v>
          </cell>
          <cell r="K3030">
            <v>2.19</v>
          </cell>
          <cell r="L3030"/>
          <cell r="M3030"/>
          <cell r="N3030">
            <v>2.09</v>
          </cell>
          <cell r="O3030">
            <v>2.2000000000000002</v>
          </cell>
          <cell r="P3030"/>
          <cell r="Q3030"/>
          <cell r="R3030">
            <v>2.67</v>
          </cell>
          <cell r="S3030"/>
          <cell r="T3030"/>
          <cell r="U3030"/>
          <cell r="V3030">
            <v>15</v>
          </cell>
          <cell r="W3030"/>
          <cell r="X3030" t="str">
            <v>LISA HOU</v>
          </cell>
          <cell r="Y3030" t="str">
            <v>LISA 13-FEB</v>
          </cell>
          <cell r="Z3030" t="str">
            <v>LISA' MAIL 13/2/17</v>
          </cell>
          <cell r="AA3030"/>
          <cell r="AB3030">
            <v>42793</v>
          </cell>
          <cell r="AC3030">
            <v>2826</v>
          </cell>
        </row>
        <row r="3031">
          <cell r="B3031">
            <v>2825</v>
          </cell>
          <cell r="C3031" t="str">
            <v>ZR116</v>
          </cell>
          <cell r="D3031" t="str">
            <v>FLOCKED MESH</v>
          </cell>
          <cell r="E3031"/>
          <cell r="F3031" t="str">
            <v>N 100%</v>
          </cell>
          <cell r="G3031" t="str">
            <v>100%NYLON</v>
          </cell>
          <cell r="H3031" t="str">
            <v>145CM</v>
          </cell>
          <cell r="I3031"/>
          <cell r="J3031">
            <v>1.1482939632545932</v>
          </cell>
          <cell r="K3031"/>
          <cell r="L3031"/>
          <cell r="M3031"/>
          <cell r="N3031">
            <v>1.1482939632545932</v>
          </cell>
          <cell r="O3031"/>
          <cell r="P3031"/>
          <cell r="Q3031"/>
          <cell r="R3031">
            <v>1.3123359580052494</v>
          </cell>
          <cell r="S3031"/>
          <cell r="T3031"/>
          <cell r="U3031"/>
          <cell r="V3031">
            <v>15</v>
          </cell>
          <cell r="W3031"/>
          <cell r="X3031" t="str">
            <v>ANGELA</v>
          </cell>
          <cell r="Y3031" t="str">
            <v>ANGELA 17-FEB</v>
          </cell>
          <cell r="Z3031" t="str">
            <v>ANGELA' MAIL 25/2/17</v>
          </cell>
          <cell r="AA3031"/>
          <cell r="AB3031">
            <v>42793</v>
          </cell>
          <cell r="AC3031">
            <v>2825</v>
          </cell>
        </row>
        <row r="3032">
          <cell r="B3032">
            <v>2824</v>
          </cell>
          <cell r="C3032" t="str">
            <v>ZR115</v>
          </cell>
          <cell r="D3032" t="str">
            <v>FLOCKED MESH</v>
          </cell>
          <cell r="E3032"/>
          <cell r="F3032" t="str">
            <v>N 100%</v>
          </cell>
          <cell r="G3032" t="str">
            <v>100%NYLON</v>
          </cell>
          <cell r="H3032" t="str">
            <v>145CM</v>
          </cell>
          <cell r="I3032"/>
          <cell r="J3032">
            <v>1.1482939632545932</v>
          </cell>
          <cell r="K3032"/>
          <cell r="L3032"/>
          <cell r="M3032"/>
          <cell r="N3032">
            <v>1.1482939632545932</v>
          </cell>
          <cell r="O3032"/>
          <cell r="P3032"/>
          <cell r="Q3032"/>
          <cell r="R3032">
            <v>1.3123359580052494</v>
          </cell>
          <cell r="S3032"/>
          <cell r="T3032"/>
          <cell r="U3032"/>
          <cell r="V3032">
            <v>15</v>
          </cell>
          <cell r="W3032"/>
          <cell r="X3032" t="str">
            <v>ANGELA</v>
          </cell>
          <cell r="Y3032" t="str">
            <v>ANGELA 17-FEB</v>
          </cell>
          <cell r="Z3032" t="str">
            <v>ANGELA' MAIL 25/2/17</v>
          </cell>
          <cell r="AA3032"/>
          <cell r="AB3032">
            <v>42793</v>
          </cell>
          <cell r="AC3032">
            <v>2824</v>
          </cell>
        </row>
        <row r="3033">
          <cell r="B3033">
            <v>2823</v>
          </cell>
          <cell r="C3033" t="str">
            <v>ZR114</v>
          </cell>
          <cell r="D3033" t="str">
            <v>FLOCKED MESH</v>
          </cell>
          <cell r="E3033"/>
          <cell r="F3033" t="str">
            <v>N 100%</v>
          </cell>
          <cell r="G3033" t="str">
            <v>100%NYLON</v>
          </cell>
          <cell r="H3033" t="str">
            <v>145CM</v>
          </cell>
          <cell r="I3033"/>
          <cell r="J3033">
            <v>1.1482939632545932</v>
          </cell>
          <cell r="K3033"/>
          <cell r="L3033"/>
          <cell r="M3033"/>
          <cell r="N3033">
            <v>1.1482939632545932</v>
          </cell>
          <cell r="O3033"/>
          <cell r="P3033"/>
          <cell r="Q3033"/>
          <cell r="R3033">
            <v>1.3123359580052494</v>
          </cell>
          <cell r="S3033"/>
          <cell r="T3033"/>
          <cell r="U3033"/>
          <cell r="V3033">
            <v>15</v>
          </cell>
          <cell r="W3033"/>
          <cell r="X3033" t="str">
            <v>ANGELA</v>
          </cell>
          <cell r="Y3033" t="str">
            <v>ANGELA 17-FEB</v>
          </cell>
          <cell r="Z3033" t="str">
            <v>ANGELA' MAIL 25/2/17</v>
          </cell>
          <cell r="AA3033"/>
          <cell r="AB3033">
            <v>42793</v>
          </cell>
          <cell r="AC3033">
            <v>2823</v>
          </cell>
        </row>
        <row r="3034">
          <cell r="B3034">
            <v>2822</v>
          </cell>
          <cell r="C3034" t="str">
            <v>T1690-SH</v>
          </cell>
          <cell r="D3034" t="str">
            <v>LACE</v>
          </cell>
          <cell r="E3034"/>
          <cell r="F3034" t="str">
            <v>CVC 55/45</v>
          </cell>
          <cell r="G3034" t="str">
            <v>55% COTTON 45% POLYESTER</v>
          </cell>
          <cell r="H3034" t="str">
            <v>140 CM</v>
          </cell>
          <cell r="I3034">
            <v>143</v>
          </cell>
          <cell r="J3034">
            <v>2.4059492563429572</v>
          </cell>
          <cell r="K3034"/>
          <cell r="L3034"/>
          <cell r="M3034"/>
          <cell r="N3034">
            <v>2.4059492563429572</v>
          </cell>
          <cell r="O3034"/>
          <cell r="P3034"/>
          <cell r="Q3034"/>
          <cell r="R3034">
            <v>2.5153105861767275</v>
          </cell>
          <cell r="S3034"/>
          <cell r="T3034"/>
          <cell r="U3034"/>
          <cell r="V3034">
            <v>15</v>
          </cell>
          <cell r="W3034"/>
          <cell r="X3034" t="str">
            <v>ANGELA</v>
          </cell>
          <cell r="Y3034" t="str">
            <v>ANGELA 17-FEB</v>
          </cell>
          <cell r="Z3034" t="str">
            <v>ANGELA' MAIL 25/2/17</v>
          </cell>
          <cell r="AA3034"/>
          <cell r="AB3034">
            <v>42793</v>
          </cell>
          <cell r="AC3034">
            <v>2822</v>
          </cell>
        </row>
        <row r="3035">
          <cell r="B3035">
            <v>2821</v>
          </cell>
          <cell r="C3035" t="str">
            <v>T1686-SH</v>
          </cell>
          <cell r="D3035" t="str">
            <v>LACE</v>
          </cell>
          <cell r="E3035"/>
          <cell r="F3035" t="str">
            <v>CVC 55/45</v>
          </cell>
          <cell r="G3035" t="str">
            <v>55% COTTON 45% POLYESTER</v>
          </cell>
          <cell r="H3035" t="str">
            <v>140 CM</v>
          </cell>
          <cell r="I3035">
            <v>143</v>
          </cell>
          <cell r="J3035">
            <v>2.4059492563429572</v>
          </cell>
          <cell r="K3035"/>
          <cell r="L3035"/>
          <cell r="M3035"/>
          <cell r="N3035">
            <v>2.4059492563429572</v>
          </cell>
          <cell r="O3035"/>
          <cell r="P3035"/>
          <cell r="Q3035"/>
          <cell r="R3035">
            <v>2.5153105861767275</v>
          </cell>
          <cell r="S3035"/>
          <cell r="T3035"/>
          <cell r="U3035"/>
          <cell r="V3035">
            <v>15</v>
          </cell>
          <cell r="W3035"/>
          <cell r="X3035" t="str">
            <v>ANGELA</v>
          </cell>
          <cell r="Y3035" t="str">
            <v>ANGELA 17-FEB</v>
          </cell>
          <cell r="Z3035" t="str">
            <v>ANGELA' MAIL 25/2/17</v>
          </cell>
          <cell r="AA3035"/>
          <cell r="AB3035">
            <v>42793</v>
          </cell>
          <cell r="AC3035">
            <v>2821</v>
          </cell>
        </row>
        <row r="3036">
          <cell r="B3036">
            <v>2820</v>
          </cell>
          <cell r="C3036" t="str">
            <v>T1697-SH</v>
          </cell>
          <cell r="D3036" t="str">
            <v>LACE</v>
          </cell>
          <cell r="E3036"/>
          <cell r="F3036" t="str">
            <v>CVC 55/45</v>
          </cell>
          <cell r="G3036" t="str">
            <v>55% COTTON 45% POLYESTER</v>
          </cell>
          <cell r="H3036" t="str">
            <v>140 CM</v>
          </cell>
          <cell r="I3036">
            <v>130</v>
          </cell>
          <cell r="J3036">
            <v>2.4059492563429572</v>
          </cell>
          <cell r="K3036"/>
          <cell r="L3036"/>
          <cell r="M3036"/>
          <cell r="N3036">
            <v>2.4059492563429572</v>
          </cell>
          <cell r="O3036"/>
          <cell r="P3036"/>
          <cell r="Q3036"/>
          <cell r="R3036">
            <v>2.5153105861767275</v>
          </cell>
          <cell r="S3036"/>
          <cell r="T3036"/>
          <cell r="U3036"/>
          <cell r="V3036">
            <v>15</v>
          </cell>
          <cell r="W3036"/>
          <cell r="X3036" t="str">
            <v>ANGELA</v>
          </cell>
          <cell r="Y3036" t="str">
            <v>ANGELA 17-FEB</v>
          </cell>
          <cell r="Z3036" t="str">
            <v>ANGELA' MAIL 25/2/17</v>
          </cell>
          <cell r="AA3036"/>
          <cell r="AB3036">
            <v>42793</v>
          </cell>
          <cell r="AC3036">
            <v>2820</v>
          </cell>
        </row>
        <row r="3037">
          <cell r="B3037">
            <v>2819</v>
          </cell>
          <cell r="C3037" t="str">
            <v>T1688-SH</v>
          </cell>
          <cell r="D3037" t="str">
            <v>LACE</v>
          </cell>
          <cell r="E3037"/>
          <cell r="F3037" t="str">
            <v>CVC 55/45</v>
          </cell>
          <cell r="G3037" t="str">
            <v>55% COTTON 45% POLYESTER</v>
          </cell>
          <cell r="H3037" t="str">
            <v>140 CM</v>
          </cell>
          <cell r="I3037">
            <v>130</v>
          </cell>
          <cell r="J3037">
            <v>2.4059492563429572</v>
          </cell>
          <cell r="K3037"/>
          <cell r="L3037"/>
          <cell r="M3037"/>
          <cell r="N3037">
            <v>2.4059492563429572</v>
          </cell>
          <cell r="O3037"/>
          <cell r="P3037"/>
          <cell r="Q3037"/>
          <cell r="R3037">
            <v>2.5153105861767275</v>
          </cell>
          <cell r="S3037"/>
          <cell r="T3037"/>
          <cell r="U3037"/>
          <cell r="V3037">
            <v>15</v>
          </cell>
          <cell r="W3037"/>
          <cell r="X3037" t="str">
            <v>ANGELA</v>
          </cell>
          <cell r="Y3037" t="str">
            <v>ANGELA 17-FEB</v>
          </cell>
          <cell r="Z3037" t="str">
            <v>ANGELA' MAIL 25/2/17</v>
          </cell>
          <cell r="AA3037"/>
          <cell r="AB3037">
            <v>42793</v>
          </cell>
          <cell r="AC3037">
            <v>2819</v>
          </cell>
        </row>
        <row r="3038">
          <cell r="B3038">
            <v>2818</v>
          </cell>
          <cell r="C3038" t="str">
            <v>T1596-SH</v>
          </cell>
          <cell r="D3038" t="str">
            <v>LACE</v>
          </cell>
          <cell r="E3038"/>
          <cell r="F3038" t="str">
            <v>CVC 55/45</v>
          </cell>
          <cell r="G3038" t="str">
            <v>55% COTTON 45% POLYESTER</v>
          </cell>
          <cell r="H3038" t="str">
            <v>140 CM</v>
          </cell>
          <cell r="I3038">
            <v>121</v>
          </cell>
          <cell r="J3038">
            <v>2.4059492563429572</v>
          </cell>
          <cell r="K3038"/>
          <cell r="L3038"/>
          <cell r="M3038"/>
          <cell r="N3038">
            <v>2.4059492563429572</v>
          </cell>
          <cell r="O3038"/>
          <cell r="P3038"/>
          <cell r="Q3038"/>
          <cell r="R3038">
            <v>2.5153105861767275</v>
          </cell>
          <cell r="S3038"/>
          <cell r="T3038"/>
          <cell r="U3038"/>
          <cell r="V3038">
            <v>15</v>
          </cell>
          <cell r="W3038"/>
          <cell r="X3038" t="str">
            <v>ANGELA</v>
          </cell>
          <cell r="Y3038" t="str">
            <v>ANGELA 17-FEB</v>
          </cell>
          <cell r="Z3038" t="str">
            <v>ANGELA' MAIL 25/2/17</v>
          </cell>
          <cell r="AA3038"/>
          <cell r="AB3038">
            <v>42793</v>
          </cell>
          <cell r="AC3038">
            <v>2818</v>
          </cell>
        </row>
        <row r="3039">
          <cell r="B3039">
            <v>2817</v>
          </cell>
          <cell r="C3039" t="str">
            <v>T1595-SH</v>
          </cell>
          <cell r="D3039" t="str">
            <v>LACE</v>
          </cell>
          <cell r="E3039"/>
          <cell r="F3039" t="str">
            <v>CVC 55/45</v>
          </cell>
          <cell r="G3039" t="str">
            <v>55% COTTON 45% POLYESTER</v>
          </cell>
          <cell r="H3039" t="str">
            <v>140 CM</v>
          </cell>
          <cell r="I3039">
            <v>223</v>
          </cell>
          <cell r="J3039">
            <v>2.4059492563429572</v>
          </cell>
          <cell r="K3039"/>
          <cell r="L3039"/>
          <cell r="M3039"/>
          <cell r="N3039">
            <v>2.4059492563429572</v>
          </cell>
          <cell r="O3039"/>
          <cell r="P3039"/>
          <cell r="Q3039"/>
          <cell r="R3039">
            <v>2.5153105861767275</v>
          </cell>
          <cell r="S3039"/>
          <cell r="T3039"/>
          <cell r="U3039"/>
          <cell r="V3039">
            <v>15</v>
          </cell>
          <cell r="W3039"/>
          <cell r="X3039" t="str">
            <v>ANGELA</v>
          </cell>
          <cell r="Y3039" t="str">
            <v>ANGELA 17-FEB</v>
          </cell>
          <cell r="Z3039" t="str">
            <v>ANGELA' MAIL 25/2/17</v>
          </cell>
          <cell r="AA3039"/>
          <cell r="AB3039">
            <v>42793</v>
          </cell>
          <cell r="AC3039">
            <v>2817</v>
          </cell>
        </row>
        <row r="3040">
          <cell r="B3040">
            <v>2816</v>
          </cell>
          <cell r="C3040" t="str">
            <v>T1600-SH</v>
          </cell>
          <cell r="D3040" t="str">
            <v>LACE</v>
          </cell>
          <cell r="E3040"/>
          <cell r="F3040" t="str">
            <v>CVC 55/45</v>
          </cell>
          <cell r="G3040" t="str">
            <v>55% COTTON 45% POLYESTER</v>
          </cell>
          <cell r="H3040" t="str">
            <v>140 CM</v>
          </cell>
          <cell r="I3040">
            <v>112</v>
          </cell>
          <cell r="J3040">
            <v>2.4059492563429572</v>
          </cell>
          <cell r="K3040"/>
          <cell r="L3040"/>
          <cell r="M3040"/>
          <cell r="N3040">
            <v>2.4059492563429572</v>
          </cell>
          <cell r="O3040"/>
          <cell r="P3040"/>
          <cell r="Q3040"/>
          <cell r="R3040">
            <v>2.5153105861767275</v>
          </cell>
          <cell r="S3040"/>
          <cell r="T3040"/>
          <cell r="U3040"/>
          <cell r="V3040">
            <v>15</v>
          </cell>
          <cell r="W3040"/>
          <cell r="X3040" t="str">
            <v>ANGELA</v>
          </cell>
          <cell r="Y3040" t="str">
            <v>ANGELA 17-FEB</v>
          </cell>
          <cell r="Z3040" t="str">
            <v>ANGELA' MAIL 25/2/17</v>
          </cell>
          <cell r="AA3040"/>
          <cell r="AB3040">
            <v>42793</v>
          </cell>
          <cell r="AC3040">
            <v>2816</v>
          </cell>
        </row>
        <row r="3041">
          <cell r="B3041">
            <v>2815</v>
          </cell>
          <cell r="C3041" t="str">
            <v>T1597-SH</v>
          </cell>
          <cell r="D3041" t="str">
            <v>LACE</v>
          </cell>
          <cell r="E3041"/>
          <cell r="F3041" t="str">
            <v>CVC 55/45</v>
          </cell>
          <cell r="G3041" t="str">
            <v>55% COTTON 45% POLYESTER</v>
          </cell>
          <cell r="H3041" t="str">
            <v>140 CM</v>
          </cell>
          <cell r="I3041">
            <v>112</v>
          </cell>
          <cell r="J3041">
            <v>2.4059492563429572</v>
          </cell>
          <cell r="K3041"/>
          <cell r="L3041"/>
          <cell r="M3041"/>
          <cell r="N3041">
            <v>2.4059492563429572</v>
          </cell>
          <cell r="O3041"/>
          <cell r="P3041"/>
          <cell r="Q3041"/>
          <cell r="R3041">
            <v>2.5153105861767275</v>
          </cell>
          <cell r="S3041"/>
          <cell r="T3041"/>
          <cell r="U3041"/>
          <cell r="V3041">
            <v>15</v>
          </cell>
          <cell r="W3041"/>
          <cell r="X3041" t="str">
            <v>ANGELA</v>
          </cell>
          <cell r="Y3041" t="str">
            <v>ANGELA 17-FEB</v>
          </cell>
          <cell r="Z3041" t="str">
            <v>ANGELA' MAIL 25/2/17</v>
          </cell>
          <cell r="AA3041"/>
          <cell r="AB3041">
            <v>42793</v>
          </cell>
          <cell r="AC3041">
            <v>2815</v>
          </cell>
        </row>
        <row r="3042">
          <cell r="B3042">
            <v>2814</v>
          </cell>
          <cell r="C3042" t="str">
            <v>T1398-SH</v>
          </cell>
          <cell r="D3042" t="str">
            <v>LACE</v>
          </cell>
          <cell r="E3042"/>
          <cell r="F3042" t="str">
            <v>CVC 55/45</v>
          </cell>
          <cell r="G3042" t="str">
            <v>55% COTTON 45% POLYESTER</v>
          </cell>
          <cell r="H3042" t="str">
            <v>140 CM</v>
          </cell>
          <cell r="I3042">
            <v>130</v>
          </cell>
          <cell r="J3042">
            <v>2.4059492563429572</v>
          </cell>
          <cell r="K3042"/>
          <cell r="L3042"/>
          <cell r="M3042"/>
          <cell r="N3042">
            <v>2.4059492563429572</v>
          </cell>
          <cell r="O3042"/>
          <cell r="P3042"/>
          <cell r="Q3042"/>
          <cell r="R3042">
            <v>2.5153105861767275</v>
          </cell>
          <cell r="S3042"/>
          <cell r="T3042"/>
          <cell r="U3042"/>
          <cell r="V3042">
            <v>15</v>
          </cell>
          <cell r="W3042"/>
          <cell r="X3042" t="str">
            <v>ANGELA</v>
          </cell>
          <cell r="Y3042" t="str">
            <v>ANGELA 17-FEB</v>
          </cell>
          <cell r="Z3042" t="str">
            <v>ANGELA' MAIL 25/2/17</v>
          </cell>
          <cell r="AA3042"/>
          <cell r="AB3042">
            <v>42793</v>
          </cell>
          <cell r="AC3042">
            <v>2814</v>
          </cell>
        </row>
        <row r="3043">
          <cell r="B3043">
            <v>2813</v>
          </cell>
          <cell r="C3043" t="str">
            <v>W-A16-SILVER</v>
          </cell>
          <cell r="D3043" t="str">
            <v>MESH FOIL</v>
          </cell>
          <cell r="E3043"/>
          <cell r="F3043" t="str">
            <v>N 100%</v>
          </cell>
          <cell r="G3043" t="str">
            <v>100% NYLON</v>
          </cell>
          <cell r="H3043" t="str">
            <v>150 CM</v>
          </cell>
          <cell r="I3043">
            <v>70</v>
          </cell>
          <cell r="J3043">
            <v>1.0389326334208224</v>
          </cell>
          <cell r="K3043"/>
          <cell r="L3043"/>
          <cell r="M3043"/>
          <cell r="N3043">
            <v>1.0389326334208224</v>
          </cell>
          <cell r="O3043"/>
          <cell r="P3043"/>
          <cell r="Q3043"/>
          <cell r="R3043">
            <v>1.0936132983377078</v>
          </cell>
          <cell r="S3043"/>
          <cell r="T3043"/>
          <cell r="U3043"/>
          <cell r="V3043">
            <v>15</v>
          </cell>
          <cell r="W3043"/>
          <cell r="X3043" t="str">
            <v>ANGELA</v>
          </cell>
          <cell r="Y3043" t="str">
            <v>ANGELA 17-FEB</v>
          </cell>
          <cell r="Z3043" t="str">
            <v>ANGELA' MAIL 25/2/17</v>
          </cell>
          <cell r="AA3043"/>
          <cell r="AB3043">
            <v>42793</v>
          </cell>
          <cell r="AC3043">
            <v>2813</v>
          </cell>
        </row>
        <row r="3044">
          <cell r="B3044">
            <v>2812</v>
          </cell>
          <cell r="C3044" t="str">
            <v>W-A73</v>
          </cell>
          <cell r="D3044" t="str">
            <v>MESH FOIL</v>
          </cell>
          <cell r="E3044"/>
          <cell r="F3044" t="str">
            <v>N 100%</v>
          </cell>
          <cell r="G3044" t="str">
            <v>100% NYLON</v>
          </cell>
          <cell r="H3044" t="str">
            <v>150 CM</v>
          </cell>
          <cell r="I3044">
            <v>70</v>
          </cell>
          <cell r="J3044">
            <v>1.0389326334208224</v>
          </cell>
          <cell r="K3044"/>
          <cell r="L3044"/>
          <cell r="M3044"/>
          <cell r="N3044">
            <v>1.0389326334208224</v>
          </cell>
          <cell r="O3044"/>
          <cell r="P3044"/>
          <cell r="Q3044"/>
          <cell r="R3044">
            <v>1.0936132983377078</v>
          </cell>
          <cell r="S3044"/>
          <cell r="T3044"/>
          <cell r="U3044"/>
          <cell r="V3044">
            <v>15</v>
          </cell>
          <cell r="W3044"/>
          <cell r="X3044" t="str">
            <v>ANGELA</v>
          </cell>
          <cell r="Y3044" t="str">
            <v>ANGELA 17-FEB</v>
          </cell>
          <cell r="Z3044" t="str">
            <v>ANGELA' MAIL 25/2/17</v>
          </cell>
          <cell r="AA3044"/>
          <cell r="AB3044">
            <v>42793</v>
          </cell>
          <cell r="AC3044">
            <v>2812</v>
          </cell>
        </row>
        <row r="3045">
          <cell r="B3045">
            <v>2811</v>
          </cell>
          <cell r="C3045" t="str">
            <v>ZR406B24</v>
          </cell>
          <cell r="D3045" t="str">
            <v>MESH FLOCKING</v>
          </cell>
          <cell r="E3045"/>
          <cell r="F3045" t="str">
            <v>T 100%</v>
          </cell>
          <cell r="G3045" t="str">
            <v>100% POLYESTER</v>
          </cell>
          <cell r="H3045" t="str">
            <v>145 CM</v>
          </cell>
          <cell r="I3045"/>
          <cell r="J3045">
            <v>1.1482939632545932</v>
          </cell>
          <cell r="K3045"/>
          <cell r="L3045"/>
          <cell r="M3045"/>
          <cell r="N3045">
            <v>1.1482939632545932</v>
          </cell>
          <cell r="O3045"/>
          <cell r="P3045"/>
          <cell r="Q3045"/>
          <cell r="R3045">
            <v>1.3123359580052494</v>
          </cell>
          <cell r="S3045"/>
          <cell r="T3045"/>
          <cell r="U3045"/>
          <cell r="V3045">
            <v>15</v>
          </cell>
          <cell r="W3045"/>
          <cell r="X3045" t="str">
            <v>ANGELA</v>
          </cell>
          <cell r="Y3045" t="str">
            <v>ANGELA 17-FEB</v>
          </cell>
          <cell r="Z3045" t="str">
            <v>ANGELA' MAIL 25/2/17</v>
          </cell>
          <cell r="AA3045"/>
          <cell r="AB3045">
            <v>42793</v>
          </cell>
          <cell r="AC3045">
            <v>2811</v>
          </cell>
        </row>
        <row r="3046">
          <cell r="B3046">
            <v>2810</v>
          </cell>
          <cell r="C3046" t="str">
            <v>YH30AMC</v>
          </cell>
          <cell r="D3046" t="str">
            <v>MESH PRINT</v>
          </cell>
          <cell r="E3046"/>
          <cell r="F3046" t="str">
            <v>T 100%</v>
          </cell>
          <cell r="G3046" t="str">
            <v>100% POLYESTER</v>
          </cell>
          <cell r="H3046" t="str">
            <v>150 CM</v>
          </cell>
          <cell r="I3046">
            <v>35</v>
          </cell>
          <cell r="J3046">
            <v>1.7497812773403325</v>
          </cell>
          <cell r="K3046"/>
          <cell r="L3046"/>
          <cell r="M3046"/>
          <cell r="N3046">
            <v>1.7497812773403325</v>
          </cell>
          <cell r="O3046"/>
          <cell r="P3046"/>
          <cell r="Q3046"/>
          <cell r="R3046">
            <v>1.7497812773403325</v>
          </cell>
          <cell r="S3046"/>
          <cell r="T3046"/>
          <cell r="U3046"/>
          <cell r="V3046">
            <v>15</v>
          </cell>
          <cell r="W3046"/>
          <cell r="X3046" t="str">
            <v>ANGELA</v>
          </cell>
          <cell r="Y3046" t="str">
            <v>ANGELA 17-FEB</v>
          </cell>
          <cell r="Z3046" t="str">
            <v>ANGELA' MAIL 25/2/17</v>
          </cell>
          <cell r="AA3046"/>
          <cell r="AB3046">
            <v>42793</v>
          </cell>
          <cell r="AC3046">
            <v>2810</v>
          </cell>
        </row>
        <row r="3047">
          <cell r="B3047">
            <v>2809</v>
          </cell>
          <cell r="C3047" t="str">
            <v>ZR403B23</v>
          </cell>
          <cell r="D3047" t="str">
            <v>MESH FLOCKING</v>
          </cell>
          <cell r="E3047"/>
          <cell r="F3047" t="str">
            <v>T 100%</v>
          </cell>
          <cell r="G3047" t="str">
            <v>100% POLYESTER</v>
          </cell>
          <cell r="H3047" t="str">
            <v>145 CM</v>
          </cell>
          <cell r="I3047"/>
          <cell r="J3047">
            <v>1.1482939632545932</v>
          </cell>
          <cell r="K3047"/>
          <cell r="L3047"/>
          <cell r="M3047"/>
          <cell r="N3047">
            <v>1.1482939632545932</v>
          </cell>
          <cell r="O3047"/>
          <cell r="P3047"/>
          <cell r="Q3047"/>
          <cell r="R3047">
            <v>1.3123359580052494</v>
          </cell>
          <cell r="S3047"/>
          <cell r="T3047"/>
          <cell r="U3047"/>
          <cell r="V3047">
            <v>15</v>
          </cell>
          <cell r="W3047"/>
          <cell r="X3047" t="str">
            <v>ANGELA</v>
          </cell>
          <cell r="Y3047" t="str">
            <v>ANGELA 17-FEB</v>
          </cell>
          <cell r="Z3047" t="str">
            <v>ANGELA' MAIL 25/2/17</v>
          </cell>
          <cell r="AA3047"/>
          <cell r="AB3047">
            <v>42793</v>
          </cell>
          <cell r="AC3047">
            <v>2809</v>
          </cell>
        </row>
        <row r="3048">
          <cell r="B3048">
            <v>2808</v>
          </cell>
          <cell r="C3048" t="str">
            <v xml:space="preserve">   XP44</v>
          </cell>
          <cell r="D3048" t="str">
            <v>MESH PLEAT</v>
          </cell>
          <cell r="E3048"/>
          <cell r="F3048" t="str">
            <v>T 100%</v>
          </cell>
          <cell r="G3048" t="str">
            <v>100% POLYESTER</v>
          </cell>
          <cell r="H3048" t="str">
            <v>150 CM</v>
          </cell>
          <cell r="I3048"/>
          <cell r="J3048">
            <v>1.1482939632545932</v>
          </cell>
          <cell r="K3048"/>
          <cell r="L3048"/>
          <cell r="M3048"/>
          <cell r="N3048">
            <v>1.1482939632545932</v>
          </cell>
          <cell r="O3048"/>
          <cell r="P3048"/>
          <cell r="Q3048"/>
          <cell r="R3048">
            <v>1.3123359580052494</v>
          </cell>
          <cell r="S3048"/>
          <cell r="T3048"/>
          <cell r="U3048"/>
          <cell r="V3048">
            <v>15</v>
          </cell>
          <cell r="W3048"/>
          <cell r="X3048" t="str">
            <v>ANGELA</v>
          </cell>
          <cell r="Y3048" t="str">
            <v>ANGELA 17-FEB</v>
          </cell>
          <cell r="Z3048" t="str">
            <v>ANGELA' MAIL 25/2/17</v>
          </cell>
          <cell r="AA3048"/>
          <cell r="AB3048">
            <v>42793</v>
          </cell>
          <cell r="AC3048">
            <v>2808</v>
          </cell>
        </row>
        <row r="3049">
          <cell r="B3049">
            <v>2807</v>
          </cell>
          <cell r="C3049" t="str">
            <v>YH125</v>
          </cell>
          <cell r="D3049" t="str">
            <v>PRINTED MESH</v>
          </cell>
          <cell r="E3049"/>
          <cell r="F3049" t="str">
            <v>T/S 92/8</v>
          </cell>
          <cell r="G3049" t="str">
            <v>92%POLYESTER 8% SPANDEX</v>
          </cell>
          <cell r="H3049" t="str">
            <v>150 CM</v>
          </cell>
          <cell r="I3049">
            <v>95</v>
          </cell>
          <cell r="J3049">
            <v>1.3123359580052494</v>
          </cell>
          <cell r="K3049"/>
          <cell r="L3049"/>
          <cell r="M3049"/>
          <cell r="N3049">
            <v>1.5310586176727907</v>
          </cell>
          <cell r="O3049"/>
          <cell r="P3049"/>
          <cell r="Q3049"/>
          <cell r="R3049">
            <v>1.5310586176727907</v>
          </cell>
          <cell r="S3049"/>
          <cell r="T3049"/>
          <cell r="U3049"/>
          <cell r="V3049">
            <v>15</v>
          </cell>
          <cell r="W3049"/>
          <cell r="X3049" t="str">
            <v>ANGELA</v>
          </cell>
          <cell r="Y3049" t="str">
            <v>ANGELA 17-FEB</v>
          </cell>
          <cell r="Z3049" t="str">
            <v>ANGELA' MAIL 25/2/17</v>
          </cell>
          <cell r="AA3049"/>
          <cell r="AB3049">
            <v>42793</v>
          </cell>
          <cell r="AC3049">
            <v>2807</v>
          </cell>
        </row>
        <row r="3050">
          <cell r="B3050">
            <v>2806</v>
          </cell>
          <cell r="C3050" t="str">
            <v>YH111T024-D</v>
          </cell>
          <cell r="D3050" t="str">
            <v>PRINTED LACE</v>
          </cell>
          <cell r="E3050"/>
          <cell r="F3050" t="str">
            <v>92%NYLON 8% SPANDEX</v>
          </cell>
          <cell r="G3050" t="str">
            <v>92%NYLON 8% SPANDEX</v>
          </cell>
          <cell r="H3050" t="str">
            <v>150 CM</v>
          </cell>
          <cell r="I3050">
            <v>97</v>
          </cell>
          <cell r="J3050">
            <v>2.1872265966754156</v>
          </cell>
          <cell r="K3050"/>
          <cell r="L3050"/>
          <cell r="M3050"/>
          <cell r="N3050">
            <v>2.2965879265091864</v>
          </cell>
          <cell r="O3050"/>
          <cell r="P3050"/>
          <cell r="Q3050"/>
          <cell r="R3050">
            <v>2.2965879265091864</v>
          </cell>
          <cell r="S3050"/>
          <cell r="T3050"/>
          <cell r="U3050"/>
          <cell r="V3050">
            <v>15</v>
          </cell>
          <cell r="W3050"/>
          <cell r="X3050" t="str">
            <v>ANGELA</v>
          </cell>
          <cell r="Y3050" t="str">
            <v>ANGELA 17-FEB</v>
          </cell>
          <cell r="Z3050" t="str">
            <v>ANGELA' MAIL 25/2/17</v>
          </cell>
          <cell r="AA3050"/>
          <cell r="AB3050">
            <v>42793</v>
          </cell>
          <cell r="AC3050">
            <v>2806</v>
          </cell>
        </row>
        <row r="3051">
          <cell r="B3051">
            <v>2805</v>
          </cell>
          <cell r="C3051" t="str">
            <v>ZR28B06</v>
          </cell>
          <cell r="D3051" t="str">
            <v>FLOCKED MESH</v>
          </cell>
          <cell r="E3051"/>
          <cell r="F3051" t="str">
            <v>T 100%</v>
          </cell>
          <cell r="G3051" t="str">
            <v>100% POLYESTER</v>
          </cell>
          <cell r="H3051" t="str">
            <v>155 CM</v>
          </cell>
          <cell r="I3051"/>
          <cell r="J3051">
            <v>1.1482939632545932</v>
          </cell>
          <cell r="K3051"/>
          <cell r="L3051"/>
          <cell r="M3051"/>
          <cell r="N3051">
            <v>1.1482939632545932</v>
          </cell>
          <cell r="O3051"/>
          <cell r="P3051"/>
          <cell r="Q3051"/>
          <cell r="R3051">
            <v>1.3123359580052494</v>
          </cell>
          <cell r="S3051"/>
          <cell r="T3051"/>
          <cell r="U3051"/>
          <cell r="V3051">
            <v>15</v>
          </cell>
          <cell r="W3051"/>
          <cell r="X3051" t="str">
            <v>ANGELA</v>
          </cell>
          <cell r="Y3051" t="str">
            <v>ANGELA 17-FEB</v>
          </cell>
          <cell r="Z3051" t="str">
            <v>ANGELA' MAIL 25/2/17</v>
          </cell>
          <cell r="AA3051"/>
          <cell r="AB3051">
            <v>42793</v>
          </cell>
          <cell r="AC3051">
            <v>2805</v>
          </cell>
        </row>
        <row r="3052">
          <cell r="B3052">
            <v>2804</v>
          </cell>
          <cell r="C3052" t="str">
            <v>BG3583</v>
          </cell>
          <cell r="D3052" t="str">
            <v>FLEATED MESH</v>
          </cell>
          <cell r="E3052" t="str">
            <v>100D x 21 +70D</v>
          </cell>
          <cell r="F3052" t="str">
            <v>C/T/S 51/44/5</v>
          </cell>
          <cell r="G3052" t="str">
            <v>51% COTTON 44% POLYESTER 5%SPANDEX</v>
          </cell>
          <cell r="H3052" t="str">
            <v>57/58</v>
          </cell>
          <cell r="I3052">
            <v>190</v>
          </cell>
          <cell r="J3052">
            <v>3.5</v>
          </cell>
          <cell r="K3052"/>
          <cell r="L3052"/>
          <cell r="M3052"/>
          <cell r="N3052">
            <v>3.6</v>
          </cell>
          <cell r="O3052"/>
          <cell r="P3052"/>
          <cell r="Q3052"/>
          <cell r="R3052">
            <v>3.8</v>
          </cell>
          <cell r="S3052"/>
          <cell r="T3052"/>
          <cell r="U3052"/>
          <cell r="V3052">
            <v>15</v>
          </cell>
          <cell r="W3052"/>
          <cell r="X3052" t="str">
            <v>ANN</v>
          </cell>
          <cell r="Y3052" t="str">
            <v>ANN 22-FEB</v>
          </cell>
          <cell r="Z3052" t="str">
            <v>ANN' MAIL 23/2/17</v>
          </cell>
          <cell r="AA3052"/>
          <cell r="AB3052">
            <v>42791</v>
          </cell>
          <cell r="AC3052">
            <v>2804</v>
          </cell>
        </row>
        <row r="3053">
          <cell r="B3053">
            <v>2803</v>
          </cell>
          <cell r="C3053" t="str">
            <v>BG3432</v>
          </cell>
          <cell r="D3053"/>
          <cell r="E3053" t="str">
            <v>60 x 60</v>
          </cell>
          <cell r="F3053" t="str">
            <v>R 100%</v>
          </cell>
          <cell r="G3053" t="str">
            <v>100% RAYON</v>
          </cell>
          <cell r="H3053" t="str">
            <v>53/54</v>
          </cell>
          <cell r="I3053">
            <v>84</v>
          </cell>
          <cell r="J3053">
            <v>2</v>
          </cell>
          <cell r="K3053">
            <v>2.35</v>
          </cell>
          <cell r="L3053"/>
          <cell r="M3053"/>
          <cell r="N3053">
            <v>2.0499999999999998</v>
          </cell>
          <cell r="O3053">
            <v>2.4500000000000002</v>
          </cell>
          <cell r="P3053"/>
          <cell r="Q3053"/>
          <cell r="R3053">
            <v>2.25</v>
          </cell>
          <cell r="S3053">
            <v>2.7</v>
          </cell>
          <cell r="T3053"/>
          <cell r="U3053"/>
          <cell r="V3053">
            <v>15</v>
          </cell>
          <cell r="W3053"/>
          <cell r="X3053" t="str">
            <v>ANN</v>
          </cell>
          <cell r="Y3053" t="str">
            <v>ANN 22-FEB</v>
          </cell>
          <cell r="Z3053" t="str">
            <v>ANN' MAIL 23/2/17</v>
          </cell>
          <cell r="AA3053"/>
          <cell r="AB3053">
            <v>42791</v>
          </cell>
          <cell r="AC3053">
            <v>2803</v>
          </cell>
        </row>
        <row r="3054">
          <cell r="B3054">
            <v>2802</v>
          </cell>
          <cell r="C3054" t="str">
            <v>BG3166</v>
          </cell>
          <cell r="D3054" t="str">
            <v>COTTON WITH DOTS</v>
          </cell>
          <cell r="E3054" t="str">
            <v>60 x60 + 12/ 100 x 80</v>
          </cell>
          <cell r="F3054" t="str">
            <v>C 100%</v>
          </cell>
          <cell r="G3054" t="str">
            <v>100% COTTON</v>
          </cell>
          <cell r="H3054" t="str">
            <v>53/54</v>
          </cell>
          <cell r="I3054">
            <v>65</v>
          </cell>
          <cell r="J3054">
            <v>1.9</v>
          </cell>
          <cell r="K3054"/>
          <cell r="L3054"/>
          <cell r="M3054"/>
          <cell r="N3054">
            <v>1.95</v>
          </cell>
          <cell r="O3054"/>
          <cell r="P3054"/>
          <cell r="Q3054"/>
          <cell r="R3054">
            <v>2.15</v>
          </cell>
          <cell r="S3054"/>
          <cell r="T3054"/>
          <cell r="U3054"/>
          <cell r="V3054">
            <v>15</v>
          </cell>
          <cell r="W3054"/>
          <cell r="X3054" t="str">
            <v>EDWIN</v>
          </cell>
          <cell r="Y3054" t="str">
            <v>ANN 22-FEB</v>
          </cell>
          <cell r="Z3054" t="str">
            <v>ANN' MAIL 23/2/17</v>
          </cell>
          <cell r="AA3054"/>
          <cell r="AB3054">
            <v>42791</v>
          </cell>
          <cell r="AC3054">
            <v>2802</v>
          </cell>
        </row>
        <row r="3055">
          <cell r="B3055">
            <v>2801</v>
          </cell>
          <cell r="C3055" t="str">
            <v>BG2718P</v>
          </cell>
          <cell r="D3055" t="str">
            <v xml:space="preserve">CREPE </v>
          </cell>
          <cell r="E3055" t="str">
            <v xml:space="preserve"> 60 x  60 / 90 x 88</v>
          </cell>
          <cell r="F3055" t="str">
            <v>C 100%</v>
          </cell>
          <cell r="G3055" t="str">
            <v>100% COTTON - CREPE</v>
          </cell>
          <cell r="H3055" t="str">
            <v>50/51</v>
          </cell>
          <cell r="I3055">
            <v>85</v>
          </cell>
          <cell r="J3055">
            <v>2.4</v>
          </cell>
          <cell r="K3055">
            <v>3</v>
          </cell>
          <cell r="L3055"/>
          <cell r="M3055"/>
          <cell r="N3055">
            <v>2.4500000000000002</v>
          </cell>
          <cell r="O3055">
            <v>3.15</v>
          </cell>
          <cell r="P3055"/>
          <cell r="Q3055"/>
          <cell r="R3055">
            <v>2.65</v>
          </cell>
          <cell r="S3055">
            <v>3.5</v>
          </cell>
          <cell r="T3055"/>
          <cell r="U3055"/>
          <cell r="V3055">
            <v>15</v>
          </cell>
          <cell r="W3055"/>
          <cell r="X3055" t="str">
            <v>ANN</v>
          </cell>
          <cell r="Y3055" t="str">
            <v>ANN 22-FEB</v>
          </cell>
          <cell r="Z3055" t="str">
            <v>ANN' MAIL 23/2/17</v>
          </cell>
          <cell r="AA3055"/>
          <cell r="AB3055">
            <v>42791</v>
          </cell>
          <cell r="AC3055">
            <v>2801</v>
          </cell>
        </row>
        <row r="3056">
          <cell r="B3056">
            <v>2800</v>
          </cell>
          <cell r="C3056" t="str">
            <v>BG1852</v>
          </cell>
          <cell r="D3056"/>
          <cell r="E3056" t="str">
            <v>60 +40/2 x 60 - 112 x 60</v>
          </cell>
          <cell r="F3056" t="str">
            <v>C 100%</v>
          </cell>
          <cell r="G3056" t="str">
            <v>100% COTTON</v>
          </cell>
          <cell r="H3056" t="str">
            <v>55/56</v>
          </cell>
          <cell r="I3056">
            <v>87</v>
          </cell>
          <cell r="J3056">
            <v>2.2000000000000002</v>
          </cell>
          <cell r="K3056">
            <v>2.5</v>
          </cell>
          <cell r="L3056"/>
          <cell r="M3056"/>
          <cell r="N3056">
            <v>2.25</v>
          </cell>
          <cell r="O3056">
            <v>2.6</v>
          </cell>
          <cell r="P3056"/>
          <cell r="Q3056"/>
          <cell r="R3056">
            <v>2.9</v>
          </cell>
          <cell r="S3056">
            <v>3.4</v>
          </cell>
          <cell r="T3056"/>
          <cell r="U3056"/>
          <cell r="V3056">
            <v>15</v>
          </cell>
          <cell r="W3056"/>
          <cell r="X3056" t="str">
            <v>ANN</v>
          </cell>
          <cell r="Y3056" t="str">
            <v>ANN 22-FEB</v>
          </cell>
          <cell r="Z3056" t="str">
            <v>ANN' MAIL 23/2/17</v>
          </cell>
          <cell r="AA3056"/>
          <cell r="AB3056">
            <v>42791</v>
          </cell>
          <cell r="AC3056">
            <v>2800</v>
          </cell>
        </row>
        <row r="3057">
          <cell r="B3057">
            <v>2799</v>
          </cell>
          <cell r="C3057" t="str">
            <v>BG2805</v>
          </cell>
          <cell r="D3057"/>
          <cell r="E3057" t="str">
            <v>30 x 30</v>
          </cell>
          <cell r="F3057" t="str">
            <v>C 100%</v>
          </cell>
          <cell r="G3057" t="str">
            <v>100% COTTON</v>
          </cell>
          <cell r="H3057" t="str">
            <v>47/48</v>
          </cell>
          <cell r="I3057">
            <v>104</v>
          </cell>
          <cell r="J3057">
            <v>2.35</v>
          </cell>
          <cell r="K3057"/>
          <cell r="L3057"/>
          <cell r="M3057"/>
          <cell r="N3057">
            <v>2.4</v>
          </cell>
          <cell r="O3057"/>
          <cell r="P3057"/>
          <cell r="Q3057"/>
          <cell r="R3057">
            <v>3.1</v>
          </cell>
          <cell r="S3057"/>
          <cell r="T3057"/>
          <cell r="U3057"/>
          <cell r="V3057">
            <v>15</v>
          </cell>
          <cell r="W3057"/>
          <cell r="X3057" t="str">
            <v>ANN</v>
          </cell>
          <cell r="Y3057" t="str">
            <v>ANN 22-FEB</v>
          </cell>
          <cell r="Z3057" t="str">
            <v>ANN' MAIL 23/2/17</v>
          </cell>
          <cell r="AA3057"/>
          <cell r="AB3057">
            <v>42791</v>
          </cell>
          <cell r="AC3057">
            <v>2799</v>
          </cell>
        </row>
        <row r="3058">
          <cell r="B3058">
            <v>2798</v>
          </cell>
          <cell r="C3058" t="str">
            <v>BG2935</v>
          </cell>
          <cell r="D3058"/>
          <cell r="E3058" t="str">
            <v>60 x 60</v>
          </cell>
          <cell r="F3058" t="str">
            <v>C/R 55/45</v>
          </cell>
          <cell r="G3058" t="str">
            <v>55% COTTON 45% RAYON</v>
          </cell>
          <cell r="H3058" t="str">
            <v>53/54</v>
          </cell>
          <cell r="I3058">
            <v>65</v>
          </cell>
          <cell r="J3058">
            <v>1.8</v>
          </cell>
          <cell r="K3058">
            <v>2</v>
          </cell>
          <cell r="L3058"/>
          <cell r="M3058"/>
          <cell r="N3058">
            <v>1.85</v>
          </cell>
          <cell r="O3058">
            <v>2.1</v>
          </cell>
          <cell r="P3058"/>
          <cell r="Q3058"/>
          <cell r="R3058"/>
          <cell r="S3058"/>
          <cell r="T3058"/>
          <cell r="U3058"/>
          <cell r="V3058">
            <v>15</v>
          </cell>
          <cell r="W3058"/>
          <cell r="X3058" t="str">
            <v>ANN</v>
          </cell>
          <cell r="Y3058" t="str">
            <v>ANN 22-FEB</v>
          </cell>
          <cell r="Z3058" t="str">
            <v>ANN' MAIL 23/2/17</v>
          </cell>
          <cell r="AA3058"/>
          <cell r="AB3058">
            <v>42791</v>
          </cell>
          <cell r="AC3058">
            <v>2798</v>
          </cell>
        </row>
        <row r="3059">
          <cell r="B3059">
            <v>2797</v>
          </cell>
          <cell r="C3059" t="str">
            <v>BG2853</v>
          </cell>
          <cell r="D3059"/>
          <cell r="E3059" t="str">
            <v>60 x 60+ 40/2</v>
          </cell>
          <cell r="F3059" t="str">
            <v>68% COTTON 32% RAYON</v>
          </cell>
          <cell r="G3059" t="str">
            <v>68% COTTON 32% RAYON</v>
          </cell>
          <cell r="H3059" t="str">
            <v>53/54</v>
          </cell>
          <cell r="I3059">
            <v>75</v>
          </cell>
          <cell r="J3059">
            <v>2</v>
          </cell>
          <cell r="K3059">
            <v>2.2000000000000002</v>
          </cell>
          <cell r="L3059"/>
          <cell r="M3059"/>
          <cell r="N3059">
            <v>2.0499999999999998</v>
          </cell>
          <cell r="O3059">
            <v>2.2999999999999998</v>
          </cell>
          <cell r="P3059"/>
          <cell r="Q3059"/>
          <cell r="R3059"/>
          <cell r="S3059"/>
          <cell r="T3059"/>
          <cell r="U3059"/>
          <cell r="V3059">
            <v>15</v>
          </cell>
          <cell r="W3059"/>
          <cell r="X3059" t="str">
            <v>ANN</v>
          </cell>
          <cell r="Y3059" t="str">
            <v>ANN 22-FEB</v>
          </cell>
          <cell r="Z3059" t="str">
            <v>ANN' MAIL 23/2/17</v>
          </cell>
          <cell r="AA3059"/>
          <cell r="AB3059">
            <v>42791</v>
          </cell>
          <cell r="AC3059">
            <v>2797</v>
          </cell>
        </row>
        <row r="3060">
          <cell r="B3060">
            <v>2796</v>
          </cell>
          <cell r="C3060" t="str">
            <v>BG2995</v>
          </cell>
          <cell r="D3060" t="str">
            <v>DOBBY</v>
          </cell>
          <cell r="E3060" t="str">
            <v xml:space="preserve"> 60 x 60 </v>
          </cell>
          <cell r="F3060" t="str">
            <v>R 100%</v>
          </cell>
          <cell r="G3060" t="str">
            <v>100% RAYON -DOBBY</v>
          </cell>
          <cell r="H3060" t="str">
            <v>53/54</v>
          </cell>
          <cell r="I3060">
            <v>88</v>
          </cell>
          <cell r="J3060">
            <v>1.8</v>
          </cell>
          <cell r="K3060">
            <v>1.95</v>
          </cell>
          <cell r="L3060"/>
          <cell r="M3060"/>
          <cell r="N3060">
            <v>1.85</v>
          </cell>
          <cell r="O3060">
            <v>2</v>
          </cell>
          <cell r="P3060"/>
          <cell r="Q3060"/>
          <cell r="R3060"/>
          <cell r="S3060"/>
          <cell r="T3060"/>
          <cell r="U3060"/>
          <cell r="V3060">
            <v>15</v>
          </cell>
          <cell r="W3060"/>
          <cell r="X3060" t="str">
            <v>ANN</v>
          </cell>
          <cell r="Y3060" t="str">
            <v>ANN 22-FEB</v>
          </cell>
          <cell r="Z3060" t="str">
            <v>ANN' MAIL 23/2/17</v>
          </cell>
          <cell r="AA3060"/>
          <cell r="AB3060">
            <v>42791</v>
          </cell>
          <cell r="AC3060">
            <v>2796</v>
          </cell>
        </row>
        <row r="3061">
          <cell r="B3061">
            <v>2795</v>
          </cell>
          <cell r="C3061" t="str">
            <v>BG2906</v>
          </cell>
          <cell r="D3061"/>
          <cell r="E3061" t="str">
            <v>60 x 60</v>
          </cell>
          <cell r="F3061" t="str">
            <v>C 100%</v>
          </cell>
          <cell r="G3061" t="str">
            <v>100% COTTON</v>
          </cell>
          <cell r="H3061" t="str">
            <v>57/58</v>
          </cell>
          <cell r="I3061">
            <v>73</v>
          </cell>
          <cell r="J3061">
            <v>1.8</v>
          </cell>
          <cell r="K3061">
            <v>1.95</v>
          </cell>
          <cell r="L3061"/>
          <cell r="M3061"/>
          <cell r="N3061">
            <v>1.85</v>
          </cell>
          <cell r="O3061">
            <v>2</v>
          </cell>
          <cell r="P3061"/>
          <cell r="Q3061"/>
          <cell r="R3061">
            <v>2</v>
          </cell>
          <cell r="S3061">
            <v>2.4</v>
          </cell>
          <cell r="T3061"/>
          <cell r="U3061"/>
          <cell r="V3061">
            <v>15</v>
          </cell>
          <cell r="W3061"/>
          <cell r="X3061" t="str">
            <v>ANN</v>
          </cell>
          <cell r="Y3061" t="str">
            <v>ANN 22-FEB</v>
          </cell>
          <cell r="Z3061" t="str">
            <v>ANN' MAIL 23/2/17</v>
          </cell>
          <cell r="AA3061"/>
          <cell r="AB3061">
            <v>42791</v>
          </cell>
          <cell r="AC3061">
            <v>2795</v>
          </cell>
        </row>
        <row r="3062">
          <cell r="B3062">
            <v>2794</v>
          </cell>
          <cell r="C3062" t="str">
            <v>BG2692</v>
          </cell>
          <cell r="D3062"/>
          <cell r="E3062" t="str">
            <v>32 X 32 + 12 / 102 x 39</v>
          </cell>
          <cell r="F3062" t="str">
            <v>C 100%</v>
          </cell>
          <cell r="G3062" t="str">
            <v>100% COTTON</v>
          </cell>
          <cell r="H3062" t="str">
            <v>43/44</v>
          </cell>
          <cell r="I3062">
            <v>150</v>
          </cell>
          <cell r="J3062">
            <v>3.1</v>
          </cell>
          <cell r="K3062"/>
          <cell r="L3062"/>
          <cell r="M3062"/>
          <cell r="N3062">
            <v>3.2</v>
          </cell>
          <cell r="O3062"/>
          <cell r="P3062"/>
          <cell r="Q3062"/>
          <cell r="R3062">
            <v>3.9</v>
          </cell>
          <cell r="S3062"/>
          <cell r="T3062"/>
          <cell r="U3062"/>
          <cell r="V3062">
            <v>15</v>
          </cell>
          <cell r="W3062"/>
          <cell r="X3062" t="str">
            <v>ANN</v>
          </cell>
          <cell r="Y3062" t="str">
            <v>ANN 22-FEB</v>
          </cell>
          <cell r="Z3062" t="str">
            <v>ANN' MAIL 23/2/17</v>
          </cell>
          <cell r="AA3062"/>
          <cell r="AB3062">
            <v>42791</v>
          </cell>
          <cell r="AC3062">
            <v>2794</v>
          </cell>
        </row>
        <row r="3063">
          <cell r="B3063">
            <v>2793</v>
          </cell>
          <cell r="C3063" t="str">
            <v>BG3163</v>
          </cell>
          <cell r="D3063"/>
          <cell r="E3063" t="str">
            <v>120D x 60s</v>
          </cell>
          <cell r="F3063" t="str">
            <v>V 100%</v>
          </cell>
          <cell r="G3063" t="str">
            <v>100% VISCOSE</v>
          </cell>
          <cell r="H3063" t="str">
            <v>48/50</v>
          </cell>
          <cell r="I3063">
            <v>130</v>
          </cell>
          <cell r="J3063">
            <v>2.75</v>
          </cell>
          <cell r="K3063">
            <v>3.3</v>
          </cell>
          <cell r="L3063"/>
          <cell r="M3063"/>
          <cell r="N3063">
            <v>2.8</v>
          </cell>
          <cell r="O3063">
            <v>3.4</v>
          </cell>
          <cell r="P3063"/>
          <cell r="Q3063"/>
          <cell r="R3063">
            <v>3</v>
          </cell>
          <cell r="S3063">
            <v>3.8</v>
          </cell>
          <cell r="T3063"/>
          <cell r="U3063"/>
          <cell r="V3063">
            <v>15</v>
          </cell>
          <cell r="W3063"/>
          <cell r="X3063" t="str">
            <v>ANN</v>
          </cell>
          <cell r="Y3063" t="str">
            <v>ANN 22-FEB</v>
          </cell>
          <cell r="Z3063" t="str">
            <v>ANN' MAIL 23/2/17</v>
          </cell>
          <cell r="AA3063"/>
          <cell r="AB3063">
            <v>42791</v>
          </cell>
          <cell r="AC3063">
            <v>2793</v>
          </cell>
        </row>
        <row r="3064">
          <cell r="B3064">
            <v>2792</v>
          </cell>
          <cell r="C3064" t="str">
            <v>BG3174</v>
          </cell>
          <cell r="D3064" t="str">
            <v>DOBBY</v>
          </cell>
          <cell r="E3064" t="str">
            <v>R60+R40/2 x R60</v>
          </cell>
          <cell r="F3064" t="str">
            <v>R 100%</v>
          </cell>
          <cell r="G3064" t="str">
            <v>100% RAYON</v>
          </cell>
          <cell r="H3064" t="str">
            <v>53/54</v>
          </cell>
          <cell r="I3064">
            <v>110</v>
          </cell>
          <cell r="J3064">
            <v>2.25</v>
          </cell>
          <cell r="K3064"/>
          <cell r="L3064"/>
          <cell r="M3064"/>
          <cell r="N3064">
            <v>2.2999999999999998</v>
          </cell>
          <cell r="O3064"/>
          <cell r="P3064"/>
          <cell r="Q3064"/>
          <cell r="R3064">
            <v>2.8</v>
          </cell>
          <cell r="S3064"/>
          <cell r="T3064"/>
          <cell r="U3064"/>
          <cell r="V3064">
            <v>15</v>
          </cell>
          <cell r="W3064"/>
          <cell r="X3064" t="str">
            <v>ANN</v>
          </cell>
          <cell r="Y3064" t="str">
            <v>ANN 22-FEB</v>
          </cell>
          <cell r="Z3064" t="str">
            <v>ANN' MAIL 23/2/17</v>
          </cell>
          <cell r="AA3064"/>
          <cell r="AB3064">
            <v>42791</v>
          </cell>
          <cell r="AC3064">
            <v>2792</v>
          </cell>
        </row>
        <row r="3065">
          <cell r="B3065">
            <v>2791</v>
          </cell>
          <cell r="C3065" t="str">
            <v>BG2994</v>
          </cell>
          <cell r="D3065" t="str">
            <v>RAYON DOBBY - AMW1098 / 2791 / 3347 ARE SAME FABRIC</v>
          </cell>
          <cell r="E3065" t="str">
            <v>60s x 60s</v>
          </cell>
          <cell r="F3065" t="str">
            <v>R 100%</v>
          </cell>
          <cell r="G3065" t="str">
            <v>100% RAYON</v>
          </cell>
          <cell r="H3065" t="str">
            <v>54/55</v>
          </cell>
          <cell r="I3065">
            <v>109</v>
          </cell>
          <cell r="J3065">
            <v>1.85</v>
          </cell>
          <cell r="K3065">
            <v>2.1</v>
          </cell>
          <cell r="L3065"/>
          <cell r="M3065"/>
          <cell r="N3065">
            <v>1.9</v>
          </cell>
          <cell r="O3065">
            <v>2.25</v>
          </cell>
          <cell r="P3065"/>
          <cell r="Q3065"/>
          <cell r="R3065">
            <v>2.2999999999999998</v>
          </cell>
          <cell r="S3065">
            <v>2.5499999999999998</v>
          </cell>
          <cell r="T3065"/>
          <cell r="U3065"/>
          <cell r="V3065">
            <v>15</v>
          </cell>
          <cell r="W3065" t="str">
            <v>AMW1098 / 2791 / 3347 ARE SAME FABRIC</v>
          </cell>
          <cell r="X3065" t="str">
            <v>ANN</v>
          </cell>
          <cell r="Y3065" t="str">
            <v>ANN 22-FEB</v>
          </cell>
          <cell r="Z3065" t="str">
            <v>ANN' MAIL 23/2/17</v>
          </cell>
          <cell r="AA3065"/>
          <cell r="AB3065">
            <v>42791</v>
          </cell>
          <cell r="AC3065">
            <v>2791</v>
          </cell>
        </row>
        <row r="3066">
          <cell r="B3066">
            <v>2790</v>
          </cell>
          <cell r="C3066" t="str">
            <v>BG2627</v>
          </cell>
          <cell r="D3066" t="str">
            <v>BURNOUT PRINT</v>
          </cell>
          <cell r="E3066" t="str">
            <v>45 x 45 - Burnout print</v>
          </cell>
          <cell r="F3066" t="str">
            <v>T/C 55/45</v>
          </cell>
          <cell r="G3066" t="str">
            <v>55% POLYESTER 45% COTTON</v>
          </cell>
          <cell r="H3066" t="str">
            <v>57/58</v>
          </cell>
          <cell r="I3066">
            <v>65</v>
          </cell>
          <cell r="J3066">
            <v>2</v>
          </cell>
          <cell r="K3066">
            <v>2.2999999999999998</v>
          </cell>
          <cell r="L3066"/>
          <cell r="M3066"/>
          <cell r="N3066">
            <v>2.0499999999999998</v>
          </cell>
          <cell r="O3066">
            <v>2.4</v>
          </cell>
          <cell r="P3066"/>
          <cell r="Q3066"/>
          <cell r="R3066">
            <v>2.4</v>
          </cell>
          <cell r="S3066">
            <v>2.9</v>
          </cell>
          <cell r="T3066"/>
          <cell r="U3066"/>
          <cell r="V3066">
            <v>15</v>
          </cell>
          <cell r="W3066"/>
          <cell r="X3066" t="str">
            <v>ANN</v>
          </cell>
          <cell r="Y3066" t="str">
            <v>ANN 22-FEB</v>
          </cell>
          <cell r="Z3066" t="str">
            <v>ANN' MAIL 23/2/17</v>
          </cell>
          <cell r="AA3066"/>
          <cell r="AB3066">
            <v>42791</v>
          </cell>
          <cell r="AC3066">
            <v>2790</v>
          </cell>
        </row>
        <row r="3067">
          <cell r="B3067">
            <v>2789</v>
          </cell>
          <cell r="C3067" t="str">
            <v>BG3215</v>
          </cell>
          <cell r="D3067"/>
          <cell r="E3067" t="str">
            <v>200D x 32S</v>
          </cell>
          <cell r="F3067" t="str">
            <v>R/N 85/15</v>
          </cell>
          <cell r="G3067" t="str">
            <v>85% RAYON 15%NYLON</v>
          </cell>
          <cell r="H3067" t="str">
            <v>50/51</v>
          </cell>
          <cell r="I3067">
            <v>115</v>
          </cell>
          <cell r="J3067">
            <v>2.2000000000000002</v>
          </cell>
          <cell r="K3067"/>
          <cell r="L3067"/>
          <cell r="M3067"/>
          <cell r="N3067">
            <v>2.25</v>
          </cell>
          <cell r="O3067"/>
          <cell r="P3067"/>
          <cell r="Q3067"/>
          <cell r="R3067">
            <v>2.4500000000000002</v>
          </cell>
          <cell r="S3067"/>
          <cell r="T3067"/>
          <cell r="U3067"/>
          <cell r="V3067">
            <v>15</v>
          </cell>
          <cell r="W3067"/>
          <cell r="X3067" t="str">
            <v>ANN</v>
          </cell>
          <cell r="Y3067" t="str">
            <v>ANN 22-FEB</v>
          </cell>
          <cell r="Z3067" t="str">
            <v>ANN' MAIL 23/2/17</v>
          </cell>
          <cell r="AA3067"/>
          <cell r="AB3067">
            <v>42791</v>
          </cell>
          <cell r="AC3067">
            <v>2789</v>
          </cell>
        </row>
        <row r="3068">
          <cell r="B3068">
            <v>2788</v>
          </cell>
          <cell r="C3068" t="str">
            <v>BG3342</v>
          </cell>
          <cell r="D3068" t="str">
            <v>DOBBY</v>
          </cell>
          <cell r="E3068"/>
          <cell r="F3068" t="str">
            <v>C 100%</v>
          </cell>
          <cell r="G3068" t="str">
            <v>100% COTTON DOBBY</v>
          </cell>
          <cell r="H3068" t="str">
            <v>53/54</v>
          </cell>
          <cell r="I3068">
            <v>110</v>
          </cell>
          <cell r="J3068">
            <v>2.5</v>
          </cell>
          <cell r="K3068">
            <v>2.75</v>
          </cell>
          <cell r="L3068"/>
          <cell r="M3068"/>
          <cell r="N3068">
            <v>2.6</v>
          </cell>
          <cell r="O3068">
            <v>2.8</v>
          </cell>
          <cell r="P3068"/>
          <cell r="Q3068"/>
          <cell r="R3068"/>
          <cell r="S3068"/>
          <cell r="T3068"/>
          <cell r="U3068"/>
          <cell r="V3068">
            <v>15</v>
          </cell>
          <cell r="W3068"/>
          <cell r="X3068" t="str">
            <v>ANN</v>
          </cell>
          <cell r="Y3068" t="str">
            <v>ANN 22-FEB</v>
          </cell>
          <cell r="Z3068" t="str">
            <v>ANN' MAIL 23/2/17</v>
          </cell>
          <cell r="AA3068"/>
          <cell r="AB3068">
            <v>42791</v>
          </cell>
          <cell r="AC3068">
            <v>2788</v>
          </cell>
        </row>
        <row r="3069">
          <cell r="B3069">
            <v>2787</v>
          </cell>
          <cell r="C3069" t="str">
            <v>BG2183-2</v>
          </cell>
          <cell r="D3069" t="str">
            <v>CREPE ONE FACE</v>
          </cell>
          <cell r="E3069"/>
          <cell r="F3069" t="str">
            <v>T 100%</v>
          </cell>
          <cell r="G3069" t="str">
            <v>100%POLYESTER</v>
          </cell>
          <cell r="H3069" t="str">
            <v>57/58</v>
          </cell>
          <cell r="I3069">
            <v>260</v>
          </cell>
          <cell r="J3069">
            <v>3.45</v>
          </cell>
          <cell r="K3069"/>
          <cell r="L3069"/>
          <cell r="M3069"/>
          <cell r="N3069">
            <v>3.5</v>
          </cell>
          <cell r="O3069"/>
          <cell r="P3069"/>
          <cell r="Q3069"/>
          <cell r="R3069">
            <v>3.75</v>
          </cell>
          <cell r="S3069"/>
          <cell r="T3069"/>
          <cell r="U3069"/>
          <cell r="V3069">
            <v>15</v>
          </cell>
          <cell r="W3069"/>
          <cell r="X3069" t="str">
            <v>ANN</v>
          </cell>
          <cell r="Y3069" t="str">
            <v>ANN 23-FEB</v>
          </cell>
          <cell r="Z3069" t="str">
            <v>ANN SENT VIA WECHAT (IN FOLDER)</v>
          </cell>
          <cell r="AA3069"/>
          <cell r="AB3069">
            <v>42791</v>
          </cell>
          <cell r="AC3069">
            <v>2787</v>
          </cell>
        </row>
        <row r="3070">
          <cell r="B3070">
            <v>1956</v>
          </cell>
          <cell r="C3070" t="str">
            <v>BG1719</v>
          </cell>
          <cell r="D3070"/>
          <cell r="E3070" t="str">
            <v>32 x32 / 52 x 42</v>
          </cell>
          <cell r="F3070" t="str">
            <v>C 100%</v>
          </cell>
          <cell r="G3070" t="str">
            <v>100% COTTON - 32 x32 / 52 x 42</v>
          </cell>
          <cell r="H3070" t="str">
            <v>48/50</v>
          </cell>
          <cell r="I3070">
            <v>88</v>
          </cell>
          <cell r="J3070">
            <v>1.55</v>
          </cell>
          <cell r="K3070">
            <v>2.15</v>
          </cell>
          <cell r="L3070"/>
          <cell r="M3070"/>
          <cell r="N3070">
            <v>1.65</v>
          </cell>
          <cell r="O3070">
            <v>2.35</v>
          </cell>
          <cell r="P3070"/>
          <cell r="Q3070"/>
          <cell r="R3070">
            <v>1.85</v>
          </cell>
          <cell r="S3070">
            <v>2.9</v>
          </cell>
          <cell r="T3070"/>
          <cell r="U3070"/>
          <cell r="V3070">
            <v>15</v>
          </cell>
          <cell r="W3070" t="str">
            <v>DON'T MAKE AMW CODE BECAUSE DON'T HAVE AVAILABLE YARDAGE OR DON'T LIKE IT</v>
          </cell>
          <cell r="X3070" t="str">
            <v>ANN</v>
          </cell>
          <cell r="Y3070" t="str">
            <v>ANN 22-FEB</v>
          </cell>
          <cell r="Z3070" t="str">
            <v>ANN' MAIL 23/2/17</v>
          </cell>
          <cell r="AA3070"/>
          <cell r="AB3070">
            <v>42791</v>
          </cell>
          <cell r="AC3070">
            <v>0</v>
          </cell>
        </row>
        <row r="3071">
          <cell r="B3071"/>
          <cell r="C3071" t="str">
            <v>BG3069</v>
          </cell>
          <cell r="D3071"/>
          <cell r="E3071"/>
          <cell r="F3071" t="str">
            <v xml:space="preserve">120D*30s </v>
          </cell>
          <cell r="G3071" t="str">
            <v xml:space="preserve">120D*30s </v>
          </cell>
          <cell r="H3071" t="str">
            <v>47/48</v>
          </cell>
          <cell r="I3071">
            <v>135</v>
          </cell>
          <cell r="J3071">
            <v>2.75</v>
          </cell>
          <cell r="K3071">
            <v>3.3</v>
          </cell>
          <cell r="L3071"/>
          <cell r="M3071"/>
          <cell r="N3071">
            <v>2.8</v>
          </cell>
          <cell r="O3071">
            <v>3.4</v>
          </cell>
          <cell r="P3071"/>
          <cell r="Q3071"/>
          <cell r="R3071">
            <v>3</v>
          </cell>
          <cell r="S3071">
            <v>3.8</v>
          </cell>
          <cell r="T3071"/>
          <cell r="U3071"/>
          <cell r="V3071">
            <v>15</v>
          </cell>
          <cell r="W3071" t="str">
            <v>DON'T MAKE AMW CODE BECAUSE DON'T HAVE AVAILABLE YARDAGE OR DON'T LIKE IT</v>
          </cell>
          <cell r="X3071" t="str">
            <v>ANN</v>
          </cell>
          <cell r="Y3071" t="str">
            <v>ANN 22-FEB</v>
          </cell>
          <cell r="Z3071" t="str">
            <v>ANN' MAIL 23/2/17</v>
          </cell>
          <cell r="AA3071"/>
          <cell r="AB3071">
            <v>42791</v>
          </cell>
          <cell r="AC3071">
            <v>0</v>
          </cell>
        </row>
        <row r="3072">
          <cell r="B3072"/>
          <cell r="C3072" t="str">
            <v>BG3628</v>
          </cell>
          <cell r="D3072"/>
          <cell r="E3072"/>
          <cell r="F3072" t="str">
            <v>C/R 70/30</v>
          </cell>
          <cell r="G3072" t="str">
            <v>70%COTTON 30%RAYON</v>
          </cell>
          <cell r="H3072" t="str">
            <v>57/58</v>
          </cell>
          <cell r="I3072">
            <v>135</v>
          </cell>
          <cell r="J3072">
            <v>2.35</v>
          </cell>
          <cell r="K3072"/>
          <cell r="L3072"/>
          <cell r="M3072"/>
          <cell r="N3072">
            <v>2.4500000000000002</v>
          </cell>
          <cell r="O3072"/>
          <cell r="P3072"/>
          <cell r="Q3072"/>
          <cell r="R3072">
            <v>2.5499999999999998</v>
          </cell>
          <cell r="S3072"/>
          <cell r="T3072"/>
          <cell r="U3072"/>
          <cell r="V3072">
            <v>0</v>
          </cell>
          <cell r="W3072" t="str">
            <v>DON'T MAKE AMW CODE BECAUSE DON'T HAVE AVAILABLE YARDAGE OR DON'T LIKE IT</v>
          </cell>
          <cell r="X3072" t="str">
            <v>ANN</v>
          </cell>
          <cell r="Y3072" t="str">
            <v>ANN 22-FEB</v>
          </cell>
          <cell r="Z3072" t="str">
            <v>ANN' MAIL 23/2/17</v>
          </cell>
          <cell r="AA3072"/>
          <cell r="AB3072">
            <v>42791</v>
          </cell>
          <cell r="AC3072">
            <v>0</v>
          </cell>
        </row>
        <row r="3073">
          <cell r="B3073"/>
          <cell r="C3073" t="str">
            <v>BG3629</v>
          </cell>
          <cell r="D3073"/>
          <cell r="E3073"/>
          <cell r="F3073" t="str">
            <v>C/R 70/30</v>
          </cell>
          <cell r="G3073" t="str">
            <v>70%COTTON 30%RAYON</v>
          </cell>
          <cell r="H3073" t="str">
            <v>57/58</v>
          </cell>
          <cell r="I3073">
            <v>105</v>
          </cell>
          <cell r="J3073">
            <v>2.35</v>
          </cell>
          <cell r="K3073"/>
          <cell r="L3073"/>
          <cell r="M3073"/>
          <cell r="N3073">
            <v>2.4500000000000002</v>
          </cell>
          <cell r="O3073"/>
          <cell r="P3073"/>
          <cell r="Q3073"/>
          <cell r="R3073">
            <v>2.5499999999999998</v>
          </cell>
          <cell r="S3073"/>
          <cell r="T3073"/>
          <cell r="U3073"/>
          <cell r="V3073">
            <v>0</v>
          </cell>
          <cell r="W3073" t="str">
            <v>DON'T MAKE AMW CODE BECAUSE DON'T HAVE AVAILABLE YARDAGE OR DON'T LIKE IT</v>
          </cell>
          <cell r="X3073" t="str">
            <v>ANN</v>
          </cell>
          <cell r="Y3073" t="str">
            <v>ANN 22-FEB</v>
          </cell>
          <cell r="Z3073" t="str">
            <v>ANN' MAIL 23/2/17</v>
          </cell>
          <cell r="AA3073"/>
          <cell r="AB3073">
            <v>42791</v>
          </cell>
          <cell r="AC3073">
            <v>0</v>
          </cell>
        </row>
        <row r="3074">
          <cell r="B3074"/>
          <cell r="C3074" t="str">
            <v>BG3151</v>
          </cell>
          <cell r="D3074"/>
          <cell r="E3074"/>
          <cell r="F3074" t="str">
            <v>T 100%</v>
          </cell>
          <cell r="G3074" t="str">
            <v>100%POLYESTER</v>
          </cell>
          <cell r="H3074" t="str">
            <v>57/58</v>
          </cell>
          <cell r="I3074">
            <v>260</v>
          </cell>
          <cell r="J3074">
            <v>2.7</v>
          </cell>
          <cell r="K3074"/>
          <cell r="L3074"/>
          <cell r="M3074"/>
          <cell r="N3074">
            <v>2.75</v>
          </cell>
          <cell r="O3074"/>
          <cell r="P3074"/>
          <cell r="Q3074"/>
          <cell r="R3074">
            <v>3</v>
          </cell>
          <cell r="S3074"/>
          <cell r="T3074"/>
          <cell r="U3074"/>
          <cell r="V3074">
            <v>0</v>
          </cell>
          <cell r="W3074" t="str">
            <v>DON'T MAKE AMW CODE BECAUSE DON'T HAVE AVAILABLE YARDAGE OR DON'T LIKE IT</v>
          </cell>
          <cell r="X3074" t="str">
            <v>ANN</v>
          </cell>
          <cell r="Y3074" t="str">
            <v>ANN 23-FEB</v>
          </cell>
          <cell r="Z3074" t="str">
            <v>ANN SENT VIA WECHAT (IN FOLDER)</v>
          </cell>
          <cell r="AA3074"/>
          <cell r="AB3074">
            <v>42791</v>
          </cell>
          <cell r="AC3074">
            <v>0</v>
          </cell>
        </row>
        <row r="3075">
          <cell r="B3075"/>
          <cell r="C3075" t="str">
            <v>BG3326</v>
          </cell>
          <cell r="D3075"/>
          <cell r="E3075"/>
          <cell r="F3075" t="str">
            <v>T 100%</v>
          </cell>
          <cell r="G3075" t="str">
            <v>100%POLYESTER</v>
          </cell>
          <cell r="H3075" t="str">
            <v>57/58</v>
          </cell>
          <cell r="I3075">
            <v>260</v>
          </cell>
          <cell r="J3075">
            <v>2.85</v>
          </cell>
          <cell r="K3075"/>
          <cell r="L3075"/>
          <cell r="M3075"/>
          <cell r="N3075">
            <v>2.9</v>
          </cell>
          <cell r="O3075"/>
          <cell r="P3075"/>
          <cell r="Q3075"/>
          <cell r="R3075">
            <v>3.15</v>
          </cell>
          <cell r="S3075"/>
          <cell r="T3075"/>
          <cell r="U3075"/>
          <cell r="V3075">
            <v>0</v>
          </cell>
          <cell r="W3075" t="str">
            <v>DON'T MAKE AMW CODE BECAUSE DON'T HAVE AVAILABLE YARDAGE OR DON'T LIKE IT</v>
          </cell>
          <cell r="X3075" t="str">
            <v>ANN</v>
          </cell>
          <cell r="Y3075" t="str">
            <v>ANN 23-FEB</v>
          </cell>
          <cell r="Z3075" t="str">
            <v>ANN SENT VIA WECHAT (IN FOLDER)</v>
          </cell>
          <cell r="AA3075"/>
          <cell r="AB3075">
            <v>42791</v>
          </cell>
          <cell r="AC3075">
            <v>0</v>
          </cell>
        </row>
        <row r="3076">
          <cell r="B3076"/>
          <cell r="C3076" t="str">
            <v>BG3351-A</v>
          </cell>
          <cell r="D3076"/>
          <cell r="E3076"/>
          <cell r="F3076" t="str">
            <v>POLY MODAL</v>
          </cell>
          <cell r="G3076" t="str">
            <v>POLYESTER MODAL</v>
          </cell>
          <cell r="H3076" t="str">
            <v>54/55</v>
          </cell>
          <cell r="I3076">
            <v>110</v>
          </cell>
          <cell r="J3076">
            <v>3.9</v>
          </cell>
          <cell r="K3076"/>
          <cell r="L3076"/>
          <cell r="M3076"/>
          <cell r="N3076">
            <v>3.95</v>
          </cell>
          <cell r="O3076"/>
          <cell r="P3076"/>
          <cell r="Q3076"/>
          <cell r="R3076">
            <v>4.1500000000000004</v>
          </cell>
          <cell r="S3076"/>
          <cell r="T3076"/>
          <cell r="U3076"/>
          <cell r="V3076">
            <v>0</v>
          </cell>
          <cell r="W3076" t="str">
            <v>DON'T MAKE AMW CODE BECAUSE DON'T HAVE AVAILABLE YARDAGE OR DON'T LIKE IT</v>
          </cell>
          <cell r="X3076" t="str">
            <v>ANN</v>
          </cell>
          <cell r="Y3076" t="str">
            <v>ANN 23-FEB</v>
          </cell>
          <cell r="Z3076" t="str">
            <v>ANN SENT VIA WECHAT (IN FOLDER)</v>
          </cell>
          <cell r="AA3076"/>
          <cell r="AB3076">
            <v>42791</v>
          </cell>
          <cell r="AC3076">
            <v>0</v>
          </cell>
        </row>
        <row r="3077">
          <cell r="B3077">
            <v>2786</v>
          </cell>
          <cell r="C3077" t="str">
            <v>TS-332</v>
          </cell>
          <cell r="D3077" t="str">
            <v>RAYON TWILL</v>
          </cell>
          <cell r="E3077"/>
          <cell r="F3077" t="str">
            <v>R 100%</v>
          </cell>
          <cell r="G3077" t="str">
            <v>100% RAYON TWILL</v>
          </cell>
          <cell r="H3077" t="str">
            <v>55/56</v>
          </cell>
          <cell r="I3077">
            <v>145</v>
          </cell>
          <cell r="J3077">
            <v>1.55</v>
          </cell>
          <cell r="K3077">
            <v>1.64</v>
          </cell>
          <cell r="L3077"/>
          <cell r="M3077"/>
          <cell r="N3077">
            <v>1.58</v>
          </cell>
          <cell r="O3077">
            <v>1.69</v>
          </cell>
          <cell r="P3077"/>
          <cell r="Q3077"/>
          <cell r="R3077">
            <v>1.73</v>
          </cell>
          <cell r="S3077">
            <v>1.98</v>
          </cell>
          <cell r="T3077"/>
          <cell r="U3077"/>
          <cell r="V3077">
            <v>15</v>
          </cell>
          <cell r="W3077"/>
          <cell r="X3077" t="str">
            <v>GAVIN</v>
          </cell>
          <cell r="Y3077" t="str">
            <v>GAVIN 24-FEB</v>
          </cell>
          <cell r="Z3077" t="str">
            <v>GAVIN' MAIL 24/2/17</v>
          </cell>
          <cell r="AA3077"/>
          <cell r="AB3077">
            <v>42790</v>
          </cell>
          <cell r="AC3077">
            <v>2786</v>
          </cell>
        </row>
        <row r="3078">
          <cell r="B3078">
            <v>2770</v>
          </cell>
          <cell r="C3078" t="str">
            <v>TS-026</v>
          </cell>
          <cell r="D3078" t="str">
            <v>CHIFFON</v>
          </cell>
          <cell r="E3078"/>
          <cell r="F3078" t="str">
            <v>T 100%</v>
          </cell>
          <cell r="G3078" t="str">
            <v>100% POLYESTER</v>
          </cell>
          <cell r="H3078" t="str">
            <v>57/58</v>
          </cell>
          <cell r="I3078">
            <v>65</v>
          </cell>
          <cell r="J3078">
            <v>0.95</v>
          </cell>
          <cell r="K3078">
            <v>1.05</v>
          </cell>
          <cell r="L3078"/>
          <cell r="M3078"/>
          <cell r="N3078">
            <v>0.98</v>
          </cell>
          <cell r="O3078">
            <v>1.1000000000000001</v>
          </cell>
          <cell r="P3078"/>
          <cell r="Q3078"/>
          <cell r="R3078">
            <v>1.1599999999999999</v>
          </cell>
          <cell r="S3078">
            <v>1.4</v>
          </cell>
          <cell r="T3078"/>
          <cell r="U3078"/>
          <cell r="V3078">
            <v>15</v>
          </cell>
          <cell r="W3078"/>
          <cell r="X3078" t="str">
            <v>GAVIN</v>
          </cell>
          <cell r="Y3078" t="str">
            <v>GAVIN 24-FEB</v>
          </cell>
          <cell r="Z3078" t="str">
            <v>GAVIN' MAIL 24/2/17</v>
          </cell>
          <cell r="AA3078"/>
          <cell r="AB3078">
            <v>42790</v>
          </cell>
          <cell r="AC3078">
            <v>2770</v>
          </cell>
        </row>
        <row r="3079">
          <cell r="B3079">
            <v>1756</v>
          </cell>
          <cell r="C3079" t="str">
            <v>HP8562-16040605</v>
          </cell>
          <cell r="D3079"/>
          <cell r="E3079"/>
          <cell r="F3079" t="str">
            <v>N/S 92/8</v>
          </cell>
          <cell r="G3079" t="str">
            <v>92% NYLON 8% SPAN</v>
          </cell>
          <cell r="H3079" t="str">
            <v>150CM</v>
          </cell>
          <cell r="I3079">
            <v>125</v>
          </cell>
          <cell r="J3079">
            <v>2.12</v>
          </cell>
          <cell r="K3079"/>
          <cell r="L3079"/>
          <cell r="M3079"/>
          <cell r="N3079">
            <v>2.2000000000000002</v>
          </cell>
          <cell r="O3079"/>
          <cell r="P3079"/>
          <cell r="Q3079"/>
          <cell r="R3079">
            <v>2.35</v>
          </cell>
          <cell r="S3079"/>
          <cell r="T3079"/>
          <cell r="U3079"/>
          <cell r="V3079">
            <v>15</v>
          </cell>
          <cell r="W3079"/>
          <cell r="X3079" t="str">
            <v>OWEN</v>
          </cell>
          <cell r="Y3079"/>
          <cell r="Z3079" t="str">
            <v>SANDY' MAIL 24/2/17</v>
          </cell>
          <cell r="AA3079"/>
          <cell r="AB3079">
            <v>42790</v>
          </cell>
          <cell r="AC3079">
            <v>1756</v>
          </cell>
        </row>
        <row r="3080">
          <cell r="B3080">
            <v>2785</v>
          </cell>
          <cell r="C3080" t="str">
            <v>CPS-586</v>
          </cell>
          <cell r="D3080" t="str">
            <v xml:space="preserve"> COTTON SPANDEX SATEEN</v>
          </cell>
          <cell r="E3080" t="str">
            <v>60x40+40D - 175x100</v>
          </cell>
          <cell r="F3080" t="str">
            <v xml:space="preserve">C/S 97/3 </v>
          </cell>
          <cell r="G3080" t="str">
            <v>97%COTTON 3% SPAN</v>
          </cell>
          <cell r="H3080" t="str">
            <v>57/58</v>
          </cell>
          <cell r="I3080">
            <v>180</v>
          </cell>
          <cell r="J3080">
            <v>3.05</v>
          </cell>
          <cell r="K3080"/>
          <cell r="L3080"/>
          <cell r="M3080"/>
          <cell r="N3080">
            <v>3.08</v>
          </cell>
          <cell r="O3080"/>
          <cell r="P3080"/>
          <cell r="Q3080"/>
          <cell r="R3080">
            <v>3.38</v>
          </cell>
          <cell r="S3080"/>
          <cell r="T3080"/>
          <cell r="U3080"/>
          <cell r="V3080">
            <v>15</v>
          </cell>
          <cell r="W3080"/>
          <cell r="X3080" t="str">
            <v>LIVALTEX</v>
          </cell>
          <cell r="Y3080" t="str">
            <v>LINDA 16-FEB</v>
          </cell>
          <cell r="Z3080" t="str">
            <v>ROSE' MAIL 22/2/17</v>
          </cell>
          <cell r="AA3080"/>
          <cell r="AB3080">
            <v>42789</v>
          </cell>
          <cell r="AC3080">
            <v>2785</v>
          </cell>
        </row>
        <row r="3081">
          <cell r="B3081">
            <v>2475</v>
          </cell>
          <cell r="C3081" t="str">
            <v>T-1964-M</v>
          </cell>
          <cell r="D3081"/>
          <cell r="E3081"/>
          <cell r="F3081" t="str">
            <v>C/N 60/40</v>
          </cell>
          <cell r="G3081" t="str">
            <v>60%C 40%N</v>
          </cell>
          <cell r="H3081" t="str">
            <v>57/58</v>
          </cell>
          <cell r="I3081">
            <v>143</v>
          </cell>
          <cell r="J3081">
            <v>2.2999999999999998</v>
          </cell>
          <cell r="K3081">
            <v>2.8</v>
          </cell>
          <cell r="L3081"/>
          <cell r="M3081"/>
          <cell r="N3081">
            <v>2.2999999999999998</v>
          </cell>
          <cell r="O3081">
            <v>2.8</v>
          </cell>
          <cell r="P3081"/>
          <cell r="Q3081"/>
          <cell r="R3081">
            <v>2.4</v>
          </cell>
          <cell r="S3081">
            <v>3</v>
          </cell>
          <cell r="T3081"/>
          <cell r="U3081"/>
          <cell r="V3081">
            <v>15</v>
          </cell>
          <cell r="W3081"/>
          <cell r="X3081" t="str">
            <v>ANGELA</v>
          </cell>
          <cell r="Y3081" t="str">
            <v>ANGELA 16-FEB</v>
          </cell>
          <cell r="Z3081"/>
          <cell r="AA3081"/>
          <cell r="AB3081">
            <v>42789</v>
          </cell>
          <cell r="AC3081">
            <v>2475</v>
          </cell>
        </row>
        <row r="3082">
          <cell r="B3082">
            <v>2474</v>
          </cell>
          <cell r="C3082" t="str">
            <v>T-3144-M</v>
          </cell>
          <cell r="D3082"/>
          <cell r="E3082"/>
          <cell r="F3082" t="str">
            <v>C/N 60/40</v>
          </cell>
          <cell r="G3082" t="str">
            <v>60%C 40%N</v>
          </cell>
          <cell r="H3082" t="str">
            <v>57/58</v>
          </cell>
          <cell r="I3082">
            <v>168</v>
          </cell>
          <cell r="J3082">
            <v>2</v>
          </cell>
          <cell r="K3082">
            <v>2.7</v>
          </cell>
          <cell r="L3082"/>
          <cell r="M3082"/>
          <cell r="N3082">
            <v>2</v>
          </cell>
          <cell r="O3082">
            <v>2.8</v>
          </cell>
          <cell r="P3082"/>
          <cell r="Q3082"/>
          <cell r="R3082">
            <v>2.1</v>
          </cell>
          <cell r="S3082">
            <v>3</v>
          </cell>
          <cell r="T3082"/>
          <cell r="U3082"/>
          <cell r="V3082">
            <v>15</v>
          </cell>
          <cell r="W3082"/>
          <cell r="X3082" t="str">
            <v>ANGELA</v>
          </cell>
          <cell r="Y3082" t="str">
            <v>ANGELA 16-FEB</v>
          </cell>
          <cell r="Z3082"/>
          <cell r="AA3082"/>
          <cell r="AB3082">
            <v>42789</v>
          </cell>
          <cell r="AC3082">
            <v>2474</v>
          </cell>
        </row>
        <row r="3083">
          <cell r="B3083">
            <v>2473</v>
          </cell>
          <cell r="C3083" t="str">
            <v>T-2804-M</v>
          </cell>
          <cell r="D3083"/>
          <cell r="E3083"/>
          <cell r="F3083" t="str">
            <v>C/N 60/40</v>
          </cell>
          <cell r="G3083" t="str">
            <v>60%C 40%N</v>
          </cell>
          <cell r="H3083" t="str">
            <v>57/58</v>
          </cell>
          <cell r="I3083">
            <v>152</v>
          </cell>
          <cell r="J3083">
            <v>2</v>
          </cell>
          <cell r="K3083">
            <v>2.7</v>
          </cell>
          <cell r="L3083">
            <v>2.7</v>
          </cell>
          <cell r="M3083">
            <v>2.1</v>
          </cell>
          <cell r="N3083">
            <v>2.1</v>
          </cell>
          <cell r="O3083">
            <v>2.8</v>
          </cell>
          <cell r="P3083"/>
          <cell r="Q3083"/>
          <cell r="R3083">
            <v>2.1</v>
          </cell>
          <cell r="S3083">
            <v>3</v>
          </cell>
          <cell r="T3083"/>
          <cell r="U3083"/>
          <cell r="V3083">
            <v>15</v>
          </cell>
          <cell r="W3083"/>
          <cell r="X3083" t="str">
            <v>ANGELA</v>
          </cell>
          <cell r="Y3083" t="str">
            <v>ANGELA 16-FEB</v>
          </cell>
          <cell r="Z3083"/>
          <cell r="AA3083"/>
          <cell r="AB3083">
            <v>42789</v>
          </cell>
          <cell r="AC3083">
            <v>2473</v>
          </cell>
        </row>
        <row r="3084">
          <cell r="B3084">
            <v>2402</v>
          </cell>
          <cell r="C3084" t="str">
            <v>QYA-0109</v>
          </cell>
          <cell r="D3084"/>
          <cell r="E3084"/>
          <cell r="F3084" t="str">
            <v>N/S 90/10</v>
          </cell>
          <cell r="G3084" t="str">
            <v>90%N 10%S</v>
          </cell>
          <cell r="H3084" t="str">
            <v>57/58</v>
          </cell>
          <cell r="I3084">
            <v>100</v>
          </cell>
          <cell r="J3084">
            <v>1.42</v>
          </cell>
          <cell r="K3084"/>
          <cell r="L3084"/>
          <cell r="M3084"/>
          <cell r="N3084">
            <v>1.53</v>
          </cell>
          <cell r="O3084"/>
          <cell r="P3084"/>
          <cell r="Q3084"/>
          <cell r="R3084">
            <v>1.75</v>
          </cell>
          <cell r="S3084"/>
          <cell r="T3084"/>
          <cell r="U3084"/>
          <cell r="V3084">
            <v>15</v>
          </cell>
          <cell r="W3084"/>
          <cell r="X3084" t="str">
            <v>ABBY</v>
          </cell>
          <cell r="Y3084" t="str">
            <v>ABBY 16-FEB</v>
          </cell>
          <cell r="Z3084"/>
          <cell r="AA3084"/>
          <cell r="AB3084">
            <v>42789</v>
          </cell>
          <cell r="AC3084">
            <v>2402</v>
          </cell>
        </row>
        <row r="3085">
          <cell r="B3085">
            <v>2242</v>
          </cell>
          <cell r="C3085" t="str">
            <v>HYF-72</v>
          </cell>
          <cell r="D3085"/>
          <cell r="E3085"/>
          <cell r="F3085" t="str">
            <v>C/N 65/35</v>
          </cell>
          <cell r="G3085" t="str">
            <v>65%C 35%N</v>
          </cell>
          <cell r="H3085" t="str">
            <v>150CM</v>
          </cell>
          <cell r="I3085">
            <v>90</v>
          </cell>
          <cell r="J3085">
            <v>1.85</v>
          </cell>
          <cell r="K3085"/>
          <cell r="L3085"/>
          <cell r="M3085"/>
          <cell r="N3085">
            <v>1.9</v>
          </cell>
          <cell r="O3085"/>
          <cell r="P3085"/>
          <cell r="Q3085"/>
          <cell r="R3085">
            <v>1.9</v>
          </cell>
          <cell r="S3085"/>
          <cell r="T3085"/>
          <cell r="U3085"/>
          <cell r="V3085">
            <v>3</v>
          </cell>
          <cell r="W3085"/>
          <cell r="X3085" t="str">
            <v>JOHN</v>
          </cell>
          <cell r="Y3085" t="str">
            <v>JOHN 16-FEB</v>
          </cell>
          <cell r="Z3085"/>
          <cell r="AA3085"/>
          <cell r="AB3085">
            <v>42789</v>
          </cell>
          <cell r="AC3085">
            <v>2242</v>
          </cell>
        </row>
        <row r="3086">
          <cell r="B3086">
            <v>2240</v>
          </cell>
          <cell r="C3086" t="str">
            <v>HYF-122</v>
          </cell>
          <cell r="D3086"/>
          <cell r="E3086"/>
          <cell r="F3086" t="str">
            <v>C/N 65/35</v>
          </cell>
          <cell r="G3086" t="str">
            <v>65%C 35%N</v>
          </cell>
          <cell r="H3086" t="str">
            <v>145CM</v>
          </cell>
          <cell r="I3086">
            <v>127</v>
          </cell>
          <cell r="J3086">
            <v>2.25</v>
          </cell>
          <cell r="K3086"/>
          <cell r="L3086"/>
          <cell r="M3086"/>
          <cell r="N3086">
            <v>2.2999999999999998</v>
          </cell>
          <cell r="O3086"/>
          <cell r="P3086"/>
          <cell r="Q3086"/>
          <cell r="R3086">
            <v>2.35</v>
          </cell>
          <cell r="S3086"/>
          <cell r="T3086"/>
          <cell r="U3086"/>
          <cell r="V3086">
            <v>3</v>
          </cell>
          <cell r="W3086"/>
          <cell r="X3086" t="str">
            <v>JOHN</v>
          </cell>
          <cell r="Y3086" t="str">
            <v>JOHN 16-FEB</v>
          </cell>
          <cell r="Z3086"/>
          <cell r="AA3086"/>
          <cell r="AB3086">
            <v>42789</v>
          </cell>
          <cell r="AC3086">
            <v>2240</v>
          </cell>
        </row>
        <row r="3087">
          <cell r="B3087">
            <v>2238</v>
          </cell>
          <cell r="C3087" t="str">
            <v>HYF-78</v>
          </cell>
          <cell r="D3087"/>
          <cell r="E3087"/>
          <cell r="F3087" t="str">
            <v>C/N 65/35</v>
          </cell>
          <cell r="G3087" t="str">
            <v>65%C 35%N</v>
          </cell>
          <cell r="H3087" t="str">
            <v>155CM</v>
          </cell>
          <cell r="I3087">
            <v>146</v>
          </cell>
          <cell r="J3087">
            <v>2.4</v>
          </cell>
          <cell r="K3087"/>
          <cell r="L3087"/>
          <cell r="M3087"/>
          <cell r="N3087">
            <v>2.48</v>
          </cell>
          <cell r="O3087"/>
          <cell r="P3087"/>
          <cell r="Q3087"/>
          <cell r="R3087">
            <v>2.5</v>
          </cell>
          <cell r="S3087"/>
          <cell r="T3087"/>
          <cell r="U3087"/>
          <cell r="V3087">
            <v>3</v>
          </cell>
          <cell r="W3087"/>
          <cell r="X3087" t="str">
            <v>JOHN</v>
          </cell>
          <cell r="Y3087" t="str">
            <v>JOHN 16-FEB</v>
          </cell>
          <cell r="Z3087"/>
          <cell r="AA3087"/>
          <cell r="AB3087">
            <v>42789</v>
          </cell>
          <cell r="AC3087">
            <v>2238</v>
          </cell>
        </row>
        <row r="3088">
          <cell r="B3088">
            <v>2236</v>
          </cell>
          <cell r="C3088" t="str">
            <v>HYF-123</v>
          </cell>
          <cell r="D3088"/>
          <cell r="E3088"/>
          <cell r="F3088" t="str">
            <v>T/C 60/40</v>
          </cell>
          <cell r="G3088" t="str">
            <v>60%P 40%C</v>
          </cell>
          <cell r="H3088" t="str">
            <v>145CM</v>
          </cell>
          <cell r="I3088">
            <v>100</v>
          </cell>
          <cell r="J3088">
            <v>2.25</v>
          </cell>
          <cell r="K3088"/>
          <cell r="L3088"/>
          <cell r="M3088"/>
          <cell r="N3088">
            <v>2.35</v>
          </cell>
          <cell r="O3088"/>
          <cell r="P3088"/>
          <cell r="Q3088"/>
          <cell r="R3088">
            <v>2.4</v>
          </cell>
          <cell r="S3088"/>
          <cell r="T3088"/>
          <cell r="U3088"/>
          <cell r="V3088">
            <v>3</v>
          </cell>
          <cell r="W3088"/>
          <cell r="X3088" t="str">
            <v>JOHN</v>
          </cell>
          <cell r="Y3088" t="str">
            <v>JOHN 16-FEB</v>
          </cell>
          <cell r="Z3088"/>
          <cell r="AA3088"/>
          <cell r="AB3088">
            <v>42789</v>
          </cell>
          <cell r="AC3088">
            <v>2236</v>
          </cell>
        </row>
        <row r="3089">
          <cell r="B3089">
            <v>1826</v>
          </cell>
          <cell r="C3089" t="str">
            <v>TS-206</v>
          </cell>
          <cell r="D3089" t="str">
            <v>LACE</v>
          </cell>
          <cell r="E3089"/>
          <cell r="F3089" t="str">
            <v>T 100%</v>
          </cell>
          <cell r="G3089" t="str">
            <v>100% POLYESTER</v>
          </cell>
          <cell r="H3089" t="str">
            <v>57/58</v>
          </cell>
          <cell r="I3089">
            <v>230</v>
          </cell>
          <cell r="J3089">
            <v>2.54</v>
          </cell>
          <cell r="K3089">
            <v>2.78</v>
          </cell>
          <cell r="L3089"/>
          <cell r="M3089"/>
          <cell r="N3089">
            <v>2.6</v>
          </cell>
          <cell r="O3089">
            <v>2.8</v>
          </cell>
          <cell r="P3089"/>
          <cell r="Q3089"/>
          <cell r="R3089">
            <v>2.8</v>
          </cell>
          <cell r="S3089">
            <v>3</v>
          </cell>
          <cell r="T3089"/>
          <cell r="U3089"/>
          <cell r="V3089">
            <v>15</v>
          </cell>
          <cell r="W3089"/>
          <cell r="X3089" t="str">
            <v>GAVIN</v>
          </cell>
          <cell r="Y3089" t="str">
            <v>GAVIN 16-FEB</v>
          </cell>
          <cell r="Z3089"/>
          <cell r="AA3089"/>
          <cell r="AB3089">
            <v>42789</v>
          </cell>
          <cell r="AC3089">
            <v>1826</v>
          </cell>
        </row>
        <row r="3090">
          <cell r="B3090">
            <v>1672</v>
          </cell>
          <cell r="C3090" t="str">
            <v>TS-202</v>
          </cell>
          <cell r="D3090"/>
          <cell r="E3090"/>
          <cell r="F3090" t="str">
            <v>T/S 96/4</v>
          </cell>
          <cell r="G3090" t="str">
            <v>96%P 4%S</v>
          </cell>
          <cell r="H3090" t="str">
            <v>150CM</v>
          </cell>
          <cell r="I3090">
            <v>80</v>
          </cell>
          <cell r="J3090">
            <v>1.6</v>
          </cell>
          <cell r="K3090">
            <v>1.82</v>
          </cell>
          <cell r="L3090"/>
          <cell r="M3090"/>
          <cell r="N3090">
            <v>1.65</v>
          </cell>
          <cell r="O3090">
            <v>1.85</v>
          </cell>
          <cell r="P3090"/>
          <cell r="Q3090"/>
          <cell r="R3090">
            <v>1.75</v>
          </cell>
          <cell r="S3090">
            <v>1.95</v>
          </cell>
          <cell r="T3090"/>
          <cell r="U3090"/>
          <cell r="V3090">
            <v>15</v>
          </cell>
          <cell r="W3090"/>
          <cell r="X3090" t="str">
            <v>GAVIN</v>
          </cell>
          <cell r="Y3090" t="str">
            <v>GAVIN 16-FEB</v>
          </cell>
          <cell r="Z3090"/>
          <cell r="AA3090"/>
          <cell r="AB3090">
            <v>42789</v>
          </cell>
          <cell r="AC3090">
            <v>1672</v>
          </cell>
        </row>
        <row r="3091">
          <cell r="B3091">
            <v>1658</v>
          </cell>
          <cell r="C3091" t="str">
            <v>BG2976</v>
          </cell>
          <cell r="D3091"/>
          <cell r="E3091"/>
          <cell r="F3091" t="str">
            <v>T 100%</v>
          </cell>
          <cell r="G3091" t="str">
            <v>100% POLYESTER</v>
          </cell>
          <cell r="H3091" t="str">
            <v>57/58</v>
          </cell>
          <cell r="I3091">
            <v>70</v>
          </cell>
          <cell r="J3091">
            <v>2.35</v>
          </cell>
          <cell r="K3091"/>
          <cell r="L3091"/>
          <cell r="M3091"/>
          <cell r="N3091">
            <v>2.4500000000000002</v>
          </cell>
          <cell r="O3091"/>
          <cell r="P3091"/>
          <cell r="Q3091"/>
          <cell r="R3091">
            <v>2.7</v>
          </cell>
          <cell r="S3091"/>
          <cell r="T3091"/>
          <cell r="U3091"/>
          <cell r="V3091"/>
          <cell r="W3091"/>
          <cell r="X3091" t="str">
            <v>ANN</v>
          </cell>
          <cell r="Y3091" t="str">
            <v>ANN 16-FEB</v>
          </cell>
          <cell r="Z3091"/>
          <cell r="AA3091"/>
          <cell r="AB3091">
            <v>42789</v>
          </cell>
          <cell r="AC3091">
            <v>1658</v>
          </cell>
        </row>
        <row r="3092">
          <cell r="B3092">
            <v>1657</v>
          </cell>
          <cell r="C3092" t="str">
            <v>BG2979</v>
          </cell>
          <cell r="D3092"/>
          <cell r="E3092"/>
          <cell r="F3092" t="str">
            <v>T 100%</v>
          </cell>
          <cell r="G3092" t="str">
            <v>100% POLYESTER</v>
          </cell>
          <cell r="H3092" t="str">
            <v>57/58</v>
          </cell>
          <cell r="I3092">
            <v>65</v>
          </cell>
          <cell r="J3092">
            <v>2.35</v>
          </cell>
          <cell r="K3092"/>
          <cell r="L3092"/>
          <cell r="M3092"/>
          <cell r="N3092">
            <v>2.4500000000000002</v>
          </cell>
          <cell r="O3092"/>
          <cell r="P3092"/>
          <cell r="Q3092"/>
          <cell r="R3092">
            <v>2.7</v>
          </cell>
          <cell r="S3092"/>
          <cell r="T3092"/>
          <cell r="U3092"/>
          <cell r="V3092"/>
          <cell r="W3092"/>
          <cell r="X3092" t="str">
            <v>ANN</v>
          </cell>
          <cell r="Y3092" t="str">
            <v>ANN 16-FEB</v>
          </cell>
          <cell r="Z3092"/>
          <cell r="AA3092"/>
          <cell r="AB3092">
            <v>42789</v>
          </cell>
          <cell r="AC3092">
            <v>1657</v>
          </cell>
        </row>
        <row r="3093">
          <cell r="B3093">
            <v>1656</v>
          </cell>
          <cell r="C3093" t="str">
            <v>BG2981</v>
          </cell>
          <cell r="D3093"/>
          <cell r="E3093"/>
          <cell r="F3093" t="str">
            <v>T 100%</v>
          </cell>
          <cell r="G3093" t="str">
            <v>100% POLYESTER</v>
          </cell>
          <cell r="H3093" t="str">
            <v>57/58</v>
          </cell>
          <cell r="I3093">
            <v>60</v>
          </cell>
          <cell r="J3093">
            <v>2.35</v>
          </cell>
          <cell r="K3093"/>
          <cell r="L3093"/>
          <cell r="M3093"/>
          <cell r="N3093">
            <v>2.4500000000000002</v>
          </cell>
          <cell r="O3093"/>
          <cell r="P3093"/>
          <cell r="Q3093"/>
          <cell r="R3093">
            <v>2.7</v>
          </cell>
          <cell r="S3093"/>
          <cell r="T3093"/>
          <cell r="U3093"/>
          <cell r="V3093"/>
          <cell r="W3093"/>
          <cell r="X3093" t="str">
            <v>ANN</v>
          </cell>
          <cell r="Y3093" t="str">
            <v>ANN 16-FEB</v>
          </cell>
          <cell r="Z3093"/>
          <cell r="AA3093"/>
          <cell r="AB3093">
            <v>42789</v>
          </cell>
          <cell r="AC3093">
            <v>1656</v>
          </cell>
        </row>
        <row r="3094">
          <cell r="B3094">
            <v>818</v>
          </cell>
          <cell r="C3094" t="str">
            <v>TS-145#2</v>
          </cell>
          <cell r="D3094"/>
          <cell r="E3094"/>
          <cell r="F3094" t="str">
            <v>T/C</v>
          </cell>
          <cell r="G3094" t="str">
            <v>POLYESTER/COTTON</v>
          </cell>
          <cell r="H3094" t="str">
            <v>50/51</v>
          </cell>
          <cell r="I3094">
            <v>137</v>
          </cell>
          <cell r="J3094">
            <v>3.47</v>
          </cell>
          <cell r="K3094">
            <v>3.67</v>
          </cell>
          <cell r="L3094"/>
          <cell r="M3094"/>
          <cell r="N3094">
            <v>3.5</v>
          </cell>
          <cell r="O3094">
            <v>3.7</v>
          </cell>
          <cell r="P3094"/>
          <cell r="Q3094"/>
          <cell r="R3094">
            <v>3.65</v>
          </cell>
          <cell r="S3094">
            <v>3.8</v>
          </cell>
          <cell r="T3094"/>
          <cell r="U3094"/>
          <cell r="V3094">
            <v>15</v>
          </cell>
          <cell r="W3094"/>
          <cell r="X3094" t="str">
            <v>GAVIN</v>
          </cell>
          <cell r="Y3094" t="str">
            <v>GAVIN 16-FEB</v>
          </cell>
          <cell r="Z3094"/>
          <cell r="AA3094"/>
          <cell r="AB3094">
            <v>42789</v>
          </cell>
          <cell r="AC3094">
            <v>818</v>
          </cell>
        </row>
        <row r="3095">
          <cell r="B3095">
            <v>432</v>
          </cell>
          <cell r="C3095" t="str">
            <v>TS-108</v>
          </cell>
          <cell r="D3095" t="str">
            <v xml:space="preserve">FLOCKING  </v>
          </cell>
          <cell r="E3095"/>
          <cell r="F3095" t="str">
            <v>T 100%</v>
          </cell>
          <cell r="G3095" t="str">
            <v>100% POLYESTER FLOCKING</v>
          </cell>
          <cell r="H3095" t="str">
            <v>58/59</v>
          </cell>
          <cell r="I3095">
            <v>38</v>
          </cell>
          <cell r="J3095">
            <v>1.17</v>
          </cell>
          <cell r="K3095"/>
          <cell r="L3095"/>
          <cell r="M3095"/>
          <cell r="N3095">
            <v>1.2</v>
          </cell>
          <cell r="O3095"/>
          <cell r="P3095"/>
          <cell r="Q3095"/>
          <cell r="R3095">
            <v>1.85</v>
          </cell>
          <cell r="S3095"/>
          <cell r="T3095"/>
          <cell r="U3095"/>
          <cell r="V3095">
            <v>15</v>
          </cell>
          <cell r="W3095"/>
          <cell r="X3095" t="str">
            <v>GAVIN</v>
          </cell>
          <cell r="Y3095" t="str">
            <v>GAVIN 16-FEB</v>
          </cell>
          <cell r="Z3095"/>
          <cell r="AA3095"/>
          <cell r="AB3095">
            <v>42789</v>
          </cell>
          <cell r="AC3095">
            <v>432</v>
          </cell>
        </row>
        <row r="3096">
          <cell r="B3096">
            <v>2605</v>
          </cell>
          <cell r="C3096" t="str">
            <v>581C-13117</v>
          </cell>
          <cell r="D3096"/>
          <cell r="E3096"/>
          <cell r="F3096"/>
          <cell r="G3096"/>
          <cell r="H3096">
            <v>50</v>
          </cell>
          <cell r="I3096">
            <v>83</v>
          </cell>
          <cell r="J3096">
            <v>2.15</v>
          </cell>
          <cell r="K3096">
            <v>3.15</v>
          </cell>
          <cell r="L3096"/>
          <cell r="M3096"/>
          <cell r="N3096">
            <v>2.15</v>
          </cell>
          <cell r="O3096">
            <v>3.15</v>
          </cell>
          <cell r="P3096"/>
          <cell r="Q3096"/>
          <cell r="R3096"/>
          <cell r="S3096"/>
          <cell r="T3096" t="str">
            <v>NOT AVAILABLE</v>
          </cell>
          <cell r="U3096"/>
          <cell r="V3096"/>
          <cell r="W3096"/>
          <cell r="X3096" t="str">
            <v>TERRY</v>
          </cell>
          <cell r="Y3096" t="str">
            <v>TERRY 16-FEB</v>
          </cell>
          <cell r="Z3096" t="str">
            <v>JANICE' MAIL 22/2/17</v>
          </cell>
          <cell r="AA3096"/>
          <cell r="AB3096">
            <v>42788</v>
          </cell>
          <cell r="AC3096">
            <v>2605</v>
          </cell>
        </row>
        <row r="3097">
          <cell r="B3097">
            <v>1955</v>
          </cell>
          <cell r="C3097" t="str">
            <v>BG3104</v>
          </cell>
          <cell r="D3097"/>
          <cell r="E3097"/>
          <cell r="F3097" t="str">
            <v>C 100%</v>
          </cell>
          <cell r="G3097" t="str">
            <v>100% COTTON</v>
          </cell>
          <cell r="H3097" t="str">
            <v>53/54</v>
          </cell>
          <cell r="I3097">
            <v>121</v>
          </cell>
          <cell r="J3097"/>
          <cell r="K3097"/>
          <cell r="L3097"/>
          <cell r="M3097"/>
          <cell r="N3097"/>
          <cell r="O3097"/>
          <cell r="P3097"/>
          <cell r="Q3097"/>
          <cell r="R3097"/>
          <cell r="S3097"/>
          <cell r="T3097"/>
          <cell r="U3097"/>
          <cell r="V3097">
            <v>5</v>
          </cell>
          <cell r="W3097"/>
          <cell r="X3097" t="str">
            <v>ANN</v>
          </cell>
          <cell r="Y3097"/>
          <cell r="Z3097" t="str">
            <v>SEND SWATCH TO SEARS</v>
          </cell>
          <cell r="AA3097"/>
          <cell r="AB3097">
            <v>42788</v>
          </cell>
          <cell r="AC3097">
            <v>1955</v>
          </cell>
        </row>
        <row r="3098">
          <cell r="B3098">
            <v>2780</v>
          </cell>
          <cell r="C3098" t="str">
            <v>ST-W7031</v>
          </cell>
          <cell r="D3098" t="str">
            <v>HIGH TWIST CHIFFON</v>
          </cell>
          <cell r="E3098" t="str">
            <v>75Dx50POY + 50FDY</v>
          </cell>
          <cell r="F3098" t="str">
            <v>T 100%</v>
          </cell>
          <cell r="G3098" t="str">
            <v>100% POLYESTER</v>
          </cell>
          <cell r="H3098" t="str">
            <v>57/58</v>
          </cell>
          <cell r="I3098">
            <v>127</v>
          </cell>
          <cell r="J3098">
            <v>1.29</v>
          </cell>
          <cell r="K3098">
            <v>1.51</v>
          </cell>
          <cell r="L3098">
            <v>1.52</v>
          </cell>
          <cell r="M3098">
            <v>1.51</v>
          </cell>
          <cell r="N3098">
            <v>1.38</v>
          </cell>
          <cell r="O3098">
            <v>1.67</v>
          </cell>
          <cell r="P3098"/>
          <cell r="Q3098"/>
          <cell r="R3098">
            <v>1.45</v>
          </cell>
          <cell r="S3098">
            <v>1.71</v>
          </cell>
          <cell r="T3098">
            <v>1.65</v>
          </cell>
          <cell r="U3098">
            <v>1.71</v>
          </cell>
          <cell r="V3098">
            <v>15</v>
          </cell>
          <cell r="W3098"/>
          <cell r="X3098" t="str">
            <v>SIGER</v>
          </cell>
          <cell r="Y3098" t="str">
            <v>SIGER 20-FEB</v>
          </cell>
          <cell r="Z3098" t="str">
            <v>CARA' MAIL 20/2/17</v>
          </cell>
          <cell r="AA3098"/>
          <cell r="AB3098">
            <v>42786</v>
          </cell>
          <cell r="AC3098">
            <v>2780</v>
          </cell>
        </row>
        <row r="3099">
          <cell r="B3099">
            <v>2779</v>
          </cell>
          <cell r="C3099" t="str">
            <v>ST-W7030</v>
          </cell>
          <cell r="D3099"/>
          <cell r="E3099" t="str">
            <v>75Dx150D</v>
          </cell>
          <cell r="F3099" t="str">
            <v>T 100%</v>
          </cell>
          <cell r="G3099" t="str">
            <v>100% POLYESTER</v>
          </cell>
          <cell r="H3099" t="str">
            <v>57/58</v>
          </cell>
          <cell r="I3099">
            <v>116</v>
          </cell>
          <cell r="J3099">
            <v>1.25</v>
          </cell>
          <cell r="K3099">
            <v>1.47</v>
          </cell>
          <cell r="L3099">
            <v>1.45</v>
          </cell>
          <cell r="M3099">
            <v>1.47</v>
          </cell>
          <cell r="N3099">
            <v>1.32</v>
          </cell>
          <cell r="O3099">
            <v>1.61</v>
          </cell>
          <cell r="P3099"/>
          <cell r="Q3099"/>
          <cell r="R3099">
            <v>1.38</v>
          </cell>
          <cell r="S3099">
            <v>1.67</v>
          </cell>
          <cell r="T3099">
            <v>1.6</v>
          </cell>
          <cell r="U3099">
            <v>1.67</v>
          </cell>
          <cell r="V3099">
            <v>15</v>
          </cell>
          <cell r="W3099"/>
          <cell r="X3099" t="str">
            <v>SIGER</v>
          </cell>
          <cell r="Y3099" t="str">
            <v>SIGER 20-FEB</v>
          </cell>
          <cell r="Z3099" t="str">
            <v>CARA' MAIL 20/2/17</v>
          </cell>
          <cell r="AA3099"/>
          <cell r="AB3099">
            <v>42786</v>
          </cell>
          <cell r="AC3099">
            <v>2779</v>
          </cell>
        </row>
        <row r="3100">
          <cell r="B3100">
            <v>2778</v>
          </cell>
          <cell r="C3100" t="str">
            <v>ST-W7028-D#2</v>
          </cell>
          <cell r="D3100"/>
          <cell r="E3100" t="str">
            <v>75Dx150D</v>
          </cell>
          <cell r="F3100" t="str">
            <v>T 100%</v>
          </cell>
          <cell r="G3100" t="str">
            <v>100% POLYESTER</v>
          </cell>
          <cell r="H3100" t="str">
            <v>57/58</v>
          </cell>
          <cell r="I3100">
            <v>85</v>
          </cell>
          <cell r="J3100">
            <v>1.1000000000000001</v>
          </cell>
          <cell r="K3100">
            <v>1.37</v>
          </cell>
          <cell r="L3100">
            <v>1.29</v>
          </cell>
          <cell r="M3100">
            <v>1.37</v>
          </cell>
          <cell r="N3100">
            <v>1.18</v>
          </cell>
          <cell r="O3100">
            <v>1.46</v>
          </cell>
          <cell r="P3100"/>
          <cell r="Q3100"/>
          <cell r="R3100">
            <v>1.25</v>
          </cell>
          <cell r="S3100">
            <v>1.57</v>
          </cell>
          <cell r="T3100">
            <v>1.48</v>
          </cell>
          <cell r="U3100">
            <v>1.57</v>
          </cell>
          <cell r="V3100">
            <v>15</v>
          </cell>
          <cell r="W3100"/>
          <cell r="X3100" t="str">
            <v>SIGER</v>
          </cell>
          <cell r="Y3100" t="str">
            <v>SIGER 20-FEB</v>
          </cell>
          <cell r="Z3100" t="str">
            <v>CARA' MAIL 20/2/17</v>
          </cell>
          <cell r="AA3100"/>
          <cell r="AB3100">
            <v>42786</v>
          </cell>
          <cell r="AC3100">
            <v>2778</v>
          </cell>
        </row>
        <row r="3101">
          <cell r="B3101">
            <v>2777</v>
          </cell>
          <cell r="C3101" t="str">
            <v>ST-W7028-D#1</v>
          </cell>
          <cell r="D3101"/>
          <cell r="E3101" t="str">
            <v>75Dx150D</v>
          </cell>
          <cell r="F3101" t="str">
            <v>T 100%</v>
          </cell>
          <cell r="G3101" t="str">
            <v>100% POLYESTER</v>
          </cell>
          <cell r="H3101" t="str">
            <v>57/58</v>
          </cell>
          <cell r="I3101">
            <v>85</v>
          </cell>
          <cell r="J3101">
            <v>1.1000000000000001</v>
          </cell>
          <cell r="K3101">
            <v>1.37</v>
          </cell>
          <cell r="L3101">
            <v>1.29</v>
          </cell>
          <cell r="M3101">
            <v>1.37</v>
          </cell>
          <cell r="N3101">
            <v>1.18</v>
          </cell>
          <cell r="O3101">
            <v>1.46</v>
          </cell>
          <cell r="P3101"/>
          <cell r="Q3101"/>
          <cell r="R3101">
            <v>1.25</v>
          </cell>
          <cell r="S3101">
            <v>1.57</v>
          </cell>
          <cell r="T3101">
            <v>1.48</v>
          </cell>
          <cell r="U3101">
            <v>1.57</v>
          </cell>
          <cell r="V3101">
            <v>15</v>
          </cell>
          <cell r="W3101"/>
          <cell r="X3101" t="str">
            <v>SIGER</v>
          </cell>
          <cell r="Y3101" t="str">
            <v>SIGER 20-FEB</v>
          </cell>
          <cell r="Z3101" t="str">
            <v>CARA' MAIL 20/2/17</v>
          </cell>
          <cell r="AA3101"/>
          <cell r="AB3101">
            <v>42786</v>
          </cell>
          <cell r="AC3101">
            <v>2777</v>
          </cell>
        </row>
        <row r="3102">
          <cell r="B3102">
            <v>2783</v>
          </cell>
          <cell r="C3102" t="str">
            <v>OLP-1721645YR</v>
          </cell>
          <cell r="D3102" t="str">
            <v>YARN-DYED FLANNEL</v>
          </cell>
          <cell r="E3102"/>
          <cell r="F3102" t="str">
            <v>C 100%</v>
          </cell>
          <cell r="G3102" t="str">
            <v>100% COTTON</v>
          </cell>
          <cell r="H3102" t="str">
            <v>57/58</v>
          </cell>
          <cell r="I3102">
            <v>158</v>
          </cell>
          <cell r="J3102">
            <v>1.91</v>
          </cell>
          <cell r="K3102"/>
          <cell r="L3102"/>
          <cell r="M3102"/>
          <cell r="N3102">
            <v>1.96</v>
          </cell>
          <cell r="O3102"/>
          <cell r="P3102"/>
          <cell r="Q3102"/>
          <cell r="R3102">
            <v>2.11</v>
          </cell>
          <cell r="S3102"/>
          <cell r="T3102"/>
          <cell r="U3102"/>
          <cell r="V3102">
            <v>15</v>
          </cell>
          <cell r="W3102"/>
          <cell r="X3102" t="str">
            <v>OWEN</v>
          </cell>
          <cell r="Y3102" t="str">
            <v>SANDY 18-FEB - FLANNEL</v>
          </cell>
          <cell r="Z3102" t="str">
            <v>SANDY' MAIL 18/2/17</v>
          </cell>
          <cell r="AA3102"/>
          <cell r="AB3102">
            <v>42784</v>
          </cell>
          <cell r="AC3102">
            <v>2783</v>
          </cell>
        </row>
        <row r="3103">
          <cell r="B3103">
            <v>2782</v>
          </cell>
          <cell r="C3103" t="str">
            <v>OLP-1721643HB</v>
          </cell>
          <cell r="D3103" t="str">
            <v>YARN-DYED FLANNEL</v>
          </cell>
          <cell r="E3103"/>
          <cell r="F3103" t="str">
            <v>C 100%</v>
          </cell>
          <cell r="G3103" t="str">
            <v>100% COTTON</v>
          </cell>
          <cell r="H3103" t="str">
            <v>57/58</v>
          </cell>
          <cell r="I3103">
            <v>138</v>
          </cell>
          <cell r="J3103">
            <v>1.73</v>
          </cell>
          <cell r="K3103"/>
          <cell r="L3103"/>
          <cell r="M3103"/>
          <cell r="N3103">
            <v>1.78</v>
          </cell>
          <cell r="O3103"/>
          <cell r="P3103"/>
          <cell r="Q3103"/>
          <cell r="R3103">
            <v>1.93</v>
          </cell>
          <cell r="S3103"/>
          <cell r="T3103"/>
          <cell r="U3103"/>
          <cell r="V3103">
            <v>15</v>
          </cell>
          <cell r="W3103"/>
          <cell r="X3103" t="str">
            <v>OWEN</v>
          </cell>
          <cell r="Y3103" t="str">
            <v>SANDY 18-FEB - FLANNEL</v>
          </cell>
          <cell r="Z3103" t="str">
            <v>SANDY' MAIL 18/2/17</v>
          </cell>
          <cell r="AA3103"/>
          <cell r="AB3103">
            <v>42784</v>
          </cell>
          <cell r="AC3103">
            <v>2782</v>
          </cell>
        </row>
        <row r="3104">
          <cell r="B3104">
            <v>2781</v>
          </cell>
          <cell r="C3104" t="str">
            <v>OLP-1721644ZT</v>
          </cell>
          <cell r="D3104" t="str">
            <v>YARN-DYED FLANNEL</v>
          </cell>
          <cell r="E3104"/>
          <cell r="F3104" t="str">
            <v>C 100%</v>
          </cell>
          <cell r="G3104" t="str">
            <v>100% COTTON</v>
          </cell>
          <cell r="H3104" t="str">
            <v>57/58</v>
          </cell>
          <cell r="I3104">
            <v>170</v>
          </cell>
          <cell r="J3104">
            <v>1.99</v>
          </cell>
          <cell r="K3104"/>
          <cell r="L3104"/>
          <cell r="M3104"/>
          <cell r="N3104">
            <v>2.04</v>
          </cell>
          <cell r="O3104"/>
          <cell r="P3104"/>
          <cell r="Q3104"/>
          <cell r="R3104">
            <v>2.19</v>
          </cell>
          <cell r="S3104"/>
          <cell r="T3104"/>
          <cell r="U3104"/>
          <cell r="V3104">
            <v>15</v>
          </cell>
          <cell r="W3104"/>
          <cell r="X3104" t="str">
            <v>OWEN</v>
          </cell>
          <cell r="Y3104" t="str">
            <v>SANDY 18-FEB - FLANNEL</v>
          </cell>
          <cell r="Z3104" t="str">
            <v>SANDY' MAIL 18/2/17</v>
          </cell>
          <cell r="AA3104"/>
          <cell r="AB3104">
            <v>42784</v>
          </cell>
          <cell r="AC3104">
            <v>2781</v>
          </cell>
        </row>
        <row r="3105">
          <cell r="B3105">
            <v>2776</v>
          </cell>
          <cell r="C3105" t="str">
            <v>UD-JCE-151218</v>
          </cell>
          <cell r="D3105" t="str">
            <v xml:space="preserve"> COTTON SPANDEX SATEEN</v>
          </cell>
          <cell r="E3105" t="str">
            <v>60x40+40D - 232x81</v>
          </cell>
          <cell r="F3105" t="str">
            <v>C/S 98/2</v>
          </cell>
          <cell r="G3105" t="str">
            <v xml:space="preserve">98% COTTON 2% SPANDEX </v>
          </cell>
          <cell r="H3105" t="str">
            <v>56/58</v>
          </cell>
          <cell r="I3105">
            <v>150</v>
          </cell>
          <cell r="J3105">
            <v>2.42</v>
          </cell>
          <cell r="K3105">
            <v>2.6</v>
          </cell>
          <cell r="L3105"/>
          <cell r="M3105"/>
          <cell r="N3105">
            <v>2.52</v>
          </cell>
          <cell r="O3105">
            <v>2.76</v>
          </cell>
          <cell r="P3105"/>
          <cell r="Q3105"/>
          <cell r="R3105">
            <v>2.82</v>
          </cell>
          <cell r="S3105">
            <v>3.1</v>
          </cell>
          <cell r="T3105"/>
          <cell r="U3105"/>
          <cell r="V3105"/>
          <cell r="W3105"/>
          <cell r="X3105" t="str">
            <v>WANG HUA</v>
          </cell>
          <cell r="Y3105" t="str">
            <v>WANGHUA 15-FEB</v>
          </cell>
          <cell r="Z3105" t="str">
            <v>WANGHUA' MAIL 17/2/17</v>
          </cell>
          <cell r="AA3105"/>
          <cell r="AB3105">
            <v>42784</v>
          </cell>
          <cell r="AC3105">
            <v>2776</v>
          </cell>
        </row>
        <row r="3106">
          <cell r="B3106">
            <v>2775</v>
          </cell>
          <cell r="C3106" t="str">
            <v>MW16007JD</v>
          </cell>
          <cell r="D3106" t="str">
            <v>TWILL</v>
          </cell>
          <cell r="E3106"/>
          <cell r="F3106" t="str">
            <v>R 100%</v>
          </cell>
          <cell r="G3106" t="str">
            <v>100% RAYON TWILL</v>
          </cell>
          <cell r="H3106" t="str">
            <v>58/59</v>
          </cell>
          <cell r="I3106">
            <v>169</v>
          </cell>
          <cell r="J3106">
            <v>1.77</v>
          </cell>
          <cell r="K3106">
            <v>1.85</v>
          </cell>
          <cell r="L3106"/>
          <cell r="M3106"/>
          <cell r="N3106">
            <v>1.77</v>
          </cell>
          <cell r="O3106">
            <v>1.85</v>
          </cell>
          <cell r="P3106"/>
          <cell r="Q3106"/>
          <cell r="R3106">
            <v>1.88</v>
          </cell>
          <cell r="S3106">
            <v>2.1</v>
          </cell>
          <cell r="T3106"/>
          <cell r="U3106"/>
          <cell r="V3106"/>
          <cell r="W3106" t="str">
            <v>$3/M        (If we have meter samples)</v>
          </cell>
          <cell r="X3106" t="str">
            <v>ZOE</v>
          </cell>
          <cell r="Y3106" t="str">
            <v>ZOE 18-FEB</v>
          </cell>
          <cell r="Z3106" t="str">
            <v>ZOE' MAIL 20/2/17</v>
          </cell>
          <cell r="AA3106"/>
          <cell r="AB3106">
            <v>42784</v>
          </cell>
          <cell r="AC3106">
            <v>2775</v>
          </cell>
        </row>
        <row r="3107">
          <cell r="B3107">
            <v>2774</v>
          </cell>
          <cell r="C3107" t="str">
            <v>TCPSJ-113F</v>
          </cell>
          <cell r="D3107" t="str">
            <v>FOIL</v>
          </cell>
          <cell r="E3107" t="str">
            <v>100D x 16 + 70D / 220x72</v>
          </cell>
          <cell r="F3107" t="str">
            <v>C/T/S 55/42/3</v>
          </cell>
          <cell r="G3107" t="str">
            <v xml:space="preserve">42% POLYESTER 55% COTTON 3% SPANDEX </v>
          </cell>
          <cell r="H3107" t="str">
            <v>56/57</v>
          </cell>
          <cell r="I3107">
            <v>275</v>
          </cell>
          <cell r="J3107">
            <v>3.8</v>
          </cell>
          <cell r="K3107"/>
          <cell r="L3107"/>
          <cell r="M3107"/>
          <cell r="N3107">
            <v>3.85</v>
          </cell>
          <cell r="O3107"/>
          <cell r="P3107"/>
          <cell r="Q3107"/>
          <cell r="R3107">
            <v>4.0999999999999996</v>
          </cell>
          <cell r="S3107"/>
          <cell r="T3107"/>
          <cell r="U3107"/>
          <cell r="V3107">
            <v>15</v>
          </cell>
          <cell r="W3107"/>
          <cell r="X3107" t="str">
            <v>LIVALTEX</v>
          </cell>
          <cell r="Y3107" t="str">
            <v>LINDA 16-FEB</v>
          </cell>
          <cell r="Z3107" t="str">
            <v>SEND TO SEARS 18/2/17</v>
          </cell>
          <cell r="AA3107"/>
          <cell r="AB3107">
            <v>42784</v>
          </cell>
          <cell r="AC3107">
            <v>2774</v>
          </cell>
        </row>
        <row r="3108">
          <cell r="B3108">
            <v>2773</v>
          </cell>
          <cell r="C3108" t="str">
            <v>T-2049</v>
          </cell>
          <cell r="D3108" t="str">
            <v>FOIL</v>
          </cell>
          <cell r="E3108"/>
          <cell r="F3108" t="str">
            <v xml:space="preserve">T 100% </v>
          </cell>
          <cell r="G3108" t="str">
            <v xml:space="preserve">100% POLYESTER </v>
          </cell>
          <cell r="H3108" t="str">
            <v>57/58</v>
          </cell>
          <cell r="I3108">
            <v>250</v>
          </cell>
          <cell r="J3108">
            <v>3.1</v>
          </cell>
          <cell r="K3108"/>
          <cell r="L3108"/>
          <cell r="M3108"/>
          <cell r="N3108">
            <v>3.15</v>
          </cell>
          <cell r="O3108"/>
          <cell r="P3108"/>
          <cell r="Q3108"/>
          <cell r="R3108">
            <v>3.4</v>
          </cell>
          <cell r="S3108"/>
          <cell r="T3108"/>
          <cell r="U3108"/>
          <cell r="V3108">
            <v>0</v>
          </cell>
          <cell r="W3108"/>
          <cell r="X3108" t="str">
            <v>LIVALTEX</v>
          </cell>
          <cell r="Y3108" t="str">
            <v>LINDA 16-FEB</v>
          </cell>
          <cell r="Z3108" t="str">
            <v>SEND TO SEARS 18/2/17</v>
          </cell>
          <cell r="AA3108"/>
          <cell r="AB3108">
            <v>42784</v>
          </cell>
          <cell r="AC3108">
            <v>2773</v>
          </cell>
        </row>
        <row r="3109">
          <cell r="B3109">
            <v>2772</v>
          </cell>
          <cell r="C3109" t="str">
            <v>K-2870</v>
          </cell>
          <cell r="D3109" t="str">
            <v>FOIL</v>
          </cell>
          <cell r="E3109"/>
          <cell r="F3109" t="str">
            <v>C/S 98/2</v>
          </cell>
          <cell r="G3109" t="str">
            <v xml:space="preserve">98% COTTON 2% SPAN </v>
          </cell>
          <cell r="H3109" t="str">
            <v>58/60</v>
          </cell>
          <cell r="I3109">
            <v>390</v>
          </cell>
          <cell r="J3109">
            <v>5.32</v>
          </cell>
          <cell r="K3109"/>
          <cell r="L3109"/>
          <cell r="M3109"/>
          <cell r="N3109">
            <v>5.37</v>
          </cell>
          <cell r="O3109"/>
          <cell r="P3109"/>
          <cell r="Q3109"/>
          <cell r="R3109">
            <v>5.67</v>
          </cell>
          <cell r="S3109"/>
          <cell r="T3109"/>
          <cell r="U3109"/>
          <cell r="V3109">
            <v>0</v>
          </cell>
          <cell r="W3109"/>
          <cell r="X3109" t="str">
            <v>LIVALTEX</v>
          </cell>
          <cell r="Y3109" t="str">
            <v>LINDA 16-FEB</v>
          </cell>
          <cell r="Z3109" t="str">
            <v>SEND TO SEARS 18/2/17</v>
          </cell>
          <cell r="AA3109"/>
          <cell r="AB3109">
            <v>42784</v>
          </cell>
          <cell r="AC3109">
            <v>2772</v>
          </cell>
        </row>
        <row r="3110">
          <cell r="B3110">
            <v>2771</v>
          </cell>
          <cell r="C3110" t="str">
            <v>HXMT15048(4-73#)</v>
          </cell>
          <cell r="D3110" t="str">
            <v xml:space="preserve"> COTTON SPANDEX SATEEN</v>
          </cell>
          <cell r="E3110" t="str">
            <v>JC60x60+30D / 241x90</v>
          </cell>
          <cell r="F3110" t="str">
            <v>C/S 98/2</v>
          </cell>
          <cell r="G3110" t="str">
            <v xml:space="preserve">98% COTTON 2% SPANDEX </v>
          </cell>
          <cell r="H3110" t="str">
            <v>56/57</v>
          </cell>
          <cell r="I3110">
            <v>140</v>
          </cell>
          <cell r="J3110"/>
          <cell r="K3110"/>
          <cell r="L3110"/>
          <cell r="M3110"/>
          <cell r="N3110">
            <v>2.2999999999999998</v>
          </cell>
          <cell r="O3110">
            <v>2.4500000000000002</v>
          </cell>
          <cell r="P3110"/>
          <cell r="Q3110"/>
          <cell r="R3110"/>
          <cell r="S3110"/>
          <cell r="T3110"/>
          <cell r="U3110"/>
          <cell r="V3110"/>
          <cell r="W3110" t="str">
            <v>AMANDA OFFER FOB NINGBO/SHANGHAI: $2.25/M SOLID - $2.4/M PRINT</v>
          </cell>
          <cell r="X3110" t="str">
            <v>AMANDA</v>
          </cell>
          <cell r="Y3110" t="str">
            <v>NOTED BOOK</v>
          </cell>
          <cell r="Z3110"/>
          <cell r="AA3110"/>
          <cell r="AB3110">
            <v>42784</v>
          </cell>
          <cell r="AC3110">
            <v>2771</v>
          </cell>
        </row>
        <row r="3111">
          <cell r="B3111">
            <v>2416</v>
          </cell>
          <cell r="C3111" t="str">
            <v>M-12477</v>
          </cell>
          <cell r="D3111"/>
          <cell r="E3111"/>
          <cell r="F3111" t="str">
            <v>T/S 96/4</v>
          </cell>
          <cell r="G3111" t="str">
            <v>96% POLYESTER 4% SPAN</v>
          </cell>
          <cell r="H3111" t="str">
            <v>59/60</v>
          </cell>
          <cell r="I3111">
            <v>150</v>
          </cell>
          <cell r="J3111">
            <v>1.1499999999999999</v>
          </cell>
          <cell r="K3111">
            <v>1.62</v>
          </cell>
          <cell r="L3111"/>
          <cell r="M3111"/>
          <cell r="N3111">
            <v>1.25</v>
          </cell>
          <cell r="O3111">
            <v>1.7</v>
          </cell>
          <cell r="P3111"/>
          <cell r="Q3111"/>
          <cell r="R3111">
            <v>1.42</v>
          </cell>
          <cell r="S3111">
            <v>1.9</v>
          </cell>
          <cell r="T3111"/>
          <cell r="U3111"/>
          <cell r="V3111"/>
          <cell r="W3111"/>
          <cell r="X3111" t="str">
            <v>MARY</v>
          </cell>
          <cell r="Y3111" t="str">
            <v>MARY 16-FEB</v>
          </cell>
          <cell r="Z3111" t="str">
            <v>MARY' MAIL 17/2/17</v>
          </cell>
          <cell r="AA3111"/>
          <cell r="AB3111">
            <v>42784</v>
          </cell>
          <cell r="AC3111">
            <v>2416</v>
          </cell>
        </row>
        <row r="3112">
          <cell r="B3112">
            <v>2339</v>
          </cell>
          <cell r="C3112" t="str">
            <v>M-12278</v>
          </cell>
          <cell r="D3112"/>
          <cell r="E3112"/>
          <cell r="F3112" t="str">
            <v>T/S 96/4</v>
          </cell>
          <cell r="G3112" t="str">
            <v>96% POLYESTER 4% SPAN</v>
          </cell>
          <cell r="H3112" t="str">
            <v>59/60</v>
          </cell>
          <cell r="I3112">
            <v>195</v>
          </cell>
          <cell r="J3112">
            <v>1.72</v>
          </cell>
          <cell r="K3112"/>
          <cell r="L3112"/>
          <cell r="M3112"/>
          <cell r="N3112">
            <v>1.82</v>
          </cell>
          <cell r="O3112"/>
          <cell r="P3112"/>
          <cell r="Q3112"/>
          <cell r="R3112">
            <v>2</v>
          </cell>
          <cell r="S3112"/>
          <cell r="T3112"/>
          <cell r="U3112"/>
          <cell r="V3112">
            <v>15</v>
          </cell>
          <cell r="W3112"/>
          <cell r="X3112" t="str">
            <v>MARY</v>
          </cell>
          <cell r="Y3112" t="str">
            <v>MARY 16-FEB</v>
          </cell>
          <cell r="Z3112" t="str">
            <v>MARY' MAIL 17/2/17</v>
          </cell>
          <cell r="AA3112"/>
          <cell r="AB3112">
            <v>42784</v>
          </cell>
          <cell r="AC3112">
            <v>2339</v>
          </cell>
        </row>
        <row r="3113">
          <cell r="B3113">
            <v>2338</v>
          </cell>
          <cell r="C3113" t="str">
            <v>M-11182</v>
          </cell>
          <cell r="D3113"/>
          <cell r="E3113"/>
          <cell r="F3113" t="str">
            <v>T/S 96/4</v>
          </cell>
          <cell r="G3113" t="str">
            <v>96% POLYESTER 4% SPAN</v>
          </cell>
          <cell r="H3113" t="str">
            <v>59/60</v>
          </cell>
          <cell r="I3113">
            <v>252</v>
          </cell>
          <cell r="J3113">
            <v>1.7</v>
          </cell>
          <cell r="K3113"/>
          <cell r="L3113"/>
          <cell r="M3113"/>
          <cell r="N3113">
            <v>1.78</v>
          </cell>
          <cell r="O3113"/>
          <cell r="P3113"/>
          <cell r="Q3113"/>
          <cell r="R3113">
            <v>1.9</v>
          </cell>
          <cell r="S3113"/>
          <cell r="T3113"/>
          <cell r="U3113"/>
          <cell r="V3113"/>
          <cell r="W3113"/>
          <cell r="X3113" t="str">
            <v>MARY</v>
          </cell>
          <cell r="Y3113" t="str">
            <v>MARY 16-FEB</v>
          </cell>
          <cell r="Z3113" t="str">
            <v>MARY' MAIL 17/2/17</v>
          </cell>
          <cell r="AA3113"/>
          <cell r="AB3113">
            <v>42784</v>
          </cell>
          <cell r="AC3113">
            <v>2338</v>
          </cell>
        </row>
        <row r="3114">
          <cell r="B3114">
            <v>1750</v>
          </cell>
          <cell r="C3114" t="str">
            <v>OLP-16040701</v>
          </cell>
          <cell r="D3114" t="str">
            <v>YARN-DYED FLANNEL - MELANGE</v>
          </cell>
          <cell r="E3114"/>
          <cell r="F3114" t="str">
            <v>C 100%</v>
          </cell>
          <cell r="G3114" t="str">
            <v>100% COTTON</v>
          </cell>
          <cell r="H3114" t="str">
            <v>57/58</v>
          </cell>
          <cell r="I3114">
            <v>128</v>
          </cell>
          <cell r="J3114">
            <v>2.62</v>
          </cell>
          <cell r="K3114"/>
          <cell r="L3114"/>
          <cell r="M3114"/>
          <cell r="N3114">
            <v>2.65</v>
          </cell>
          <cell r="O3114"/>
          <cell r="P3114"/>
          <cell r="Q3114"/>
          <cell r="R3114">
            <v>2.7</v>
          </cell>
          <cell r="S3114"/>
          <cell r="T3114"/>
          <cell r="U3114"/>
          <cell r="V3114">
            <v>5</v>
          </cell>
          <cell r="W3114"/>
          <cell r="X3114" t="str">
            <v>OWEN</v>
          </cell>
          <cell r="Y3114" t="str">
            <v>SANDY 18-FEB - FLANNEL</v>
          </cell>
          <cell r="Z3114" t="str">
            <v>SANDY' MAIL 18/2/17</v>
          </cell>
          <cell r="AA3114"/>
          <cell r="AB3114">
            <v>42784</v>
          </cell>
          <cell r="AC3114">
            <v>1750</v>
          </cell>
        </row>
        <row r="3115">
          <cell r="B3115">
            <v>1713</v>
          </cell>
          <cell r="C3115" t="str">
            <v>HP2007-3-16040613</v>
          </cell>
          <cell r="D3115"/>
          <cell r="E3115"/>
          <cell r="F3115" t="str">
            <v>92%P 8%S</v>
          </cell>
          <cell r="G3115" t="str">
            <v>92%P 8%S</v>
          </cell>
          <cell r="H3115" t="str">
            <v>145CM</v>
          </cell>
          <cell r="I3115">
            <v>95</v>
          </cell>
          <cell r="J3115">
            <v>1.73</v>
          </cell>
          <cell r="K3115">
            <v>2.7</v>
          </cell>
          <cell r="L3115"/>
          <cell r="M3115"/>
          <cell r="N3115">
            <v>1.78</v>
          </cell>
          <cell r="O3115">
            <v>2.85</v>
          </cell>
          <cell r="P3115"/>
          <cell r="Q3115"/>
          <cell r="R3115">
            <v>2.0099999999999998</v>
          </cell>
          <cell r="S3115">
            <v>3.3</v>
          </cell>
          <cell r="T3115"/>
          <cell r="U3115"/>
          <cell r="V3115"/>
          <cell r="W3115"/>
          <cell r="X3115" t="str">
            <v>OWEN</v>
          </cell>
          <cell r="Y3115" t="str">
            <v>OWEN 16-FEB</v>
          </cell>
          <cell r="Z3115" t="str">
            <v>SANDY' MAIL 17/2/17</v>
          </cell>
          <cell r="AA3115"/>
          <cell r="AB3115">
            <v>42784</v>
          </cell>
          <cell r="AC3115">
            <v>1713</v>
          </cell>
        </row>
        <row r="3116">
          <cell r="B3116">
            <v>1712</v>
          </cell>
          <cell r="C3116" t="str">
            <v>HP12#-16040615</v>
          </cell>
          <cell r="D3116"/>
          <cell r="E3116"/>
          <cell r="F3116" t="str">
            <v>92%P 8%S</v>
          </cell>
          <cell r="G3116" t="str">
            <v>92%P 8%S</v>
          </cell>
          <cell r="H3116" t="str">
            <v>150CM</v>
          </cell>
          <cell r="I3116">
            <v>135</v>
          </cell>
          <cell r="J3116">
            <v>1.77</v>
          </cell>
          <cell r="K3116">
            <v>2.75</v>
          </cell>
          <cell r="L3116"/>
          <cell r="M3116"/>
          <cell r="N3116">
            <v>1.82</v>
          </cell>
          <cell r="O3116">
            <v>2.9</v>
          </cell>
          <cell r="P3116"/>
          <cell r="Q3116"/>
          <cell r="R3116">
            <v>2.0499999999999998</v>
          </cell>
          <cell r="S3116">
            <v>3.35</v>
          </cell>
          <cell r="T3116"/>
          <cell r="U3116"/>
          <cell r="V3116"/>
          <cell r="W3116"/>
          <cell r="X3116" t="str">
            <v>OWEN</v>
          </cell>
          <cell r="Y3116" t="str">
            <v>OWEN 16-FEB</v>
          </cell>
          <cell r="Z3116" t="str">
            <v>SANDY' MAIL 17/2/17</v>
          </cell>
          <cell r="AA3116"/>
          <cell r="AB3116">
            <v>42784</v>
          </cell>
          <cell r="AC3116">
            <v>1712</v>
          </cell>
        </row>
        <row r="3117">
          <cell r="B3117">
            <v>1711</v>
          </cell>
          <cell r="C3117" t="str">
            <v>HP-16040617</v>
          </cell>
          <cell r="D3117"/>
          <cell r="E3117"/>
          <cell r="F3117" t="str">
            <v>92%P 8%S</v>
          </cell>
          <cell r="G3117" t="str">
            <v>92%P 8%S</v>
          </cell>
          <cell r="H3117" t="str">
            <v>150CM</v>
          </cell>
          <cell r="I3117">
            <v>90</v>
          </cell>
          <cell r="J3117">
            <v>1.73</v>
          </cell>
          <cell r="K3117">
            <v>2.7</v>
          </cell>
          <cell r="L3117"/>
          <cell r="M3117"/>
          <cell r="N3117">
            <v>1.78</v>
          </cell>
          <cell r="O3117">
            <v>2.85</v>
          </cell>
          <cell r="P3117"/>
          <cell r="Q3117"/>
          <cell r="R3117">
            <v>2.0099999999999998</v>
          </cell>
          <cell r="S3117">
            <v>3.3000000000000003</v>
          </cell>
          <cell r="T3117"/>
          <cell r="U3117"/>
          <cell r="V3117"/>
          <cell r="W3117"/>
          <cell r="X3117" t="str">
            <v>OWEN</v>
          </cell>
          <cell r="Y3117" t="str">
            <v>OWEN 16-FEB</v>
          </cell>
          <cell r="Z3117" t="str">
            <v>SANDY' MAIL 17/2/17</v>
          </cell>
          <cell r="AA3117"/>
          <cell r="AB3117">
            <v>42784</v>
          </cell>
          <cell r="AC3117">
            <v>1711</v>
          </cell>
        </row>
        <row r="3118">
          <cell r="B3118">
            <v>1710</v>
          </cell>
          <cell r="C3118" t="str">
            <v>OLP-HP2007-1-16040616</v>
          </cell>
          <cell r="D3118"/>
          <cell r="E3118"/>
          <cell r="F3118" t="str">
            <v>92%P 8%S</v>
          </cell>
          <cell r="G3118" t="str">
            <v>92%P 8%S</v>
          </cell>
          <cell r="H3118" t="str">
            <v>145CM</v>
          </cell>
          <cell r="I3118">
            <v>85</v>
          </cell>
          <cell r="J3118">
            <v>1.7</v>
          </cell>
          <cell r="K3118">
            <v>2.68</v>
          </cell>
          <cell r="L3118"/>
          <cell r="M3118"/>
          <cell r="N3118">
            <v>1.75</v>
          </cell>
          <cell r="O3118">
            <v>2.83</v>
          </cell>
          <cell r="P3118"/>
          <cell r="Q3118"/>
          <cell r="R3118">
            <v>1.98</v>
          </cell>
          <cell r="S3118">
            <v>3.28</v>
          </cell>
          <cell r="T3118"/>
          <cell r="U3118"/>
          <cell r="V3118"/>
          <cell r="W3118"/>
          <cell r="X3118" t="str">
            <v>OWEN</v>
          </cell>
          <cell r="Y3118" t="str">
            <v>OWEN 16-FEB</v>
          </cell>
          <cell r="Z3118" t="str">
            <v>SANDY' MAIL 17/2/17</v>
          </cell>
          <cell r="AA3118"/>
          <cell r="AB3118">
            <v>42784</v>
          </cell>
          <cell r="AC3118">
            <v>1710</v>
          </cell>
        </row>
        <row r="3119">
          <cell r="B3119">
            <v>1709</v>
          </cell>
          <cell r="C3119" t="str">
            <v>OLP-HP16#-16040608</v>
          </cell>
          <cell r="D3119"/>
          <cell r="E3119"/>
          <cell r="F3119" t="str">
            <v>92%P 8%S</v>
          </cell>
          <cell r="G3119" t="str">
            <v>92%P 8%S</v>
          </cell>
          <cell r="H3119" t="str">
            <v>145CM</v>
          </cell>
          <cell r="I3119">
            <v>130</v>
          </cell>
          <cell r="J3119">
            <v>1.8</v>
          </cell>
          <cell r="K3119">
            <v>2.78</v>
          </cell>
          <cell r="L3119"/>
          <cell r="M3119"/>
          <cell r="N3119">
            <v>1.85</v>
          </cell>
          <cell r="O3119">
            <v>2.93</v>
          </cell>
          <cell r="P3119"/>
          <cell r="Q3119"/>
          <cell r="R3119">
            <v>2.08</v>
          </cell>
          <cell r="S3119">
            <v>3.38</v>
          </cell>
          <cell r="T3119"/>
          <cell r="U3119"/>
          <cell r="V3119"/>
          <cell r="W3119"/>
          <cell r="X3119" t="str">
            <v>OWEN</v>
          </cell>
          <cell r="Y3119" t="str">
            <v>OWEN 16-FEB</v>
          </cell>
          <cell r="Z3119" t="str">
            <v>SANDY' MAIL 17/2/17</v>
          </cell>
          <cell r="AA3119"/>
          <cell r="AB3119">
            <v>42784</v>
          </cell>
          <cell r="AC3119">
            <v>1709</v>
          </cell>
        </row>
        <row r="3120">
          <cell r="B3120">
            <v>1707</v>
          </cell>
          <cell r="C3120" t="str">
            <v>OLP-HP14-16040606</v>
          </cell>
          <cell r="D3120"/>
          <cell r="E3120"/>
          <cell r="F3120" t="str">
            <v>92%P 8%S</v>
          </cell>
          <cell r="G3120" t="str">
            <v>92%P 8%S</v>
          </cell>
          <cell r="H3120" t="str">
            <v>145CM</v>
          </cell>
          <cell r="I3120">
            <v>125</v>
          </cell>
          <cell r="J3120">
            <v>1.77</v>
          </cell>
          <cell r="K3120">
            <v>2.72</v>
          </cell>
          <cell r="L3120"/>
          <cell r="M3120"/>
          <cell r="N3120">
            <v>1.82</v>
          </cell>
          <cell r="O3120">
            <v>2.87</v>
          </cell>
          <cell r="P3120"/>
          <cell r="Q3120"/>
          <cell r="R3120">
            <v>2.0499999999999998</v>
          </cell>
          <cell r="S3120">
            <v>3.32</v>
          </cell>
          <cell r="T3120"/>
          <cell r="U3120"/>
          <cell r="V3120"/>
          <cell r="W3120"/>
          <cell r="X3120" t="str">
            <v>OWEN</v>
          </cell>
          <cell r="Y3120" t="str">
            <v>OWEN 16-FEB</v>
          </cell>
          <cell r="Z3120" t="str">
            <v>SANDY' MAIL 17/2/17</v>
          </cell>
          <cell r="AA3120"/>
          <cell r="AB3120">
            <v>42784</v>
          </cell>
          <cell r="AC3120">
            <v>1707</v>
          </cell>
        </row>
        <row r="3121">
          <cell r="B3121">
            <v>564</v>
          </cell>
          <cell r="C3121" t="str">
            <v>TS-114</v>
          </cell>
          <cell r="D3121"/>
          <cell r="E3121"/>
          <cell r="F3121" t="str">
            <v>95% NYLON 5% SPAN</v>
          </cell>
          <cell r="G3121" t="str">
            <v>95% NYLON 5% SPAN</v>
          </cell>
          <cell r="H3121"/>
          <cell r="I3121"/>
          <cell r="J3121"/>
          <cell r="K3121"/>
          <cell r="L3121"/>
          <cell r="M3121"/>
          <cell r="N3121"/>
          <cell r="O3121"/>
          <cell r="P3121"/>
          <cell r="Q3121"/>
          <cell r="R3121"/>
          <cell r="S3121"/>
          <cell r="T3121"/>
          <cell r="U3121"/>
          <cell r="V3121"/>
          <cell r="W3121"/>
          <cell r="X3121" t="str">
            <v>GAVIN</v>
          </cell>
          <cell r="Y3121"/>
          <cell r="Z3121" t="str">
            <v>SEND TO SEARS 18/2/17</v>
          </cell>
          <cell r="AA3121"/>
          <cell r="AB3121">
            <v>42784</v>
          </cell>
          <cell r="AC3121">
            <v>564</v>
          </cell>
        </row>
        <row r="3122">
          <cell r="B3122">
            <v>2784</v>
          </cell>
          <cell r="C3122" t="str">
            <v>UD-ZT-151290</v>
          </cell>
          <cell r="D3122" t="str">
            <v xml:space="preserve">VELVET CRUSHED - </v>
          </cell>
          <cell r="E3122"/>
          <cell r="F3122" t="str">
            <v>T/S 95/5</v>
          </cell>
          <cell r="G3122" t="str">
            <v>95% POLYESTER 5% SPANDEX
CRUSHED TRICOT SPAN VELOUR</v>
          </cell>
          <cell r="H3122" t="str">
            <v>58/60</v>
          </cell>
          <cell r="I3122">
            <v>240</v>
          </cell>
          <cell r="J3122">
            <v>1.45</v>
          </cell>
          <cell r="K3122"/>
          <cell r="L3122"/>
          <cell r="M3122"/>
          <cell r="N3122">
            <v>1.55</v>
          </cell>
          <cell r="O3122"/>
          <cell r="P3122"/>
          <cell r="Q3122"/>
          <cell r="R3122">
            <v>1.65</v>
          </cell>
          <cell r="S3122"/>
          <cell r="T3122"/>
          <cell r="U3122"/>
          <cell r="V3122">
            <v>15</v>
          </cell>
          <cell r="W3122"/>
          <cell r="X3122" t="str">
            <v>WANG HUA</v>
          </cell>
          <cell r="Y3122" t="str">
            <v>WANGHUA 15-FEB</v>
          </cell>
          <cell r="Z3122" t="str">
            <v>WANGHUA' MAIL 17/2/17</v>
          </cell>
          <cell r="AA3122"/>
          <cell r="AB3122">
            <v>42783</v>
          </cell>
          <cell r="AC3122">
            <v>2784</v>
          </cell>
        </row>
        <row r="3123">
          <cell r="B3123">
            <v>2769</v>
          </cell>
          <cell r="C3123" t="str">
            <v>GLLTH021502</v>
          </cell>
          <cell r="D3123"/>
          <cell r="E3123"/>
          <cell r="F3123" t="str">
            <v>T 100%</v>
          </cell>
          <cell r="G3123" t="str">
            <v>100% POLYESTER</v>
          </cell>
          <cell r="H3123" t="str">
            <v>56/57</v>
          </cell>
          <cell r="I3123">
            <v>135</v>
          </cell>
          <cell r="J3123"/>
          <cell r="K3123"/>
          <cell r="L3123"/>
          <cell r="M3123"/>
          <cell r="N3123">
            <v>5.95</v>
          </cell>
          <cell r="O3123"/>
          <cell r="P3123"/>
          <cell r="Q3123"/>
          <cell r="R3123">
            <v>6.15</v>
          </cell>
          <cell r="S3123"/>
          <cell r="T3123"/>
          <cell r="U3123"/>
          <cell r="V3123">
            <v>15</v>
          </cell>
          <cell r="W3123" t="str">
            <v>not available for printing.</v>
          </cell>
          <cell r="X3123" t="str">
            <v>HOWARD</v>
          </cell>
          <cell r="Y3123" t="str">
            <v>HOWARD 16-FEB'</v>
          </cell>
          <cell r="Z3123" t="str">
            <v>HOWARD' MAIL 17/2/17</v>
          </cell>
          <cell r="AA3123"/>
          <cell r="AB3123">
            <v>42783</v>
          </cell>
          <cell r="AC3123">
            <v>2769</v>
          </cell>
        </row>
        <row r="3124">
          <cell r="B3124">
            <v>2768</v>
          </cell>
          <cell r="C3124" t="str">
            <v>GLLTH021501</v>
          </cell>
          <cell r="D3124"/>
          <cell r="E3124"/>
          <cell r="F3124" t="str">
            <v>T 100%</v>
          </cell>
          <cell r="G3124" t="str">
            <v>100% POLYESTER</v>
          </cell>
          <cell r="H3124" t="str">
            <v>56/57</v>
          </cell>
          <cell r="I3124">
            <v>135</v>
          </cell>
          <cell r="J3124"/>
          <cell r="K3124"/>
          <cell r="L3124"/>
          <cell r="M3124"/>
          <cell r="N3124">
            <v>3.5</v>
          </cell>
          <cell r="O3124"/>
          <cell r="P3124"/>
          <cell r="Q3124"/>
          <cell r="R3124">
            <v>3.7</v>
          </cell>
          <cell r="S3124"/>
          <cell r="T3124"/>
          <cell r="U3124"/>
          <cell r="V3124">
            <v>15</v>
          </cell>
          <cell r="W3124" t="str">
            <v>not available for printing.</v>
          </cell>
          <cell r="X3124" t="str">
            <v>HOWARD</v>
          </cell>
          <cell r="Y3124" t="str">
            <v>HOWARD 16-FEB'</v>
          </cell>
          <cell r="Z3124" t="str">
            <v>HOWARD' MAIL 17/2/17</v>
          </cell>
          <cell r="AA3124"/>
          <cell r="AB3124">
            <v>42783</v>
          </cell>
          <cell r="AC3124">
            <v>2768</v>
          </cell>
        </row>
        <row r="3125">
          <cell r="B3125">
            <v>2767</v>
          </cell>
          <cell r="C3125" t="str">
            <v>GLLGD0214</v>
          </cell>
          <cell r="D3125" t="str">
            <v xml:space="preserve"> COTTON SPANDEX SATEEN</v>
          </cell>
          <cell r="E3125"/>
          <cell r="F3125" t="str">
            <v>C/S 98/2</v>
          </cell>
          <cell r="G3125" t="str">
            <v xml:space="preserve">98% COTTON 2% SPANDEX </v>
          </cell>
          <cell r="H3125" t="str">
            <v>57/58</v>
          </cell>
          <cell r="I3125">
            <v>170</v>
          </cell>
          <cell r="J3125">
            <v>2.4300000000000002</v>
          </cell>
          <cell r="K3125">
            <v>2.67</v>
          </cell>
          <cell r="L3125"/>
          <cell r="M3125"/>
          <cell r="N3125">
            <v>2.4500000000000002</v>
          </cell>
          <cell r="O3125">
            <v>2.75</v>
          </cell>
          <cell r="P3125"/>
          <cell r="Q3125"/>
          <cell r="R3125">
            <v>2.57</v>
          </cell>
          <cell r="S3125">
            <v>3.1</v>
          </cell>
          <cell r="T3125"/>
          <cell r="U3125"/>
          <cell r="V3125">
            <v>15</v>
          </cell>
          <cell r="W3125" t="str">
            <v>10 COLRO WAY PRINTING</v>
          </cell>
          <cell r="X3125" t="str">
            <v>HOWARD</v>
          </cell>
          <cell r="Y3125" t="str">
            <v>HOWARD 16-FEB'</v>
          </cell>
          <cell r="Z3125" t="str">
            <v>HOWARD' MAIL 17/2/17</v>
          </cell>
          <cell r="AA3125"/>
          <cell r="AB3125">
            <v>42783</v>
          </cell>
          <cell r="AC3125">
            <v>2767</v>
          </cell>
        </row>
        <row r="3126">
          <cell r="B3126">
            <v>2603</v>
          </cell>
          <cell r="C3126" t="str">
            <v>UD-JC-251355</v>
          </cell>
          <cell r="D3126"/>
          <cell r="E3126"/>
          <cell r="F3126" t="str">
            <v>C 100%</v>
          </cell>
          <cell r="G3126" t="str">
            <v>100% COTTON</v>
          </cell>
          <cell r="H3126" t="str">
            <v>46/48</v>
          </cell>
          <cell r="I3126">
            <v>82</v>
          </cell>
          <cell r="J3126">
            <v>1.38</v>
          </cell>
          <cell r="K3126">
            <v>2</v>
          </cell>
          <cell r="L3126"/>
          <cell r="M3126"/>
          <cell r="N3126">
            <v>1.48</v>
          </cell>
          <cell r="O3126">
            <v>2.33</v>
          </cell>
          <cell r="P3126"/>
          <cell r="Q3126"/>
          <cell r="R3126">
            <v>1.68</v>
          </cell>
          <cell r="S3126">
            <v>3.2</v>
          </cell>
          <cell r="T3126"/>
          <cell r="U3126"/>
          <cell r="V3126">
            <v>15</v>
          </cell>
          <cell r="W3126"/>
          <cell r="X3126" t="str">
            <v>WANG HUA</v>
          </cell>
          <cell r="Y3126" t="str">
            <v>WANGHUA16-FEB'</v>
          </cell>
          <cell r="Z3126" t="str">
            <v>WANGHUA' MAIL 17/2/17</v>
          </cell>
          <cell r="AA3126"/>
          <cell r="AB3126">
            <v>42783</v>
          </cell>
          <cell r="AC3126">
            <v>2603</v>
          </cell>
        </row>
        <row r="3127">
          <cell r="B3127">
            <v>2443</v>
          </cell>
          <cell r="C3127" t="str">
            <v>TS-263</v>
          </cell>
          <cell r="D3127" t="str">
            <v>RAYON BLEND CRINKLE</v>
          </cell>
          <cell r="E3127"/>
          <cell r="F3127" t="str">
            <v>CVC 65/35</v>
          </cell>
          <cell r="G3127" t="str">
            <v>65% COTTON 35% POLYESTER</v>
          </cell>
          <cell r="H3127" t="str">
            <v>57/58</v>
          </cell>
          <cell r="I3127">
            <v>89</v>
          </cell>
          <cell r="J3127">
            <v>1.1599999999999999</v>
          </cell>
          <cell r="K3127">
            <v>1.38</v>
          </cell>
          <cell r="L3127"/>
          <cell r="M3127"/>
          <cell r="N3127">
            <v>1.2</v>
          </cell>
          <cell r="O3127">
            <v>1.46</v>
          </cell>
          <cell r="P3127"/>
          <cell r="Q3127"/>
          <cell r="R3127">
            <v>1.36</v>
          </cell>
          <cell r="S3127">
            <v>1.8</v>
          </cell>
          <cell r="T3127"/>
          <cell r="U3127"/>
          <cell r="V3127">
            <v>15</v>
          </cell>
          <cell r="W3127"/>
          <cell r="X3127" t="str">
            <v>GAVIN</v>
          </cell>
          <cell r="Y3127" t="str">
            <v>GAVIN 16-FEB'</v>
          </cell>
          <cell r="Z3127" t="str">
            <v>GAVIN' MAIL 16/2/17</v>
          </cell>
          <cell r="AA3127"/>
          <cell r="AB3127">
            <v>42783</v>
          </cell>
          <cell r="AC3127">
            <v>2443</v>
          </cell>
        </row>
        <row r="3128">
          <cell r="B3128">
            <v>2378</v>
          </cell>
          <cell r="C3128" t="str">
            <v>LX-456</v>
          </cell>
          <cell r="D3128"/>
          <cell r="E3128" t="str">
            <v>45x45 / 88x64</v>
          </cell>
          <cell r="F3128" t="str">
            <v>65% POLY 35% COTTON</v>
          </cell>
          <cell r="G3128" t="str">
            <v>65% POLYESTER 35% COTTON</v>
          </cell>
          <cell r="H3128" t="str">
            <v>57/58</v>
          </cell>
          <cell r="I3128">
            <v>82</v>
          </cell>
          <cell r="J3128">
            <v>0.98</v>
          </cell>
          <cell r="K3128">
            <v>1.18</v>
          </cell>
          <cell r="L3128"/>
          <cell r="M3128"/>
          <cell r="N3128">
            <v>1.02</v>
          </cell>
          <cell r="O3128">
            <v>1.23</v>
          </cell>
          <cell r="P3128"/>
          <cell r="Q3128"/>
          <cell r="R3128">
            <v>1.1399999999999999</v>
          </cell>
          <cell r="S3128">
            <v>1.37</v>
          </cell>
          <cell r="T3128"/>
          <cell r="U3128"/>
          <cell r="V3128">
            <v>15</v>
          </cell>
          <cell r="W3128"/>
          <cell r="X3128" t="str">
            <v>TINA</v>
          </cell>
          <cell r="Y3128" t="str">
            <v>TINA 16-FEB'</v>
          </cell>
          <cell r="Z3128" t="str">
            <v>TINA' MAIL 17/2/17</v>
          </cell>
          <cell r="AA3128"/>
          <cell r="AB3128">
            <v>42783</v>
          </cell>
          <cell r="AC3128">
            <v>2378</v>
          </cell>
        </row>
        <row r="3129">
          <cell r="B3129">
            <v>1956</v>
          </cell>
          <cell r="C3129" t="str">
            <v>BG1719</v>
          </cell>
          <cell r="D3129"/>
          <cell r="E3129"/>
          <cell r="F3129" t="str">
            <v>C 100%</v>
          </cell>
          <cell r="G3129" t="str">
            <v>100% COTTON</v>
          </cell>
          <cell r="H3129" t="str">
            <v>48/50</v>
          </cell>
          <cell r="I3129">
            <v>80</v>
          </cell>
          <cell r="J3129">
            <v>1.5</v>
          </cell>
          <cell r="K3129">
            <v>2.15</v>
          </cell>
          <cell r="L3129"/>
          <cell r="M3129">
            <v>1.6</v>
          </cell>
          <cell r="N3129">
            <v>1.6</v>
          </cell>
          <cell r="O3129">
            <v>2.35</v>
          </cell>
          <cell r="P3129"/>
          <cell r="Q3129"/>
          <cell r="R3129">
            <v>1.8</v>
          </cell>
          <cell r="S3129">
            <v>2.8</v>
          </cell>
          <cell r="T3129"/>
          <cell r="U3129"/>
          <cell r="V3129">
            <v>15</v>
          </cell>
          <cell r="W3129"/>
          <cell r="X3129" t="str">
            <v>ANN</v>
          </cell>
          <cell r="Y3129" t="str">
            <v>ANN 16-FEB'</v>
          </cell>
          <cell r="Z3129" t="str">
            <v>ANN' MAIL 17/2/17</v>
          </cell>
          <cell r="AA3129"/>
          <cell r="AB3129">
            <v>42783</v>
          </cell>
          <cell r="AC3129">
            <v>1956</v>
          </cell>
        </row>
        <row r="3130">
          <cell r="B3130">
            <v>1953</v>
          </cell>
          <cell r="C3130" t="str">
            <v>BG2195</v>
          </cell>
          <cell r="D3130"/>
          <cell r="E3130"/>
          <cell r="F3130" t="str">
            <v>C 100%</v>
          </cell>
          <cell r="G3130" t="str">
            <v>100% COTTON</v>
          </cell>
          <cell r="H3130" t="str">
            <v>54/55</v>
          </cell>
          <cell r="I3130">
            <v>128</v>
          </cell>
          <cell r="J3130">
            <v>1.65</v>
          </cell>
          <cell r="K3130">
            <v>2.4500000000000002</v>
          </cell>
          <cell r="L3130"/>
          <cell r="M3130"/>
          <cell r="N3130"/>
          <cell r="O3130"/>
          <cell r="P3130"/>
          <cell r="Q3130"/>
          <cell r="R3130"/>
          <cell r="S3130"/>
          <cell r="T3130"/>
          <cell r="U3130"/>
          <cell r="V3130">
            <v>15</v>
          </cell>
          <cell r="W3130"/>
          <cell r="X3130" t="str">
            <v>ANN</v>
          </cell>
          <cell r="Y3130" t="str">
            <v>ANN 16-FEB'</v>
          </cell>
          <cell r="Z3130" t="str">
            <v>ANN' MAIL 17/2/17</v>
          </cell>
          <cell r="AA3130"/>
          <cell r="AB3130">
            <v>42783</v>
          </cell>
          <cell r="AC3130">
            <v>1953</v>
          </cell>
        </row>
        <row r="3131">
          <cell r="B3131">
            <v>2766</v>
          </cell>
          <cell r="C3131" t="str">
            <v>HLT3178</v>
          </cell>
          <cell r="D3131" t="str">
            <v>SATEEN</v>
          </cell>
          <cell r="E3131"/>
          <cell r="F3131" t="str">
            <v>T 100%</v>
          </cell>
          <cell r="G3131" t="str">
            <v>100% POLYESTER</v>
          </cell>
          <cell r="H3131" t="str">
            <v>57/58</v>
          </cell>
          <cell r="I3131">
            <v>167</v>
          </cell>
          <cell r="J3131">
            <v>1.78</v>
          </cell>
          <cell r="K3131">
            <v>1.95</v>
          </cell>
          <cell r="L3131"/>
          <cell r="M3131"/>
          <cell r="N3131">
            <v>1.8800000000000001</v>
          </cell>
          <cell r="O3131">
            <v>2.0499999999999998</v>
          </cell>
          <cell r="P3131"/>
          <cell r="Q3131"/>
          <cell r="R3131">
            <v>2.08</v>
          </cell>
          <cell r="S3131">
            <v>2.4499999999999997</v>
          </cell>
          <cell r="T3131"/>
          <cell r="U3131"/>
          <cell r="V3131">
            <v>15</v>
          </cell>
          <cell r="W3131"/>
          <cell r="X3131" t="str">
            <v>CANDY</v>
          </cell>
          <cell r="Y3131" t="str">
            <v>CANDY 18-JAN</v>
          </cell>
          <cell r="Z3131" t="str">
            <v>CANDY' MAIL 21/1/17</v>
          </cell>
          <cell r="AA3131"/>
          <cell r="AB3131">
            <v>42782</v>
          </cell>
          <cell r="AC3131">
            <v>2766</v>
          </cell>
        </row>
        <row r="3132">
          <cell r="B3132">
            <v>2765</v>
          </cell>
          <cell r="C3132" t="str">
            <v>HLT3177</v>
          </cell>
          <cell r="D3132" t="str">
            <v>SATEEN</v>
          </cell>
          <cell r="E3132"/>
          <cell r="F3132" t="str">
            <v>T/S 98/2</v>
          </cell>
          <cell r="G3132" t="str">
            <v>98%POLYESTER 2% SPAN</v>
          </cell>
          <cell r="H3132" t="str">
            <v>57/58</v>
          </cell>
          <cell r="I3132">
            <v>187</v>
          </cell>
          <cell r="J3132">
            <v>1.85</v>
          </cell>
          <cell r="K3132">
            <v>2</v>
          </cell>
          <cell r="L3132"/>
          <cell r="M3132"/>
          <cell r="N3132">
            <v>1.9500000000000002</v>
          </cell>
          <cell r="O3132">
            <v>2.1</v>
          </cell>
          <cell r="P3132"/>
          <cell r="Q3132"/>
          <cell r="R3132">
            <v>2.1500000000000004</v>
          </cell>
          <cell r="S3132">
            <v>2.5</v>
          </cell>
          <cell r="T3132"/>
          <cell r="U3132"/>
          <cell r="V3132">
            <v>15</v>
          </cell>
          <cell r="W3132"/>
          <cell r="X3132" t="str">
            <v>CANDY</v>
          </cell>
          <cell r="Y3132" t="str">
            <v>CANDY 18-JAN</v>
          </cell>
          <cell r="Z3132" t="str">
            <v>CANDY' MAIL 21/1/17</v>
          </cell>
          <cell r="AA3132"/>
          <cell r="AB3132">
            <v>42782</v>
          </cell>
          <cell r="AC3132">
            <v>2765</v>
          </cell>
        </row>
        <row r="3133">
          <cell r="B3133">
            <v>2764</v>
          </cell>
          <cell r="C3133" t="str">
            <v>HLT3176</v>
          </cell>
          <cell r="D3133" t="str">
            <v xml:space="preserve"> POLY SATEEN</v>
          </cell>
          <cell r="E3133"/>
          <cell r="F3133" t="str">
            <v>T 100%</v>
          </cell>
          <cell r="G3133" t="str">
            <v>100% POLYESTER</v>
          </cell>
          <cell r="H3133" t="str">
            <v>57/58</v>
          </cell>
          <cell r="I3133">
            <v>160</v>
          </cell>
          <cell r="J3133">
            <v>1.58</v>
          </cell>
          <cell r="K3133">
            <v>1.75</v>
          </cell>
          <cell r="L3133"/>
          <cell r="M3133"/>
          <cell r="N3133">
            <v>1.6800000000000002</v>
          </cell>
          <cell r="O3133">
            <v>1.85</v>
          </cell>
          <cell r="P3133"/>
          <cell r="Q3133"/>
          <cell r="R3133">
            <v>1.8800000000000001</v>
          </cell>
          <cell r="S3133">
            <v>2.25</v>
          </cell>
          <cell r="T3133"/>
          <cell r="U3133"/>
          <cell r="V3133">
            <v>15</v>
          </cell>
          <cell r="W3133"/>
          <cell r="X3133" t="str">
            <v>CANDY</v>
          </cell>
          <cell r="Y3133" t="str">
            <v>CANDY 18-JAN</v>
          </cell>
          <cell r="Z3133" t="str">
            <v>CANDY' MAIL 21/1/17</v>
          </cell>
          <cell r="AA3133"/>
          <cell r="AB3133">
            <v>42782</v>
          </cell>
          <cell r="AC3133">
            <v>2764</v>
          </cell>
        </row>
        <row r="3134">
          <cell r="B3134">
            <v>2763</v>
          </cell>
          <cell r="C3134" t="str">
            <v>HLT3101</v>
          </cell>
          <cell r="D3134" t="str">
            <v>TERRY CREPE</v>
          </cell>
          <cell r="E3134"/>
          <cell r="F3134" t="str">
            <v>T 100%</v>
          </cell>
          <cell r="G3134" t="str">
            <v>100% POLYESTER</v>
          </cell>
          <cell r="H3134" t="str">
            <v>57/58</v>
          </cell>
          <cell r="I3134">
            <v>130</v>
          </cell>
          <cell r="J3134">
            <v>1.34</v>
          </cell>
          <cell r="K3134">
            <v>1.49</v>
          </cell>
          <cell r="L3134"/>
          <cell r="M3134"/>
          <cell r="N3134">
            <v>1.4400000000000002</v>
          </cell>
          <cell r="O3134">
            <v>1.59</v>
          </cell>
          <cell r="P3134"/>
          <cell r="Q3134"/>
          <cell r="R3134">
            <v>1.6400000000000001</v>
          </cell>
          <cell r="S3134">
            <v>1.9900000000000002</v>
          </cell>
          <cell r="T3134"/>
          <cell r="U3134"/>
          <cell r="V3134">
            <v>15</v>
          </cell>
          <cell r="W3134"/>
          <cell r="X3134" t="str">
            <v>CANDY</v>
          </cell>
          <cell r="Y3134" t="str">
            <v>CANDY 18-JAN</v>
          </cell>
          <cell r="Z3134" t="str">
            <v>CANDY' MAIL 21/1/17</v>
          </cell>
          <cell r="AA3134"/>
          <cell r="AB3134">
            <v>42782</v>
          </cell>
          <cell r="AC3134">
            <v>2763</v>
          </cell>
        </row>
        <row r="3135">
          <cell r="B3135">
            <v>2762</v>
          </cell>
          <cell r="C3135" t="str">
            <v>HLT3098</v>
          </cell>
          <cell r="D3135" t="str">
            <v>POLY SATEEN</v>
          </cell>
          <cell r="E3135"/>
          <cell r="F3135" t="str">
            <v>T 100%</v>
          </cell>
          <cell r="G3135" t="str">
            <v>100% POLYESTER</v>
          </cell>
          <cell r="H3135" t="str">
            <v>57/58</v>
          </cell>
          <cell r="I3135">
            <v>89</v>
          </cell>
          <cell r="J3135">
            <v>1.68</v>
          </cell>
          <cell r="K3135">
            <v>1.83</v>
          </cell>
          <cell r="L3135"/>
          <cell r="M3135"/>
          <cell r="N3135">
            <v>1.78</v>
          </cell>
          <cell r="O3135">
            <v>1.9300000000000002</v>
          </cell>
          <cell r="P3135"/>
          <cell r="Q3135"/>
          <cell r="R3135">
            <v>1.98</v>
          </cell>
          <cell r="S3135">
            <v>2.33</v>
          </cell>
          <cell r="T3135"/>
          <cell r="U3135"/>
          <cell r="V3135">
            <v>15</v>
          </cell>
          <cell r="W3135"/>
          <cell r="X3135" t="str">
            <v>CANDY</v>
          </cell>
          <cell r="Y3135" t="str">
            <v>CANDY 18-JAN</v>
          </cell>
          <cell r="Z3135" t="str">
            <v>CANDY' MAIL 21/1/17</v>
          </cell>
          <cell r="AA3135"/>
          <cell r="AB3135">
            <v>42782</v>
          </cell>
          <cell r="AC3135">
            <v>2762</v>
          </cell>
        </row>
        <row r="3136">
          <cell r="B3136">
            <v>2761</v>
          </cell>
          <cell r="C3136" t="str">
            <v>HLT3097</v>
          </cell>
          <cell r="D3136" t="str">
            <v>SATEEN (PAPER)</v>
          </cell>
          <cell r="E3136"/>
          <cell r="F3136" t="str">
            <v>T 100%</v>
          </cell>
          <cell r="G3136" t="str">
            <v>100% POLYESTER</v>
          </cell>
          <cell r="H3136" t="str">
            <v>57/58</v>
          </cell>
          <cell r="I3136">
            <v>84</v>
          </cell>
          <cell r="J3136">
            <v>1.73</v>
          </cell>
          <cell r="K3136">
            <v>1.88</v>
          </cell>
          <cell r="L3136"/>
          <cell r="M3136"/>
          <cell r="N3136">
            <v>1.83</v>
          </cell>
          <cell r="O3136">
            <v>1.98</v>
          </cell>
          <cell r="P3136"/>
          <cell r="Q3136"/>
          <cell r="R3136">
            <v>2.0300000000000002</v>
          </cell>
          <cell r="S3136">
            <v>2.38</v>
          </cell>
          <cell r="T3136"/>
          <cell r="U3136"/>
          <cell r="V3136">
            <v>15</v>
          </cell>
          <cell r="W3136"/>
          <cell r="X3136" t="str">
            <v>CANDY</v>
          </cell>
          <cell r="Y3136" t="str">
            <v>CANDY 18-JAN</v>
          </cell>
          <cell r="Z3136" t="str">
            <v>CANDY' MAIL 21/1/17</v>
          </cell>
          <cell r="AA3136"/>
          <cell r="AB3136">
            <v>42782</v>
          </cell>
          <cell r="AC3136">
            <v>2761</v>
          </cell>
        </row>
        <row r="3137">
          <cell r="B3137">
            <v>2760</v>
          </cell>
          <cell r="C3137" t="str">
            <v>HLT3096</v>
          </cell>
          <cell r="D3137" t="str">
            <v>POLY SATEEN</v>
          </cell>
          <cell r="E3137"/>
          <cell r="F3137" t="str">
            <v>T 100%</v>
          </cell>
          <cell r="G3137" t="str">
            <v>100% POLYESTER</v>
          </cell>
          <cell r="H3137" t="str">
            <v>57/58</v>
          </cell>
          <cell r="I3137">
            <v>127</v>
          </cell>
          <cell r="J3137">
            <v>2.15</v>
          </cell>
          <cell r="K3137">
            <v>2.2999999999999998</v>
          </cell>
          <cell r="L3137"/>
          <cell r="M3137"/>
          <cell r="N3137">
            <v>2.25</v>
          </cell>
          <cell r="O3137">
            <v>2.4</v>
          </cell>
          <cell r="P3137"/>
          <cell r="Q3137"/>
          <cell r="R3137">
            <v>2.4500000000000002</v>
          </cell>
          <cell r="S3137">
            <v>2.8</v>
          </cell>
          <cell r="T3137"/>
          <cell r="U3137"/>
          <cell r="V3137">
            <v>15</v>
          </cell>
          <cell r="W3137"/>
          <cell r="X3137" t="str">
            <v>CANDY</v>
          </cell>
          <cell r="Y3137" t="str">
            <v>CANDY 18-JAN</v>
          </cell>
          <cell r="Z3137" t="str">
            <v>CANDY' MAIL 21/1/17</v>
          </cell>
          <cell r="AA3137"/>
          <cell r="AB3137">
            <v>42782</v>
          </cell>
          <cell r="AC3137">
            <v>2760</v>
          </cell>
        </row>
        <row r="3138">
          <cell r="B3138">
            <v>2759</v>
          </cell>
          <cell r="C3138" t="str">
            <v>HLT3095</v>
          </cell>
          <cell r="D3138" t="str">
            <v xml:space="preserve"> POLY SATEEN (SHINY)</v>
          </cell>
          <cell r="E3138"/>
          <cell r="F3138" t="str">
            <v>T 100%</v>
          </cell>
          <cell r="G3138" t="str">
            <v>100% POLYESTER</v>
          </cell>
          <cell r="H3138" t="str">
            <v>57/58</v>
          </cell>
          <cell r="I3138">
            <v>110</v>
          </cell>
          <cell r="J3138">
            <v>2</v>
          </cell>
          <cell r="K3138">
            <v>2.15</v>
          </cell>
          <cell r="L3138"/>
          <cell r="M3138"/>
          <cell r="N3138">
            <v>2.1</v>
          </cell>
          <cell r="O3138">
            <v>2.25</v>
          </cell>
          <cell r="P3138"/>
          <cell r="Q3138"/>
          <cell r="R3138">
            <v>2.3000000000000003</v>
          </cell>
          <cell r="S3138">
            <v>2.65</v>
          </cell>
          <cell r="T3138"/>
          <cell r="U3138"/>
          <cell r="V3138">
            <v>15</v>
          </cell>
          <cell r="W3138"/>
          <cell r="X3138" t="str">
            <v>CANDY</v>
          </cell>
          <cell r="Y3138" t="str">
            <v>CANDY 18-JAN</v>
          </cell>
          <cell r="Z3138" t="str">
            <v>CANDY' MAIL 21/1/17</v>
          </cell>
          <cell r="AA3138"/>
          <cell r="AB3138">
            <v>42782</v>
          </cell>
          <cell r="AC3138">
            <v>2759</v>
          </cell>
        </row>
        <row r="3139">
          <cell r="B3139">
            <v>2758</v>
          </cell>
          <cell r="C3139" t="str">
            <v>HLT3069</v>
          </cell>
          <cell r="D3139" t="str">
            <v>CRINKLE - YORYU</v>
          </cell>
          <cell r="E3139"/>
          <cell r="F3139" t="str">
            <v>T 100%</v>
          </cell>
          <cell r="G3139" t="str">
            <v>100% POLYESTER</v>
          </cell>
          <cell r="H3139" t="str">
            <v>57/58</v>
          </cell>
          <cell r="I3139">
            <v>66</v>
          </cell>
          <cell r="J3139">
            <v>1.37</v>
          </cell>
          <cell r="K3139">
            <v>1.55</v>
          </cell>
          <cell r="L3139"/>
          <cell r="M3139"/>
          <cell r="N3139">
            <v>1.4700000000000002</v>
          </cell>
          <cell r="O3139">
            <v>1.6500000000000001</v>
          </cell>
          <cell r="P3139"/>
          <cell r="Q3139"/>
          <cell r="R3139">
            <v>1.6700000000000002</v>
          </cell>
          <cell r="S3139">
            <v>2.0500000000000003</v>
          </cell>
          <cell r="T3139"/>
          <cell r="U3139"/>
          <cell r="V3139">
            <v>15</v>
          </cell>
          <cell r="W3139"/>
          <cell r="X3139" t="str">
            <v>CANDY</v>
          </cell>
          <cell r="Y3139" t="str">
            <v>CANDY 18-JAN</v>
          </cell>
          <cell r="Z3139" t="str">
            <v>CANDY' MAIL 21/1/17</v>
          </cell>
          <cell r="AA3139"/>
          <cell r="AB3139">
            <v>42782</v>
          </cell>
          <cell r="AC3139">
            <v>2758</v>
          </cell>
        </row>
        <row r="3140">
          <cell r="B3140">
            <v>2757</v>
          </cell>
          <cell r="C3140" t="str">
            <v>HLT3850</v>
          </cell>
          <cell r="D3140" t="str">
            <v>SCUBA FLOCKING</v>
          </cell>
          <cell r="E3140"/>
          <cell r="F3140" t="str">
            <v>T/S 93/7</v>
          </cell>
          <cell r="G3140" t="str">
            <v>93%POLYESTER 7%SPANDEX</v>
          </cell>
          <cell r="H3140" t="str">
            <v>57/58</v>
          </cell>
          <cell r="I3140">
            <v>323</v>
          </cell>
          <cell r="J3140">
            <v>3.1</v>
          </cell>
          <cell r="K3140"/>
          <cell r="L3140"/>
          <cell r="M3140"/>
          <cell r="N3140">
            <v>3.2</v>
          </cell>
          <cell r="O3140"/>
          <cell r="P3140"/>
          <cell r="Q3140"/>
          <cell r="R3140">
            <v>3.4</v>
          </cell>
          <cell r="S3140"/>
          <cell r="T3140"/>
          <cell r="U3140"/>
          <cell r="V3140">
            <v>15</v>
          </cell>
          <cell r="W3140"/>
          <cell r="X3140" t="str">
            <v>CANDY</v>
          </cell>
          <cell r="Y3140" t="str">
            <v>CANDY 15-FEB</v>
          </cell>
          <cell r="Z3140" t="str">
            <v>CANDY' MAIL 16/2/17</v>
          </cell>
          <cell r="AA3140"/>
          <cell r="AB3140">
            <v>42782</v>
          </cell>
          <cell r="AC3140">
            <v>2757</v>
          </cell>
        </row>
        <row r="3141">
          <cell r="B3141">
            <v>2756</v>
          </cell>
          <cell r="C3141" t="str">
            <v>HLT1813</v>
          </cell>
          <cell r="D3141" t="str">
            <v>FLEATED</v>
          </cell>
          <cell r="E3141" t="str">
            <v>100D x 100D</v>
          </cell>
          <cell r="F3141" t="str">
            <v>T 100%</v>
          </cell>
          <cell r="G3141" t="str">
            <v>100%POLYESTER (FLEAT)</v>
          </cell>
          <cell r="H3141" t="str">
            <v>57/58</v>
          </cell>
          <cell r="I3141">
            <v>205</v>
          </cell>
          <cell r="J3141">
            <v>2.2799999999999998</v>
          </cell>
          <cell r="K3141"/>
          <cell r="L3141"/>
          <cell r="M3141"/>
          <cell r="N3141">
            <v>2.38</v>
          </cell>
          <cell r="O3141"/>
          <cell r="P3141"/>
          <cell r="Q3141"/>
          <cell r="R3141">
            <v>2.48</v>
          </cell>
          <cell r="S3141"/>
          <cell r="T3141"/>
          <cell r="U3141"/>
          <cell r="V3141">
            <v>15</v>
          </cell>
          <cell r="W3141"/>
          <cell r="X3141" t="str">
            <v>CANDY</v>
          </cell>
          <cell r="Y3141" t="str">
            <v>CANDY 15-FEB</v>
          </cell>
          <cell r="Z3141" t="str">
            <v>CANDY' MAIL 16/2/17</v>
          </cell>
          <cell r="AA3141"/>
          <cell r="AB3141">
            <v>42782</v>
          </cell>
          <cell r="AC3141">
            <v>2756</v>
          </cell>
        </row>
        <row r="3142">
          <cell r="B3142">
            <v>2755</v>
          </cell>
          <cell r="C3142" t="str">
            <v>HLT1090</v>
          </cell>
          <cell r="D3142" t="str">
            <v>POLY CRINKLE</v>
          </cell>
          <cell r="E3142"/>
          <cell r="F3142" t="str">
            <v>T 100%</v>
          </cell>
          <cell r="G3142" t="str">
            <v>100%POLYESTER</v>
          </cell>
          <cell r="H3142" t="str">
            <v>57/58</v>
          </cell>
          <cell r="I3142">
            <v>105</v>
          </cell>
          <cell r="J3142">
            <v>2.2000000000000002</v>
          </cell>
          <cell r="K3142"/>
          <cell r="L3142"/>
          <cell r="M3142"/>
          <cell r="N3142">
            <v>2.3000000000000003</v>
          </cell>
          <cell r="O3142"/>
          <cell r="P3142"/>
          <cell r="Q3142"/>
          <cell r="R3142">
            <v>2.4000000000000004</v>
          </cell>
          <cell r="S3142"/>
          <cell r="T3142"/>
          <cell r="U3142"/>
          <cell r="V3142">
            <v>15</v>
          </cell>
          <cell r="W3142"/>
          <cell r="X3142" t="str">
            <v>CANDY</v>
          </cell>
          <cell r="Y3142" t="str">
            <v>CANDY 15-FEB</v>
          </cell>
          <cell r="Z3142" t="str">
            <v>CANDY' MAIL 16/2/17</v>
          </cell>
          <cell r="AA3142"/>
          <cell r="AB3142">
            <v>42782</v>
          </cell>
          <cell r="AC3142">
            <v>2755</v>
          </cell>
        </row>
        <row r="3143">
          <cell r="B3143">
            <v>2754</v>
          </cell>
          <cell r="C3143" t="str">
            <v>HLT3849</v>
          </cell>
          <cell r="D3143"/>
          <cell r="E3143"/>
          <cell r="F3143" t="str">
            <v>T 100%</v>
          </cell>
          <cell r="G3143" t="str">
            <v>100%POLYESTER</v>
          </cell>
          <cell r="H3143" t="str">
            <v>57/58</v>
          </cell>
          <cell r="I3143">
            <v>56</v>
          </cell>
          <cell r="J3143">
            <v>1.42</v>
          </cell>
          <cell r="K3143"/>
          <cell r="L3143"/>
          <cell r="M3143"/>
          <cell r="N3143">
            <v>1.47</v>
          </cell>
          <cell r="O3143"/>
          <cell r="P3143"/>
          <cell r="Q3143"/>
          <cell r="R3143">
            <v>1.69</v>
          </cell>
          <cell r="S3143"/>
          <cell r="T3143"/>
          <cell r="U3143"/>
          <cell r="V3143">
            <v>15</v>
          </cell>
          <cell r="W3143"/>
          <cell r="X3143" t="str">
            <v>CANDY</v>
          </cell>
          <cell r="Y3143" t="str">
            <v>CANDY 15-FEB</v>
          </cell>
          <cell r="Z3143" t="str">
            <v>CANDY' MAIL 16/2/17</v>
          </cell>
          <cell r="AA3143"/>
          <cell r="AB3143">
            <v>42782</v>
          </cell>
          <cell r="AC3143">
            <v>2754</v>
          </cell>
        </row>
        <row r="3144">
          <cell r="B3144">
            <v>2753</v>
          </cell>
          <cell r="C3144" t="str">
            <v>HLT3230</v>
          </cell>
          <cell r="D3144" t="str">
            <v>VELVET</v>
          </cell>
          <cell r="E3144"/>
          <cell r="F3144" t="str">
            <v>T/S 92/8</v>
          </cell>
          <cell r="G3144" t="str">
            <v>92%POLYESTER 8%SPANDEX</v>
          </cell>
          <cell r="H3144" t="str">
            <v>57/58</v>
          </cell>
          <cell r="I3144">
            <v>250</v>
          </cell>
          <cell r="J3144">
            <v>1.55</v>
          </cell>
          <cell r="K3144"/>
          <cell r="L3144"/>
          <cell r="M3144"/>
          <cell r="N3144">
            <v>1.6</v>
          </cell>
          <cell r="O3144"/>
          <cell r="P3144"/>
          <cell r="Q3144"/>
          <cell r="R3144">
            <v>1.69</v>
          </cell>
          <cell r="S3144"/>
          <cell r="T3144"/>
          <cell r="U3144"/>
          <cell r="V3144">
            <v>15</v>
          </cell>
          <cell r="W3144"/>
          <cell r="X3144" t="str">
            <v>CANDY</v>
          </cell>
          <cell r="Y3144" t="str">
            <v>CANDY 15-FEB</v>
          </cell>
          <cell r="Z3144" t="str">
            <v>CANDY' MAIL 16/2/17</v>
          </cell>
          <cell r="AA3144"/>
          <cell r="AB3144">
            <v>42782</v>
          </cell>
          <cell r="AC3144">
            <v>2753</v>
          </cell>
        </row>
        <row r="3145">
          <cell r="B3145">
            <v>2752</v>
          </cell>
          <cell r="C3145" t="str">
            <v>HLT3232</v>
          </cell>
          <cell r="D3145" t="str">
            <v>VELVET CRUSHED</v>
          </cell>
          <cell r="E3145"/>
          <cell r="F3145" t="str">
            <v>T/S 95/5</v>
          </cell>
          <cell r="G3145" t="str">
            <v>95%POLYESTER5%SPANDEX</v>
          </cell>
          <cell r="H3145" t="str">
            <v>57/58</v>
          </cell>
          <cell r="I3145">
            <v>250</v>
          </cell>
          <cell r="J3145">
            <v>1.35</v>
          </cell>
          <cell r="K3145"/>
          <cell r="L3145"/>
          <cell r="M3145"/>
          <cell r="N3145">
            <v>1.4000000000000001</v>
          </cell>
          <cell r="O3145"/>
          <cell r="P3145"/>
          <cell r="Q3145"/>
          <cell r="R3145">
            <v>1.5</v>
          </cell>
          <cell r="S3145"/>
          <cell r="T3145"/>
          <cell r="U3145"/>
          <cell r="V3145">
            <v>15</v>
          </cell>
          <cell r="W3145"/>
          <cell r="X3145" t="str">
            <v>CANDY</v>
          </cell>
          <cell r="Y3145" t="str">
            <v>CANDY 15-FEB</v>
          </cell>
          <cell r="Z3145" t="str">
            <v>CANDY' MAIL 16/2/17</v>
          </cell>
          <cell r="AA3145"/>
          <cell r="AB3145">
            <v>42782</v>
          </cell>
          <cell r="AC3145">
            <v>2752</v>
          </cell>
        </row>
        <row r="3146">
          <cell r="B3146">
            <v>2751</v>
          </cell>
          <cell r="C3146" t="str">
            <v>HLT3233</v>
          </cell>
          <cell r="D3146" t="str">
            <v>VELVET</v>
          </cell>
          <cell r="E3146"/>
          <cell r="F3146" t="str">
            <v>T/S 95/5</v>
          </cell>
          <cell r="G3146" t="str">
            <v>95%POLYESTER5%SPANDEX</v>
          </cell>
          <cell r="H3146" t="str">
            <v>57/58</v>
          </cell>
          <cell r="I3146">
            <v>300</v>
          </cell>
          <cell r="J3146">
            <v>1.65</v>
          </cell>
          <cell r="K3146"/>
          <cell r="L3146"/>
          <cell r="M3146"/>
          <cell r="N3146">
            <v>1.7</v>
          </cell>
          <cell r="O3146"/>
          <cell r="P3146"/>
          <cell r="Q3146"/>
          <cell r="R3146">
            <v>1.8</v>
          </cell>
          <cell r="S3146"/>
          <cell r="T3146"/>
          <cell r="U3146"/>
          <cell r="V3146">
            <v>15</v>
          </cell>
          <cell r="W3146"/>
          <cell r="X3146" t="str">
            <v>CANDY</v>
          </cell>
          <cell r="Y3146" t="str">
            <v>CANDY 15-FEB</v>
          </cell>
          <cell r="Z3146" t="str">
            <v>CANDY' MAIL 16/2/17</v>
          </cell>
          <cell r="AA3146"/>
          <cell r="AB3146">
            <v>42782</v>
          </cell>
          <cell r="AC3146">
            <v>2751</v>
          </cell>
        </row>
        <row r="3147">
          <cell r="B3147">
            <v>2750</v>
          </cell>
          <cell r="C3147" t="str">
            <v>HLT3235</v>
          </cell>
          <cell r="D3147" t="str">
            <v>VELVET</v>
          </cell>
          <cell r="E3147"/>
          <cell r="F3147" t="str">
            <v>T/S 95/5</v>
          </cell>
          <cell r="G3147" t="str">
            <v>95%POLYESTER5%SPANDEX</v>
          </cell>
          <cell r="H3147" t="str">
            <v>57/58</v>
          </cell>
          <cell r="I3147">
            <v>300</v>
          </cell>
          <cell r="J3147">
            <v>1.65</v>
          </cell>
          <cell r="K3147"/>
          <cell r="L3147"/>
          <cell r="M3147"/>
          <cell r="N3147">
            <v>1.7</v>
          </cell>
          <cell r="O3147"/>
          <cell r="P3147"/>
          <cell r="Q3147"/>
          <cell r="R3147">
            <v>1.8</v>
          </cell>
          <cell r="S3147"/>
          <cell r="T3147"/>
          <cell r="U3147"/>
          <cell r="V3147">
            <v>15</v>
          </cell>
          <cell r="W3147"/>
          <cell r="X3147" t="str">
            <v>CANDY</v>
          </cell>
          <cell r="Y3147" t="str">
            <v>CANDY 15-FEB</v>
          </cell>
          <cell r="Z3147" t="str">
            <v>CANDY' MAIL 16/2/17</v>
          </cell>
          <cell r="AA3147"/>
          <cell r="AB3147">
            <v>42782</v>
          </cell>
          <cell r="AC3147">
            <v>2750</v>
          </cell>
        </row>
        <row r="3148">
          <cell r="B3148">
            <v>2749</v>
          </cell>
          <cell r="C3148" t="str">
            <v>HLT3309</v>
          </cell>
          <cell r="D3148" t="str">
            <v>VELVET</v>
          </cell>
          <cell r="E3148"/>
          <cell r="F3148" t="str">
            <v>T/S 92/8</v>
          </cell>
          <cell r="G3148" t="str">
            <v>92%POLYESTER 8%SPANDEX</v>
          </cell>
          <cell r="H3148" t="str">
            <v>57/58</v>
          </cell>
          <cell r="I3148">
            <v>235</v>
          </cell>
          <cell r="J3148">
            <v>1.6</v>
          </cell>
          <cell r="K3148"/>
          <cell r="L3148"/>
          <cell r="M3148"/>
          <cell r="N3148">
            <v>1.6500000000000001</v>
          </cell>
          <cell r="O3148"/>
          <cell r="P3148"/>
          <cell r="Q3148"/>
          <cell r="R3148">
            <v>1.75</v>
          </cell>
          <cell r="S3148"/>
          <cell r="T3148"/>
          <cell r="U3148"/>
          <cell r="V3148">
            <v>15</v>
          </cell>
          <cell r="W3148"/>
          <cell r="X3148" t="str">
            <v>CANDY</v>
          </cell>
          <cell r="Y3148" t="str">
            <v>CANDY 15-FEB</v>
          </cell>
          <cell r="Z3148" t="str">
            <v>CANDY' MAIL 16/2/17</v>
          </cell>
          <cell r="AA3148"/>
          <cell r="AB3148">
            <v>42782</v>
          </cell>
          <cell r="AC3148">
            <v>2749</v>
          </cell>
        </row>
        <row r="3149">
          <cell r="B3149">
            <v>2748</v>
          </cell>
          <cell r="C3149" t="str">
            <v>HLT3311</v>
          </cell>
          <cell r="D3149" t="str">
            <v>VELVET</v>
          </cell>
          <cell r="E3149"/>
          <cell r="F3149" t="str">
            <v>T 100%</v>
          </cell>
          <cell r="G3149" t="str">
            <v>100%POLYESTER</v>
          </cell>
          <cell r="H3149">
            <v>44</v>
          </cell>
          <cell r="I3149" t="str">
            <v>190~200</v>
          </cell>
          <cell r="J3149">
            <v>2.8</v>
          </cell>
          <cell r="K3149"/>
          <cell r="L3149"/>
          <cell r="M3149"/>
          <cell r="N3149">
            <v>2.9</v>
          </cell>
          <cell r="O3149"/>
          <cell r="P3149"/>
          <cell r="Q3149"/>
          <cell r="R3149">
            <v>3.1</v>
          </cell>
          <cell r="S3149"/>
          <cell r="T3149"/>
          <cell r="U3149"/>
          <cell r="V3149">
            <v>15</v>
          </cell>
          <cell r="W3149"/>
          <cell r="X3149" t="str">
            <v>CANDY</v>
          </cell>
          <cell r="Y3149" t="str">
            <v>CANDY 15-FEB</v>
          </cell>
          <cell r="Z3149" t="str">
            <v>CANDY' MAIL 16/2/17</v>
          </cell>
          <cell r="AA3149"/>
          <cell r="AB3149">
            <v>42782</v>
          </cell>
          <cell r="AC3149">
            <v>2748</v>
          </cell>
        </row>
        <row r="3150">
          <cell r="B3150">
            <v>2747</v>
          </cell>
          <cell r="C3150" t="str">
            <v>HLT3310</v>
          </cell>
          <cell r="D3150" t="str">
            <v>VELVET CRUSHED</v>
          </cell>
          <cell r="E3150"/>
          <cell r="F3150" t="str">
            <v>T/S 92/8</v>
          </cell>
          <cell r="G3150" t="str">
            <v>92%POLYESTER 8%SPANDEX</v>
          </cell>
          <cell r="H3150" t="str">
            <v>57/58</v>
          </cell>
          <cell r="I3150">
            <v>235</v>
          </cell>
          <cell r="J3150">
            <v>1.68</v>
          </cell>
          <cell r="K3150"/>
          <cell r="L3150"/>
          <cell r="M3150"/>
          <cell r="N3150">
            <v>1.78</v>
          </cell>
          <cell r="O3150"/>
          <cell r="P3150"/>
          <cell r="Q3150"/>
          <cell r="R3150">
            <v>1.88</v>
          </cell>
          <cell r="S3150"/>
          <cell r="T3150"/>
          <cell r="U3150"/>
          <cell r="V3150">
            <v>15</v>
          </cell>
          <cell r="W3150"/>
          <cell r="X3150" t="str">
            <v>CANDY</v>
          </cell>
          <cell r="Y3150" t="str">
            <v>CANDY 15-FEB</v>
          </cell>
          <cell r="Z3150" t="str">
            <v>CANDY' MAIL 16/2/17</v>
          </cell>
          <cell r="AA3150"/>
          <cell r="AB3150">
            <v>42782</v>
          </cell>
          <cell r="AC3150">
            <v>2747</v>
          </cell>
        </row>
        <row r="3151">
          <cell r="B3151">
            <v>2746</v>
          </cell>
          <cell r="C3151" t="str">
            <v>TS-326</v>
          </cell>
          <cell r="D3151" t="str">
            <v xml:space="preserve"> COTTON SPANDEX SATEEN</v>
          </cell>
          <cell r="E3151"/>
          <cell r="F3151" t="str">
            <v>C/S 98/2</v>
          </cell>
          <cell r="G3151" t="str">
            <v xml:space="preserve">98% COTTON 2% SPANDEX </v>
          </cell>
          <cell r="H3151" t="str">
            <v>57/58</v>
          </cell>
          <cell r="I3151" t="str">
            <v>150-160</v>
          </cell>
          <cell r="J3151">
            <v>2.52</v>
          </cell>
          <cell r="K3151">
            <v>2.59</v>
          </cell>
          <cell r="L3151"/>
          <cell r="M3151"/>
          <cell r="N3151">
            <v>2.5499999999999998</v>
          </cell>
          <cell r="O3151">
            <v>2.65</v>
          </cell>
          <cell r="P3151"/>
          <cell r="Q3151"/>
          <cell r="R3151">
            <v>2.7</v>
          </cell>
          <cell r="S3151">
            <v>2.95</v>
          </cell>
          <cell r="T3151"/>
          <cell r="U3151"/>
          <cell r="V3151">
            <v>15</v>
          </cell>
          <cell r="W3151"/>
          <cell r="X3151" t="str">
            <v>GAVIN</v>
          </cell>
          <cell r="Y3151" t="str">
            <v>GAVIN 9-FEB</v>
          </cell>
          <cell r="Z3151" t="str">
            <v>GAVIN' MAIL 9/2/17</v>
          </cell>
          <cell r="AA3151"/>
          <cell r="AB3151">
            <v>42782</v>
          </cell>
          <cell r="AC3151">
            <v>2746</v>
          </cell>
        </row>
        <row r="3152">
          <cell r="B3152">
            <v>2745</v>
          </cell>
          <cell r="C3152" t="str">
            <v>BG3233</v>
          </cell>
          <cell r="D3152" t="str">
            <v>JACQUARD - FOR PANTS</v>
          </cell>
          <cell r="E3152" t="str">
            <v>40 x 12</v>
          </cell>
          <cell r="F3152" t="str">
            <v>C 100%</v>
          </cell>
          <cell r="G3152" t="str">
            <v>100% COTTON</v>
          </cell>
          <cell r="H3152" t="str">
            <v>57/58</v>
          </cell>
          <cell r="I3152">
            <v>200</v>
          </cell>
          <cell r="J3152">
            <v>2.4500000000000002</v>
          </cell>
          <cell r="K3152">
            <v>2.8</v>
          </cell>
          <cell r="L3152"/>
          <cell r="M3152"/>
          <cell r="N3152">
            <v>2.5499999999999998</v>
          </cell>
          <cell r="O3152">
            <v>2.9</v>
          </cell>
          <cell r="P3152"/>
          <cell r="Q3152"/>
          <cell r="R3152">
            <v>3</v>
          </cell>
          <cell r="S3152">
            <v>3.45</v>
          </cell>
          <cell r="T3152"/>
          <cell r="U3152"/>
          <cell r="V3152">
            <v>15</v>
          </cell>
          <cell r="W3152"/>
          <cell r="X3152" t="str">
            <v>ANN</v>
          </cell>
          <cell r="Y3152" t="str">
            <v>ANN 8-FEB</v>
          </cell>
          <cell r="Z3152" t="str">
            <v>ANN' MAIL 15/2/17</v>
          </cell>
          <cell r="AA3152"/>
          <cell r="AB3152">
            <v>42781</v>
          </cell>
          <cell r="AC3152">
            <v>2745</v>
          </cell>
        </row>
        <row r="3153">
          <cell r="B3153">
            <v>2744</v>
          </cell>
          <cell r="C3153" t="str">
            <v>BG2285</v>
          </cell>
          <cell r="D3153" t="str">
            <v>JACQUARD - FOR PANTS</v>
          </cell>
          <cell r="E3153" t="str">
            <v>32S x 16S+70D</v>
          </cell>
          <cell r="F3153" t="str">
            <v>C/S 97/3</v>
          </cell>
          <cell r="G3153" t="str">
            <v>97% COTTON 3% SPADEX</v>
          </cell>
          <cell r="H3153" t="str">
            <v>55/56</v>
          </cell>
          <cell r="I3153">
            <v>200</v>
          </cell>
          <cell r="J3153">
            <v>2.4500000000000002</v>
          </cell>
          <cell r="K3153">
            <v>2.8</v>
          </cell>
          <cell r="L3153"/>
          <cell r="M3153"/>
          <cell r="N3153">
            <v>2.5499999999999998</v>
          </cell>
          <cell r="O3153">
            <v>2.9</v>
          </cell>
          <cell r="P3153"/>
          <cell r="Q3153"/>
          <cell r="R3153">
            <v>2.8</v>
          </cell>
          <cell r="S3153">
            <v>3.25</v>
          </cell>
          <cell r="T3153"/>
          <cell r="U3153"/>
          <cell r="V3153">
            <v>15</v>
          </cell>
          <cell r="W3153"/>
          <cell r="X3153" t="str">
            <v>ANN</v>
          </cell>
          <cell r="Y3153" t="str">
            <v>ANN 8-FEB</v>
          </cell>
          <cell r="Z3153" t="str">
            <v>ANN' MAIL 15/2/17</v>
          </cell>
          <cell r="AA3153"/>
          <cell r="AB3153">
            <v>42781</v>
          </cell>
          <cell r="AC3153">
            <v>2744</v>
          </cell>
        </row>
        <row r="3154">
          <cell r="B3154">
            <v>2743</v>
          </cell>
          <cell r="C3154" t="str">
            <v>BGDM439</v>
          </cell>
          <cell r="D3154"/>
          <cell r="E3154"/>
          <cell r="F3154" t="str">
            <v>70% COTTON 30% SPANDEX</v>
          </cell>
          <cell r="G3154" t="str">
            <v>70% COTTON 30% SPANDEX</v>
          </cell>
          <cell r="H3154" t="str">
            <v>57/58</v>
          </cell>
          <cell r="I3154">
            <v>135</v>
          </cell>
          <cell r="J3154">
            <v>2.7</v>
          </cell>
          <cell r="K3154"/>
          <cell r="L3154"/>
          <cell r="M3154"/>
          <cell r="N3154">
            <v>2.8</v>
          </cell>
          <cell r="O3154"/>
          <cell r="P3154"/>
          <cell r="Q3154"/>
          <cell r="R3154">
            <v>2.95</v>
          </cell>
          <cell r="S3154"/>
          <cell r="T3154"/>
          <cell r="U3154"/>
          <cell r="V3154">
            <v>15</v>
          </cell>
          <cell r="W3154"/>
          <cell r="X3154" t="str">
            <v>ANN</v>
          </cell>
          <cell r="Y3154" t="str">
            <v>ANN 13-FEB</v>
          </cell>
          <cell r="Z3154" t="str">
            <v>ANN' MAIL 15/2/17</v>
          </cell>
          <cell r="AA3154"/>
          <cell r="AB3154">
            <v>42781</v>
          </cell>
          <cell r="AC3154">
            <v>2743</v>
          </cell>
        </row>
        <row r="3155">
          <cell r="B3155">
            <v>2742</v>
          </cell>
          <cell r="C3155" t="str">
            <v>BGDM461</v>
          </cell>
          <cell r="D3155"/>
          <cell r="E3155"/>
          <cell r="F3155" t="str">
            <v>70% COTTON 30% SPANDEX</v>
          </cell>
          <cell r="G3155" t="str">
            <v>70% COTTON 30% SPANDEX</v>
          </cell>
          <cell r="H3155" t="str">
            <v>57/58</v>
          </cell>
          <cell r="I3155">
            <v>114</v>
          </cell>
          <cell r="J3155">
            <v>2.5</v>
          </cell>
          <cell r="K3155"/>
          <cell r="L3155"/>
          <cell r="M3155"/>
          <cell r="N3155">
            <v>2.6</v>
          </cell>
          <cell r="O3155"/>
          <cell r="P3155"/>
          <cell r="Q3155"/>
          <cell r="R3155">
            <v>2.75</v>
          </cell>
          <cell r="S3155"/>
          <cell r="T3155"/>
          <cell r="U3155"/>
          <cell r="V3155">
            <v>15</v>
          </cell>
          <cell r="W3155"/>
          <cell r="X3155" t="str">
            <v>ANN</v>
          </cell>
          <cell r="Y3155" t="str">
            <v>ANN 13-FEB</v>
          </cell>
          <cell r="Z3155" t="str">
            <v>ANN' MAIL 15/2/17</v>
          </cell>
          <cell r="AA3155"/>
          <cell r="AB3155">
            <v>42781</v>
          </cell>
          <cell r="AC3155">
            <v>2742</v>
          </cell>
        </row>
        <row r="3156">
          <cell r="B3156">
            <v>2741</v>
          </cell>
          <cell r="C3156" t="str">
            <v>BG2375</v>
          </cell>
          <cell r="D3156" t="str">
            <v xml:space="preserve"> COTTON SPANDEX SATEEN</v>
          </cell>
          <cell r="E3156"/>
          <cell r="F3156" t="str">
            <v xml:space="preserve">C/S 97/3 </v>
          </cell>
          <cell r="G3156" t="str">
            <v>97%COTTON 3% SPAN</v>
          </cell>
          <cell r="H3156" t="str">
            <v>57/58</v>
          </cell>
          <cell r="I3156">
            <v>150</v>
          </cell>
          <cell r="J3156">
            <v>2.75</v>
          </cell>
          <cell r="K3156">
            <v>3</v>
          </cell>
          <cell r="L3156"/>
          <cell r="M3156"/>
          <cell r="N3156">
            <v>2.85</v>
          </cell>
          <cell r="O3156">
            <v>3.1</v>
          </cell>
          <cell r="P3156"/>
          <cell r="Q3156"/>
          <cell r="R3156">
            <v>3.05</v>
          </cell>
          <cell r="S3156">
            <v>3.65</v>
          </cell>
          <cell r="T3156"/>
          <cell r="U3156"/>
          <cell r="V3156">
            <v>15</v>
          </cell>
          <cell r="W3156"/>
          <cell r="X3156" t="str">
            <v>ANN</v>
          </cell>
          <cell r="Y3156" t="str">
            <v>ANN 13-FEB</v>
          </cell>
          <cell r="Z3156" t="str">
            <v>ANN' MAIL 15/2/17</v>
          </cell>
          <cell r="AA3156"/>
          <cell r="AB3156">
            <v>42781</v>
          </cell>
          <cell r="AC3156">
            <v>2741</v>
          </cell>
        </row>
        <row r="3157">
          <cell r="B3157">
            <v>2740</v>
          </cell>
          <cell r="C3157" t="str">
            <v>WBT0411</v>
          </cell>
          <cell r="D3157" t="str">
            <v xml:space="preserve"> COTTON SPANDEX SATEEN</v>
          </cell>
          <cell r="E3157" t="str">
            <v xml:space="preserve">60*40+40D 250*100 </v>
          </cell>
          <cell r="F3157" t="str">
            <v>C/S 98/2</v>
          </cell>
          <cell r="G3157" t="str">
            <v xml:space="preserve">98% COTTON 2% SPANDEX </v>
          </cell>
          <cell r="H3157" t="str">
            <v>57/58</v>
          </cell>
          <cell r="I3157">
            <v>175</v>
          </cell>
          <cell r="J3157">
            <v>2.44</v>
          </cell>
          <cell r="K3157">
            <v>2.5499999999999998</v>
          </cell>
          <cell r="L3157"/>
          <cell r="M3157"/>
          <cell r="N3157">
            <v>2.4900000000000002</v>
          </cell>
          <cell r="O3157">
            <v>2.82</v>
          </cell>
          <cell r="P3157"/>
          <cell r="Q3157"/>
          <cell r="R3157">
            <v>2.68</v>
          </cell>
          <cell r="S3157">
            <v>4.3099999999999996</v>
          </cell>
          <cell r="T3157"/>
          <cell r="U3157"/>
          <cell r="V3157"/>
          <cell r="W3157" t="str">
            <v>CIF Price,PrinteD price is 5 color anD 10 color.</v>
          </cell>
          <cell r="X3157" t="str">
            <v>SANDY DONG</v>
          </cell>
          <cell r="Y3157" t="str">
            <v>SANDY DONG 14-FAB</v>
          </cell>
          <cell r="Z3157" t="str">
            <v>SANDY DONG MAIL' 15/2/17</v>
          </cell>
          <cell r="AA3157"/>
          <cell r="AB3157">
            <v>42781</v>
          </cell>
          <cell r="AC3157">
            <v>2740</v>
          </cell>
        </row>
        <row r="3158">
          <cell r="B3158">
            <v>1706</v>
          </cell>
          <cell r="C3158" t="str">
            <v>TS-203</v>
          </cell>
          <cell r="D3158" t="str">
            <v>SINGLE JERSEY</v>
          </cell>
          <cell r="E3158"/>
          <cell r="F3158" t="str">
            <v>R/S 95/5</v>
          </cell>
          <cell r="G3158" t="str">
            <v>95% RAYON 5% SPAN</v>
          </cell>
          <cell r="H3158" t="str">
            <v>62/63</v>
          </cell>
          <cell r="I3158">
            <v>190</v>
          </cell>
          <cell r="J3158">
            <v>1.82</v>
          </cell>
          <cell r="K3158">
            <v>2.04</v>
          </cell>
          <cell r="L3158"/>
          <cell r="M3158"/>
          <cell r="N3158">
            <v>1.85</v>
          </cell>
          <cell r="O3158">
            <v>2.1</v>
          </cell>
          <cell r="P3158"/>
          <cell r="Q3158"/>
          <cell r="R3158">
            <v>2</v>
          </cell>
          <cell r="S3158">
            <v>2.35</v>
          </cell>
          <cell r="T3158"/>
          <cell r="U3158"/>
          <cell r="V3158">
            <v>15</v>
          </cell>
          <cell r="W3158"/>
          <cell r="X3158" t="str">
            <v>GAVIN</v>
          </cell>
          <cell r="Y3158" t="str">
            <v>GAVIN 8-FEB</v>
          </cell>
          <cell r="Z3158" t="str">
            <v>GAVIN' MAIL 8/2/17</v>
          </cell>
          <cell r="AA3158"/>
          <cell r="AB3158">
            <v>42779</v>
          </cell>
          <cell r="AC3158">
            <v>1706</v>
          </cell>
        </row>
        <row r="3159">
          <cell r="B3159">
            <v>2738</v>
          </cell>
          <cell r="C3159" t="str">
            <v>TS-102</v>
          </cell>
          <cell r="D3159" t="str">
            <v>VELVET</v>
          </cell>
          <cell r="E3159"/>
          <cell r="F3159" t="str">
            <v>T/S 95/5</v>
          </cell>
          <cell r="G3159" t="str">
            <v>95% POLYESTER 5%SPAN</v>
          </cell>
          <cell r="H3159" t="str">
            <v>160CM</v>
          </cell>
          <cell r="I3159">
            <v>220</v>
          </cell>
          <cell r="J3159">
            <v>2.2200000000000002</v>
          </cell>
          <cell r="K3159"/>
          <cell r="L3159"/>
          <cell r="M3159"/>
          <cell r="N3159">
            <v>2.25</v>
          </cell>
          <cell r="O3159"/>
          <cell r="P3159"/>
          <cell r="Q3159"/>
          <cell r="R3159">
            <v>2.4</v>
          </cell>
          <cell r="S3159"/>
          <cell r="T3159"/>
          <cell r="U3159"/>
          <cell r="V3159">
            <v>15</v>
          </cell>
          <cell r="W3159"/>
          <cell r="X3159" t="str">
            <v>GAVIN</v>
          </cell>
          <cell r="Y3159" t="str">
            <v>GAVIN 19-JAN</v>
          </cell>
          <cell r="Z3159" t="str">
            <v>GAVIN' MAIL 7/2/17</v>
          </cell>
          <cell r="AA3159"/>
          <cell r="AB3159">
            <v>42774</v>
          </cell>
          <cell r="AC3159">
            <v>2738</v>
          </cell>
        </row>
        <row r="3160">
          <cell r="B3160">
            <v>2737</v>
          </cell>
          <cell r="C3160" t="str">
            <v>TS-176</v>
          </cell>
          <cell r="D3160" t="str">
            <v>SINGLE JERSEY FOIL</v>
          </cell>
          <cell r="E3160"/>
          <cell r="F3160" t="str">
            <v xml:space="preserve">T/S 96/4 ITY  </v>
          </cell>
          <cell r="G3160" t="str">
            <v xml:space="preserve">96% POLYESTER 4%SPAN ITY  </v>
          </cell>
          <cell r="H3160" t="str">
            <v>160CM</v>
          </cell>
          <cell r="I3160">
            <v>220</v>
          </cell>
          <cell r="J3160">
            <v>2.62</v>
          </cell>
          <cell r="K3160"/>
          <cell r="L3160"/>
          <cell r="M3160"/>
          <cell r="N3160">
            <v>2.65</v>
          </cell>
          <cell r="O3160"/>
          <cell r="P3160"/>
          <cell r="Q3160"/>
          <cell r="R3160">
            <v>2.8</v>
          </cell>
          <cell r="S3160"/>
          <cell r="T3160"/>
          <cell r="U3160"/>
          <cell r="V3160">
            <v>15</v>
          </cell>
          <cell r="W3160" t="str">
            <v>AMW1513 AND AMW2737 ARE SAME</v>
          </cell>
          <cell r="X3160" t="str">
            <v>GAVIN</v>
          </cell>
          <cell r="Y3160" t="str">
            <v>GAVIN 19-JAN</v>
          </cell>
          <cell r="Z3160" t="str">
            <v>GAVIN' MAIL 7/2/17</v>
          </cell>
          <cell r="AA3160"/>
          <cell r="AB3160">
            <v>42774</v>
          </cell>
          <cell r="AC3160">
            <v>2737</v>
          </cell>
        </row>
        <row r="3161">
          <cell r="B3161">
            <v>2736</v>
          </cell>
          <cell r="C3161" t="str">
            <v>TS-274</v>
          </cell>
          <cell r="D3161" t="str">
            <v>FOIL</v>
          </cell>
          <cell r="E3161"/>
          <cell r="F3161" t="str">
            <v xml:space="preserve">T/S 96/4 ITY  </v>
          </cell>
          <cell r="G3161" t="str">
            <v xml:space="preserve">96% POLYESTER 4%SPAN ITY  </v>
          </cell>
          <cell r="H3161" t="str">
            <v>160CM</v>
          </cell>
          <cell r="I3161">
            <v>200</v>
          </cell>
          <cell r="J3161">
            <v>2.37</v>
          </cell>
          <cell r="K3161"/>
          <cell r="L3161"/>
          <cell r="M3161"/>
          <cell r="N3161">
            <v>2.4</v>
          </cell>
          <cell r="O3161"/>
          <cell r="P3161"/>
          <cell r="Q3161"/>
          <cell r="R3161">
            <v>2.5499999999999998</v>
          </cell>
          <cell r="S3161"/>
          <cell r="T3161"/>
          <cell r="U3161"/>
          <cell r="V3161">
            <v>15</v>
          </cell>
          <cell r="W3161"/>
          <cell r="X3161" t="str">
            <v>GAVIN</v>
          </cell>
          <cell r="Y3161" t="str">
            <v>GAVIN 19-JAN</v>
          </cell>
          <cell r="Z3161" t="str">
            <v>GAVIN' MAIL 7/2/17</v>
          </cell>
          <cell r="AA3161"/>
          <cell r="AB3161">
            <v>42774</v>
          </cell>
          <cell r="AC3161">
            <v>2736</v>
          </cell>
        </row>
        <row r="3162">
          <cell r="B3162">
            <v>2735</v>
          </cell>
          <cell r="C3162" t="str">
            <v>TS-325</v>
          </cell>
          <cell r="D3162" t="str">
            <v>SCUBA BRUSHED ONE FACE</v>
          </cell>
          <cell r="E3162"/>
          <cell r="F3162" t="str">
            <v>T 100%</v>
          </cell>
          <cell r="G3162" t="str">
            <v>100% POLYESTER</v>
          </cell>
          <cell r="H3162" t="str">
            <v>57/58</v>
          </cell>
          <cell r="I3162">
            <v>370</v>
          </cell>
          <cell r="J3162">
            <v>3.37</v>
          </cell>
          <cell r="K3162"/>
          <cell r="L3162"/>
          <cell r="M3162"/>
          <cell r="N3162">
            <v>4.0999999999999996</v>
          </cell>
          <cell r="O3162"/>
          <cell r="P3162"/>
          <cell r="Q3162"/>
          <cell r="R3162">
            <v>4.25</v>
          </cell>
          <cell r="S3162"/>
          <cell r="T3162"/>
          <cell r="U3162"/>
          <cell r="V3162">
            <v>15</v>
          </cell>
          <cell r="W3162" t="str">
            <v>SCUBA FABRIC</v>
          </cell>
          <cell r="X3162" t="str">
            <v>GAVIN</v>
          </cell>
          <cell r="Y3162" t="str">
            <v>GAVIN 19-JAN</v>
          </cell>
          <cell r="Z3162" t="str">
            <v>GAVIN' MAIL 7/2/17</v>
          </cell>
          <cell r="AA3162"/>
          <cell r="AB3162">
            <v>42774</v>
          </cell>
          <cell r="AC3162">
            <v>2735</v>
          </cell>
        </row>
        <row r="3163">
          <cell r="B3163">
            <v>2361</v>
          </cell>
          <cell r="C3163" t="str">
            <v>TS-265</v>
          </cell>
          <cell r="D3163" t="str">
            <v>VELVET</v>
          </cell>
          <cell r="E3163" t="str">
            <v>168D x 32</v>
          </cell>
          <cell r="F3163" t="str">
            <v>T/S 95/5</v>
          </cell>
          <cell r="G3163" t="str">
            <v>95% POLYESTER 5%SPAN</v>
          </cell>
          <cell r="H3163" t="str">
            <v>160CM</v>
          </cell>
          <cell r="I3163">
            <v>225</v>
          </cell>
          <cell r="J3163">
            <v>2.2200000000000002</v>
          </cell>
          <cell r="K3163"/>
          <cell r="L3163"/>
          <cell r="M3163"/>
          <cell r="N3163">
            <v>2.25</v>
          </cell>
          <cell r="O3163"/>
          <cell r="P3163"/>
          <cell r="Q3163"/>
          <cell r="R3163">
            <v>2.4</v>
          </cell>
          <cell r="S3163"/>
          <cell r="T3163"/>
          <cell r="U3163"/>
          <cell r="V3163">
            <v>15</v>
          </cell>
          <cell r="W3163"/>
          <cell r="X3163" t="str">
            <v>GAVIN</v>
          </cell>
          <cell r="Y3163" t="str">
            <v>GAVIN 19-JAN</v>
          </cell>
          <cell r="Z3163" t="str">
            <v>GAVIN' MAIL 7/2/17</v>
          </cell>
          <cell r="AA3163"/>
          <cell r="AB3163">
            <v>42774</v>
          </cell>
          <cell r="AC3163">
            <v>2361</v>
          </cell>
        </row>
        <row r="3164">
          <cell r="B3164">
            <v>2139</v>
          </cell>
          <cell r="C3164" t="str">
            <v>M11643</v>
          </cell>
          <cell r="D3164"/>
          <cell r="E3164"/>
          <cell r="F3164" t="str">
            <v>T/S 95/5DDEX</v>
          </cell>
          <cell r="G3164" t="str">
            <v>95% POLYESTER 5% SPANDDEX</v>
          </cell>
          <cell r="H3164">
            <v>58</v>
          </cell>
          <cell r="I3164">
            <v>130</v>
          </cell>
          <cell r="J3164">
            <v>1.2</v>
          </cell>
          <cell r="K3164">
            <v>1.35</v>
          </cell>
          <cell r="L3164"/>
          <cell r="M3164"/>
          <cell r="N3164">
            <v>1.25</v>
          </cell>
          <cell r="O3164">
            <v>1.42</v>
          </cell>
          <cell r="P3164"/>
          <cell r="Q3164"/>
          <cell r="R3164">
            <v>1.5</v>
          </cell>
          <cell r="S3164"/>
          <cell r="T3164"/>
          <cell r="U3164"/>
          <cell r="V3164">
            <v>5</v>
          </cell>
          <cell r="W3164"/>
          <cell r="X3164" t="str">
            <v>MARY</v>
          </cell>
          <cell r="Y3164" t="str">
            <v>MARY 8-FEB</v>
          </cell>
          <cell r="Z3164" t="str">
            <v>THANH' MAIL 7/2/17</v>
          </cell>
          <cell r="AA3164"/>
          <cell r="AB3164">
            <v>42774</v>
          </cell>
          <cell r="AC3164">
            <v>2139</v>
          </cell>
        </row>
        <row r="3165">
          <cell r="B3165">
            <v>2734</v>
          </cell>
          <cell r="C3165" t="str">
            <v>TJ-317</v>
          </cell>
          <cell r="D3165"/>
          <cell r="E3165"/>
          <cell r="F3165" t="str">
            <v>T 100%</v>
          </cell>
          <cell r="G3165" t="str">
            <v>100% POLYESTER</v>
          </cell>
          <cell r="H3165" t="str">
            <v>57/58</v>
          </cell>
          <cell r="I3165">
            <v>62</v>
          </cell>
          <cell r="J3165">
            <v>3.8</v>
          </cell>
          <cell r="K3165"/>
          <cell r="L3165"/>
          <cell r="M3165"/>
          <cell r="N3165">
            <v>3.9</v>
          </cell>
          <cell r="O3165"/>
          <cell r="P3165"/>
          <cell r="Q3165"/>
          <cell r="R3165">
            <v>4.4000000000000004</v>
          </cell>
          <cell r="S3165"/>
          <cell r="T3165"/>
          <cell r="U3165"/>
          <cell r="V3165">
            <v>15</v>
          </cell>
          <cell r="W3165"/>
          <cell r="X3165" t="str">
            <v>LIVALTEX</v>
          </cell>
          <cell r="Y3165" t="str">
            <v>LIVALTEX 4-JAN - AMW</v>
          </cell>
          <cell r="Z3165" t="str">
            <v>LINDA' MAIL 11/1/17</v>
          </cell>
          <cell r="AA3165"/>
          <cell r="AB3165">
            <v>42773</v>
          </cell>
          <cell r="AC3165">
            <v>2734</v>
          </cell>
        </row>
        <row r="3166">
          <cell r="B3166">
            <v>2733</v>
          </cell>
          <cell r="C3166" t="str">
            <v>TJ-316</v>
          </cell>
          <cell r="D3166"/>
          <cell r="E3166"/>
          <cell r="F3166" t="str">
            <v>T 100%</v>
          </cell>
          <cell r="G3166" t="str">
            <v>100% POLYESTER</v>
          </cell>
          <cell r="H3166" t="str">
            <v>57/58</v>
          </cell>
          <cell r="I3166">
            <v>64</v>
          </cell>
          <cell r="J3166">
            <v>1.55</v>
          </cell>
          <cell r="K3166"/>
          <cell r="L3166"/>
          <cell r="M3166"/>
          <cell r="N3166">
            <v>1.65</v>
          </cell>
          <cell r="O3166"/>
          <cell r="P3166"/>
          <cell r="Q3166"/>
          <cell r="R3166">
            <v>2.0499999999999998</v>
          </cell>
          <cell r="S3166"/>
          <cell r="T3166"/>
          <cell r="U3166"/>
          <cell r="V3166">
            <v>15</v>
          </cell>
          <cell r="W3166"/>
          <cell r="X3166" t="str">
            <v>LIVALTEX</v>
          </cell>
          <cell r="Y3166" t="str">
            <v>LIVALTEX 4-JAN - AMW</v>
          </cell>
          <cell r="Z3166" t="str">
            <v>LINDA' MAIL 11/1/17</v>
          </cell>
          <cell r="AA3166"/>
          <cell r="AB3166">
            <v>42773</v>
          </cell>
          <cell r="AC3166">
            <v>2733</v>
          </cell>
        </row>
        <row r="3167">
          <cell r="B3167">
            <v>2732</v>
          </cell>
          <cell r="C3167" t="str">
            <v>T-1994</v>
          </cell>
          <cell r="D3167"/>
          <cell r="E3167"/>
          <cell r="F3167" t="str">
            <v>T 100%</v>
          </cell>
          <cell r="G3167" t="str">
            <v>100% POLYESTER</v>
          </cell>
          <cell r="H3167" t="str">
            <v>58/60</v>
          </cell>
          <cell r="I3167">
            <v>125</v>
          </cell>
          <cell r="J3167">
            <v>1.85</v>
          </cell>
          <cell r="K3167"/>
          <cell r="L3167"/>
          <cell r="M3167"/>
          <cell r="N3167">
            <v>1.95</v>
          </cell>
          <cell r="O3167"/>
          <cell r="P3167"/>
          <cell r="Q3167"/>
          <cell r="R3167">
            <v>2.25</v>
          </cell>
          <cell r="S3167"/>
          <cell r="T3167"/>
          <cell r="U3167"/>
          <cell r="V3167">
            <v>15</v>
          </cell>
          <cell r="W3167"/>
          <cell r="X3167" t="str">
            <v>LIVALTEX</v>
          </cell>
          <cell r="Y3167" t="str">
            <v>LIVALTEX 4-JAN - AMW</v>
          </cell>
          <cell r="Z3167" t="str">
            <v>LINDA' MAIL 11/1/17</v>
          </cell>
          <cell r="AA3167"/>
          <cell r="AB3167">
            <v>42773</v>
          </cell>
          <cell r="AC3167">
            <v>2732</v>
          </cell>
        </row>
        <row r="3168">
          <cell r="B3168">
            <v>2731</v>
          </cell>
          <cell r="C3168" t="str">
            <v>ME-319</v>
          </cell>
          <cell r="D3168" t="str">
            <v>VELVET</v>
          </cell>
          <cell r="E3168"/>
          <cell r="F3168" t="str">
            <v>T 100%</v>
          </cell>
          <cell r="G3168" t="str">
            <v>100% POLYESTER</v>
          </cell>
          <cell r="H3168" t="str">
            <v>50/51</v>
          </cell>
          <cell r="I3168"/>
          <cell r="J3168">
            <v>4.3</v>
          </cell>
          <cell r="K3168"/>
          <cell r="L3168"/>
          <cell r="M3168"/>
          <cell r="N3168">
            <v>4.4000000000000004</v>
          </cell>
          <cell r="O3168"/>
          <cell r="P3168"/>
          <cell r="Q3168"/>
          <cell r="R3168">
            <v>4.9000000000000004</v>
          </cell>
          <cell r="S3168"/>
          <cell r="T3168"/>
          <cell r="U3168"/>
          <cell r="V3168">
            <v>15</v>
          </cell>
          <cell r="W3168"/>
          <cell r="X3168" t="str">
            <v>LIVALTEX</v>
          </cell>
          <cell r="Y3168" t="str">
            <v>LIVALTEX 4-JAN - AMW</v>
          </cell>
          <cell r="Z3168" t="str">
            <v>LINDA' MAIL 11/1/17</v>
          </cell>
          <cell r="AA3168"/>
          <cell r="AB3168">
            <v>42773</v>
          </cell>
          <cell r="AC3168">
            <v>2731</v>
          </cell>
        </row>
        <row r="3169">
          <cell r="B3169">
            <v>2730</v>
          </cell>
          <cell r="C3169" t="str">
            <v>ME-318</v>
          </cell>
          <cell r="D3169"/>
          <cell r="E3169" t="str">
            <v xml:space="preserve">  </v>
          </cell>
          <cell r="F3169" t="str">
            <v>T 100%</v>
          </cell>
          <cell r="G3169" t="str">
            <v>100% POLYESTER</v>
          </cell>
          <cell r="H3169" t="str">
            <v>50/51</v>
          </cell>
          <cell r="I3169"/>
          <cell r="J3169">
            <v>3.8</v>
          </cell>
          <cell r="K3169"/>
          <cell r="L3169"/>
          <cell r="M3169"/>
          <cell r="N3169">
            <v>3.9</v>
          </cell>
          <cell r="O3169"/>
          <cell r="P3169"/>
          <cell r="Q3169"/>
          <cell r="R3169">
            <v>4.4000000000000004</v>
          </cell>
          <cell r="S3169"/>
          <cell r="T3169"/>
          <cell r="U3169"/>
          <cell r="V3169">
            <v>15</v>
          </cell>
          <cell r="W3169"/>
          <cell r="X3169" t="str">
            <v>LIVALTEX</v>
          </cell>
          <cell r="Y3169" t="str">
            <v>LIVALTEX 4-JAN - AMW</v>
          </cell>
          <cell r="Z3169" t="str">
            <v>LINDA' MAIL 11/1/17</v>
          </cell>
          <cell r="AA3169"/>
          <cell r="AB3169">
            <v>42773</v>
          </cell>
          <cell r="AC3169">
            <v>2730</v>
          </cell>
        </row>
        <row r="3170">
          <cell r="B3170">
            <v>2729</v>
          </cell>
          <cell r="C3170" t="str">
            <v>K-2700</v>
          </cell>
          <cell r="D3170" t="str">
            <v>VELVET</v>
          </cell>
          <cell r="E3170"/>
          <cell r="F3170" t="str">
            <v>T/S 95/5</v>
          </cell>
          <cell r="G3170" t="str">
            <v>95% POLYESTER 5% SPAN</v>
          </cell>
          <cell r="H3170" t="str">
            <v>57/58</v>
          </cell>
          <cell r="I3170">
            <v>258</v>
          </cell>
          <cell r="J3170">
            <v>2.2000000000000002</v>
          </cell>
          <cell r="K3170"/>
          <cell r="L3170"/>
          <cell r="M3170"/>
          <cell r="N3170">
            <v>2.2999999999999998</v>
          </cell>
          <cell r="O3170"/>
          <cell r="P3170"/>
          <cell r="Q3170"/>
          <cell r="R3170">
            <v>2.6</v>
          </cell>
          <cell r="S3170"/>
          <cell r="T3170"/>
          <cell r="U3170"/>
          <cell r="V3170">
            <v>15</v>
          </cell>
          <cell r="W3170"/>
          <cell r="X3170" t="str">
            <v>LIVALTEX</v>
          </cell>
          <cell r="Y3170" t="str">
            <v>LIVALTEX 4-JAN - AMW</v>
          </cell>
          <cell r="Z3170" t="str">
            <v>LINDA' MAIL 11/1/17</v>
          </cell>
          <cell r="AA3170"/>
          <cell r="AB3170">
            <v>42773</v>
          </cell>
          <cell r="AC3170">
            <v>2729</v>
          </cell>
        </row>
        <row r="3171">
          <cell r="B3171">
            <v>2728</v>
          </cell>
          <cell r="C3171" t="str">
            <v>K-2699</v>
          </cell>
          <cell r="D3171" t="str">
            <v>VELVET</v>
          </cell>
          <cell r="E3171"/>
          <cell r="F3171" t="str">
            <v>T/S 92/8</v>
          </cell>
          <cell r="G3171" t="str">
            <v>92% POLYESTER 8% SPAN</v>
          </cell>
          <cell r="H3171" t="str">
            <v>57/58</v>
          </cell>
          <cell r="I3171">
            <v>233</v>
          </cell>
          <cell r="J3171">
            <v>2.25</v>
          </cell>
          <cell r="K3171"/>
          <cell r="L3171"/>
          <cell r="M3171"/>
          <cell r="N3171">
            <v>2.35</v>
          </cell>
          <cell r="O3171"/>
          <cell r="P3171"/>
          <cell r="Q3171"/>
          <cell r="R3171">
            <v>2.65</v>
          </cell>
          <cell r="S3171"/>
          <cell r="T3171"/>
          <cell r="U3171"/>
          <cell r="V3171">
            <v>15</v>
          </cell>
          <cell r="W3171"/>
          <cell r="X3171" t="str">
            <v>LIVALTEX</v>
          </cell>
          <cell r="Y3171" t="str">
            <v>LIVALTEX 4-JAN - AMW</v>
          </cell>
          <cell r="Z3171" t="str">
            <v>LINDA' MAIL 11/1/17</v>
          </cell>
          <cell r="AA3171"/>
          <cell r="AB3171">
            <v>42773</v>
          </cell>
          <cell r="AC3171">
            <v>2728</v>
          </cell>
        </row>
        <row r="3172">
          <cell r="B3172">
            <v>2727</v>
          </cell>
          <cell r="C3172" t="str">
            <v>K-2698</v>
          </cell>
          <cell r="D3172" t="str">
            <v>VELVET</v>
          </cell>
          <cell r="E3172"/>
          <cell r="F3172" t="str">
            <v>T 100%</v>
          </cell>
          <cell r="G3172" t="str">
            <v>100% POLYESTER</v>
          </cell>
          <cell r="H3172" t="str">
            <v>57/58</v>
          </cell>
          <cell r="I3172">
            <v>144</v>
          </cell>
          <cell r="J3172">
            <v>1.4</v>
          </cell>
          <cell r="K3172"/>
          <cell r="L3172"/>
          <cell r="M3172"/>
          <cell r="N3172">
            <v>1.5</v>
          </cell>
          <cell r="O3172"/>
          <cell r="P3172"/>
          <cell r="Q3172"/>
          <cell r="R3172">
            <v>1.75</v>
          </cell>
          <cell r="S3172"/>
          <cell r="T3172"/>
          <cell r="U3172"/>
          <cell r="V3172">
            <v>15</v>
          </cell>
          <cell r="W3172"/>
          <cell r="X3172" t="str">
            <v>LIVALTEX</v>
          </cell>
          <cell r="Y3172" t="str">
            <v>LIVALTEX 4-JAN - AMW</v>
          </cell>
          <cell r="Z3172" t="str">
            <v>LINDA' MAIL 11/1/17</v>
          </cell>
          <cell r="AA3172"/>
          <cell r="AB3172">
            <v>42773</v>
          </cell>
          <cell r="AC3172">
            <v>2727</v>
          </cell>
        </row>
        <row r="3173">
          <cell r="B3173">
            <v>2739</v>
          </cell>
          <cell r="C3173" t="str">
            <v>K-2791</v>
          </cell>
          <cell r="D3173"/>
          <cell r="E3173"/>
          <cell r="F3173" t="str">
            <v>T 100%</v>
          </cell>
          <cell r="G3173" t="str">
            <v>100% POLYESTER</v>
          </cell>
          <cell r="H3173" t="str">
            <v>57/58</v>
          </cell>
          <cell r="I3173">
            <v>170</v>
          </cell>
          <cell r="J3173">
            <v>3.9</v>
          </cell>
          <cell r="K3173"/>
          <cell r="L3173"/>
          <cell r="M3173"/>
          <cell r="N3173">
            <v>4</v>
          </cell>
          <cell r="O3173"/>
          <cell r="P3173"/>
          <cell r="Q3173"/>
          <cell r="R3173">
            <v>4</v>
          </cell>
          <cell r="S3173"/>
          <cell r="T3173"/>
          <cell r="U3173"/>
          <cell r="V3173">
            <v>15</v>
          </cell>
          <cell r="W3173" t="str">
            <v>Same AMW-2681</v>
          </cell>
          <cell r="X3173" t="str">
            <v>LIVALTEX</v>
          </cell>
          <cell r="Y3173" t="str">
            <v>LINDA 20-JAN</v>
          </cell>
          <cell r="Z3173" t="str">
            <v>LINDA' MAIL 21/1/17</v>
          </cell>
          <cell r="AA3173"/>
          <cell r="AB3173">
            <v>42756</v>
          </cell>
          <cell r="AC3173">
            <v>2739</v>
          </cell>
        </row>
        <row r="3174">
          <cell r="B3174">
            <v>2726</v>
          </cell>
          <cell r="C3174" t="str">
            <v>K-2790</v>
          </cell>
          <cell r="D3174"/>
          <cell r="E3174"/>
          <cell r="F3174" t="str">
            <v>T/S 97/3</v>
          </cell>
          <cell r="G3174" t="str">
            <v>97% POLYESTER 3% SPAND</v>
          </cell>
          <cell r="H3174" t="str">
            <v>57/58</v>
          </cell>
          <cell r="I3174">
            <v>350</v>
          </cell>
          <cell r="J3174">
            <v>2.95</v>
          </cell>
          <cell r="K3174"/>
          <cell r="L3174"/>
          <cell r="M3174"/>
          <cell r="N3174">
            <v>3.05</v>
          </cell>
          <cell r="O3174"/>
          <cell r="P3174"/>
          <cell r="Q3174"/>
          <cell r="R3174">
            <v>3.35</v>
          </cell>
          <cell r="S3174"/>
          <cell r="T3174"/>
          <cell r="U3174"/>
          <cell r="V3174">
            <v>15</v>
          </cell>
          <cell r="W3174"/>
          <cell r="X3174" t="str">
            <v>LIVALTEX</v>
          </cell>
          <cell r="Y3174" t="str">
            <v>LINDA 20-JAN</v>
          </cell>
          <cell r="Z3174" t="str">
            <v>LINDA' MAIL 21/1/17</v>
          </cell>
          <cell r="AA3174"/>
          <cell r="AB3174">
            <v>42756</v>
          </cell>
          <cell r="AC3174">
            <v>2726</v>
          </cell>
        </row>
        <row r="3175">
          <cell r="B3175">
            <v>2725</v>
          </cell>
          <cell r="C3175" t="str">
            <v>K-2789</v>
          </cell>
          <cell r="D3175"/>
          <cell r="E3175"/>
          <cell r="F3175" t="str">
            <v>T/S 97/3</v>
          </cell>
          <cell r="G3175" t="str">
            <v>97% POLYESTER 3% SPAND</v>
          </cell>
          <cell r="H3175" t="str">
            <v>57/58</v>
          </cell>
          <cell r="I3175">
            <v>280</v>
          </cell>
          <cell r="J3175">
            <v>2.25</v>
          </cell>
          <cell r="K3175"/>
          <cell r="L3175"/>
          <cell r="M3175"/>
          <cell r="N3175">
            <v>2.35</v>
          </cell>
          <cell r="O3175"/>
          <cell r="P3175"/>
          <cell r="Q3175"/>
          <cell r="R3175">
            <v>2.75</v>
          </cell>
          <cell r="S3175"/>
          <cell r="T3175"/>
          <cell r="U3175"/>
          <cell r="V3175">
            <v>15</v>
          </cell>
          <cell r="W3175"/>
          <cell r="X3175" t="str">
            <v>LIVALTEX</v>
          </cell>
          <cell r="Y3175" t="str">
            <v>LINDA 20-JAN</v>
          </cell>
          <cell r="Z3175" t="str">
            <v>LINDA' MAIL 21/1/17</v>
          </cell>
          <cell r="AA3175"/>
          <cell r="AB3175">
            <v>42756</v>
          </cell>
          <cell r="AC3175">
            <v>2725</v>
          </cell>
        </row>
        <row r="3176">
          <cell r="B3176">
            <v>2724</v>
          </cell>
          <cell r="C3176" t="str">
            <v>ST-W6624 D#1</v>
          </cell>
          <cell r="D3176"/>
          <cell r="E3176"/>
          <cell r="F3176" t="str">
            <v>T 100%</v>
          </cell>
          <cell r="G3176" t="str">
            <v>100% POLYESTER</v>
          </cell>
          <cell r="H3176" t="str">
            <v>57/58</v>
          </cell>
          <cell r="I3176">
            <v>78</v>
          </cell>
          <cell r="J3176">
            <v>1.1499999999999999</v>
          </cell>
          <cell r="K3176">
            <v>1.32</v>
          </cell>
          <cell r="L3176">
            <v>1.36</v>
          </cell>
          <cell r="M3176"/>
          <cell r="N3176">
            <v>1.18</v>
          </cell>
          <cell r="O3176">
            <v>1.38</v>
          </cell>
          <cell r="P3176"/>
          <cell r="Q3176"/>
          <cell r="R3176">
            <v>1.21</v>
          </cell>
          <cell r="S3176">
            <v>1.43</v>
          </cell>
          <cell r="T3176">
            <v>1.5</v>
          </cell>
          <cell r="U3176"/>
          <cell r="V3176">
            <v>15</v>
          </cell>
          <cell r="W3176"/>
          <cell r="X3176" t="str">
            <v>SIGER</v>
          </cell>
          <cell r="Y3176" t="str">
            <v>SIGER 10-JAN</v>
          </cell>
          <cell r="Z3176" t="str">
            <v>SIGER' MAIL 20/1/17</v>
          </cell>
          <cell r="AA3176"/>
          <cell r="AB3176">
            <v>42756</v>
          </cell>
          <cell r="AC3176">
            <v>2724</v>
          </cell>
        </row>
        <row r="3177">
          <cell r="B3177">
            <v>2723</v>
          </cell>
          <cell r="C3177" t="str">
            <v>ST-W6625 D#1</v>
          </cell>
          <cell r="D3177"/>
          <cell r="E3177"/>
          <cell r="F3177" t="str">
            <v>T 100%</v>
          </cell>
          <cell r="G3177" t="str">
            <v>100% POLYESTER</v>
          </cell>
          <cell r="H3177" t="str">
            <v>57/58</v>
          </cell>
          <cell r="I3177">
            <v>112</v>
          </cell>
          <cell r="J3177">
            <v>1.1200000000000001</v>
          </cell>
          <cell r="K3177">
            <v>1.35</v>
          </cell>
          <cell r="L3177">
            <v>1.39</v>
          </cell>
          <cell r="M3177"/>
          <cell r="N3177">
            <v>1.26</v>
          </cell>
          <cell r="O3177">
            <v>1.46</v>
          </cell>
          <cell r="P3177"/>
          <cell r="Q3177"/>
          <cell r="R3177">
            <v>1.2</v>
          </cell>
          <cell r="S3177">
            <v>1.42</v>
          </cell>
          <cell r="T3177">
            <v>1.49</v>
          </cell>
          <cell r="U3177"/>
          <cell r="V3177">
            <v>15</v>
          </cell>
          <cell r="W3177"/>
          <cell r="X3177" t="str">
            <v>SIGER</v>
          </cell>
          <cell r="Y3177" t="str">
            <v>SIGER 10-JAN</v>
          </cell>
          <cell r="Z3177" t="str">
            <v>SIGER' MAIL 20/1/17</v>
          </cell>
          <cell r="AA3177"/>
          <cell r="AB3177">
            <v>42756</v>
          </cell>
          <cell r="AC3177">
            <v>2723</v>
          </cell>
        </row>
        <row r="3178">
          <cell r="B3178">
            <v>2722</v>
          </cell>
          <cell r="C3178" t="str">
            <v>ST-W6623 D#1</v>
          </cell>
          <cell r="D3178"/>
          <cell r="E3178"/>
          <cell r="F3178" t="str">
            <v>T 100%</v>
          </cell>
          <cell r="G3178" t="str">
            <v>100% POLYESTER</v>
          </cell>
          <cell r="H3178" t="str">
            <v>57/58</v>
          </cell>
          <cell r="I3178">
            <v>85</v>
          </cell>
          <cell r="J3178">
            <v>1.18</v>
          </cell>
          <cell r="K3178">
            <v>1.38</v>
          </cell>
          <cell r="L3178">
            <v>1.42</v>
          </cell>
          <cell r="M3178"/>
          <cell r="N3178">
            <v>1.22</v>
          </cell>
          <cell r="O3178">
            <v>1.42</v>
          </cell>
          <cell r="P3178"/>
          <cell r="Q3178"/>
          <cell r="R3178">
            <v>1.26</v>
          </cell>
          <cell r="S3178">
            <v>1.46</v>
          </cell>
          <cell r="T3178">
            <v>1.53</v>
          </cell>
          <cell r="U3178"/>
          <cell r="V3178">
            <v>15</v>
          </cell>
          <cell r="W3178"/>
          <cell r="X3178" t="str">
            <v>SIGER</v>
          </cell>
          <cell r="Y3178" t="str">
            <v>SIGER 10-JAN</v>
          </cell>
          <cell r="Z3178" t="str">
            <v>SIGER' MAIL 20/1/17</v>
          </cell>
          <cell r="AA3178"/>
          <cell r="AB3178">
            <v>42756</v>
          </cell>
          <cell r="AC3178">
            <v>2722</v>
          </cell>
        </row>
        <row r="3179">
          <cell r="B3179">
            <v>2721</v>
          </cell>
          <cell r="C3179" t="str">
            <v>ST-W6626 D#1</v>
          </cell>
          <cell r="D3179"/>
          <cell r="E3179"/>
          <cell r="F3179" t="str">
            <v>T 100%</v>
          </cell>
          <cell r="G3179" t="str">
            <v>100% POLYESTER</v>
          </cell>
          <cell r="H3179" t="str">
            <v>57/58</v>
          </cell>
          <cell r="I3179">
            <v>88</v>
          </cell>
          <cell r="J3179">
            <v>1.34</v>
          </cell>
          <cell r="K3179">
            <v>1.57</v>
          </cell>
          <cell r="L3179">
            <v>1.61</v>
          </cell>
          <cell r="M3179"/>
          <cell r="N3179">
            <v>1.37</v>
          </cell>
          <cell r="O3179">
            <v>1.6</v>
          </cell>
          <cell r="P3179"/>
          <cell r="Q3179"/>
          <cell r="R3179">
            <v>1.41</v>
          </cell>
          <cell r="S3179">
            <v>1.65</v>
          </cell>
          <cell r="T3179">
            <v>1.73</v>
          </cell>
          <cell r="U3179"/>
          <cell r="V3179">
            <v>15</v>
          </cell>
          <cell r="W3179" t="str">
            <v xml:space="preserve">you shoulD check it again befor you neeD </v>
          </cell>
          <cell r="X3179" t="str">
            <v>SIGER</v>
          </cell>
          <cell r="Y3179" t="str">
            <v>SIGER 10-JAN</v>
          </cell>
          <cell r="Z3179" t="str">
            <v>SIGER' MAIL 20/1/17</v>
          </cell>
          <cell r="AA3179"/>
          <cell r="AB3179">
            <v>42756</v>
          </cell>
          <cell r="AC3179">
            <v>2721</v>
          </cell>
        </row>
        <row r="3180">
          <cell r="B3180">
            <v>2720</v>
          </cell>
          <cell r="C3180" t="str">
            <v>QY-6716</v>
          </cell>
          <cell r="D3180"/>
          <cell r="E3180"/>
          <cell r="F3180" t="str">
            <v>60% COTTON 40% NYLON</v>
          </cell>
          <cell r="G3180" t="str">
            <v>60% COTTON 40% NYLON</v>
          </cell>
          <cell r="H3180">
            <v>150</v>
          </cell>
          <cell r="I3180">
            <v>85</v>
          </cell>
          <cell r="J3180">
            <v>0.99</v>
          </cell>
          <cell r="K3180"/>
          <cell r="L3180"/>
          <cell r="M3180"/>
          <cell r="N3180">
            <v>1.2</v>
          </cell>
          <cell r="O3180"/>
          <cell r="P3180"/>
          <cell r="Q3180"/>
          <cell r="R3180">
            <v>1.3</v>
          </cell>
          <cell r="S3180"/>
          <cell r="T3180"/>
          <cell r="U3180"/>
          <cell r="V3180"/>
          <cell r="W3180" t="str">
            <v>MOQ: 5.000Y - MCQ: 2.000Y
The color shoulD be printeD on your stanDarD when the quantity reach 1000M</v>
          </cell>
          <cell r="X3180" t="str">
            <v>ABBY</v>
          </cell>
          <cell r="Y3180" t="str">
            <v>ABBY 19-JAN</v>
          </cell>
          <cell r="Z3180" t="str">
            <v>ABBY' MAIL 19/1/17</v>
          </cell>
          <cell r="AA3180"/>
          <cell r="AB3180">
            <v>42756</v>
          </cell>
          <cell r="AC3180">
            <v>2720</v>
          </cell>
        </row>
        <row r="3181">
          <cell r="B3181">
            <v>2719</v>
          </cell>
          <cell r="C3181" t="str">
            <v>QY-E1110</v>
          </cell>
          <cell r="D3181"/>
          <cell r="E3181"/>
          <cell r="F3181" t="str">
            <v>90% NYLON 10% SPAN</v>
          </cell>
          <cell r="G3181" t="str">
            <v>90% NYLON 10% SPAN</v>
          </cell>
          <cell r="H3181">
            <v>150</v>
          </cell>
          <cell r="I3181">
            <v>120</v>
          </cell>
          <cell r="J3181">
            <v>1.49</v>
          </cell>
          <cell r="K3181"/>
          <cell r="L3181"/>
          <cell r="M3181"/>
          <cell r="N3181">
            <v>1.64</v>
          </cell>
          <cell r="O3181"/>
          <cell r="P3181"/>
          <cell r="Q3181"/>
          <cell r="R3181">
            <v>1.75</v>
          </cell>
          <cell r="S3181"/>
          <cell r="T3181"/>
          <cell r="U3181"/>
          <cell r="V3181"/>
          <cell r="W3181" t="str">
            <v>MOQ: 5.000Y - MCQ: 2.000Y
The color shoulD be printeD on your stanDarD when the quantity reach 1000M</v>
          </cell>
          <cell r="X3181" t="str">
            <v>ABBY</v>
          </cell>
          <cell r="Y3181" t="str">
            <v>ABBY 19-JAN</v>
          </cell>
          <cell r="Z3181" t="str">
            <v>ABBY' MAIL 19/1/17</v>
          </cell>
          <cell r="AA3181"/>
          <cell r="AB3181">
            <v>42756</v>
          </cell>
          <cell r="AC3181">
            <v>2719</v>
          </cell>
        </row>
        <row r="3182">
          <cell r="B3182">
            <v>2718</v>
          </cell>
          <cell r="C3182" t="str">
            <v>HLT227</v>
          </cell>
          <cell r="D3182"/>
          <cell r="E3182"/>
          <cell r="F3182" t="str">
            <v>T/S 92/8</v>
          </cell>
          <cell r="G3182" t="str">
            <v>92% POLYESTER 8% SPAN</v>
          </cell>
          <cell r="H3182" t="str">
            <v>57/58</v>
          </cell>
          <cell r="I3182">
            <v>375</v>
          </cell>
          <cell r="J3182">
            <v>3.9</v>
          </cell>
          <cell r="K3182"/>
          <cell r="L3182"/>
          <cell r="M3182"/>
          <cell r="N3182">
            <v>4</v>
          </cell>
          <cell r="O3182"/>
          <cell r="P3182"/>
          <cell r="Q3182"/>
          <cell r="R3182">
            <v>4.0999999999999996</v>
          </cell>
          <cell r="S3182"/>
          <cell r="T3182"/>
          <cell r="U3182"/>
          <cell r="V3182">
            <v>15</v>
          </cell>
          <cell r="W3182" t="str">
            <v>About printing price,if the qty is less than 2000m, we will have to suggest you to make Digital print.
Bcz the pattern charge is very high. So let's Discuss the printing price after you have actual qty</v>
          </cell>
          <cell r="X3182" t="str">
            <v>CANDY</v>
          </cell>
          <cell r="Y3182" t="str">
            <v>CANDY 17-JAN</v>
          </cell>
          <cell r="Z3182" t="str">
            <v>CANDY' MAIL 19/1/17</v>
          </cell>
          <cell r="AA3182"/>
          <cell r="AB3182">
            <v>42756</v>
          </cell>
          <cell r="AC3182">
            <v>2718</v>
          </cell>
        </row>
        <row r="3183">
          <cell r="B3183">
            <v>2717</v>
          </cell>
          <cell r="C3183" t="str">
            <v>HLT3683</v>
          </cell>
          <cell r="D3183"/>
          <cell r="E3183"/>
          <cell r="F3183" t="str">
            <v>C/T/N 32/54/14</v>
          </cell>
          <cell r="G3183" t="str">
            <v>14% NYLON 54% POLYESTER 32%COTTON</v>
          </cell>
          <cell r="H3183" t="str">
            <v>57/58</v>
          </cell>
          <cell r="I3183">
            <v>165</v>
          </cell>
          <cell r="J3183">
            <v>2.95</v>
          </cell>
          <cell r="K3183">
            <v>3.05</v>
          </cell>
          <cell r="L3183"/>
          <cell r="M3183"/>
          <cell r="N3183">
            <v>3.0500000000000003</v>
          </cell>
          <cell r="O3183">
            <v>3.25</v>
          </cell>
          <cell r="P3183"/>
          <cell r="Q3183"/>
          <cell r="R3183">
            <v>3.1500000000000004</v>
          </cell>
          <cell r="S3183">
            <v>3.45</v>
          </cell>
          <cell r="T3183"/>
          <cell r="U3183"/>
          <cell r="V3183">
            <v>15</v>
          </cell>
          <cell r="W3183"/>
          <cell r="X3183" t="str">
            <v>CANDY</v>
          </cell>
          <cell r="Y3183" t="str">
            <v>CANDY 17-JAN</v>
          </cell>
          <cell r="Z3183" t="str">
            <v>CANDY' MAIL 19/1/17</v>
          </cell>
          <cell r="AA3183"/>
          <cell r="AB3183">
            <v>42756</v>
          </cell>
          <cell r="AC3183">
            <v>2717</v>
          </cell>
        </row>
        <row r="3184">
          <cell r="B3184">
            <v>2716</v>
          </cell>
          <cell r="C3184" t="str">
            <v>HLT1393</v>
          </cell>
          <cell r="D3184"/>
          <cell r="E3184"/>
          <cell r="F3184" t="str">
            <v>C/T/N 50/40/10</v>
          </cell>
          <cell r="G3184" t="str">
            <v>40% POLYESTER 10% NYLON 50% COTTON</v>
          </cell>
          <cell r="H3184" t="str">
            <v>57/58</v>
          </cell>
          <cell r="I3184">
            <v>199</v>
          </cell>
          <cell r="J3184">
            <v>2.8</v>
          </cell>
          <cell r="K3184">
            <v>2.95</v>
          </cell>
          <cell r="L3184"/>
          <cell r="M3184"/>
          <cell r="N3184">
            <v>2.9</v>
          </cell>
          <cell r="O3184">
            <v>3.1500000000000004</v>
          </cell>
          <cell r="P3184"/>
          <cell r="Q3184"/>
          <cell r="R3184">
            <v>3</v>
          </cell>
          <cell r="S3184">
            <v>3.3500000000000005</v>
          </cell>
          <cell r="T3184"/>
          <cell r="U3184"/>
          <cell r="V3184">
            <v>15</v>
          </cell>
          <cell r="W3184"/>
          <cell r="X3184" t="str">
            <v>CANDY</v>
          </cell>
          <cell r="Y3184" t="str">
            <v>CANDY 17-JAN</v>
          </cell>
          <cell r="Z3184" t="str">
            <v>CANDY' MAIL 19/1/17</v>
          </cell>
          <cell r="AA3184"/>
          <cell r="AB3184">
            <v>42756</v>
          </cell>
          <cell r="AC3184">
            <v>2716</v>
          </cell>
        </row>
        <row r="3185">
          <cell r="B3185">
            <v>2715</v>
          </cell>
          <cell r="C3185" t="str">
            <v>HLT1392</v>
          </cell>
          <cell r="D3185"/>
          <cell r="E3185"/>
          <cell r="F3185" t="str">
            <v>T/N 85/5</v>
          </cell>
          <cell r="G3185" t="str">
            <v>85% POLYESTER 15% NYLON</v>
          </cell>
          <cell r="H3185" t="str">
            <v>57/58</v>
          </cell>
          <cell r="I3185">
            <v>136</v>
          </cell>
          <cell r="J3185">
            <v>2.4</v>
          </cell>
          <cell r="K3185">
            <v>2.5299999999999998</v>
          </cell>
          <cell r="L3185"/>
          <cell r="M3185"/>
          <cell r="N3185">
            <v>2.5</v>
          </cell>
          <cell r="O3185">
            <v>2.73</v>
          </cell>
          <cell r="P3185"/>
          <cell r="Q3185"/>
          <cell r="R3185">
            <v>2.6</v>
          </cell>
          <cell r="S3185">
            <v>2.93</v>
          </cell>
          <cell r="T3185"/>
          <cell r="U3185"/>
          <cell r="V3185">
            <v>15</v>
          </cell>
          <cell r="W3185"/>
          <cell r="X3185" t="str">
            <v>CANDY</v>
          </cell>
          <cell r="Y3185" t="str">
            <v>CANDY 17-JAN</v>
          </cell>
          <cell r="Z3185" t="str">
            <v>CANDY' MAIL 19/1/17</v>
          </cell>
          <cell r="AA3185"/>
          <cell r="AB3185">
            <v>42756</v>
          </cell>
          <cell r="AC3185">
            <v>2715</v>
          </cell>
        </row>
        <row r="3186">
          <cell r="B3186">
            <v>2714</v>
          </cell>
          <cell r="C3186" t="str">
            <v>HLT3775</v>
          </cell>
          <cell r="D3186"/>
          <cell r="E3186"/>
          <cell r="F3186" t="str">
            <v>C 100%</v>
          </cell>
          <cell r="G3186" t="str">
            <v>100% COTTON</v>
          </cell>
          <cell r="H3186" t="str">
            <v>140CM</v>
          </cell>
          <cell r="I3186">
            <v>108</v>
          </cell>
          <cell r="J3186">
            <v>1.67</v>
          </cell>
          <cell r="K3186">
            <v>1.82</v>
          </cell>
          <cell r="L3186"/>
          <cell r="M3186"/>
          <cell r="N3186">
            <v>1.77</v>
          </cell>
          <cell r="O3186">
            <v>2.02</v>
          </cell>
          <cell r="P3186"/>
          <cell r="Q3186"/>
          <cell r="R3186">
            <v>1.87</v>
          </cell>
          <cell r="S3186">
            <v>2.2200000000000002</v>
          </cell>
          <cell r="T3186"/>
          <cell r="U3186"/>
          <cell r="V3186">
            <v>15</v>
          </cell>
          <cell r="W3186"/>
          <cell r="X3186" t="str">
            <v>CANDY</v>
          </cell>
          <cell r="Y3186" t="str">
            <v>CANDY 17-JAN</v>
          </cell>
          <cell r="Z3186" t="str">
            <v>CANDY' MAIL 19/1/17</v>
          </cell>
          <cell r="AA3186"/>
          <cell r="AB3186">
            <v>42756</v>
          </cell>
          <cell r="AC3186">
            <v>2714</v>
          </cell>
        </row>
        <row r="3187">
          <cell r="B3187">
            <v>2713</v>
          </cell>
          <cell r="C3187" t="str">
            <v>HLT3769</v>
          </cell>
          <cell r="D3187"/>
          <cell r="E3187"/>
          <cell r="F3187" t="str">
            <v>C 100%</v>
          </cell>
          <cell r="G3187" t="str">
            <v>100% COTTON</v>
          </cell>
          <cell r="H3187" t="str">
            <v>146CM</v>
          </cell>
          <cell r="I3187">
            <v>84</v>
          </cell>
          <cell r="J3187">
            <v>2.35</v>
          </cell>
          <cell r="K3187">
            <v>2.5</v>
          </cell>
          <cell r="L3187"/>
          <cell r="M3187"/>
          <cell r="N3187">
            <v>2.4500000000000002</v>
          </cell>
          <cell r="O3187">
            <v>2.7</v>
          </cell>
          <cell r="P3187"/>
          <cell r="Q3187"/>
          <cell r="R3187">
            <v>2.5500000000000003</v>
          </cell>
          <cell r="S3187">
            <v>2.9000000000000004</v>
          </cell>
          <cell r="T3187"/>
          <cell r="U3187"/>
          <cell r="V3187">
            <v>15</v>
          </cell>
          <cell r="W3187"/>
          <cell r="X3187" t="str">
            <v>CANDY</v>
          </cell>
          <cell r="Y3187" t="str">
            <v>CANDY 17-JAN</v>
          </cell>
          <cell r="Z3187" t="str">
            <v>CANDY' MAIL 19/1/17</v>
          </cell>
          <cell r="AA3187"/>
          <cell r="AB3187">
            <v>42756</v>
          </cell>
          <cell r="AC3187">
            <v>2713</v>
          </cell>
        </row>
        <row r="3188">
          <cell r="B3188">
            <v>2712</v>
          </cell>
          <cell r="C3188" t="str">
            <v>HLT3768</v>
          </cell>
          <cell r="D3188" t="str">
            <v>DOBBY</v>
          </cell>
          <cell r="E3188"/>
          <cell r="F3188" t="str">
            <v>R 100%</v>
          </cell>
          <cell r="G3188" t="str">
            <v>100% RAYON (Dobby)</v>
          </cell>
          <cell r="H3188" t="str">
            <v>143CM</v>
          </cell>
          <cell r="I3188">
            <v>83</v>
          </cell>
          <cell r="J3188">
            <v>1.7</v>
          </cell>
          <cell r="K3188">
            <v>1.85</v>
          </cell>
          <cell r="L3188"/>
          <cell r="M3188"/>
          <cell r="N3188">
            <v>1.8</v>
          </cell>
          <cell r="O3188">
            <v>2.0500000000000003</v>
          </cell>
          <cell r="P3188"/>
          <cell r="Q3188"/>
          <cell r="R3188">
            <v>1.9000000000000001</v>
          </cell>
          <cell r="S3188">
            <v>2.2500000000000004</v>
          </cell>
          <cell r="T3188"/>
          <cell r="U3188"/>
          <cell r="V3188">
            <v>15</v>
          </cell>
          <cell r="W3188"/>
          <cell r="X3188" t="str">
            <v>CANDY</v>
          </cell>
          <cell r="Y3188" t="str">
            <v>CANDY 17-JAN</v>
          </cell>
          <cell r="Z3188" t="str">
            <v>CANDY' MAIL 19/1/17</v>
          </cell>
          <cell r="AA3188"/>
          <cell r="AB3188">
            <v>42756</v>
          </cell>
          <cell r="AC3188">
            <v>2712</v>
          </cell>
        </row>
        <row r="3189">
          <cell r="B3189">
            <v>2711</v>
          </cell>
          <cell r="C3189" t="str">
            <v>HLT3772</v>
          </cell>
          <cell r="D3189"/>
          <cell r="E3189"/>
          <cell r="F3189" t="str">
            <v>C 100%</v>
          </cell>
          <cell r="G3189" t="str">
            <v>100% COTTON</v>
          </cell>
          <cell r="H3189" t="str">
            <v>135CM</v>
          </cell>
          <cell r="I3189">
            <v>168</v>
          </cell>
          <cell r="J3189">
            <v>2.13</v>
          </cell>
          <cell r="K3189">
            <v>2.2799999999999998</v>
          </cell>
          <cell r="L3189"/>
          <cell r="M3189"/>
          <cell r="N3189">
            <v>2.23</v>
          </cell>
          <cell r="O3189">
            <v>2.48</v>
          </cell>
          <cell r="P3189"/>
          <cell r="Q3189"/>
          <cell r="R3189">
            <v>2.33</v>
          </cell>
          <cell r="S3189">
            <v>2.68</v>
          </cell>
          <cell r="T3189"/>
          <cell r="U3189"/>
          <cell r="V3189">
            <v>15</v>
          </cell>
          <cell r="W3189"/>
          <cell r="X3189" t="str">
            <v>CANDY</v>
          </cell>
          <cell r="Y3189" t="str">
            <v>CANDY 17-JAN</v>
          </cell>
          <cell r="Z3189" t="str">
            <v>CANDY' MAIL 19/1/17</v>
          </cell>
          <cell r="AA3189"/>
          <cell r="AB3189">
            <v>42756</v>
          </cell>
          <cell r="AC3189">
            <v>2711</v>
          </cell>
        </row>
        <row r="3190">
          <cell r="B3190">
            <v>2710</v>
          </cell>
          <cell r="C3190" t="str">
            <v>HLT3780</v>
          </cell>
          <cell r="D3190"/>
          <cell r="E3190"/>
          <cell r="F3190" t="str">
            <v>T/S 95/5</v>
          </cell>
          <cell r="G3190" t="str">
            <v>95% POLYESTER 5% SPAN</v>
          </cell>
          <cell r="H3190" t="str">
            <v>149CM</v>
          </cell>
          <cell r="I3190">
            <v>232</v>
          </cell>
          <cell r="J3190">
            <v>2.15</v>
          </cell>
          <cell r="K3190">
            <v>2.25</v>
          </cell>
          <cell r="L3190"/>
          <cell r="M3190"/>
          <cell r="N3190">
            <v>2.25</v>
          </cell>
          <cell r="O3190">
            <v>2.4500000000000002</v>
          </cell>
          <cell r="P3190"/>
          <cell r="Q3190"/>
          <cell r="R3190">
            <v>2.35</v>
          </cell>
          <cell r="S3190">
            <v>2.6500000000000004</v>
          </cell>
          <cell r="T3190"/>
          <cell r="U3190"/>
          <cell r="V3190">
            <v>15</v>
          </cell>
          <cell r="W3190"/>
          <cell r="X3190" t="str">
            <v>CANDY</v>
          </cell>
          <cell r="Y3190" t="str">
            <v>CANDY 17-JAN</v>
          </cell>
          <cell r="Z3190" t="str">
            <v>CANDY' MAIL 19/1/17</v>
          </cell>
          <cell r="AA3190"/>
          <cell r="AB3190">
            <v>42756</v>
          </cell>
          <cell r="AC3190">
            <v>2710</v>
          </cell>
        </row>
        <row r="3191">
          <cell r="B3191">
            <v>2709</v>
          </cell>
          <cell r="C3191" t="str">
            <v>HLT3770</v>
          </cell>
          <cell r="D3191"/>
          <cell r="E3191"/>
          <cell r="F3191" t="str">
            <v>C 100%</v>
          </cell>
          <cell r="G3191" t="str">
            <v>100% COTTON</v>
          </cell>
          <cell r="H3191" t="str">
            <v>142CM</v>
          </cell>
          <cell r="I3191">
            <v>123</v>
          </cell>
          <cell r="J3191">
            <v>2.35</v>
          </cell>
          <cell r="K3191">
            <v>2.5</v>
          </cell>
          <cell r="L3191"/>
          <cell r="M3191"/>
          <cell r="N3191">
            <v>2.4500000000000002</v>
          </cell>
          <cell r="O3191">
            <v>2.7</v>
          </cell>
          <cell r="P3191"/>
          <cell r="Q3191"/>
          <cell r="R3191">
            <v>2.5500000000000003</v>
          </cell>
          <cell r="S3191">
            <v>2.9000000000000004</v>
          </cell>
          <cell r="T3191"/>
          <cell r="U3191"/>
          <cell r="V3191">
            <v>15</v>
          </cell>
          <cell r="W3191"/>
          <cell r="X3191" t="str">
            <v>CANDY</v>
          </cell>
          <cell r="Y3191" t="str">
            <v>CANDY 17-JAN</v>
          </cell>
          <cell r="Z3191" t="str">
            <v>CANDY' MAIL 19/1/17</v>
          </cell>
          <cell r="AA3191"/>
          <cell r="AB3191">
            <v>42756</v>
          </cell>
          <cell r="AC3191">
            <v>2709</v>
          </cell>
        </row>
        <row r="3192">
          <cell r="B3192">
            <v>2708</v>
          </cell>
          <cell r="C3192" t="str">
            <v>HLT3771</v>
          </cell>
          <cell r="D3192"/>
          <cell r="E3192"/>
          <cell r="F3192" t="str">
            <v>C 100%</v>
          </cell>
          <cell r="G3192" t="str">
            <v>100% COTTON</v>
          </cell>
          <cell r="H3192" t="str">
            <v>134CM</v>
          </cell>
          <cell r="I3192">
            <v>100</v>
          </cell>
          <cell r="J3192">
            <v>2.25</v>
          </cell>
          <cell r="K3192">
            <v>2.4</v>
          </cell>
          <cell r="L3192"/>
          <cell r="M3192"/>
          <cell r="N3192">
            <v>2.35</v>
          </cell>
          <cell r="O3192">
            <v>2.6</v>
          </cell>
          <cell r="P3192"/>
          <cell r="Q3192"/>
          <cell r="R3192">
            <v>2.4500000000000002</v>
          </cell>
          <cell r="S3192">
            <v>2.8000000000000003</v>
          </cell>
          <cell r="T3192"/>
          <cell r="U3192"/>
          <cell r="V3192">
            <v>15</v>
          </cell>
          <cell r="W3192"/>
          <cell r="X3192" t="str">
            <v>CANDY</v>
          </cell>
          <cell r="Y3192" t="str">
            <v>CANDY 17-JAN</v>
          </cell>
          <cell r="Z3192" t="str">
            <v>CANDY' MAIL 19/1/17</v>
          </cell>
          <cell r="AA3192"/>
          <cell r="AB3192">
            <v>42756</v>
          </cell>
          <cell r="AC3192">
            <v>2708</v>
          </cell>
        </row>
        <row r="3193">
          <cell r="B3193">
            <v>2707</v>
          </cell>
          <cell r="C3193" t="str">
            <v>HLT3773</v>
          </cell>
          <cell r="D3193"/>
          <cell r="E3193"/>
          <cell r="F3193" t="str">
            <v>C 100%</v>
          </cell>
          <cell r="G3193" t="str">
            <v>100% COTTON</v>
          </cell>
          <cell r="H3193" t="str">
            <v>148CM</v>
          </cell>
          <cell r="I3193">
            <v>68</v>
          </cell>
          <cell r="J3193">
            <v>2</v>
          </cell>
          <cell r="K3193">
            <v>2.15</v>
          </cell>
          <cell r="L3193"/>
          <cell r="M3193"/>
          <cell r="N3193">
            <v>2.1</v>
          </cell>
          <cell r="O3193">
            <v>2.35</v>
          </cell>
          <cell r="P3193"/>
          <cell r="Q3193"/>
          <cell r="R3193">
            <v>2.2000000000000002</v>
          </cell>
          <cell r="S3193">
            <v>2.5500000000000003</v>
          </cell>
          <cell r="T3193"/>
          <cell r="U3193"/>
          <cell r="V3193">
            <v>15</v>
          </cell>
          <cell r="W3193"/>
          <cell r="X3193" t="str">
            <v>CANDY</v>
          </cell>
          <cell r="Y3193" t="str">
            <v>CANDY 17-JAN</v>
          </cell>
          <cell r="Z3193" t="str">
            <v>CANDY' MAIL 19/1/17</v>
          </cell>
          <cell r="AA3193"/>
          <cell r="AB3193">
            <v>42756</v>
          </cell>
          <cell r="AC3193">
            <v>2707</v>
          </cell>
        </row>
        <row r="3194">
          <cell r="B3194">
            <v>2706</v>
          </cell>
          <cell r="C3194" t="str">
            <v>HLT3774</v>
          </cell>
          <cell r="D3194"/>
          <cell r="E3194"/>
          <cell r="F3194" t="str">
            <v>C 100%</v>
          </cell>
          <cell r="G3194" t="str">
            <v>100% COTTON</v>
          </cell>
          <cell r="H3194" t="str">
            <v>147CM</v>
          </cell>
          <cell r="I3194">
            <v>113</v>
          </cell>
          <cell r="J3194">
            <v>1.88</v>
          </cell>
          <cell r="K3194">
            <v>2.0499999999999998</v>
          </cell>
          <cell r="L3194"/>
          <cell r="M3194"/>
          <cell r="N3194">
            <v>1.98</v>
          </cell>
          <cell r="O3194">
            <v>2.25</v>
          </cell>
          <cell r="P3194"/>
          <cell r="Q3194"/>
          <cell r="R3194">
            <v>2.08</v>
          </cell>
          <cell r="S3194">
            <v>2.4500000000000002</v>
          </cell>
          <cell r="T3194"/>
          <cell r="U3194"/>
          <cell r="V3194">
            <v>15</v>
          </cell>
          <cell r="W3194"/>
          <cell r="X3194" t="str">
            <v>CANDY</v>
          </cell>
          <cell r="Y3194" t="str">
            <v>CANDY 17-JAN</v>
          </cell>
          <cell r="Z3194" t="str">
            <v>CANDY' MAIL 19/1/17</v>
          </cell>
          <cell r="AA3194"/>
          <cell r="AB3194">
            <v>42756</v>
          </cell>
          <cell r="AC3194">
            <v>2706</v>
          </cell>
        </row>
        <row r="3195">
          <cell r="B3195">
            <v>2705</v>
          </cell>
          <cell r="C3195" t="str">
            <v>HLT3776</v>
          </cell>
          <cell r="D3195"/>
          <cell r="E3195"/>
          <cell r="F3195" t="str">
            <v>C 100%</v>
          </cell>
          <cell r="G3195" t="str">
            <v>100% COTTON</v>
          </cell>
          <cell r="H3195" t="str">
            <v>152CM</v>
          </cell>
          <cell r="I3195">
            <v>95</v>
          </cell>
          <cell r="J3195">
            <v>2.25</v>
          </cell>
          <cell r="K3195">
            <v>2.4</v>
          </cell>
          <cell r="L3195"/>
          <cell r="M3195"/>
          <cell r="N3195">
            <v>2.35</v>
          </cell>
          <cell r="O3195">
            <v>2.6</v>
          </cell>
          <cell r="P3195"/>
          <cell r="Q3195"/>
          <cell r="R3195">
            <v>2.4500000000000002</v>
          </cell>
          <cell r="S3195">
            <v>2.8000000000000003</v>
          </cell>
          <cell r="T3195"/>
          <cell r="U3195"/>
          <cell r="V3195">
            <v>15</v>
          </cell>
          <cell r="W3195"/>
          <cell r="X3195" t="str">
            <v>CANDY</v>
          </cell>
          <cell r="Y3195" t="str">
            <v>CANDY 17-JAN</v>
          </cell>
          <cell r="Z3195" t="str">
            <v>CANDY' MAIL 19/1/17</v>
          </cell>
          <cell r="AA3195"/>
          <cell r="AB3195">
            <v>42756</v>
          </cell>
          <cell r="AC3195">
            <v>2705</v>
          </cell>
        </row>
        <row r="3196">
          <cell r="B3196">
            <v>2704</v>
          </cell>
          <cell r="C3196" t="str">
            <v>HLT3777</v>
          </cell>
          <cell r="D3196"/>
          <cell r="E3196"/>
          <cell r="F3196" t="str">
            <v>C 100%</v>
          </cell>
          <cell r="G3196" t="str">
            <v>100% COTTON</v>
          </cell>
          <cell r="H3196" t="str">
            <v>147CM</v>
          </cell>
          <cell r="I3196">
            <v>70</v>
          </cell>
          <cell r="J3196">
            <v>2.25</v>
          </cell>
          <cell r="K3196">
            <v>2.4</v>
          </cell>
          <cell r="L3196"/>
          <cell r="M3196"/>
          <cell r="N3196">
            <v>2.35</v>
          </cell>
          <cell r="O3196">
            <v>2.6</v>
          </cell>
          <cell r="P3196"/>
          <cell r="Q3196"/>
          <cell r="R3196">
            <v>2.4500000000000002</v>
          </cell>
          <cell r="S3196">
            <v>2.8000000000000003</v>
          </cell>
          <cell r="T3196"/>
          <cell r="U3196"/>
          <cell r="V3196">
            <v>15</v>
          </cell>
          <cell r="W3196"/>
          <cell r="X3196" t="str">
            <v>CANDY</v>
          </cell>
          <cell r="Y3196" t="str">
            <v>CANDY 17-JAN</v>
          </cell>
          <cell r="Z3196" t="str">
            <v>CANDY' MAIL 19/1/17</v>
          </cell>
          <cell r="AA3196"/>
          <cell r="AB3196">
            <v>42756</v>
          </cell>
          <cell r="AC3196">
            <v>2704</v>
          </cell>
        </row>
        <row r="3197">
          <cell r="B3197">
            <v>2703</v>
          </cell>
          <cell r="C3197" t="str">
            <v xml:space="preserve"> HLT3778</v>
          </cell>
          <cell r="D3197"/>
          <cell r="E3197"/>
          <cell r="F3197" t="str">
            <v>C 100%</v>
          </cell>
          <cell r="G3197" t="str">
            <v>100% COTTON</v>
          </cell>
          <cell r="H3197" t="str">
            <v>145CM</v>
          </cell>
          <cell r="I3197">
            <v>70</v>
          </cell>
          <cell r="J3197">
            <v>2</v>
          </cell>
          <cell r="K3197">
            <v>2.15</v>
          </cell>
          <cell r="L3197"/>
          <cell r="M3197"/>
          <cell r="N3197">
            <v>2.1</v>
          </cell>
          <cell r="O3197">
            <v>2.35</v>
          </cell>
          <cell r="P3197"/>
          <cell r="Q3197"/>
          <cell r="R3197">
            <v>2.2000000000000002</v>
          </cell>
          <cell r="S3197">
            <v>2.5500000000000003</v>
          </cell>
          <cell r="T3197"/>
          <cell r="U3197"/>
          <cell r="V3197">
            <v>15</v>
          </cell>
          <cell r="W3197"/>
          <cell r="X3197" t="str">
            <v>CANDY</v>
          </cell>
          <cell r="Y3197" t="str">
            <v>CANDY 17-JAN</v>
          </cell>
          <cell r="Z3197" t="str">
            <v>CANDY' MAIL 19/1/17</v>
          </cell>
          <cell r="AA3197"/>
          <cell r="AB3197">
            <v>42756</v>
          </cell>
          <cell r="AC3197">
            <v>2703</v>
          </cell>
        </row>
        <row r="3198">
          <cell r="B3198">
            <v>2702</v>
          </cell>
          <cell r="C3198" t="str">
            <v>HLT3079</v>
          </cell>
          <cell r="D3198"/>
          <cell r="E3198"/>
          <cell r="F3198" t="str">
            <v>T 100%</v>
          </cell>
          <cell r="G3198" t="str">
            <v>100% POLYESTER</v>
          </cell>
          <cell r="H3198" t="str">
            <v>149CM</v>
          </cell>
          <cell r="I3198">
            <v>144</v>
          </cell>
          <cell r="J3198">
            <v>2.9</v>
          </cell>
          <cell r="K3198">
            <v>3.05</v>
          </cell>
          <cell r="L3198"/>
          <cell r="M3198"/>
          <cell r="N3198">
            <v>3</v>
          </cell>
          <cell r="O3198">
            <v>3.25</v>
          </cell>
          <cell r="P3198"/>
          <cell r="Q3198"/>
          <cell r="R3198">
            <v>3.1</v>
          </cell>
          <cell r="S3198">
            <v>3.45</v>
          </cell>
          <cell r="T3198"/>
          <cell r="U3198"/>
          <cell r="V3198">
            <v>15</v>
          </cell>
          <cell r="W3198"/>
          <cell r="X3198" t="str">
            <v>CANDY</v>
          </cell>
          <cell r="Y3198" t="str">
            <v>CANDY 17-JAN</v>
          </cell>
          <cell r="Z3198" t="str">
            <v>CANDY' MAIL 19/1/17</v>
          </cell>
          <cell r="AA3198"/>
          <cell r="AB3198">
            <v>42756</v>
          </cell>
          <cell r="AC3198">
            <v>2702</v>
          </cell>
        </row>
        <row r="3199">
          <cell r="B3199">
            <v>2701</v>
          </cell>
          <cell r="C3199" t="str">
            <v>HLT3077</v>
          </cell>
          <cell r="D3199"/>
          <cell r="E3199"/>
          <cell r="F3199" t="str">
            <v>T 100%</v>
          </cell>
          <cell r="G3199" t="str">
            <v>100% POLYESTER</v>
          </cell>
          <cell r="H3199" t="str">
            <v>145 CM</v>
          </cell>
          <cell r="I3199">
            <v>323</v>
          </cell>
          <cell r="J3199">
            <v>3.5</v>
          </cell>
          <cell r="K3199">
            <v>3.65</v>
          </cell>
          <cell r="L3199"/>
          <cell r="M3199"/>
          <cell r="N3199">
            <v>3.6</v>
          </cell>
          <cell r="O3199">
            <v>3.85</v>
          </cell>
          <cell r="P3199"/>
          <cell r="Q3199"/>
          <cell r="R3199">
            <v>3.7</v>
          </cell>
          <cell r="S3199">
            <v>4.05</v>
          </cell>
          <cell r="T3199"/>
          <cell r="U3199"/>
          <cell r="V3199">
            <v>15</v>
          </cell>
          <cell r="W3199"/>
          <cell r="X3199" t="str">
            <v>CANDY</v>
          </cell>
          <cell r="Y3199" t="str">
            <v>CANDY 17-JAN</v>
          </cell>
          <cell r="Z3199" t="str">
            <v>CANDY' MAIL 19/1/17</v>
          </cell>
          <cell r="AA3199"/>
          <cell r="AB3199">
            <v>42756</v>
          </cell>
          <cell r="AC3199">
            <v>2701</v>
          </cell>
        </row>
        <row r="3200">
          <cell r="B3200">
            <v>2700</v>
          </cell>
          <cell r="C3200" t="str">
            <v>HLT3081</v>
          </cell>
          <cell r="D3200"/>
          <cell r="E3200"/>
          <cell r="F3200" t="str">
            <v>T 100%</v>
          </cell>
          <cell r="G3200" t="str">
            <v>100% POLYESTER</v>
          </cell>
          <cell r="H3200" t="str">
            <v>151 CM</v>
          </cell>
          <cell r="I3200">
            <v>145</v>
          </cell>
          <cell r="J3200">
            <v>2.9</v>
          </cell>
          <cell r="K3200">
            <v>3.05</v>
          </cell>
          <cell r="L3200"/>
          <cell r="M3200"/>
          <cell r="N3200">
            <v>3</v>
          </cell>
          <cell r="O3200">
            <v>3.25</v>
          </cell>
          <cell r="P3200"/>
          <cell r="Q3200"/>
          <cell r="R3200">
            <v>3.1</v>
          </cell>
          <cell r="S3200">
            <v>3.45</v>
          </cell>
          <cell r="T3200"/>
          <cell r="U3200"/>
          <cell r="V3200">
            <v>15</v>
          </cell>
          <cell r="W3200"/>
          <cell r="X3200" t="str">
            <v>CANDY</v>
          </cell>
          <cell r="Y3200" t="str">
            <v>CANDY 17-JAN</v>
          </cell>
          <cell r="Z3200" t="str">
            <v>CANDY' MAIL 19/1/17</v>
          </cell>
          <cell r="AA3200"/>
          <cell r="AB3200">
            <v>42756</v>
          </cell>
          <cell r="AC3200">
            <v>2700</v>
          </cell>
        </row>
        <row r="3201">
          <cell r="B3201"/>
          <cell r="C3201" t="str">
            <v>TS-028-1</v>
          </cell>
          <cell r="D3201" t="str">
            <v>CREPE</v>
          </cell>
          <cell r="E3201"/>
          <cell r="F3201" t="str">
            <v>T 100%</v>
          </cell>
          <cell r="G3201" t="str">
            <v>100% POLYESTER</v>
          </cell>
          <cell r="H3201" t="str">
            <v>57/58</v>
          </cell>
          <cell r="I3201">
            <v>140</v>
          </cell>
          <cell r="J3201">
            <v>1.54</v>
          </cell>
          <cell r="K3201">
            <v>1.74</v>
          </cell>
          <cell r="L3201"/>
          <cell r="M3201"/>
          <cell r="N3201">
            <v>1.57</v>
          </cell>
          <cell r="O3201">
            <v>1.8</v>
          </cell>
          <cell r="P3201"/>
          <cell r="Q3201"/>
          <cell r="R3201">
            <v>1.73</v>
          </cell>
          <cell r="S3201">
            <v>2.1</v>
          </cell>
          <cell r="T3201"/>
          <cell r="U3201"/>
          <cell r="V3201">
            <v>15</v>
          </cell>
          <cell r="W3201" t="str">
            <v>AMW 1895-1 AND AMW 2445 ARE THE SAME</v>
          </cell>
          <cell r="X3201" t="str">
            <v>GAVIN</v>
          </cell>
          <cell r="Y3201" t="str">
            <v>MASTER FILE</v>
          </cell>
          <cell r="Z3201" t="str">
            <v>MASTER FILE</v>
          </cell>
          <cell r="AA3201"/>
          <cell r="AB3201">
            <v>42756</v>
          </cell>
          <cell r="AC3201">
            <v>2445</v>
          </cell>
        </row>
        <row r="3202">
          <cell r="B3202">
            <v>2699</v>
          </cell>
          <cell r="C3202" t="str">
            <v>UD-JCTE-151174</v>
          </cell>
          <cell r="D3202"/>
          <cell r="E3202"/>
          <cell r="F3202" t="str">
            <v>70% COTTON 27% POLY 3% SPAN</v>
          </cell>
          <cell r="G3202" t="str">
            <v>70% COTTON 27% POLYESTER 3% SPAN</v>
          </cell>
          <cell r="H3202" t="str">
            <v>57/58</v>
          </cell>
          <cell r="I3202">
            <v>110</v>
          </cell>
          <cell r="J3202">
            <v>1.74</v>
          </cell>
          <cell r="K3202"/>
          <cell r="L3202">
            <v>1.84</v>
          </cell>
          <cell r="M3202"/>
          <cell r="N3202">
            <v>1.84</v>
          </cell>
          <cell r="O3202"/>
          <cell r="P3202"/>
          <cell r="Q3202"/>
          <cell r="R3202">
            <v>2.14</v>
          </cell>
          <cell r="S3202"/>
          <cell r="T3202"/>
          <cell r="U3202"/>
          <cell r="V3202">
            <v>15</v>
          </cell>
          <cell r="W3202" t="str">
            <v>ONLY HAVE WHITE COLOR SAMPLE</v>
          </cell>
          <cell r="X3202" t="str">
            <v>WANG HUA</v>
          </cell>
          <cell r="Y3202" t="str">
            <v>WANGHUA 17-JAN</v>
          </cell>
          <cell r="Z3202" t="str">
            <v>WANGHUA' MAIL 19/1/17</v>
          </cell>
          <cell r="AA3202"/>
          <cell r="AB3202">
            <v>42755</v>
          </cell>
          <cell r="AC3202">
            <v>2699</v>
          </cell>
        </row>
        <row r="3203">
          <cell r="B3203">
            <v>2698</v>
          </cell>
          <cell r="C3203" t="str">
            <v>BG3259</v>
          </cell>
          <cell r="D3203" t="str">
            <v>SCUBA</v>
          </cell>
          <cell r="E3203"/>
          <cell r="F3203" t="str">
            <v>T/S 94/6</v>
          </cell>
          <cell r="G3203" t="str">
            <v>94% POLYESTER 6% SPAN</v>
          </cell>
          <cell r="H3203" t="str">
            <v>58/59</v>
          </cell>
          <cell r="I3203">
            <v>260</v>
          </cell>
          <cell r="J3203">
            <v>2.2000000000000002</v>
          </cell>
          <cell r="K3203"/>
          <cell r="L3203"/>
          <cell r="M3203"/>
          <cell r="N3203">
            <v>2.2999999999999998</v>
          </cell>
          <cell r="O3203"/>
          <cell r="P3203"/>
          <cell r="Q3203"/>
          <cell r="R3203">
            <v>2.5</v>
          </cell>
          <cell r="S3203"/>
          <cell r="T3203"/>
          <cell r="U3203"/>
          <cell r="V3203">
            <v>15</v>
          </cell>
          <cell r="W3203"/>
          <cell r="X3203" t="str">
            <v>ANN</v>
          </cell>
          <cell r="Y3203" t="str">
            <v>ANN 17-JAN</v>
          </cell>
          <cell r="Z3203" t="str">
            <v>ANN' MAIL 18/1/17</v>
          </cell>
          <cell r="AA3203"/>
          <cell r="AB3203">
            <v>42754</v>
          </cell>
          <cell r="AC3203">
            <v>2698</v>
          </cell>
        </row>
        <row r="3204">
          <cell r="B3204">
            <v>1653</v>
          </cell>
          <cell r="C3204" t="str">
            <v>BG3258</v>
          </cell>
          <cell r="D3204"/>
          <cell r="E3204"/>
          <cell r="F3204" t="str">
            <v>T/S 94/6</v>
          </cell>
          <cell r="G3204" t="str">
            <v>94% POLYESTER 6% SPAN</v>
          </cell>
          <cell r="H3204" t="str">
            <v>58/59</v>
          </cell>
          <cell r="I3204">
            <v>200</v>
          </cell>
          <cell r="J3204" t="str">
            <v xml:space="preserve">  </v>
          </cell>
          <cell r="K3204"/>
          <cell r="L3204"/>
          <cell r="M3204"/>
          <cell r="N3204">
            <v>1.8</v>
          </cell>
          <cell r="O3204"/>
          <cell r="P3204"/>
          <cell r="Q3204"/>
          <cell r="R3204">
            <v>2.1</v>
          </cell>
          <cell r="S3204"/>
          <cell r="T3204"/>
          <cell r="U3204"/>
          <cell r="V3204">
            <v>15</v>
          </cell>
          <cell r="W3204"/>
          <cell r="X3204" t="str">
            <v>ANN</v>
          </cell>
          <cell r="Y3204" t="str">
            <v>ANN 17-JAN</v>
          </cell>
          <cell r="Z3204" t="str">
            <v>ANN' MAIL 18/1/17</v>
          </cell>
          <cell r="AA3204"/>
          <cell r="AB3204">
            <v>42754</v>
          </cell>
          <cell r="AC3204">
            <v>1653</v>
          </cell>
        </row>
        <row r="3205">
          <cell r="B3205">
            <v>2696</v>
          </cell>
          <cell r="C3205" t="str">
            <v>FL-K12</v>
          </cell>
          <cell r="D3205"/>
          <cell r="E3205"/>
          <cell r="F3205" t="str">
            <v>60% COTTON 40% NYLON</v>
          </cell>
          <cell r="G3205" t="str">
            <v>60% COTTON 40% NYLON</v>
          </cell>
          <cell r="H3205">
            <v>145</v>
          </cell>
          <cell r="I3205">
            <v>91</v>
          </cell>
          <cell r="J3205">
            <v>2.46</v>
          </cell>
          <cell r="K3205">
            <v>4.21</v>
          </cell>
          <cell r="L3205"/>
          <cell r="M3205"/>
          <cell r="N3205">
            <v>2.5099999999999998</v>
          </cell>
          <cell r="O3205">
            <v>4.26</v>
          </cell>
          <cell r="P3205"/>
          <cell r="Q3205"/>
          <cell r="R3205">
            <v>2.62</v>
          </cell>
          <cell r="S3205">
            <v>4.3499999999999996</v>
          </cell>
          <cell r="T3205"/>
          <cell r="U3205"/>
          <cell r="V3205">
            <v>15</v>
          </cell>
          <cell r="W3205" t="str">
            <v>wrong supplier coDe - this is FL-K161 -  aDD more $0.45/m for 10 colors print - using CIF by sea in quotation</v>
          </cell>
          <cell r="X3205" t="str">
            <v>SCALER</v>
          </cell>
          <cell r="Y3205" t="str">
            <v>SCALER 16-JAN</v>
          </cell>
          <cell r="Z3205" t="str">
            <v>SCALER' MAIL 18/1/17</v>
          </cell>
          <cell r="AA3205"/>
          <cell r="AB3205">
            <v>42753</v>
          </cell>
          <cell r="AC3205">
            <v>2696</v>
          </cell>
        </row>
        <row r="3206">
          <cell r="B3206">
            <v>2695</v>
          </cell>
          <cell r="C3206" t="str">
            <v>FL-K161</v>
          </cell>
          <cell r="D3206"/>
          <cell r="E3206"/>
          <cell r="F3206" t="str">
            <v>92% NYLON 8% SPAN</v>
          </cell>
          <cell r="G3206" t="str">
            <v>92% NYLON 8% SPAN</v>
          </cell>
          <cell r="H3206">
            <v>145</v>
          </cell>
          <cell r="I3206">
            <v>96</v>
          </cell>
          <cell r="J3206">
            <v>2.25</v>
          </cell>
          <cell r="K3206">
            <v>4</v>
          </cell>
          <cell r="L3206"/>
          <cell r="M3206"/>
          <cell r="N3206">
            <v>2.2999999999999998</v>
          </cell>
          <cell r="O3206">
            <v>4.05</v>
          </cell>
          <cell r="P3206"/>
          <cell r="Q3206"/>
          <cell r="R3206">
            <v>2.4</v>
          </cell>
          <cell r="S3206">
            <v>4.1500000000000004</v>
          </cell>
          <cell r="T3206"/>
          <cell r="U3206"/>
          <cell r="V3206">
            <v>15</v>
          </cell>
          <cell r="W3206" t="str">
            <v>wrong supplier coDe - this is FL-K12 -  aDD more $0.45/m for 10 colors print - using CIF by sea in quotation</v>
          </cell>
          <cell r="X3206" t="str">
            <v>SCALER</v>
          </cell>
          <cell r="Y3206" t="str">
            <v>SCALER 16-JAN</v>
          </cell>
          <cell r="Z3206" t="str">
            <v>SCALER' MAIL 18/1/17</v>
          </cell>
          <cell r="AA3206"/>
          <cell r="AB3206">
            <v>42753</v>
          </cell>
          <cell r="AC3206">
            <v>2695</v>
          </cell>
        </row>
        <row r="3207">
          <cell r="B3207">
            <v>2694</v>
          </cell>
          <cell r="C3207" t="str">
            <v>T1285-ME</v>
          </cell>
          <cell r="D3207"/>
          <cell r="E3207"/>
          <cell r="F3207" t="str">
            <v>75% COTTON 25% NYLON</v>
          </cell>
          <cell r="G3207" t="str">
            <v>75% COTTON 25% NYLON</v>
          </cell>
          <cell r="H3207">
            <v>150</v>
          </cell>
          <cell r="I3207">
            <v>95</v>
          </cell>
          <cell r="J3207">
            <v>1.75</v>
          </cell>
          <cell r="K3207">
            <v>2.7</v>
          </cell>
          <cell r="L3207"/>
          <cell r="M3207"/>
          <cell r="N3207">
            <v>1.8</v>
          </cell>
          <cell r="O3207">
            <v>2.8</v>
          </cell>
          <cell r="P3207"/>
          <cell r="Q3207"/>
          <cell r="R3207">
            <v>1.8</v>
          </cell>
          <cell r="S3207">
            <v>2.8</v>
          </cell>
          <cell r="T3207"/>
          <cell r="U3207"/>
          <cell r="V3207">
            <v>15</v>
          </cell>
          <cell r="W3207"/>
          <cell r="X3207" t="str">
            <v>ANGELA</v>
          </cell>
          <cell r="Y3207" t="str">
            <v>ANGELA 16-JAN</v>
          </cell>
          <cell r="Z3207" t="str">
            <v>ANGELA' MAIL 16/1/17</v>
          </cell>
          <cell r="AA3207"/>
          <cell r="AB3207">
            <v>42753</v>
          </cell>
          <cell r="AC3207">
            <v>2694</v>
          </cell>
        </row>
        <row r="3208">
          <cell r="B3208">
            <v>2693</v>
          </cell>
          <cell r="C3208" t="str">
            <v>T2017-D</v>
          </cell>
          <cell r="D3208"/>
          <cell r="E3208"/>
          <cell r="F3208" t="str">
            <v>92% NYLON 8% SPAN</v>
          </cell>
          <cell r="G3208" t="str">
            <v>92% NYLON 8% SPAN</v>
          </cell>
          <cell r="H3208">
            <v>150</v>
          </cell>
          <cell r="I3208">
            <v>170</v>
          </cell>
          <cell r="J3208">
            <v>2</v>
          </cell>
          <cell r="K3208">
            <v>2.85</v>
          </cell>
          <cell r="L3208"/>
          <cell r="M3208"/>
          <cell r="N3208">
            <v>2.0499999999999998</v>
          </cell>
          <cell r="O3208">
            <v>3</v>
          </cell>
          <cell r="P3208"/>
          <cell r="Q3208"/>
          <cell r="R3208">
            <v>2.1</v>
          </cell>
          <cell r="S3208">
            <v>3</v>
          </cell>
          <cell r="T3208"/>
          <cell r="U3208"/>
          <cell r="V3208">
            <v>15</v>
          </cell>
          <cell r="W3208"/>
          <cell r="X3208" t="str">
            <v>ANGELA</v>
          </cell>
          <cell r="Y3208" t="str">
            <v>ANGELA 16-JAN</v>
          </cell>
          <cell r="Z3208" t="str">
            <v>ANGELA' MAIL 16/1/17</v>
          </cell>
          <cell r="AA3208"/>
          <cell r="AB3208">
            <v>42753</v>
          </cell>
          <cell r="AC3208">
            <v>2693</v>
          </cell>
        </row>
        <row r="3209">
          <cell r="B3209">
            <v>2692</v>
          </cell>
          <cell r="C3209" t="str">
            <v>T1994-D</v>
          </cell>
          <cell r="D3209"/>
          <cell r="E3209"/>
          <cell r="F3209" t="str">
            <v>92% NYLON 8% SPAN</v>
          </cell>
          <cell r="G3209" t="str">
            <v>92% NYLON 8% SPAN</v>
          </cell>
          <cell r="H3209">
            <v>150</v>
          </cell>
          <cell r="I3209">
            <v>120</v>
          </cell>
          <cell r="J3209">
            <v>1.7</v>
          </cell>
          <cell r="K3209">
            <v>2.65</v>
          </cell>
          <cell r="L3209"/>
          <cell r="M3209"/>
          <cell r="N3209">
            <v>1.8</v>
          </cell>
          <cell r="O3209">
            <v>2.8</v>
          </cell>
          <cell r="P3209"/>
          <cell r="Q3209"/>
          <cell r="R3209">
            <v>1.9</v>
          </cell>
          <cell r="S3209">
            <v>2.8</v>
          </cell>
          <cell r="T3209"/>
          <cell r="U3209"/>
          <cell r="V3209">
            <v>15</v>
          </cell>
          <cell r="W3209"/>
          <cell r="X3209" t="str">
            <v>ANGELA</v>
          </cell>
          <cell r="Y3209" t="str">
            <v>ANGELA 16-JAN</v>
          </cell>
          <cell r="Z3209" t="str">
            <v>ANGELA' MAIL 16/1/17</v>
          </cell>
          <cell r="AA3209"/>
          <cell r="AB3209">
            <v>42753</v>
          </cell>
          <cell r="AC3209">
            <v>2692</v>
          </cell>
        </row>
        <row r="3210">
          <cell r="B3210">
            <v>2691</v>
          </cell>
          <cell r="C3210" t="str">
            <v>BG2036</v>
          </cell>
          <cell r="D3210"/>
          <cell r="E3210"/>
          <cell r="F3210" t="str">
            <v>70%COTTON 30%NYLON</v>
          </cell>
          <cell r="G3210" t="str">
            <v>70%COTTON 30%NYLON</v>
          </cell>
          <cell r="H3210" t="str">
            <v>57/58</v>
          </cell>
          <cell r="I3210">
            <v>90</v>
          </cell>
          <cell r="J3210">
            <v>2.2000000000000002</v>
          </cell>
          <cell r="K3210"/>
          <cell r="L3210"/>
          <cell r="M3210"/>
          <cell r="N3210">
            <v>2.2999999999999998</v>
          </cell>
          <cell r="O3210"/>
          <cell r="P3210"/>
          <cell r="Q3210"/>
          <cell r="R3210">
            <v>2.4</v>
          </cell>
          <cell r="S3210"/>
          <cell r="T3210"/>
          <cell r="U3210"/>
          <cell r="V3210">
            <v>15</v>
          </cell>
          <cell r="W3210"/>
          <cell r="X3210" t="str">
            <v>ANN</v>
          </cell>
          <cell r="Y3210" t="str">
            <v>ANN 13-JAN (lace)</v>
          </cell>
          <cell r="Z3210" t="str">
            <v>ANN' MAIL 14/1/17</v>
          </cell>
          <cell r="AA3210"/>
          <cell r="AB3210">
            <v>42753</v>
          </cell>
          <cell r="AC3210">
            <v>2691</v>
          </cell>
        </row>
        <row r="3211">
          <cell r="B3211">
            <v>2690</v>
          </cell>
          <cell r="C3211" t="str">
            <v>BGDM876</v>
          </cell>
          <cell r="D3211"/>
          <cell r="E3211"/>
          <cell r="F3211" t="str">
            <v>N/S 92/8</v>
          </cell>
          <cell r="G3211" t="str">
            <v>N/S 92/8</v>
          </cell>
          <cell r="H3211" t="str">
            <v>57/58</v>
          </cell>
          <cell r="I3211">
            <v>166</v>
          </cell>
          <cell r="J3211">
            <v>2.6</v>
          </cell>
          <cell r="K3211"/>
          <cell r="L3211"/>
          <cell r="M3211"/>
          <cell r="N3211">
            <v>2.7</v>
          </cell>
          <cell r="O3211"/>
          <cell r="P3211"/>
          <cell r="Q3211"/>
          <cell r="R3211">
            <v>2.85</v>
          </cell>
          <cell r="S3211"/>
          <cell r="T3211"/>
          <cell r="U3211"/>
          <cell r="V3211">
            <v>15</v>
          </cell>
          <cell r="W3211"/>
          <cell r="X3211" t="str">
            <v>ANN</v>
          </cell>
          <cell r="Y3211" t="str">
            <v>ANN 13-JAN (lace)</v>
          </cell>
          <cell r="Z3211" t="str">
            <v>ANN' MAIL 14/1/17</v>
          </cell>
          <cell r="AA3211"/>
          <cell r="AB3211">
            <v>42753</v>
          </cell>
          <cell r="AC3211">
            <v>2690</v>
          </cell>
        </row>
        <row r="3212">
          <cell r="B3212">
            <v>2689</v>
          </cell>
          <cell r="C3212" t="str">
            <v>BGDM424</v>
          </cell>
          <cell r="D3212"/>
          <cell r="E3212"/>
          <cell r="F3212" t="str">
            <v>70%COTTON 30%NYLON</v>
          </cell>
          <cell r="G3212" t="str">
            <v>70%COTTON 30%NYLON</v>
          </cell>
          <cell r="H3212" t="str">
            <v>57/58</v>
          </cell>
          <cell r="I3212">
            <v>90</v>
          </cell>
          <cell r="J3212">
            <v>2.15</v>
          </cell>
          <cell r="K3212"/>
          <cell r="L3212"/>
          <cell r="M3212"/>
          <cell r="N3212">
            <v>2.25</v>
          </cell>
          <cell r="O3212"/>
          <cell r="P3212"/>
          <cell r="Q3212"/>
          <cell r="R3212">
            <v>2.35</v>
          </cell>
          <cell r="S3212"/>
          <cell r="T3212"/>
          <cell r="U3212"/>
          <cell r="V3212">
            <v>15</v>
          </cell>
          <cell r="W3212"/>
          <cell r="X3212" t="str">
            <v>ANN</v>
          </cell>
          <cell r="Y3212" t="str">
            <v>ANN 13-JAN (lace)</v>
          </cell>
          <cell r="Z3212" t="str">
            <v>ANN' MAIL 14/1/17</v>
          </cell>
          <cell r="AA3212"/>
          <cell r="AB3212">
            <v>42753</v>
          </cell>
          <cell r="AC3212">
            <v>2689</v>
          </cell>
        </row>
        <row r="3213">
          <cell r="B3213">
            <v>2688</v>
          </cell>
          <cell r="C3213" t="str">
            <v>BGDC876</v>
          </cell>
          <cell r="D3213"/>
          <cell r="E3213"/>
          <cell r="F3213" t="str">
            <v>N/S 92/8</v>
          </cell>
          <cell r="G3213" t="str">
            <v>N/S 92/8</v>
          </cell>
          <cell r="H3213" t="str">
            <v>57/58</v>
          </cell>
          <cell r="I3213">
            <v>107</v>
          </cell>
          <cell r="J3213">
            <v>2.2999999999999998</v>
          </cell>
          <cell r="K3213"/>
          <cell r="L3213"/>
          <cell r="M3213"/>
          <cell r="N3213">
            <v>2.4</v>
          </cell>
          <cell r="O3213"/>
          <cell r="P3213"/>
          <cell r="Q3213"/>
          <cell r="R3213">
            <v>2.5</v>
          </cell>
          <cell r="S3213"/>
          <cell r="T3213"/>
          <cell r="U3213"/>
          <cell r="V3213">
            <v>15</v>
          </cell>
          <cell r="W3213"/>
          <cell r="X3213" t="str">
            <v>ANN</v>
          </cell>
          <cell r="Y3213" t="str">
            <v>ANN 13-JAN (lace)</v>
          </cell>
          <cell r="Z3213" t="str">
            <v>ANN' MAIL 14/1/17</v>
          </cell>
          <cell r="AA3213"/>
          <cell r="AB3213">
            <v>42752</v>
          </cell>
          <cell r="AC3213">
            <v>2688</v>
          </cell>
        </row>
        <row r="3214">
          <cell r="B3214">
            <v>2687</v>
          </cell>
          <cell r="C3214" t="str">
            <v>BGDM441</v>
          </cell>
          <cell r="D3214"/>
          <cell r="E3214"/>
          <cell r="F3214" t="str">
            <v>70%COTTON 30%NYLON</v>
          </cell>
          <cell r="G3214" t="str">
            <v>70%COTTON 30%NYLON</v>
          </cell>
          <cell r="H3214" t="str">
            <v>57/58</v>
          </cell>
          <cell r="I3214">
            <v>125</v>
          </cell>
          <cell r="J3214">
            <v>2.5499999999999998</v>
          </cell>
          <cell r="K3214"/>
          <cell r="L3214"/>
          <cell r="M3214"/>
          <cell r="N3214">
            <v>2.65</v>
          </cell>
          <cell r="O3214"/>
          <cell r="P3214"/>
          <cell r="Q3214"/>
          <cell r="R3214">
            <v>2.8</v>
          </cell>
          <cell r="S3214"/>
          <cell r="T3214"/>
          <cell r="U3214"/>
          <cell r="V3214">
            <v>15</v>
          </cell>
          <cell r="W3214"/>
          <cell r="X3214" t="str">
            <v>ANN</v>
          </cell>
          <cell r="Y3214" t="str">
            <v>ANN 13-JAN (lace)</v>
          </cell>
          <cell r="Z3214" t="str">
            <v>ANN' MAIL 14/1/17</v>
          </cell>
          <cell r="AA3214"/>
          <cell r="AB3214">
            <v>42752</v>
          </cell>
          <cell r="AC3214">
            <v>2687</v>
          </cell>
        </row>
        <row r="3215">
          <cell r="B3215">
            <v>2686</v>
          </cell>
          <cell r="C3215" t="str">
            <v>FLP-300</v>
          </cell>
          <cell r="D3215"/>
          <cell r="E3215"/>
          <cell r="F3215" t="str">
            <v>NYLON SPAN</v>
          </cell>
          <cell r="G3215" t="str">
            <v>NYLON SPAN</v>
          </cell>
          <cell r="H3215" t="str">
            <v>45/46</v>
          </cell>
          <cell r="I3215">
            <v>114</v>
          </cell>
          <cell r="J3215">
            <v>2.4700000000000002</v>
          </cell>
          <cell r="K3215">
            <v>3.35</v>
          </cell>
          <cell r="L3215"/>
          <cell r="M3215"/>
          <cell r="N3215">
            <v>2.56</v>
          </cell>
          <cell r="O3215">
            <v>3.45</v>
          </cell>
          <cell r="P3215"/>
          <cell r="Q3215"/>
          <cell r="R3215">
            <v>2.65</v>
          </cell>
          <cell r="S3215">
            <v>3.53</v>
          </cell>
          <cell r="T3215"/>
          <cell r="U3215"/>
          <cell r="V3215">
            <v>15</v>
          </cell>
          <cell r="W3215"/>
          <cell r="X3215" t="str">
            <v>SCALER</v>
          </cell>
          <cell r="Y3215" t="str">
            <v>LACE FROM SCALER FOR DMC</v>
          </cell>
          <cell r="Z3215" t="str">
            <v>DUYEN' MAIL 13/1/17</v>
          </cell>
          <cell r="AA3215"/>
          <cell r="AB3215">
            <v>42752</v>
          </cell>
          <cell r="AC3215">
            <v>2686</v>
          </cell>
        </row>
        <row r="3216">
          <cell r="B3216">
            <v>2685</v>
          </cell>
          <cell r="C3216" t="str">
            <v>FLP-48</v>
          </cell>
          <cell r="D3216"/>
          <cell r="E3216"/>
          <cell r="F3216" t="str">
            <v>NYLON SPAN</v>
          </cell>
          <cell r="G3216" t="str">
            <v>NYLON SPAN</v>
          </cell>
          <cell r="H3216" t="str">
            <v>45/46</v>
          </cell>
          <cell r="I3216">
            <v>129</v>
          </cell>
          <cell r="J3216">
            <v>2.5</v>
          </cell>
          <cell r="K3216">
            <v>3.35</v>
          </cell>
          <cell r="L3216"/>
          <cell r="M3216"/>
          <cell r="N3216">
            <v>2.57</v>
          </cell>
          <cell r="O3216">
            <v>3.45</v>
          </cell>
          <cell r="P3216"/>
          <cell r="Q3216"/>
          <cell r="R3216">
            <v>2.65</v>
          </cell>
          <cell r="S3216">
            <v>3.53</v>
          </cell>
          <cell r="T3216"/>
          <cell r="U3216"/>
          <cell r="V3216">
            <v>15</v>
          </cell>
          <cell r="W3216"/>
          <cell r="X3216" t="str">
            <v>SCALER</v>
          </cell>
          <cell r="Y3216" t="str">
            <v>LACE FROM SCALER FOR DMC</v>
          </cell>
          <cell r="Z3216" t="str">
            <v>DUYEN' MAIL 13/1/17</v>
          </cell>
          <cell r="AA3216"/>
          <cell r="AB3216">
            <v>42752</v>
          </cell>
          <cell r="AC3216">
            <v>2685</v>
          </cell>
        </row>
        <row r="3217">
          <cell r="B3217">
            <v>2684</v>
          </cell>
          <cell r="C3217" t="str">
            <v>FLP-045</v>
          </cell>
          <cell r="D3217"/>
          <cell r="E3217"/>
          <cell r="F3217" t="str">
            <v>NYLON SPAN</v>
          </cell>
          <cell r="G3217" t="str">
            <v>NYLON SPAN</v>
          </cell>
          <cell r="H3217" t="str">
            <v>45/46</v>
          </cell>
          <cell r="I3217">
            <v>139</v>
          </cell>
          <cell r="J3217">
            <v>2.5</v>
          </cell>
          <cell r="K3217">
            <v>3.2</v>
          </cell>
          <cell r="L3217"/>
          <cell r="M3217"/>
          <cell r="N3217">
            <v>2.57</v>
          </cell>
          <cell r="O3217">
            <v>3.3</v>
          </cell>
          <cell r="P3217"/>
          <cell r="Q3217"/>
          <cell r="R3217">
            <v>2.65</v>
          </cell>
          <cell r="S3217">
            <v>3.4</v>
          </cell>
          <cell r="T3217"/>
          <cell r="U3217"/>
          <cell r="V3217">
            <v>15</v>
          </cell>
          <cell r="W3217"/>
          <cell r="X3217" t="str">
            <v>SCALER</v>
          </cell>
          <cell r="Y3217" t="str">
            <v>LACE FROM SCALER FOR DMC</v>
          </cell>
          <cell r="Z3217" t="str">
            <v>DUYEN' MAIL 13/1/17</v>
          </cell>
          <cell r="AA3217"/>
          <cell r="AB3217">
            <v>42752</v>
          </cell>
          <cell r="AC3217">
            <v>2684</v>
          </cell>
        </row>
        <row r="3218">
          <cell r="B3218">
            <v>2683</v>
          </cell>
          <cell r="C3218" t="str">
            <v>FLP-019</v>
          </cell>
          <cell r="D3218"/>
          <cell r="E3218"/>
          <cell r="F3218" t="str">
            <v>NYLON SPAN</v>
          </cell>
          <cell r="G3218" t="str">
            <v>NYLON SPAN</v>
          </cell>
          <cell r="H3218" t="str">
            <v>45/46</v>
          </cell>
          <cell r="I3218">
            <v>110</v>
          </cell>
          <cell r="J3218">
            <v>2.2999999999999998</v>
          </cell>
          <cell r="K3218">
            <v>3.55</v>
          </cell>
          <cell r="L3218"/>
          <cell r="M3218"/>
          <cell r="N3218">
            <v>2.56</v>
          </cell>
          <cell r="O3218">
            <v>3.62</v>
          </cell>
          <cell r="P3218"/>
          <cell r="Q3218"/>
          <cell r="R3218">
            <v>2.63</v>
          </cell>
          <cell r="S3218">
            <v>3.72</v>
          </cell>
          <cell r="T3218"/>
          <cell r="U3218"/>
          <cell r="V3218">
            <v>15</v>
          </cell>
          <cell r="W3218"/>
          <cell r="X3218" t="str">
            <v>SCALER</v>
          </cell>
          <cell r="Y3218" t="str">
            <v>LACE FROM SCALER FOR DMC</v>
          </cell>
          <cell r="Z3218" t="str">
            <v>DUYEN' MAIL 13/1/17</v>
          </cell>
          <cell r="AA3218"/>
          <cell r="AB3218">
            <v>42752</v>
          </cell>
          <cell r="AC3218">
            <v>2683</v>
          </cell>
        </row>
        <row r="3219">
          <cell r="B3219">
            <v>2682</v>
          </cell>
          <cell r="C3219" t="str">
            <v>FLP-009</v>
          </cell>
          <cell r="D3219"/>
          <cell r="E3219"/>
          <cell r="F3219" t="str">
            <v>NYLON SPAN</v>
          </cell>
          <cell r="G3219" t="str">
            <v>NYLON SPAN</v>
          </cell>
          <cell r="H3219" t="str">
            <v>45/46</v>
          </cell>
          <cell r="I3219">
            <v>97</v>
          </cell>
          <cell r="J3219">
            <v>2.5</v>
          </cell>
          <cell r="K3219">
            <v>3.55</v>
          </cell>
          <cell r="L3219"/>
          <cell r="M3219"/>
          <cell r="N3219">
            <v>2.58</v>
          </cell>
          <cell r="O3219">
            <v>3.65</v>
          </cell>
          <cell r="P3219"/>
          <cell r="Q3219"/>
          <cell r="R3219">
            <v>2.65</v>
          </cell>
          <cell r="S3219">
            <v>3.72</v>
          </cell>
          <cell r="T3219"/>
          <cell r="U3219"/>
          <cell r="V3219">
            <v>15</v>
          </cell>
          <cell r="W3219"/>
          <cell r="X3219" t="str">
            <v>SCALER</v>
          </cell>
          <cell r="Y3219" t="str">
            <v>LACE FROM SCALER FOR DMC</v>
          </cell>
          <cell r="Z3219" t="str">
            <v>DUYEN' MAIL 13/1/17</v>
          </cell>
          <cell r="AA3219"/>
          <cell r="AB3219">
            <v>42752</v>
          </cell>
          <cell r="AC3219">
            <v>2682</v>
          </cell>
        </row>
        <row r="3220">
          <cell r="B3220">
            <v>2681</v>
          </cell>
          <cell r="C3220" t="str">
            <v>K-2767</v>
          </cell>
          <cell r="D3220" t="str">
            <v>PLEAT FOIL</v>
          </cell>
          <cell r="E3220"/>
          <cell r="F3220" t="str">
            <v>T 100%</v>
          </cell>
          <cell r="G3220" t="str">
            <v>100% POLYESTER</v>
          </cell>
          <cell r="H3220" t="str">
            <v>57/58</v>
          </cell>
          <cell r="I3220">
            <v>140</v>
          </cell>
          <cell r="J3220">
            <v>3.9</v>
          </cell>
          <cell r="K3220"/>
          <cell r="L3220"/>
          <cell r="M3220"/>
          <cell r="N3220">
            <v>4</v>
          </cell>
          <cell r="O3220"/>
          <cell r="P3220"/>
          <cell r="Q3220"/>
          <cell r="R3220">
            <v>4</v>
          </cell>
          <cell r="S3220"/>
          <cell r="T3220"/>
          <cell r="U3220"/>
          <cell r="V3220">
            <v>15</v>
          </cell>
          <cell r="W3220" t="str">
            <v>Same AMW-2739</v>
          </cell>
          <cell r="X3220" t="str">
            <v>LIVALTEX</v>
          </cell>
          <cell r="Y3220" t="str">
            <v>LINDA 11-JAN</v>
          </cell>
          <cell r="Z3220" t="str">
            <v>LINDA' MAIL 12/1/17</v>
          </cell>
          <cell r="AA3220"/>
          <cell r="AB3220">
            <v>42752</v>
          </cell>
          <cell r="AC3220">
            <v>2681</v>
          </cell>
        </row>
        <row r="3221">
          <cell r="B3221">
            <v>2680</v>
          </cell>
          <cell r="C3221" t="str">
            <v>OLP-171904BX</v>
          </cell>
          <cell r="D3221" t="str">
            <v xml:space="preserve"> COTTON SPANDEX SATEEN</v>
          </cell>
          <cell r="E3221" t="str">
            <v>60x40+40D/193x110</v>
          </cell>
          <cell r="F3221" t="str">
            <v xml:space="preserve">C/S 97/3 </v>
          </cell>
          <cell r="G3221" t="str">
            <v>97%COTTON 3% SPAN</v>
          </cell>
          <cell r="H3221" t="str">
            <v>57/58</v>
          </cell>
          <cell r="I3221">
            <v>172</v>
          </cell>
          <cell r="J3221">
            <v>2.83</v>
          </cell>
          <cell r="K3221">
            <v>3.15</v>
          </cell>
          <cell r="L3221"/>
          <cell r="M3221"/>
          <cell r="N3221">
            <v>2.9</v>
          </cell>
          <cell r="O3221">
            <v>3.25</v>
          </cell>
          <cell r="P3221"/>
          <cell r="Q3221"/>
          <cell r="R3221">
            <v>2.95</v>
          </cell>
          <cell r="S3221">
            <v>3.95</v>
          </cell>
          <cell r="T3221"/>
          <cell r="U3221"/>
          <cell r="V3221">
            <v>15</v>
          </cell>
          <cell r="W3221"/>
          <cell r="X3221" t="str">
            <v>OWEN</v>
          </cell>
          <cell r="Y3221" t="str">
            <v>OWEN 11-JAN</v>
          </cell>
          <cell r="Z3221" t="str">
            <v>SANDY' MAIL 11/1/17</v>
          </cell>
          <cell r="AA3221"/>
          <cell r="AB3221">
            <v>42752</v>
          </cell>
          <cell r="AC3221">
            <v>2680</v>
          </cell>
        </row>
        <row r="3222">
          <cell r="B3222">
            <v>2679</v>
          </cell>
          <cell r="C3222" t="str">
            <v>OLP-171903BX</v>
          </cell>
          <cell r="D3222" t="str">
            <v xml:space="preserve"> COTTON SPANDEX SATEEN</v>
          </cell>
          <cell r="E3222" t="str">
            <v>60x40+40D/230x105</v>
          </cell>
          <cell r="F3222" t="str">
            <v xml:space="preserve">C/S 97/3 </v>
          </cell>
          <cell r="G3222" t="str">
            <v>97%COTTON 3% SPAN</v>
          </cell>
          <cell r="H3222" t="str">
            <v>57/58</v>
          </cell>
          <cell r="I3222">
            <v>170</v>
          </cell>
          <cell r="J3222">
            <v>2.86</v>
          </cell>
          <cell r="K3222">
            <v>3.18</v>
          </cell>
          <cell r="L3222"/>
          <cell r="M3222"/>
          <cell r="N3222">
            <v>2.93</v>
          </cell>
          <cell r="O3222">
            <v>3.32</v>
          </cell>
          <cell r="P3222"/>
          <cell r="Q3222"/>
          <cell r="R3222">
            <v>3.04</v>
          </cell>
          <cell r="S3222">
            <v>3.74</v>
          </cell>
          <cell r="T3222"/>
          <cell r="U3222"/>
          <cell r="V3222">
            <v>15</v>
          </cell>
          <cell r="W3222"/>
          <cell r="X3222" t="str">
            <v>OWEN</v>
          </cell>
          <cell r="Y3222" t="str">
            <v>OWEN 11-JAN</v>
          </cell>
          <cell r="Z3222" t="str">
            <v>SANDY' MAIL 11/1/17</v>
          </cell>
          <cell r="AA3222"/>
          <cell r="AB3222">
            <v>42752</v>
          </cell>
          <cell r="AC3222">
            <v>2679</v>
          </cell>
        </row>
        <row r="3223">
          <cell r="B3223">
            <v>2678</v>
          </cell>
          <cell r="C3223" t="str">
            <v>OLP-171902CY</v>
          </cell>
          <cell r="D3223" t="str">
            <v xml:space="preserve"> COTTON SPANDEX SATEEN</v>
          </cell>
          <cell r="E3223" t="str">
            <v>60x40+40D/250x80</v>
          </cell>
          <cell r="F3223" t="str">
            <v xml:space="preserve">C/S 97/3 </v>
          </cell>
          <cell r="G3223" t="str">
            <v>97%COTTON 3% SPAN</v>
          </cell>
          <cell r="H3223" t="str">
            <v>57/58</v>
          </cell>
          <cell r="I3223">
            <v>150</v>
          </cell>
          <cell r="J3223">
            <v>2.6</v>
          </cell>
          <cell r="K3223">
            <v>2.9</v>
          </cell>
          <cell r="L3223"/>
          <cell r="M3223"/>
          <cell r="N3223">
            <v>2.67</v>
          </cell>
          <cell r="O3223">
            <v>3</v>
          </cell>
          <cell r="P3223"/>
          <cell r="Q3223"/>
          <cell r="R3223">
            <v>2.78</v>
          </cell>
          <cell r="S3223">
            <v>3.7</v>
          </cell>
          <cell r="T3223"/>
          <cell r="U3223"/>
          <cell r="V3223">
            <v>15</v>
          </cell>
          <cell r="W3223"/>
          <cell r="X3223" t="str">
            <v>OWEN</v>
          </cell>
          <cell r="Y3223" t="str">
            <v>OWEN 11-JAN</v>
          </cell>
          <cell r="Z3223" t="str">
            <v>SANDY' MAIL 11/1/17</v>
          </cell>
          <cell r="AA3223"/>
          <cell r="AB3223">
            <v>42752</v>
          </cell>
          <cell r="AC3223">
            <v>2678</v>
          </cell>
        </row>
        <row r="3224">
          <cell r="B3224">
            <v>2677</v>
          </cell>
          <cell r="C3224" t="str">
            <v>OLP-1719TB</v>
          </cell>
          <cell r="D3224" t="str">
            <v xml:space="preserve"> COTTON SPANDEX SATEEN</v>
          </cell>
          <cell r="E3224" t="str">
            <v>60x40+40D/225x110</v>
          </cell>
          <cell r="F3224" t="str">
            <v xml:space="preserve">C/S 97/3 </v>
          </cell>
          <cell r="G3224" t="str">
            <v>97%COTTON 3% SPAN</v>
          </cell>
          <cell r="H3224" t="str">
            <v>57/58</v>
          </cell>
          <cell r="I3224">
            <v>175</v>
          </cell>
          <cell r="J3224">
            <v>2.98</v>
          </cell>
          <cell r="K3224">
            <v>3.34</v>
          </cell>
          <cell r="L3224"/>
          <cell r="M3224"/>
          <cell r="N3224">
            <v>3.05</v>
          </cell>
          <cell r="O3224">
            <v>3.44</v>
          </cell>
          <cell r="P3224"/>
          <cell r="Q3224"/>
          <cell r="R3224">
            <v>3.16</v>
          </cell>
          <cell r="S3224">
            <v>3.86</v>
          </cell>
          <cell r="T3224"/>
          <cell r="U3224"/>
          <cell r="V3224">
            <v>15</v>
          </cell>
          <cell r="W3224"/>
          <cell r="X3224" t="str">
            <v>OWEN</v>
          </cell>
          <cell r="Y3224" t="str">
            <v>OWEN 11-JAN</v>
          </cell>
          <cell r="Z3224" t="str">
            <v>SANDY' MAIL 11/1/17</v>
          </cell>
          <cell r="AA3224"/>
          <cell r="AB3224">
            <v>42752</v>
          </cell>
          <cell r="AC3224">
            <v>2677</v>
          </cell>
        </row>
        <row r="3225">
          <cell r="B3225">
            <v>2676</v>
          </cell>
          <cell r="C3225" t="str">
            <v>RP-281 (RP-297)</v>
          </cell>
          <cell r="D3225" t="str">
            <v>PLAIN</v>
          </cell>
          <cell r="E3225" t="str">
            <v>30 x 30 / 68 x 68</v>
          </cell>
          <cell r="F3225" t="str">
            <v>R 100%</v>
          </cell>
          <cell r="G3225" t="str">
            <v>100% RAYON</v>
          </cell>
          <cell r="H3225" t="str">
            <v>54/55</v>
          </cell>
          <cell r="I3225">
            <v>125</v>
          </cell>
          <cell r="J3225">
            <v>1.4</v>
          </cell>
          <cell r="K3225">
            <v>1.5</v>
          </cell>
          <cell r="L3225"/>
          <cell r="M3225"/>
          <cell r="N3225">
            <v>1.5</v>
          </cell>
          <cell r="O3225">
            <v>1.7</v>
          </cell>
          <cell r="P3225"/>
          <cell r="Q3225"/>
          <cell r="R3225">
            <v>1.7</v>
          </cell>
          <cell r="S3225">
            <v>2.5</v>
          </cell>
          <cell r="T3225"/>
          <cell r="U3225"/>
          <cell r="V3225">
            <v>15</v>
          </cell>
          <cell r="W3225"/>
          <cell r="X3225" t="str">
            <v>LIVALTEX</v>
          </cell>
          <cell r="Y3225" t="str">
            <v>LINDA 09-JAN</v>
          </cell>
          <cell r="Z3225" t="str">
            <v>LINDA' EMAIL 11/1/17</v>
          </cell>
          <cell r="AA3225"/>
          <cell r="AB3225">
            <v>42752</v>
          </cell>
          <cell r="AC3225">
            <v>2676</v>
          </cell>
        </row>
        <row r="3226">
          <cell r="B3226">
            <v>2675</v>
          </cell>
          <cell r="C3226" t="str">
            <v>W-1615</v>
          </cell>
          <cell r="D3226" t="str">
            <v>WOOL DOUBLE LAYER</v>
          </cell>
          <cell r="E3226"/>
          <cell r="F3226" t="str">
            <v>R/T/W 42/35/23</v>
          </cell>
          <cell r="G3226" t="str">
            <v>23% WOOL 42%VISCOSE 35% POLYESTER</v>
          </cell>
          <cell r="H3226" t="str">
            <v>57/58</v>
          </cell>
          <cell r="I3226">
            <v>480</v>
          </cell>
          <cell r="J3226">
            <v>5.7</v>
          </cell>
          <cell r="K3226"/>
          <cell r="L3226"/>
          <cell r="M3226"/>
          <cell r="N3226">
            <v>5.8</v>
          </cell>
          <cell r="O3226"/>
          <cell r="P3226"/>
          <cell r="Q3226"/>
          <cell r="R3226">
            <v>6.2</v>
          </cell>
          <cell r="S3226"/>
          <cell r="T3226"/>
          <cell r="U3226"/>
          <cell r="V3226">
            <v>15</v>
          </cell>
          <cell r="W3226"/>
          <cell r="X3226" t="str">
            <v>LIVALTEX</v>
          </cell>
          <cell r="Y3226" t="str">
            <v>LINDA 09-JAN</v>
          </cell>
          <cell r="Z3226" t="str">
            <v>LINDA' EMAIL 11/1/17</v>
          </cell>
          <cell r="AA3226"/>
          <cell r="AB3226">
            <v>42752</v>
          </cell>
          <cell r="AC3226">
            <v>2675</v>
          </cell>
        </row>
        <row r="3227">
          <cell r="B3227">
            <v>2674</v>
          </cell>
          <cell r="C3227" t="str">
            <v>W-1614</v>
          </cell>
          <cell r="D3227" t="str">
            <v>WOOL DOUBLE LAYER</v>
          </cell>
          <cell r="E3227"/>
          <cell r="F3227" t="str">
            <v>50%WOOL 50% SYNTHETIC</v>
          </cell>
          <cell r="G3227" t="str">
            <v>50%WOOL 50% SYNTHETIC</v>
          </cell>
          <cell r="H3227" t="str">
            <v>50/51</v>
          </cell>
          <cell r="I3227">
            <v>500</v>
          </cell>
          <cell r="J3227">
            <v>10.199999999999999</v>
          </cell>
          <cell r="K3227"/>
          <cell r="L3227"/>
          <cell r="M3227"/>
          <cell r="N3227">
            <v>10.3</v>
          </cell>
          <cell r="O3227"/>
          <cell r="P3227"/>
          <cell r="Q3227"/>
          <cell r="R3227">
            <v>10.7</v>
          </cell>
          <cell r="S3227"/>
          <cell r="T3227"/>
          <cell r="U3227"/>
          <cell r="V3227">
            <v>15</v>
          </cell>
          <cell r="W3227"/>
          <cell r="X3227" t="str">
            <v>LIVALTEX</v>
          </cell>
          <cell r="Y3227" t="str">
            <v>LINDA 09-JAN</v>
          </cell>
          <cell r="Z3227" t="str">
            <v>LINDA' EMAIL 11/1/17</v>
          </cell>
          <cell r="AA3227"/>
          <cell r="AB3227">
            <v>42752</v>
          </cell>
          <cell r="AC3227">
            <v>2674</v>
          </cell>
        </row>
        <row r="3228">
          <cell r="B3228">
            <v>2673</v>
          </cell>
          <cell r="C3228" t="str">
            <v>W-1613</v>
          </cell>
          <cell r="D3228" t="str">
            <v>WOOL DOUBLE LAYER</v>
          </cell>
          <cell r="E3228"/>
          <cell r="F3228" t="str">
            <v>17% WOOL 33% VISCOSE 50%POLY</v>
          </cell>
          <cell r="G3228" t="str">
            <v>17% WOOL 33% VISCOSE 50%POLYESTER</v>
          </cell>
          <cell r="H3228" t="str">
            <v>57/58</v>
          </cell>
          <cell r="I3228">
            <v>450</v>
          </cell>
          <cell r="J3228">
            <v>6</v>
          </cell>
          <cell r="K3228"/>
          <cell r="L3228"/>
          <cell r="M3228"/>
          <cell r="N3228">
            <v>6.1</v>
          </cell>
          <cell r="O3228"/>
          <cell r="P3228"/>
          <cell r="Q3228"/>
          <cell r="R3228">
            <v>6.5</v>
          </cell>
          <cell r="S3228"/>
          <cell r="T3228"/>
          <cell r="U3228"/>
          <cell r="V3228">
            <v>15</v>
          </cell>
          <cell r="W3228"/>
          <cell r="X3228" t="str">
            <v>LIVALTEX</v>
          </cell>
          <cell r="Y3228" t="str">
            <v>LINDA 09-JAN</v>
          </cell>
          <cell r="Z3228" t="str">
            <v>LINDA' EMAIL 11/1/17</v>
          </cell>
          <cell r="AA3228"/>
          <cell r="AB3228">
            <v>42752</v>
          </cell>
          <cell r="AC3228">
            <v>2673</v>
          </cell>
        </row>
        <row r="3229">
          <cell r="B3229">
            <v>2672</v>
          </cell>
          <cell r="C3229" t="str">
            <v>W-1612</v>
          </cell>
          <cell r="D3229" t="str">
            <v>WOOL DOUBLE LAYER</v>
          </cell>
          <cell r="E3229"/>
          <cell r="F3229" t="str">
            <v>8%WOOL 30%POLY 62%ARCRYLIC</v>
          </cell>
          <cell r="G3229" t="str">
            <v>8%WOOL 30%POLYESTER 62%ARCRYLIC</v>
          </cell>
          <cell r="H3229" t="str">
            <v>57/58</v>
          </cell>
          <cell r="I3229">
            <v>520</v>
          </cell>
          <cell r="J3229">
            <v>6</v>
          </cell>
          <cell r="K3229"/>
          <cell r="L3229"/>
          <cell r="M3229"/>
          <cell r="N3229">
            <v>6.1</v>
          </cell>
          <cell r="O3229"/>
          <cell r="P3229"/>
          <cell r="Q3229"/>
          <cell r="R3229">
            <v>6.5</v>
          </cell>
          <cell r="S3229"/>
          <cell r="T3229"/>
          <cell r="U3229"/>
          <cell r="V3229">
            <v>15</v>
          </cell>
          <cell r="W3229"/>
          <cell r="X3229" t="str">
            <v>LIVALTEX</v>
          </cell>
          <cell r="Y3229" t="str">
            <v>LINDA 09-JAN</v>
          </cell>
          <cell r="Z3229" t="str">
            <v>LINDA' EMAIL 11/1/17</v>
          </cell>
          <cell r="AA3229"/>
          <cell r="AB3229">
            <v>42752</v>
          </cell>
          <cell r="AC3229">
            <v>2672</v>
          </cell>
        </row>
        <row r="3230">
          <cell r="B3230">
            <v>2671</v>
          </cell>
          <cell r="C3230" t="str">
            <v>W-1611</v>
          </cell>
          <cell r="D3230" t="str">
            <v>WOOL DOUBLE LAYER</v>
          </cell>
          <cell r="E3230"/>
          <cell r="F3230" t="str">
            <v>35%WOOL 65%POLY</v>
          </cell>
          <cell r="G3230" t="str">
            <v>35%WOOL 65%POLYESTER</v>
          </cell>
          <cell r="H3230" t="str">
            <v>57/58</v>
          </cell>
          <cell r="I3230">
            <v>480</v>
          </cell>
          <cell r="J3230">
            <v>6.5</v>
          </cell>
          <cell r="K3230"/>
          <cell r="L3230"/>
          <cell r="M3230"/>
          <cell r="N3230">
            <v>6.6</v>
          </cell>
          <cell r="O3230"/>
          <cell r="P3230"/>
          <cell r="Q3230"/>
          <cell r="R3230">
            <v>7</v>
          </cell>
          <cell r="S3230"/>
          <cell r="T3230"/>
          <cell r="U3230"/>
          <cell r="V3230">
            <v>15</v>
          </cell>
          <cell r="W3230"/>
          <cell r="X3230" t="str">
            <v>LIVALTEX</v>
          </cell>
          <cell r="Y3230" t="str">
            <v>LINDA 09-JAN</v>
          </cell>
          <cell r="Z3230" t="str">
            <v>LINDA' EMAIL 11/1/17</v>
          </cell>
          <cell r="AA3230"/>
          <cell r="AB3230">
            <v>42752</v>
          </cell>
          <cell r="AC3230">
            <v>2671</v>
          </cell>
        </row>
        <row r="3231">
          <cell r="B3231">
            <v>2670</v>
          </cell>
          <cell r="C3231" t="str">
            <v>W-1610</v>
          </cell>
          <cell r="D3231" t="str">
            <v>WOOL DOUBLE LAYER</v>
          </cell>
          <cell r="E3231"/>
          <cell r="F3231" t="str">
            <v>40%WOOL 60%POLY</v>
          </cell>
          <cell r="G3231" t="str">
            <v>40%WOOL 60%POLYESTER</v>
          </cell>
          <cell r="H3231" t="str">
            <v>57/58</v>
          </cell>
          <cell r="I3231">
            <v>450</v>
          </cell>
          <cell r="J3231">
            <v>9.6</v>
          </cell>
          <cell r="K3231"/>
          <cell r="L3231"/>
          <cell r="M3231"/>
          <cell r="N3231">
            <v>9.6999999999999993</v>
          </cell>
          <cell r="O3231"/>
          <cell r="P3231"/>
          <cell r="Q3231"/>
          <cell r="R3231">
            <v>10.1</v>
          </cell>
          <cell r="S3231"/>
          <cell r="T3231"/>
          <cell r="U3231"/>
          <cell r="V3231">
            <v>15</v>
          </cell>
          <cell r="W3231"/>
          <cell r="X3231" t="str">
            <v>LIVALTEX</v>
          </cell>
          <cell r="Y3231" t="str">
            <v>LINDA 09-JAN</v>
          </cell>
          <cell r="Z3231" t="str">
            <v>LINDA' EMAIL 11/1/17</v>
          </cell>
          <cell r="AA3231"/>
          <cell r="AB3231">
            <v>42752</v>
          </cell>
          <cell r="AC3231">
            <v>2670</v>
          </cell>
        </row>
        <row r="3232">
          <cell r="B3232">
            <v>2669</v>
          </cell>
          <cell r="C3232" t="str">
            <v>W-1609</v>
          </cell>
          <cell r="D3232" t="str">
            <v>WOOL DOUBLE LAYER</v>
          </cell>
          <cell r="E3232"/>
          <cell r="F3232" t="str">
            <v>30%WOOL 70%POLY</v>
          </cell>
          <cell r="G3232" t="str">
            <v>30%WOOL 70%POLYESTER</v>
          </cell>
          <cell r="H3232" t="str">
            <v>57/58</v>
          </cell>
          <cell r="I3232">
            <v>530</v>
          </cell>
          <cell r="J3232">
            <v>9.6999999999999993</v>
          </cell>
          <cell r="K3232"/>
          <cell r="L3232"/>
          <cell r="M3232"/>
          <cell r="N3232">
            <v>9.8000000000000007</v>
          </cell>
          <cell r="O3232"/>
          <cell r="P3232"/>
          <cell r="Q3232"/>
          <cell r="R3232">
            <v>10.199999999999999</v>
          </cell>
          <cell r="S3232"/>
          <cell r="T3232"/>
          <cell r="U3232"/>
          <cell r="V3232">
            <v>15</v>
          </cell>
          <cell r="W3232"/>
          <cell r="X3232" t="str">
            <v>LIVALTEX</v>
          </cell>
          <cell r="Y3232" t="str">
            <v>LINDA 09-JAN</v>
          </cell>
          <cell r="Z3232" t="str">
            <v>LINDA' EMAIL 11/1/17</v>
          </cell>
          <cell r="AA3232"/>
          <cell r="AB3232">
            <v>42752</v>
          </cell>
          <cell r="AC3232">
            <v>2669</v>
          </cell>
        </row>
        <row r="3233">
          <cell r="B3233">
            <v>2668</v>
          </cell>
          <cell r="C3233" t="str">
            <v>W-1608</v>
          </cell>
          <cell r="D3233" t="str">
            <v>WOOL DOUBLE LAYER</v>
          </cell>
          <cell r="E3233"/>
          <cell r="F3233" t="str">
            <v>50%WOOL 50% SYNTHETIC</v>
          </cell>
          <cell r="G3233" t="str">
            <v>50%WOOL 50% SYNTHETIC</v>
          </cell>
          <cell r="H3233" t="str">
            <v>57/58</v>
          </cell>
          <cell r="I3233">
            <v>550</v>
          </cell>
          <cell r="J3233">
            <v>7.7</v>
          </cell>
          <cell r="K3233"/>
          <cell r="L3233"/>
          <cell r="M3233"/>
          <cell r="N3233">
            <v>7.8</v>
          </cell>
          <cell r="O3233"/>
          <cell r="P3233"/>
          <cell r="Q3233"/>
          <cell r="R3233">
            <v>8.1999999999999993</v>
          </cell>
          <cell r="S3233"/>
          <cell r="T3233"/>
          <cell r="U3233"/>
          <cell r="V3233">
            <v>15</v>
          </cell>
          <cell r="W3233"/>
          <cell r="X3233" t="str">
            <v>LIVALTEX</v>
          </cell>
          <cell r="Y3233" t="str">
            <v>LINDA 09-JAN</v>
          </cell>
          <cell r="Z3233" t="str">
            <v>LINDA' EMAIL 11/1/17</v>
          </cell>
          <cell r="AA3233"/>
          <cell r="AB3233">
            <v>42752</v>
          </cell>
          <cell r="AC3233">
            <v>2668</v>
          </cell>
        </row>
        <row r="3234">
          <cell r="B3234">
            <v>2667</v>
          </cell>
          <cell r="C3234" t="str">
            <v>W-1606</v>
          </cell>
          <cell r="D3234" t="str">
            <v>WOOL YARNDYED DOUBLE LAYER</v>
          </cell>
          <cell r="E3234"/>
          <cell r="F3234" t="str">
            <v>50%W 50% SYNTHETIC</v>
          </cell>
          <cell r="G3234" t="str">
            <v>50%WOOL 50% SYNTHETIC</v>
          </cell>
          <cell r="H3234" t="str">
            <v>57/58</v>
          </cell>
          <cell r="I3234">
            <v>600</v>
          </cell>
          <cell r="J3234">
            <v>9.6999999999999993</v>
          </cell>
          <cell r="K3234"/>
          <cell r="L3234"/>
          <cell r="M3234"/>
          <cell r="N3234">
            <v>9.8000000000000007</v>
          </cell>
          <cell r="O3234"/>
          <cell r="P3234"/>
          <cell r="Q3234"/>
          <cell r="R3234">
            <v>10.199999999999999</v>
          </cell>
          <cell r="S3234"/>
          <cell r="T3234"/>
          <cell r="U3234"/>
          <cell r="V3234">
            <v>15</v>
          </cell>
          <cell r="W3234"/>
          <cell r="X3234" t="str">
            <v>LIVALTEX</v>
          </cell>
          <cell r="Y3234" t="str">
            <v>LINDA 09-JAN</v>
          </cell>
          <cell r="Z3234" t="str">
            <v>LINDA' EMAIL 11/1/17</v>
          </cell>
          <cell r="AA3234"/>
          <cell r="AB3234">
            <v>42752</v>
          </cell>
          <cell r="AC3234">
            <v>2667</v>
          </cell>
        </row>
        <row r="3235">
          <cell r="B3235">
            <v>2666</v>
          </cell>
          <cell r="C3235" t="str">
            <v>W-1605</v>
          </cell>
          <cell r="D3235" t="str">
            <v>WOOL YARNDYED</v>
          </cell>
          <cell r="E3235"/>
          <cell r="F3235" t="str">
            <v>T/A/W 40/40/20</v>
          </cell>
          <cell r="G3235" t="str">
            <v>20%WOOL 40%POLYESTER 40%ARCRYLIC</v>
          </cell>
          <cell r="H3235" t="str">
            <v>57/58</v>
          </cell>
          <cell r="I3235">
            <v>300</v>
          </cell>
          <cell r="J3235">
            <v>7.1</v>
          </cell>
          <cell r="K3235"/>
          <cell r="L3235"/>
          <cell r="M3235"/>
          <cell r="N3235">
            <v>7.2</v>
          </cell>
          <cell r="O3235"/>
          <cell r="P3235"/>
          <cell r="Q3235"/>
          <cell r="R3235">
            <v>7.6</v>
          </cell>
          <cell r="S3235"/>
          <cell r="T3235"/>
          <cell r="U3235"/>
          <cell r="V3235">
            <v>15</v>
          </cell>
          <cell r="W3235"/>
          <cell r="X3235" t="str">
            <v>LIVALTEX</v>
          </cell>
          <cell r="Y3235" t="str">
            <v>LINDA 09-JAN</v>
          </cell>
          <cell r="Z3235" t="str">
            <v>LINDA' EMAIL 11/1/17</v>
          </cell>
          <cell r="AA3235"/>
          <cell r="AB3235">
            <v>42752</v>
          </cell>
          <cell r="AC3235">
            <v>2666</v>
          </cell>
        </row>
        <row r="3236">
          <cell r="B3236">
            <v>2665</v>
          </cell>
          <cell r="C3236" t="str">
            <v>W-1607</v>
          </cell>
          <cell r="D3236" t="str">
            <v>WOOL YARNDYED DOUBLE LAYER</v>
          </cell>
          <cell r="E3236"/>
          <cell r="F3236" t="str">
            <v>30%W 70%SYNTHETIC</v>
          </cell>
          <cell r="G3236" t="str">
            <v>30%WOOL 70%SYNTHETIC</v>
          </cell>
          <cell r="H3236" t="str">
            <v>57/58</v>
          </cell>
          <cell r="I3236">
            <v>520</v>
          </cell>
          <cell r="J3236">
            <v>7.7</v>
          </cell>
          <cell r="K3236"/>
          <cell r="L3236"/>
          <cell r="M3236"/>
          <cell r="N3236">
            <v>7.8</v>
          </cell>
          <cell r="O3236"/>
          <cell r="P3236"/>
          <cell r="Q3236"/>
          <cell r="R3236">
            <v>8.1999999999999993</v>
          </cell>
          <cell r="S3236"/>
          <cell r="T3236"/>
          <cell r="U3236"/>
          <cell r="V3236">
            <v>15</v>
          </cell>
          <cell r="W3236"/>
          <cell r="X3236" t="str">
            <v>LIVALTEX</v>
          </cell>
          <cell r="Y3236" t="str">
            <v>LINDA 09-JAN</v>
          </cell>
          <cell r="Z3236" t="str">
            <v>LINDA' EMAIL 11/1/17</v>
          </cell>
          <cell r="AA3236"/>
          <cell r="AB3236">
            <v>42752</v>
          </cell>
          <cell r="AC3236">
            <v>2665</v>
          </cell>
        </row>
        <row r="3237">
          <cell r="B3237">
            <v>2664</v>
          </cell>
          <cell r="C3237" t="str">
            <v>TCPS-189</v>
          </cell>
          <cell r="D3237"/>
          <cell r="E3237" t="str">
            <v xml:space="preserve"> 32'S x 150D + 40D / 160 x 96</v>
          </cell>
          <cell r="F3237" t="str">
            <v>T/C/S 57/40/3</v>
          </cell>
          <cell r="G3237" t="str">
            <v>57% POLYESTER 40% COTTON 3% SPAN</v>
          </cell>
          <cell r="H3237" t="str">
            <v>57/58</v>
          </cell>
          <cell r="I3237">
            <v>200</v>
          </cell>
          <cell r="J3237">
            <v>3.1</v>
          </cell>
          <cell r="K3237"/>
          <cell r="L3237"/>
          <cell r="M3237"/>
          <cell r="N3237">
            <v>3.2</v>
          </cell>
          <cell r="O3237"/>
          <cell r="P3237"/>
          <cell r="Q3237"/>
          <cell r="R3237">
            <v>3.6</v>
          </cell>
          <cell r="S3237"/>
          <cell r="T3237"/>
          <cell r="U3237"/>
          <cell r="V3237">
            <v>15</v>
          </cell>
          <cell r="W3237"/>
          <cell r="X3237" t="str">
            <v>LIVALTEX</v>
          </cell>
          <cell r="Y3237" t="str">
            <v>LINDA 09-JAN</v>
          </cell>
          <cell r="Z3237" t="str">
            <v>LINDA' EMAIL 11/1/17</v>
          </cell>
          <cell r="AA3237"/>
          <cell r="AB3237">
            <v>42752</v>
          </cell>
          <cell r="AC3237">
            <v>2664</v>
          </cell>
        </row>
        <row r="3238">
          <cell r="B3238">
            <v>2663</v>
          </cell>
          <cell r="C3238" t="str">
            <v>TCP-485</v>
          </cell>
          <cell r="D3238"/>
          <cell r="E3238"/>
          <cell r="F3238" t="str">
            <v>52%COTTON 48%POLY</v>
          </cell>
          <cell r="G3238" t="str">
            <v>52%COTTON 48%POLYESTER</v>
          </cell>
          <cell r="H3238" t="str">
            <v>57/58</v>
          </cell>
          <cell r="I3238">
            <v>200</v>
          </cell>
          <cell r="J3238">
            <v>2.62</v>
          </cell>
          <cell r="K3238"/>
          <cell r="L3238"/>
          <cell r="M3238"/>
          <cell r="N3238">
            <v>2.72</v>
          </cell>
          <cell r="O3238"/>
          <cell r="P3238"/>
          <cell r="Q3238"/>
          <cell r="R3238">
            <v>3.12</v>
          </cell>
          <cell r="S3238"/>
          <cell r="T3238"/>
          <cell r="U3238"/>
          <cell r="V3238">
            <v>15</v>
          </cell>
          <cell r="W3238"/>
          <cell r="X3238" t="str">
            <v>LIVALTEX</v>
          </cell>
          <cell r="Y3238" t="str">
            <v>LINDA 09-JAN</v>
          </cell>
          <cell r="Z3238" t="str">
            <v>LINDA' EMAIL 11/1/17</v>
          </cell>
          <cell r="AA3238"/>
          <cell r="AB3238">
            <v>42752</v>
          </cell>
          <cell r="AC3238">
            <v>2663</v>
          </cell>
        </row>
        <row r="3239">
          <cell r="B3239">
            <v>2662</v>
          </cell>
          <cell r="C3239" t="str">
            <v>NP-571</v>
          </cell>
          <cell r="D3239"/>
          <cell r="E3239"/>
          <cell r="F3239" t="str">
            <v>49%NYLON 51%COTTON</v>
          </cell>
          <cell r="G3239" t="str">
            <v>49%NYLON 51%COTTON</v>
          </cell>
          <cell r="H3239" t="str">
            <v>57/58</v>
          </cell>
          <cell r="I3239">
            <v>152</v>
          </cell>
          <cell r="J3239">
            <v>2.65</v>
          </cell>
          <cell r="K3239"/>
          <cell r="L3239"/>
          <cell r="M3239"/>
          <cell r="N3239">
            <v>2.75</v>
          </cell>
          <cell r="O3239"/>
          <cell r="P3239"/>
          <cell r="Q3239"/>
          <cell r="R3239">
            <v>3.15</v>
          </cell>
          <cell r="S3239"/>
          <cell r="T3239"/>
          <cell r="U3239"/>
          <cell r="V3239">
            <v>15</v>
          </cell>
          <cell r="W3239"/>
          <cell r="X3239" t="str">
            <v>LIVALTEX</v>
          </cell>
          <cell r="Y3239" t="str">
            <v>LINDA 09-JAN</v>
          </cell>
          <cell r="Z3239" t="str">
            <v>LINDA' EMAIL 11/1/17</v>
          </cell>
          <cell r="AA3239"/>
          <cell r="AB3239">
            <v>42752</v>
          </cell>
          <cell r="AC3239">
            <v>2662</v>
          </cell>
        </row>
        <row r="3240">
          <cell r="B3240">
            <v>2661</v>
          </cell>
          <cell r="C3240" t="str">
            <v>K2759</v>
          </cell>
          <cell r="D3240"/>
          <cell r="E3240"/>
          <cell r="F3240" t="str">
            <v>50%POLY 50%NYLON</v>
          </cell>
          <cell r="G3240" t="str">
            <v>50%POLYESTER 50%NYLON</v>
          </cell>
          <cell r="H3240" t="str">
            <v>57/58</v>
          </cell>
          <cell r="I3240">
            <v>450</v>
          </cell>
          <cell r="J3240">
            <v>5</v>
          </cell>
          <cell r="K3240"/>
          <cell r="L3240"/>
          <cell r="M3240"/>
          <cell r="N3240">
            <v>5.0999999999999996</v>
          </cell>
          <cell r="O3240"/>
          <cell r="P3240"/>
          <cell r="Q3240"/>
          <cell r="R3240">
            <v>5.5</v>
          </cell>
          <cell r="S3240"/>
          <cell r="T3240"/>
          <cell r="U3240"/>
          <cell r="V3240">
            <v>15</v>
          </cell>
          <cell r="W3240"/>
          <cell r="X3240" t="str">
            <v>LIVALTEX</v>
          </cell>
          <cell r="Y3240" t="str">
            <v>LINDA 09-JAN</v>
          </cell>
          <cell r="Z3240" t="str">
            <v>LINDA' EMAIL 11/1/17</v>
          </cell>
          <cell r="AA3240"/>
          <cell r="AB3240">
            <v>42752</v>
          </cell>
          <cell r="AC3240">
            <v>2661</v>
          </cell>
        </row>
        <row r="3241">
          <cell r="B3241">
            <v>2660</v>
          </cell>
          <cell r="C3241" t="str">
            <v>FPS-151</v>
          </cell>
          <cell r="D3241"/>
          <cell r="E3241" t="str">
            <v>9 x 9 + 70D</v>
          </cell>
          <cell r="F3241" t="str">
            <v>L/R/S 52/45/3</v>
          </cell>
          <cell r="G3241" t="str">
            <v>52%LINEN 45%RAYON 3%SPAN - 9 x 9 + 70D</v>
          </cell>
          <cell r="H3241" t="str">
            <v>48/50</v>
          </cell>
          <cell r="I3241">
            <v>220</v>
          </cell>
          <cell r="J3241">
            <v>3.05</v>
          </cell>
          <cell r="K3241">
            <v>3.35</v>
          </cell>
          <cell r="L3241"/>
          <cell r="M3241"/>
          <cell r="N3241">
            <v>3.15</v>
          </cell>
          <cell r="O3241">
            <v>3.65</v>
          </cell>
          <cell r="P3241"/>
          <cell r="Q3241"/>
          <cell r="R3241">
            <v>3.55</v>
          </cell>
          <cell r="S3241">
            <v>4.55</v>
          </cell>
          <cell r="T3241"/>
          <cell r="U3241"/>
          <cell r="V3241">
            <v>15</v>
          </cell>
          <cell r="W3241"/>
          <cell r="X3241" t="str">
            <v>LIVALTEX</v>
          </cell>
          <cell r="Y3241" t="str">
            <v>LINDA 09-JAN</v>
          </cell>
          <cell r="Z3241" t="str">
            <v>LINDA' EMAIL 11/1/17</v>
          </cell>
          <cell r="AA3241"/>
          <cell r="AB3241">
            <v>42752</v>
          </cell>
          <cell r="AC3241">
            <v>2660</v>
          </cell>
        </row>
        <row r="3242">
          <cell r="B3242">
            <v>2659</v>
          </cell>
          <cell r="C3242" t="str">
            <v>FPS-150</v>
          </cell>
          <cell r="D3242"/>
          <cell r="E3242" t="str">
            <v>9 x 9 + 70D</v>
          </cell>
          <cell r="F3242" t="str">
            <v>L/R/S 52/45/3</v>
          </cell>
          <cell r="G3242" t="str">
            <v>52%LINEN 45%RAYON 3%SPAN - 9 x 9 + 70D</v>
          </cell>
          <cell r="H3242" t="str">
            <v>48/50</v>
          </cell>
          <cell r="I3242">
            <v>245</v>
          </cell>
          <cell r="J3242">
            <v>3.1</v>
          </cell>
          <cell r="K3242">
            <v>3.4</v>
          </cell>
          <cell r="L3242"/>
          <cell r="M3242"/>
          <cell r="N3242">
            <v>3.2</v>
          </cell>
          <cell r="O3242">
            <v>3.7</v>
          </cell>
          <cell r="P3242"/>
          <cell r="Q3242"/>
          <cell r="R3242">
            <v>3.6</v>
          </cell>
          <cell r="S3242">
            <v>4.5999999999999996</v>
          </cell>
          <cell r="T3242"/>
          <cell r="U3242"/>
          <cell r="V3242">
            <v>15</v>
          </cell>
          <cell r="W3242"/>
          <cell r="X3242" t="str">
            <v>LIVALTEX</v>
          </cell>
          <cell r="Y3242" t="str">
            <v>LINDA 09-JAN</v>
          </cell>
          <cell r="Z3242" t="str">
            <v>LINDA' EMAIL 11/1/17</v>
          </cell>
          <cell r="AA3242"/>
          <cell r="AB3242">
            <v>42752</v>
          </cell>
          <cell r="AC3242">
            <v>2659</v>
          </cell>
        </row>
        <row r="3243">
          <cell r="B3243">
            <v>2427</v>
          </cell>
          <cell r="C3243" t="str">
            <v>M12192</v>
          </cell>
          <cell r="D3243" t="str">
            <v>RUFFLE</v>
          </cell>
          <cell r="E3243"/>
          <cell r="F3243" t="str">
            <v>T 100%</v>
          </cell>
          <cell r="G3243" t="str">
            <v>100% POLYESTER</v>
          </cell>
          <cell r="H3243" t="str">
            <v>57/58</v>
          </cell>
          <cell r="I3243">
            <v>137</v>
          </cell>
          <cell r="J3243">
            <v>1.1200000000000001</v>
          </cell>
          <cell r="K3243">
            <v>1.28</v>
          </cell>
          <cell r="L3243"/>
          <cell r="M3243"/>
          <cell r="N3243">
            <v>1.2</v>
          </cell>
          <cell r="O3243">
            <v>1.36</v>
          </cell>
          <cell r="P3243"/>
          <cell r="Q3243"/>
          <cell r="R3243">
            <v>1.48</v>
          </cell>
          <cell r="S3243"/>
          <cell r="T3243"/>
          <cell r="U3243"/>
          <cell r="V3243">
            <v>15</v>
          </cell>
          <cell r="W3243" t="str">
            <v>2362 AND 2427 ARE THE SAME, DIFFERENCE WEIGHT</v>
          </cell>
          <cell r="X3243" t="str">
            <v>MARY</v>
          </cell>
          <cell r="Y3243" t="str">
            <v>MARY 16-JAN</v>
          </cell>
          <cell r="Z3243" t="str">
            <v>MARY' MAIL 17/1/17</v>
          </cell>
          <cell r="AA3243"/>
          <cell r="AB3243">
            <v>42752</v>
          </cell>
          <cell r="AC3243">
            <v>2427</v>
          </cell>
        </row>
        <row r="3244">
          <cell r="B3244">
            <v>2420</v>
          </cell>
          <cell r="C3244" t="str">
            <v>M12565</v>
          </cell>
          <cell r="D3244" t="str">
            <v>RUFFLE</v>
          </cell>
          <cell r="E3244"/>
          <cell r="F3244" t="str">
            <v>T 100%</v>
          </cell>
          <cell r="G3244" t="str">
            <v>100% POLYESTER</v>
          </cell>
          <cell r="H3244" t="str">
            <v>57/58</v>
          </cell>
          <cell r="I3244">
            <v>230</v>
          </cell>
          <cell r="J3244">
            <v>1.46</v>
          </cell>
          <cell r="K3244">
            <v>1.6</v>
          </cell>
          <cell r="L3244"/>
          <cell r="M3244"/>
          <cell r="N3244">
            <v>1.53</v>
          </cell>
          <cell r="O3244">
            <v>1.68</v>
          </cell>
          <cell r="P3244"/>
          <cell r="Q3244"/>
          <cell r="R3244">
            <v>1.8</v>
          </cell>
          <cell r="S3244"/>
          <cell r="T3244"/>
          <cell r="U3244"/>
          <cell r="V3244">
            <v>15</v>
          </cell>
          <cell r="W3244" t="str">
            <v>our actual article number is M12565.pls follow this number</v>
          </cell>
          <cell r="X3244" t="str">
            <v>MARY</v>
          </cell>
          <cell r="Y3244" t="str">
            <v>MARY 16-JAN</v>
          </cell>
          <cell r="Z3244" t="str">
            <v>MARY' MAIL 17/1/17</v>
          </cell>
          <cell r="AA3244"/>
          <cell r="AB3244">
            <v>42752</v>
          </cell>
          <cell r="AC3244">
            <v>2420</v>
          </cell>
        </row>
        <row r="3245">
          <cell r="B3245">
            <v>2414</v>
          </cell>
          <cell r="C3245" t="str">
            <v>M11669</v>
          </cell>
          <cell r="D3245" t="str">
            <v>RUFFLE</v>
          </cell>
          <cell r="E3245"/>
          <cell r="F3245" t="str">
            <v>T/S 90/10</v>
          </cell>
          <cell r="G3245" t="str">
            <v>90% POLYESTER 10% SPAN</v>
          </cell>
          <cell r="H3245" t="str">
            <v>57/58</v>
          </cell>
          <cell r="I3245">
            <v>138</v>
          </cell>
          <cell r="J3245">
            <v>1.1200000000000001</v>
          </cell>
          <cell r="K3245">
            <v>1.28</v>
          </cell>
          <cell r="L3245"/>
          <cell r="M3245"/>
          <cell r="N3245">
            <v>1.2</v>
          </cell>
          <cell r="O3245">
            <v>1.36</v>
          </cell>
          <cell r="P3245"/>
          <cell r="Q3245"/>
          <cell r="R3245">
            <v>1.48</v>
          </cell>
          <cell r="S3245"/>
          <cell r="T3245"/>
          <cell r="U3245"/>
          <cell r="V3245">
            <v>15</v>
          </cell>
          <cell r="W3245"/>
          <cell r="X3245" t="str">
            <v>MARY</v>
          </cell>
          <cell r="Y3245" t="str">
            <v>MARY 16-JAN</v>
          </cell>
          <cell r="Z3245" t="str">
            <v>MARY' MAIL 17/1/17</v>
          </cell>
          <cell r="AA3245"/>
          <cell r="AB3245">
            <v>42752</v>
          </cell>
          <cell r="AC3245">
            <v>2414</v>
          </cell>
        </row>
        <row r="3246">
          <cell r="B3246">
            <v>2388</v>
          </cell>
          <cell r="C3246" t="str">
            <v>M11720</v>
          </cell>
          <cell r="D3246" t="str">
            <v>CRINKLE</v>
          </cell>
          <cell r="E3246"/>
          <cell r="F3246" t="str">
            <v>R 100%</v>
          </cell>
          <cell r="G3246" t="str">
            <v>100% RAYON</v>
          </cell>
          <cell r="H3246" t="str">
            <v>53/54</v>
          </cell>
          <cell r="I3246">
            <v>126</v>
          </cell>
          <cell r="J3246">
            <v>1.65</v>
          </cell>
          <cell r="K3246">
            <v>1.79</v>
          </cell>
          <cell r="L3246"/>
          <cell r="M3246"/>
          <cell r="N3246">
            <v>1.73</v>
          </cell>
          <cell r="O3246">
            <v>1.87</v>
          </cell>
          <cell r="P3246"/>
          <cell r="Q3246"/>
          <cell r="R3246">
            <v>2</v>
          </cell>
          <cell r="S3246"/>
          <cell r="T3246"/>
          <cell r="U3246"/>
          <cell r="V3246">
            <v>15</v>
          </cell>
          <cell r="W3246"/>
          <cell r="X3246" t="str">
            <v>MARY</v>
          </cell>
          <cell r="Y3246" t="str">
            <v>MARY 16-JAN</v>
          </cell>
          <cell r="Z3246" t="str">
            <v>MARY' MAIL 17/1/17</v>
          </cell>
          <cell r="AA3246"/>
          <cell r="AB3246">
            <v>42752</v>
          </cell>
          <cell r="AC3246">
            <v>2388</v>
          </cell>
        </row>
        <row r="3247">
          <cell r="B3247">
            <v>2373</v>
          </cell>
          <cell r="C3247" t="str">
            <v>M12184</v>
          </cell>
          <cell r="D3247"/>
          <cell r="E3247" t="str">
            <v xml:space="preserve"> 45X45/100X80</v>
          </cell>
          <cell r="F3247" t="str">
            <v>R 100%</v>
          </cell>
          <cell r="G3247" t="str">
            <v>100% RAYON</v>
          </cell>
          <cell r="H3247" t="str">
            <v>55/56</v>
          </cell>
          <cell r="I3247">
            <v>107</v>
          </cell>
          <cell r="J3247">
            <v>1.28</v>
          </cell>
          <cell r="K3247">
            <v>1.28</v>
          </cell>
          <cell r="L3247">
            <v>1.39</v>
          </cell>
          <cell r="M3247">
            <v>1.32</v>
          </cell>
          <cell r="N3247">
            <v>1.35</v>
          </cell>
          <cell r="O3247">
            <v>1.48</v>
          </cell>
          <cell r="P3247"/>
          <cell r="Q3247"/>
          <cell r="R3247"/>
          <cell r="S3247"/>
          <cell r="T3247"/>
          <cell r="U3247"/>
          <cell r="V3247"/>
          <cell r="W3247"/>
          <cell r="X3247" t="str">
            <v>MARY</v>
          </cell>
          <cell r="Y3247" t="str">
            <v>MARY 4-JAN</v>
          </cell>
          <cell r="Z3247" t="str">
            <v>MARY' MAIL 4/1/17</v>
          </cell>
          <cell r="AA3247"/>
          <cell r="AB3247">
            <v>42752</v>
          </cell>
          <cell r="AC3247">
            <v>2373</v>
          </cell>
        </row>
        <row r="3248">
          <cell r="B3248">
            <v>2362</v>
          </cell>
          <cell r="C3248" t="str">
            <v>M12192</v>
          </cell>
          <cell r="D3248" t="str">
            <v>RUFFLE</v>
          </cell>
          <cell r="E3248" t="str">
            <v xml:space="preserve">32 x 140D </v>
          </cell>
          <cell r="F3248" t="str">
            <v>T 100%</v>
          </cell>
          <cell r="G3248" t="str">
            <v>100% POLYESTER</v>
          </cell>
          <cell r="H3248" t="str">
            <v>57/58</v>
          </cell>
          <cell r="I3248">
            <v>127</v>
          </cell>
          <cell r="J3248">
            <v>1.1200000000000001</v>
          </cell>
          <cell r="K3248">
            <v>1.28</v>
          </cell>
          <cell r="L3248"/>
          <cell r="M3248"/>
          <cell r="N3248">
            <v>1.2</v>
          </cell>
          <cell r="O3248">
            <v>1.36</v>
          </cell>
          <cell r="P3248"/>
          <cell r="Q3248"/>
          <cell r="R3248">
            <v>1.48</v>
          </cell>
          <cell r="S3248"/>
          <cell r="T3248"/>
          <cell r="U3248"/>
          <cell r="V3248">
            <v>15</v>
          </cell>
          <cell r="W3248" t="str">
            <v>2362 AND 2427 ARE THE SAME, DIFFERENCE WEIGHT</v>
          </cell>
          <cell r="X3248" t="str">
            <v>MARY</v>
          </cell>
          <cell r="Y3248" t="str">
            <v>MARY 16-JAN</v>
          </cell>
          <cell r="Z3248" t="str">
            <v>MARY' MAIL 17/1/17</v>
          </cell>
          <cell r="AA3248"/>
          <cell r="AB3248">
            <v>42752</v>
          </cell>
          <cell r="AC3248">
            <v>2362</v>
          </cell>
        </row>
        <row r="3249">
          <cell r="B3249">
            <v>2287</v>
          </cell>
          <cell r="C3249" t="str">
            <v>M12213</v>
          </cell>
          <cell r="D3249" t="str">
            <v>CREPE - RUFFLE</v>
          </cell>
          <cell r="E3249"/>
          <cell r="F3249" t="str">
            <v>R 100%</v>
          </cell>
          <cell r="G3249" t="str">
            <v>100% RAYON</v>
          </cell>
          <cell r="H3249" t="str">
            <v>57/58</v>
          </cell>
          <cell r="I3249">
            <v>115</v>
          </cell>
          <cell r="J3249">
            <v>1.65</v>
          </cell>
          <cell r="K3249">
            <v>1.79</v>
          </cell>
          <cell r="L3249"/>
          <cell r="M3249"/>
          <cell r="N3249">
            <v>1.73</v>
          </cell>
          <cell r="O3249">
            <v>1.87</v>
          </cell>
          <cell r="P3249"/>
          <cell r="Q3249"/>
          <cell r="R3249">
            <v>2</v>
          </cell>
          <cell r="S3249"/>
          <cell r="T3249"/>
          <cell r="U3249"/>
          <cell r="V3249">
            <v>15</v>
          </cell>
          <cell r="W3249"/>
          <cell r="X3249" t="str">
            <v>MARY</v>
          </cell>
          <cell r="Y3249" t="str">
            <v>MARY 16-JAN</v>
          </cell>
          <cell r="Z3249" t="str">
            <v>MARY' MAIL 17/1/17</v>
          </cell>
          <cell r="AA3249"/>
          <cell r="AB3249">
            <v>42752</v>
          </cell>
          <cell r="AC3249">
            <v>2287</v>
          </cell>
        </row>
        <row r="3250">
          <cell r="B3250">
            <v>2137</v>
          </cell>
          <cell r="C3250" t="str">
            <v>M11507</v>
          </cell>
          <cell r="D3250" t="str">
            <v>MOSS CREPE - RUFFLE</v>
          </cell>
          <cell r="E3250"/>
          <cell r="F3250" t="str">
            <v>T/S 92/8</v>
          </cell>
          <cell r="G3250" t="str">
            <v>92% POLYESTER 8% SPAN</v>
          </cell>
          <cell r="H3250" t="str">
            <v>57/58</v>
          </cell>
          <cell r="I3250">
            <v>130</v>
          </cell>
          <cell r="J3250">
            <v>1.1200000000000001</v>
          </cell>
          <cell r="K3250">
            <v>1.28</v>
          </cell>
          <cell r="L3250"/>
          <cell r="M3250"/>
          <cell r="N3250">
            <v>1.2</v>
          </cell>
          <cell r="O3250">
            <v>1.36</v>
          </cell>
          <cell r="P3250"/>
          <cell r="Q3250"/>
          <cell r="R3250">
            <v>1.48</v>
          </cell>
          <cell r="S3250"/>
          <cell r="T3250"/>
          <cell r="U3250"/>
          <cell r="V3250">
            <v>15</v>
          </cell>
          <cell r="W3250"/>
          <cell r="X3250" t="str">
            <v>MARY</v>
          </cell>
          <cell r="Y3250" t="str">
            <v>MARY 16-JAN</v>
          </cell>
          <cell r="Z3250" t="str">
            <v>MARY' MAIL 17/1/17</v>
          </cell>
          <cell r="AA3250"/>
          <cell r="AB3250">
            <v>42752</v>
          </cell>
          <cell r="AC3250">
            <v>2137</v>
          </cell>
        </row>
        <row r="3251">
          <cell r="B3251">
            <v>29</v>
          </cell>
          <cell r="C3251" t="str">
            <v>M01298</v>
          </cell>
          <cell r="D3251" t="str">
            <v>RUFFLE</v>
          </cell>
          <cell r="E3251"/>
          <cell r="F3251" t="str">
            <v>T 100%</v>
          </cell>
          <cell r="G3251" t="str">
            <v>100% POLYESTER</v>
          </cell>
          <cell r="H3251" t="str">
            <v>57/58</v>
          </cell>
          <cell r="I3251">
            <v>165</v>
          </cell>
          <cell r="J3251">
            <v>0.9</v>
          </cell>
          <cell r="K3251">
            <v>1.06</v>
          </cell>
          <cell r="L3251"/>
          <cell r="M3251"/>
          <cell r="N3251">
            <v>0.95</v>
          </cell>
          <cell r="O3251">
            <v>1.1499999999999999</v>
          </cell>
          <cell r="P3251"/>
          <cell r="Q3251"/>
          <cell r="R3251">
            <v>1.2</v>
          </cell>
          <cell r="S3251"/>
          <cell r="T3251"/>
          <cell r="U3251"/>
          <cell r="V3251">
            <v>15</v>
          </cell>
          <cell r="W3251"/>
          <cell r="X3251" t="str">
            <v>MARY</v>
          </cell>
          <cell r="Y3251" t="str">
            <v>MARY 16-JAN</v>
          </cell>
          <cell r="Z3251" t="str">
            <v>MARY' MAIL 17/1/17</v>
          </cell>
          <cell r="AA3251"/>
          <cell r="AB3251">
            <v>42752</v>
          </cell>
          <cell r="AC3251">
            <v>29</v>
          </cell>
        </row>
        <row r="3252">
          <cell r="B3252">
            <v>2658</v>
          </cell>
          <cell r="C3252" t="str">
            <v>OLP-1612317TB</v>
          </cell>
          <cell r="D3252"/>
          <cell r="E3252"/>
          <cell r="F3252" t="str">
            <v>18%POLY82%cotton</v>
          </cell>
          <cell r="G3252" t="str">
            <v>18%POLYESTER82%cotton</v>
          </cell>
          <cell r="H3252" t="str">
            <v>48/50</v>
          </cell>
          <cell r="I3252">
            <v>179</v>
          </cell>
          <cell r="J3252">
            <v>2.48</v>
          </cell>
          <cell r="K3252"/>
          <cell r="L3252"/>
          <cell r="M3252"/>
          <cell r="N3252">
            <v>2.6</v>
          </cell>
          <cell r="O3252"/>
          <cell r="P3252"/>
          <cell r="Q3252"/>
          <cell r="R3252">
            <v>2.85</v>
          </cell>
          <cell r="S3252"/>
          <cell r="T3252"/>
          <cell r="U3252"/>
          <cell r="V3252">
            <v>15</v>
          </cell>
          <cell r="W3252" t="str">
            <v>KinDly reminD that the wet color fastness is not gooD, pls help to reminD the customer</v>
          </cell>
          <cell r="X3252" t="str">
            <v>OWEN</v>
          </cell>
          <cell r="Y3252" t="str">
            <v>OLIP TEXTILE 3-JAN FULL</v>
          </cell>
          <cell r="Z3252" t="str">
            <v>SANDY' MAIL 6/1/17</v>
          </cell>
          <cell r="AA3252"/>
          <cell r="AB3252">
            <v>42751</v>
          </cell>
          <cell r="AC3252">
            <v>2658</v>
          </cell>
        </row>
        <row r="3253">
          <cell r="B3253">
            <v>2657</v>
          </cell>
          <cell r="C3253" t="str">
            <v>OLP-1612316TB</v>
          </cell>
          <cell r="D3253"/>
          <cell r="E3253"/>
          <cell r="F3253" t="str">
            <v>45%NYLON 55%COTTON</v>
          </cell>
          <cell r="G3253" t="str">
            <v>45%NYLON 55%COTTON</v>
          </cell>
          <cell r="H3253" t="str">
            <v>57/58</v>
          </cell>
          <cell r="I3253">
            <v>195</v>
          </cell>
          <cell r="J3253">
            <v>3.32</v>
          </cell>
          <cell r="K3253"/>
          <cell r="L3253"/>
          <cell r="M3253"/>
          <cell r="N3253">
            <v>3.48</v>
          </cell>
          <cell r="O3253"/>
          <cell r="P3253"/>
          <cell r="Q3253"/>
          <cell r="R3253">
            <v>3.73</v>
          </cell>
          <cell r="S3253"/>
          <cell r="T3253"/>
          <cell r="U3253"/>
          <cell r="V3253">
            <v>15</v>
          </cell>
          <cell r="W3253" t="str">
            <v>KinDly reminD that the wet color fastness is not gooD, pls help to reminD the customer</v>
          </cell>
          <cell r="X3253" t="str">
            <v>OWEN</v>
          </cell>
          <cell r="Y3253" t="str">
            <v>OLIP TEXTILE 3-JAN FULL</v>
          </cell>
          <cell r="Z3253" t="str">
            <v>SANDY' MAIL 6/1/17</v>
          </cell>
          <cell r="AA3253"/>
          <cell r="AB3253">
            <v>42751</v>
          </cell>
          <cell r="AC3253">
            <v>2657</v>
          </cell>
        </row>
        <row r="3254">
          <cell r="B3254">
            <v>2656</v>
          </cell>
          <cell r="C3254" t="str">
            <v>OLP-1612315TB</v>
          </cell>
          <cell r="D3254"/>
          <cell r="E3254"/>
          <cell r="F3254" t="str">
            <v>C 100%</v>
          </cell>
          <cell r="G3254" t="str">
            <v>100% COTTON</v>
          </cell>
          <cell r="H3254" t="str">
            <v>53/54</v>
          </cell>
          <cell r="I3254">
            <v>418</v>
          </cell>
          <cell r="J3254">
            <v>5.13</v>
          </cell>
          <cell r="K3254">
            <v>5.4</v>
          </cell>
          <cell r="L3254"/>
          <cell r="M3254"/>
          <cell r="N3254">
            <v>5.28</v>
          </cell>
          <cell r="O3254">
            <v>5.6</v>
          </cell>
          <cell r="P3254"/>
          <cell r="Q3254"/>
          <cell r="R3254">
            <v>5.48</v>
          </cell>
          <cell r="S3254">
            <v>6.03</v>
          </cell>
          <cell r="T3254"/>
          <cell r="U3254"/>
          <cell r="V3254">
            <v>15</v>
          </cell>
          <cell r="W3254" t="str">
            <v>KinDly reminD that the wet color fastness is not gooD, pls help to reminD the customer</v>
          </cell>
          <cell r="X3254" t="str">
            <v>OWEN</v>
          </cell>
          <cell r="Y3254" t="str">
            <v>OLIP TEXTILE 3-JAN FULL</v>
          </cell>
          <cell r="Z3254" t="str">
            <v>SANDY' MAIL 6/1/17</v>
          </cell>
          <cell r="AA3254"/>
          <cell r="AB3254">
            <v>42751</v>
          </cell>
          <cell r="AC3254">
            <v>2656</v>
          </cell>
        </row>
        <row r="3255">
          <cell r="B3255">
            <v>2655</v>
          </cell>
          <cell r="C3255" t="str">
            <v>OLP-1612313TB</v>
          </cell>
          <cell r="D3255"/>
          <cell r="E3255"/>
          <cell r="F3255" t="str">
            <v>79% COTTON 18% POLY 3% SPAN</v>
          </cell>
          <cell r="G3255" t="str">
            <v>79% COTTON 18% POLYESTER 3% SPAN</v>
          </cell>
          <cell r="H3255" t="str">
            <v>57/58</v>
          </cell>
          <cell r="I3255">
            <v>400</v>
          </cell>
          <cell r="J3255">
            <v>4.28</v>
          </cell>
          <cell r="K3255"/>
          <cell r="L3255"/>
          <cell r="M3255"/>
          <cell r="N3255">
            <v>4.4000000000000004</v>
          </cell>
          <cell r="O3255"/>
          <cell r="P3255"/>
          <cell r="Q3255"/>
          <cell r="R3255">
            <v>4.6500000000000004</v>
          </cell>
          <cell r="S3255"/>
          <cell r="T3255"/>
          <cell r="U3255"/>
          <cell r="V3255">
            <v>15</v>
          </cell>
          <cell r="W3255" t="str">
            <v>KinDly reminD that the wet color fastness is not gooD, pls help to reminD the customer</v>
          </cell>
          <cell r="X3255" t="str">
            <v>OWEN</v>
          </cell>
          <cell r="Y3255" t="str">
            <v>OLIP TEXTILE 3-JAN FULL</v>
          </cell>
          <cell r="Z3255" t="str">
            <v>SANDY' MAIL 6/1/17</v>
          </cell>
          <cell r="AA3255"/>
          <cell r="AB3255">
            <v>42751</v>
          </cell>
          <cell r="AC3255">
            <v>2655</v>
          </cell>
        </row>
        <row r="3256">
          <cell r="B3256">
            <v>2654</v>
          </cell>
          <cell r="C3256" t="str">
            <v>OLP-1612310BX</v>
          </cell>
          <cell r="D3256"/>
          <cell r="E3256"/>
          <cell r="F3256" t="str">
            <v>C 100%</v>
          </cell>
          <cell r="G3256" t="str">
            <v>100% COTTON</v>
          </cell>
          <cell r="H3256" t="str">
            <v>57/58</v>
          </cell>
          <cell r="I3256">
            <v>305</v>
          </cell>
          <cell r="J3256">
            <v>3.92</v>
          </cell>
          <cell r="K3256">
            <v>4.22</v>
          </cell>
          <cell r="L3256"/>
          <cell r="M3256"/>
          <cell r="N3256">
            <v>4.0999999999999996</v>
          </cell>
          <cell r="O3256">
            <v>4.38</v>
          </cell>
          <cell r="P3256"/>
          <cell r="Q3256"/>
          <cell r="R3256">
            <v>4.3</v>
          </cell>
          <cell r="S3256">
            <v>5.08</v>
          </cell>
          <cell r="T3256"/>
          <cell r="U3256"/>
          <cell r="V3256">
            <v>15</v>
          </cell>
          <cell r="W3256" t="str">
            <v>KinDly reminD that the wet color fastness is not gooD, pls help to reminD the customer</v>
          </cell>
          <cell r="X3256" t="str">
            <v>OWEN</v>
          </cell>
          <cell r="Y3256" t="str">
            <v>OLIP TEXTILE 3-JAN FULL</v>
          </cell>
          <cell r="Z3256" t="str">
            <v>SANDY' MAIL 6/1/17</v>
          </cell>
          <cell r="AA3256"/>
          <cell r="AB3256">
            <v>42751</v>
          </cell>
          <cell r="AC3256">
            <v>2654</v>
          </cell>
        </row>
        <row r="3257">
          <cell r="B3257">
            <v>2653</v>
          </cell>
          <cell r="C3257" t="str">
            <v>OLP-16123037GC</v>
          </cell>
          <cell r="D3257" t="str">
            <v>WOOL DOBBY</v>
          </cell>
          <cell r="E3257"/>
          <cell r="F3257" t="str">
            <v>30% WOOL 67% ARCYLIC 3% OTHERS</v>
          </cell>
          <cell r="G3257" t="str">
            <v>30% WOOL 67% ARCYLIC 3% OTHERS</v>
          </cell>
          <cell r="H3257" t="str">
            <v>57/58</v>
          </cell>
          <cell r="I3257">
            <v>420</v>
          </cell>
          <cell r="J3257">
            <v>4.8499999999999996</v>
          </cell>
          <cell r="K3257"/>
          <cell r="L3257"/>
          <cell r="M3257"/>
          <cell r="N3257">
            <v>4.99</v>
          </cell>
          <cell r="O3257"/>
          <cell r="P3257"/>
          <cell r="Q3257"/>
          <cell r="R3257">
            <v>5.14</v>
          </cell>
          <cell r="S3257"/>
          <cell r="T3257"/>
          <cell r="U3257"/>
          <cell r="V3257">
            <v>15</v>
          </cell>
          <cell r="W3257" t="str">
            <v>KinDly reminD that the wet color fastness is not gooD, pls help to reminD the customer</v>
          </cell>
          <cell r="X3257" t="str">
            <v>OWEN</v>
          </cell>
          <cell r="Y3257" t="str">
            <v>OLIP TEXTILE 3-JAN FULL</v>
          </cell>
          <cell r="Z3257" t="str">
            <v>SANDY' MAIL 6/1/17</v>
          </cell>
          <cell r="AA3257"/>
          <cell r="AB3257">
            <v>42748</v>
          </cell>
          <cell r="AC3257">
            <v>2653</v>
          </cell>
        </row>
        <row r="3258">
          <cell r="B3258">
            <v>2652</v>
          </cell>
          <cell r="C3258" t="str">
            <v>OLP-16123036GC</v>
          </cell>
          <cell r="D3258" t="str">
            <v>WOOL YARNDYED</v>
          </cell>
          <cell r="E3258"/>
          <cell r="F3258" t="str">
            <v>5% W 95% OTHERS</v>
          </cell>
          <cell r="G3258" t="str">
            <v>5% WOOL 95% OTHERS</v>
          </cell>
          <cell r="H3258" t="str">
            <v>57/58</v>
          </cell>
          <cell r="I3258">
            <v>300</v>
          </cell>
          <cell r="J3258">
            <v>4.54</v>
          </cell>
          <cell r="K3258"/>
          <cell r="L3258"/>
          <cell r="M3258"/>
          <cell r="N3258">
            <v>4.6900000000000004</v>
          </cell>
          <cell r="O3258"/>
          <cell r="P3258"/>
          <cell r="Q3258"/>
          <cell r="R3258">
            <v>4.84</v>
          </cell>
          <cell r="S3258"/>
          <cell r="T3258"/>
          <cell r="U3258"/>
          <cell r="V3258">
            <v>15</v>
          </cell>
          <cell r="W3258" t="str">
            <v>KinDly reminD that the wet color fastness is not gooD, pls help to reminD the customer</v>
          </cell>
          <cell r="X3258" t="str">
            <v>OWEN</v>
          </cell>
          <cell r="Y3258" t="str">
            <v>OLIP TEXTILE 3-JAN FULL</v>
          </cell>
          <cell r="Z3258" t="str">
            <v>SANDY' MAIL 6/1/17</v>
          </cell>
          <cell r="AA3258"/>
          <cell r="AB3258">
            <v>42748</v>
          </cell>
          <cell r="AC3258">
            <v>2652</v>
          </cell>
        </row>
        <row r="3259">
          <cell r="B3259">
            <v>2651</v>
          </cell>
          <cell r="C3259" t="str">
            <v>OLP-16123035GC</v>
          </cell>
          <cell r="D3259" t="str">
            <v xml:space="preserve">WOOL YARNDYED DOUBLE LAYER BRUSHED </v>
          </cell>
          <cell r="E3259"/>
          <cell r="F3259" t="str">
            <v>T/W 80/20</v>
          </cell>
          <cell r="G3259" t="str">
            <v>20%WOOL 80%POLYESTER</v>
          </cell>
          <cell r="H3259" t="str">
            <v>57/58</v>
          </cell>
          <cell r="I3259">
            <v>560</v>
          </cell>
          <cell r="J3259">
            <v>6.22</v>
          </cell>
          <cell r="K3259"/>
          <cell r="L3259"/>
          <cell r="M3259"/>
          <cell r="N3259">
            <v>6.35</v>
          </cell>
          <cell r="O3259"/>
          <cell r="P3259"/>
          <cell r="Q3259"/>
          <cell r="R3259">
            <v>6.5</v>
          </cell>
          <cell r="S3259"/>
          <cell r="T3259"/>
          <cell r="U3259"/>
          <cell r="V3259">
            <v>15</v>
          </cell>
          <cell r="W3259" t="str">
            <v>KinDly reminD that the wet color fastness is not gooD, pls help to reminD the customer</v>
          </cell>
          <cell r="X3259" t="str">
            <v>OWEN</v>
          </cell>
          <cell r="Y3259" t="str">
            <v>OLIP TEXTILE 3-JAN FULL</v>
          </cell>
          <cell r="Z3259" t="str">
            <v>SANDY' MAIL 6/1/17</v>
          </cell>
          <cell r="AA3259"/>
          <cell r="AB3259">
            <v>42747</v>
          </cell>
          <cell r="AC3259">
            <v>2651</v>
          </cell>
        </row>
        <row r="3260">
          <cell r="B3260">
            <v>2650</v>
          </cell>
          <cell r="C3260" t="str">
            <v>OLP-16123034GC</v>
          </cell>
          <cell r="D3260" t="str">
            <v>WOOL YARNDYED BRUSHED</v>
          </cell>
          <cell r="E3260"/>
          <cell r="F3260" t="str">
            <v>T/R/W 20/10/70</v>
          </cell>
          <cell r="G3260" t="str">
            <v>70%WOOL 20%POLYESTER 10% RAYON</v>
          </cell>
          <cell r="H3260" t="str">
            <v>57/58</v>
          </cell>
          <cell r="I3260">
            <v>350</v>
          </cell>
          <cell r="J3260">
            <v>8.0299999999999994</v>
          </cell>
          <cell r="K3260"/>
          <cell r="L3260"/>
          <cell r="M3260"/>
          <cell r="N3260">
            <v>8.17</v>
          </cell>
          <cell r="O3260"/>
          <cell r="P3260"/>
          <cell r="Q3260"/>
          <cell r="R3260">
            <v>8.32</v>
          </cell>
          <cell r="S3260"/>
          <cell r="T3260"/>
          <cell r="U3260"/>
          <cell r="V3260">
            <v>15</v>
          </cell>
          <cell r="W3260" t="str">
            <v>KinDly reminD that the wet color fastness is not gooD, pls help to reminD the customer</v>
          </cell>
          <cell r="X3260" t="str">
            <v>OWEN</v>
          </cell>
          <cell r="Y3260" t="str">
            <v>OLIP TEXTILE 3-JAN FULL</v>
          </cell>
          <cell r="Z3260" t="str">
            <v>SANDY' MAIL 6/1/17</v>
          </cell>
          <cell r="AA3260"/>
          <cell r="AB3260">
            <v>42747</v>
          </cell>
          <cell r="AC3260">
            <v>2650</v>
          </cell>
        </row>
        <row r="3261">
          <cell r="B3261">
            <v>2643</v>
          </cell>
          <cell r="C3261" t="str">
            <v>OLP-16123028GC</v>
          </cell>
          <cell r="D3261" t="str">
            <v>WOOL / NEW STRUCTURE</v>
          </cell>
          <cell r="E3261"/>
          <cell r="F3261" t="str">
            <v>100% OTHERS</v>
          </cell>
          <cell r="G3261" t="str">
            <v>100% OTHERS</v>
          </cell>
          <cell r="H3261" t="str">
            <v>57/58</v>
          </cell>
          <cell r="I3261">
            <v>435</v>
          </cell>
          <cell r="J3261">
            <v>4.2</v>
          </cell>
          <cell r="K3261"/>
          <cell r="L3261"/>
          <cell r="M3261"/>
          <cell r="N3261">
            <v>4.29</v>
          </cell>
          <cell r="O3261"/>
          <cell r="P3261"/>
          <cell r="Q3261"/>
          <cell r="R3261">
            <v>4.4000000000000004</v>
          </cell>
          <cell r="S3261"/>
          <cell r="T3261"/>
          <cell r="U3261"/>
          <cell r="V3261">
            <v>15</v>
          </cell>
          <cell r="W3261" t="str">
            <v>KinDly reminD that the wet color fastness is not gooD, pls help to reminD the customer</v>
          </cell>
          <cell r="X3261" t="str">
            <v>OWEN</v>
          </cell>
          <cell r="Y3261" t="str">
            <v>OLIP TEXTILE 3-JAN FULL</v>
          </cell>
          <cell r="Z3261" t="str">
            <v>SANDY' MAIL 6/1/17</v>
          </cell>
          <cell r="AA3261"/>
          <cell r="AB3261">
            <v>42747</v>
          </cell>
          <cell r="AC3261">
            <v>2643</v>
          </cell>
        </row>
        <row r="3262">
          <cell r="B3262">
            <v>2642</v>
          </cell>
          <cell r="C3262" t="str">
            <v>OLP-16123027GC</v>
          </cell>
          <cell r="D3262" t="str">
            <v>WOOL / NEW STRUCTURE</v>
          </cell>
          <cell r="E3262"/>
          <cell r="F3262" t="str">
            <v>10%wool 55%Acrylic 34%POLY 1%others</v>
          </cell>
          <cell r="G3262" t="str">
            <v>10%wool 55%Acrylic 34%POLYESTER 1%others</v>
          </cell>
          <cell r="H3262" t="str">
            <v>57/58</v>
          </cell>
          <cell r="I3262">
            <v>440</v>
          </cell>
          <cell r="J3262">
            <v>5.78</v>
          </cell>
          <cell r="K3262"/>
          <cell r="L3262"/>
          <cell r="M3262"/>
          <cell r="N3262">
            <v>5.9</v>
          </cell>
          <cell r="O3262"/>
          <cell r="P3262"/>
          <cell r="Q3262"/>
          <cell r="R3262">
            <v>6.15</v>
          </cell>
          <cell r="S3262"/>
          <cell r="T3262"/>
          <cell r="U3262"/>
          <cell r="V3262">
            <v>15</v>
          </cell>
          <cell r="W3262" t="str">
            <v>KinDly reminD that the wet color fastness is not gooD, pls help to reminD the customer</v>
          </cell>
          <cell r="X3262" t="str">
            <v>OWEN</v>
          </cell>
          <cell r="Y3262" t="str">
            <v>OLIP TEXTILE 3-JAN FULL</v>
          </cell>
          <cell r="Z3262" t="str">
            <v>SANDY' MAIL 6/1/17</v>
          </cell>
          <cell r="AA3262"/>
          <cell r="AB3262">
            <v>42747</v>
          </cell>
          <cell r="AC3262">
            <v>2642</v>
          </cell>
        </row>
        <row r="3263">
          <cell r="B3263">
            <v>2641</v>
          </cell>
          <cell r="C3263" t="str">
            <v>OLP-16123026GC</v>
          </cell>
          <cell r="D3263" t="str">
            <v>WOOL DOUBLE LAYER</v>
          </cell>
          <cell r="E3263"/>
          <cell r="F3263" t="str">
            <v>30%WOOL 70% OTHERS</v>
          </cell>
          <cell r="G3263" t="str">
            <v>30%WOOL 70% OTHERS</v>
          </cell>
          <cell r="H3263" t="str">
            <v>57/58</v>
          </cell>
          <cell r="I3263">
            <v>400</v>
          </cell>
          <cell r="J3263">
            <v>5.78</v>
          </cell>
          <cell r="K3263"/>
          <cell r="L3263"/>
          <cell r="M3263"/>
          <cell r="N3263">
            <v>5.9</v>
          </cell>
          <cell r="O3263"/>
          <cell r="P3263"/>
          <cell r="Q3263"/>
          <cell r="R3263">
            <v>6.15</v>
          </cell>
          <cell r="S3263"/>
          <cell r="T3263"/>
          <cell r="U3263"/>
          <cell r="V3263">
            <v>15</v>
          </cell>
          <cell r="W3263" t="str">
            <v>KinDly reminD that the wet color fastness is not gooD, pls help to reminD the customer</v>
          </cell>
          <cell r="X3263" t="str">
            <v>OWEN</v>
          </cell>
          <cell r="Y3263" t="str">
            <v>OLIP TEXTILE 3-JAN FULL</v>
          </cell>
          <cell r="Z3263" t="str">
            <v>SANDY' MAIL 6/1/17</v>
          </cell>
          <cell r="AA3263"/>
          <cell r="AB3263">
            <v>42747</v>
          </cell>
          <cell r="AC3263">
            <v>2641</v>
          </cell>
        </row>
        <row r="3264">
          <cell r="B3264">
            <v>2640</v>
          </cell>
          <cell r="C3264" t="str">
            <v>OLP-16123025GC</v>
          </cell>
          <cell r="D3264" t="str">
            <v>WOOL / DOBBY / NEW STRUCTURE</v>
          </cell>
          <cell r="E3264"/>
          <cell r="F3264" t="str">
            <v>40% WOOL 40% POLY 20% RAYON</v>
          </cell>
          <cell r="G3264" t="str">
            <v>40% WOOL 40% POLYESTER 20% RAYON</v>
          </cell>
          <cell r="H3264" t="str">
            <v>57/58</v>
          </cell>
          <cell r="I3264">
            <v>500</v>
          </cell>
          <cell r="J3264">
            <v>5.8</v>
          </cell>
          <cell r="K3264"/>
          <cell r="L3264"/>
          <cell r="M3264"/>
          <cell r="N3264">
            <v>5.9</v>
          </cell>
          <cell r="O3264"/>
          <cell r="P3264"/>
          <cell r="Q3264"/>
          <cell r="R3264">
            <v>6.15</v>
          </cell>
          <cell r="S3264"/>
          <cell r="T3264"/>
          <cell r="U3264"/>
          <cell r="V3264">
            <v>15</v>
          </cell>
          <cell r="W3264" t="str">
            <v>KinDly reminD that the wet color fastness is not gooD, pls help to reminD the customer</v>
          </cell>
          <cell r="X3264" t="str">
            <v>OWEN</v>
          </cell>
          <cell r="Y3264" t="str">
            <v>OLIP TEXTILE 3-JAN FULL</v>
          </cell>
          <cell r="Z3264" t="str">
            <v>SANDY' MAIL 6/1/17</v>
          </cell>
          <cell r="AA3264"/>
          <cell r="AB3264">
            <v>42747</v>
          </cell>
          <cell r="AC3264">
            <v>2640</v>
          </cell>
        </row>
        <row r="3265">
          <cell r="B3265">
            <v>2639</v>
          </cell>
          <cell r="C3265" t="str">
            <v>OLP-16123023TB</v>
          </cell>
          <cell r="D3265"/>
          <cell r="E3265"/>
          <cell r="F3265" t="str">
            <v>C 100%</v>
          </cell>
          <cell r="G3265" t="str">
            <v>100% COTTON</v>
          </cell>
          <cell r="H3265" t="str">
            <v>57/58</v>
          </cell>
          <cell r="I3265">
            <v>230</v>
          </cell>
          <cell r="J3265">
            <v>3.35</v>
          </cell>
          <cell r="K3265">
            <v>3.63</v>
          </cell>
          <cell r="L3265"/>
          <cell r="M3265"/>
          <cell r="N3265">
            <v>3.42</v>
          </cell>
          <cell r="O3265">
            <v>3.68</v>
          </cell>
          <cell r="P3265"/>
          <cell r="Q3265"/>
          <cell r="R3265">
            <v>3.62</v>
          </cell>
          <cell r="S3265">
            <v>4.37</v>
          </cell>
          <cell r="T3265"/>
          <cell r="U3265"/>
          <cell r="V3265">
            <v>15</v>
          </cell>
          <cell r="W3265" t="str">
            <v>KinDly reminD that the wet color fastness is not gooD, pls help to reminD the customer</v>
          </cell>
          <cell r="X3265" t="str">
            <v>OWEN</v>
          </cell>
          <cell r="Y3265" t="str">
            <v>OLIP TEXTILE 3-JAN FULL</v>
          </cell>
          <cell r="Z3265" t="str">
            <v>SANDY' MAIL 6/1/17</v>
          </cell>
          <cell r="AA3265"/>
          <cell r="AB3265">
            <v>42746</v>
          </cell>
          <cell r="AC3265">
            <v>2639</v>
          </cell>
        </row>
        <row r="3266">
          <cell r="B3266">
            <v>2638</v>
          </cell>
          <cell r="C3266" t="str">
            <v>OLP-16123021SY</v>
          </cell>
          <cell r="D3266"/>
          <cell r="E3266"/>
          <cell r="F3266" t="str">
            <v>74%COTTON 23%RAYON 3%sSPAND</v>
          </cell>
          <cell r="G3266" t="str">
            <v>74%COTTON 23%RAYON 3%sSPAND</v>
          </cell>
          <cell r="H3266" t="str">
            <v>48/50</v>
          </cell>
          <cell r="I3266">
            <v>316</v>
          </cell>
          <cell r="J3266">
            <v>4.3</v>
          </cell>
          <cell r="K3266">
            <v>4.5599999999999996</v>
          </cell>
          <cell r="L3266"/>
          <cell r="M3266"/>
          <cell r="N3266">
            <v>4.42</v>
          </cell>
          <cell r="O3266">
            <v>4.7</v>
          </cell>
          <cell r="P3266"/>
          <cell r="Q3266"/>
          <cell r="R3266">
            <v>4.67</v>
          </cell>
          <cell r="S3266">
            <v>5.34</v>
          </cell>
          <cell r="T3266"/>
          <cell r="U3266"/>
          <cell r="V3266">
            <v>15</v>
          </cell>
          <cell r="W3266" t="str">
            <v>KinDly reminD that the wet color fastness is not gooD, pls help to reminD the customer</v>
          </cell>
          <cell r="X3266" t="str">
            <v>OWEN</v>
          </cell>
          <cell r="Y3266" t="str">
            <v>OLIP TEXTILE 3-JAN FULL</v>
          </cell>
          <cell r="Z3266" t="str">
            <v>SANDY' MAIL 6/1/17</v>
          </cell>
          <cell r="AA3266"/>
          <cell r="AB3266">
            <v>42746</v>
          </cell>
          <cell r="AC3266">
            <v>2638</v>
          </cell>
        </row>
        <row r="3267">
          <cell r="B3267">
            <v>2637</v>
          </cell>
          <cell r="C3267" t="str">
            <v>OLP-16123019TB</v>
          </cell>
          <cell r="D3267"/>
          <cell r="E3267"/>
          <cell r="F3267" t="str">
            <v>64% COTTON 36% POLY</v>
          </cell>
          <cell r="G3267" t="str">
            <v>64% COTTON 36% POLYESTER</v>
          </cell>
          <cell r="H3267" t="str">
            <v>57/58</v>
          </cell>
          <cell r="I3267">
            <v>175</v>
          </cell>
          <cell r="J3267">
            <v>2.5</v>
          </cell>
          <cell r="K3267"/>
          <cell r="L3267"/>
          <cell r="M3267"/>
          <cell r="N3267">
            <v>2.64</v>
          </cell>
          <cell r="O3267"/>
          <cell r="P3267"/>
          <cell r="Q3267"/>
          <cell r="R3267">
            <v>2.8</v>
          </cell>
          <cell r="S3267"/>
          <cell r="T3267"/>
          <cell r="U3267"/>
          <cell r="V3267">
            <v>15</v>
          </cell>
          <cell r="W3267" t="str">
            <v>KinDly reminD that the wet color fastness is not gooD, pls help to reminD the customer</v>
          </cell>
          <cell r="X3267" t="str">
            <v>OWEN</v>
          </cell>
          <cell r="Y3267" t="str">
            <v>OLIP TEXTILE 3-JAN FULL</v>
          </cell>
          <cell r="Z3267" t="str">
            <v>SANDY' MAIL 6/1/17</v>
          </cell>
          <cell r="AA3267"/>
          <cell r="AB3267">
            <v>42746</v>
          </cell>
          <cell r="AC3267">
            <v>2637</v>
          </cell>
        </row>
        <row r="3268">
          <cell r="B3268">
            <v>2636</v>
          </cell>
          <cell r="C3268" t="str">
            <v>OLP-16123018TB</v>
          </cell>
          <cell r="D3268"/>
          <cell r="E3268"/>
          <cell r="F3268" t="str">
            <v>61% POLY 39% COTTON</v>
          </cell>
          <cell r="G3268" t="str">
            <v>61% POLYESTER 39% COTTON</v>
          </cell>
          <cell r="H3268" t="str">
            <v>57/58</v>
          </cell>
          <cell r="I3268">
            <v>175</v>
          </cell>
          <cell r="J3268">
            <v>2.4300000000000002</v>
          </cell>
          <cell r="K3268"/>
          <cell r="L3268"/>
          <cell r="M3268"/>
          <cell r="N3268">
            <v>2.58</v>
          </cell>
          <cell r="O3268"/>
          <cell r="P3268"/>
          <cell r="Q3268"/>
          <cell r="R3268">
            <v>2.73</v>
          </cell>
          <cell r="S3268"/>
          <cell r="T3268"/>
          <cell r="U3268"/>
          <cell r="V3268">
            <v>15</v>
          </cell>
          <cell r="W3268" t="str">
            <v>KinDly reminD that the wet color fastness is not gooD, pls help to reminD the customer</v>
          </cell>
          <cell r="X3268" t="str">
            <v>OWEN</v>
          </cell>
          <cell r="Y3268" t="str">
            <v>OLIP TEXTILE 3-JAN FULL</v>
          </cell>
          <cell r="Z3268" t="str">
            <v>SANDY' MAIL 6/1/17</v>
          </cell>
          <cell r="AA3268"/>
          <cell r="AB3268">
            <v>42746</v>
          </cell>
          <cell r="AC3268">
            <v>2636</v>
          </cell>
        </row>
        <row r="3269">
          <cell r="B3269">
            <v>2635</v>
          </cell>
          <cell r="C3269" t="str">
            <v>OLP-1612309BX</v>
          </cell>
          <cell r="D3269"/>
          <cell r="E3269"/>
          <cell r="F3269" t="str">
            <v>C 100%</v>
          </cell>
          <cell r="G3269" t="str">
            <v>100% COTTON</v>
          </cell>
          <cell r="H3269" t="str">
            <v>57/58</v>
          </cell>
          <cell r="I3269">
            <v>259</v>
          </cell>
          <cell r="J3269">
            <v>4.55</v>
          </cell>
          <cell r="K3269">
            <v>4.8</v>
          </cell>
          <cell r="L3269"/>
          <cell r="M3269"/>
          <cell r="N3269">
            <v>4.63</v>
          </cell>
          <cell r="O3269">
            <v>5.05</v>
          </cell>
          <cell r="P3269"/>
          <cell r="Q3269"/>
          <cell r="R3269">
            <v>4.8</v>
          </cell>
          <cell r="S3269">
            <v>5.8</v>
          </cell>
          <cell r="T3269"/>
          <cell r="U3269"/>
          <cell r="V3269">
            <v>15</v>
          </cell>
          <cell r="W3269" t="str">
            <v>KinDly reminD that the wet color fastness is not gooD, pls help to reminD the customer</v>
          </cell>
          <cell r="X3269" t="str">
            <v>OWEN</v>
          </cell>
          <cell r="Y3269" t="str">
            <v>OLIP TEXTILE 3-JAN FULL</v>
          </cell>
          <cell r="Z3269" t="str">
            <v>SANDY' MAIL 6/1/17</v>
          </cell>
          <cell r="AA3269"/>
          <cell r="AB3269">
            <v>42746</v>
          </cell>
          <cell r="AC3269">
            <v>2635</v>
          </cell>
        </row>
        <row r="3270">
          <cell r="B3270">
            <v>2634</v>
          </cell>
          <cell r="C3270" t="str">
            <v>OLP-1612308BX</v>
          </cell>
          <cell r="D3270"/>
          <cell r="E3270"/>
          <cell r="F3270" t="str">
            <v>98% RAYON 2% SPAN</v>
          </cell>
          <cell r="G3270" t="str">
            <v>98% RAYON 2% SPAN</v>
          </cell>
          <cell r="H3270" t="str">
            <v>57/58</v>
          </cell>
          <cell r="I3270">
            <v>269</v>
          </cell>
          <cell r="J3270">
            <v>3</v>
          </cell>
          <cell r="K3270">
            <v>3.25</v>
          </cell>
          <cell r="L3270"/>
          <cell r="M3270"/>
          <cell r="N3270">
            <v>3.08</v>
          </cell>
          <cell r="O3270">
            <v>3.75</v>
          </cell>
          <cell r="P3270"/>
          <cell r="Q3270"/>
          <cell r="R3270">
            <v>3.23</v>
          </cell>
          <cell r="S3270">
            <v>4.5</v>
          </cell>
          <cell r="T3270"/>
          <cell r="U3270"/>
          <cell r="V3270">
            <v>15</v>
          </cell>
          <cell r="W3270" t="str">
            <v>KinDly reminD that the wet color fastness is not gooD, pls help to reminD the customer</v>
          </cell>
          <cell r="X3270" t="str">
            <v>OWEN</v>
          </cell>
          <cell r="Y3270" t="str">
            <v>OLIP TEXTILE 3-JAN FULL</v>
          </cell>
          <cell r="Z3270" t="str">
            <v>SANDY' MAIL 6/1/17</v>
          </cell>
          <cell r="AA3270"/>
          <cell r="AB3270">
            <v>42746</v>
          </cell>
          <cell r="AC3270">
            <v>2634</v>
          </cell>
        </row>
        <row r="3271">
          <cell r="B3271">
            <v>2633</v>
          </cell>
          <cell r="C3271" t="str">
            <v>OLP-1612306BX</v>
          </cell>
          <cell r="D3271"/>
          <cell r="E3271"/>
          <cell r="F3271" t="str">
            <v>54%POLY46%cotton</v>
          </cell>
          <cell r="G3271" t="str">
            <v>54%POLYESTER46%cotton</v>
          </cell>
          <cell r="H3271" t="str">
            <v>57/58</v>
          </cell>
          <cell r="I3271">
            <v>115</v>
          </cell>
          <cell r="J3271">
            <v>2.2599999999999998</v>
          </cell>
          <cell r="K3271"/>
          <cell r="L3271"/>
          <cell r="M3271"/>
          <cell r="N3271">
            <v>2.33</v>
          </cell>
          <cell r="O3271"/>
          <cell r="P3271"/>
          <cell r="Q3271"/>
          <cell r="R3271">
            <v>2.6</v>
          </cell>
          <cell r="S3271"/>
          <cell r="T3271"/>
          <cell r="U3271"/>
          <cell r="V3271">
            <v>15</v>
          </cell>
          <cell r="W3271" t="str">
            <v>KinDly reminD that the wet color fastness is not gooD, pls help to reminD the customer</v>
          </cell>
          <cell r="X3271" t="str">
            <v>OWEN</v>
          </cell>
          <cell r="Y3271" t="str">
            <v>OLIP TEXTILE 3-JAN FULL</v>
          </cell>
          <cell r="Z3271" t="str">
            <v>SANDY' MAIL 6/1/17</v>
          </cell>
          <cell r="AA3271"/>
          <cell r="AB3271">
            <v>42746</v>
          </cell>
          <cell r="AC3271">
            <v>2633</v>
          </cell>
        </row>
        <row r="3272">
          <cell r="B3272">
            <v>2632</v>
          </cell>
          <cell r="C3272" t="str">
            <v>OLP-1612305TB</v>
          </cell>
          <cell r="D3272"/>
          <cell r="E3272"/>
          <cell r="F3272" t="str">
            <v>50% COTTON 47% NYLON 3% SPAN</v>
          </cell>
          <cell r="G3272" t="str">
            <v>50% COTTON 47% NYLON 3% SPAN</v>
          </cell>
          <cell r="H3272" t="str">
            <v>57/58</v>
          </cell>
          <cell r="I3272">
            <v>168</v>
          </cell>
          <cell r="J3272">
            <v>3.8</v>
          </cell>
          <cell r="K3272"/>
          <cell r="L3272"/>
          <cell r="M3272"/>
          <cell r="N3272">
            <v>3.95</v>
          </cell>
          <cell r="O3272"/>
          <cell r="P3272"/>
          <cell r="Q3272"/>
          <cell r="R3272">
            <v>4.2</v>
          </cell>
          <cell r="S3272"/>
          <cell r="T3272"/>
          <cell r="U3272"/>
          <cell r="V3272">
            <v>15</v>
          </cell>
          <cell r="W3272" t="str">
            <v>KinDly reminD that the wet color fastness is not gooD, pls help to reminD the customer</v>
          </cell>
          <cell r="X3272" t="str">
            <v>OWEN</v>
          </cell>
          <cell r="Y3272" t="str">
            <v>OLIP TEXTILE 3-JAN FULL</v>
          </cell>
          <cell r="Z3272" t="str">
            <v>SANDY' MAIL 6/1/17</v>
          </cell>
          <cell r="AA3272"/>
          <cell r="AB3272">
            <v>42746</v>
          </cell>
          <cell r="AC3272">
            <v>2632</v>
          </cell>
        </row>
        <row r="3273">
          <cell r="B3273">
            <v>2631</v>
          </cell>
          <cell r="C3273" t="str">
            <v>OLP-16123002BX</v>
          </cell>
          <cell r="D3273"/>
          <cell r="E3273"/>
          <cell r="F3273" t="str">
            <v>54%POLY46%cotton</v>
          </cell>
          <cell r="G3273" t="str">
            <v>54%POLYESTER46%cotton</v>
          </cell>
          <cell r="H3273" t="str">
            <v>57/58</v>
          </cell>
          <cell r="I3273">
            <v>316</v>
          </cell>
          <cell r="J3273">
            <v>2.6</v>
          </cell>
          <cell r="K3273"/>
          <cell r="L3273"/>
          <cell r="M3273"/>
          <cell r="N3273">
            <v>2.7</v>
          </cell>
          <cell r="O3273"/>
          <cell r="P3273"/>
          <cell r="Q3273"/>
          <cell r="R3273">
            <v>2.98</v>
          </cell>
          <cell r="S3273"/>
          <cell r="T3273"/>
          <cell r="U3273"/>
          <cell r="V3273">
            <v>15</v>
          </cell>
          <cell r="W3273" t="str">
            <v>KinDly reminD that the wet color fastness is not gooD, pls help to reminD the customer</v>
          </cell>
          <cell r="X3273" t="str">
            <v>OWEN</v>
          </cell>
          <cell r="Y3273" t="str">
            <v>OLIP TEXTILE 3-JAN FULL</v>
          </cell>
          <cell r="Z3273" t="str">
            <v>SANDY' MAIL 6/1/17</v>
          </cell>
          <cell r="AA3273"/>
          <cell r="AB3273">
            <v>42746</v>
          </cell>
          <cell r="AC3273">
            <v>2631</v>
          </cell>
        </row>
        <row r="3274">
          <cell r="B3274">
            <v>2630</v>
          </cell>
          <cell r="C3274" t="str">
            <v>OLP-16123001BX</v>
          </cell>
          <cell r="D3274"/>
          <cell r="E3274"/>
          <cell r="F3274" t="str">
            <v>66%POLY34%cotton</v>
          </cell>
          <cell r="G3274" t="str">
            <v>66%POLYESTER34%cotton</v>
          </cell>
          <cell r="H3274" t="str">
            <v>57/58</v>
          </cell>
          <cell r="I3274">
            <v>245</v>
          </cell>
          <cell r="J3274">
            <v>2.96</v>
          </cell>
          <cell r="K3274"/>
          <cell r="L3274"/>
          <cell r="M3274"/>
          <cell r="N3274">
            <v>3.03</v>
          </cell>
          <cell r="O3274"/>
          <cell r="P3274"/>
          <cell r="Q3274"/>
          <cell r="R3274">
            <v>3.2</v>
          </cell>
          <cell r="S3274"/>
          <cell r="T3274"/>
          <cell r="U3274"/>
          <cell r="V3274">
            <v>15</v>
          </cell>
          <cell r="W3274" t="str">
            <v>KinDly reminD that the wet color fastness is not gooD, pls help to reminD the customer</v>
          </cell>
          <cell r="X3274" t="str">
            <v>OWEN</v>
          </cell>
          <cell r="Y3274" t="str">
            <v>OLIP TEXTILE 3-JAN FULL</v>
          </cell>
          <cell r="Z3274" t="str">
            <v>SANDY' MAIL 6/1/17</v>
          </cell>
          <cell r="AA3274"/>
          <cell r="AB3274">
            <v>42746</v>
          </cell>
          <cell r="AC3274">
            <v>2630</v>
          </cell>
        </row>
        <row r="3275">
          <cell r="B3275">
            <v>2629</v>
          </cell>
          <cell r="C3275" t="str">
            <v>TS-314</v>
          </cell>
          <cell r="D3275"/>
          <cell r="E3275"/>
          <cell r="F3275" t="str">
            <v xml:space="preserve">POLY Y/D </v>
          </cell>
          <cell r="G3275" t="str">
            <v xml:space="preserve">POLYESTER Y/D </v>
          </cell>
          <cell r="H3275" t="str">
            <v>57/58</v>
          </cell>
          <cell r="I3275">
            <v>118</v>
          </cell>
          <cell r="J3275">
            <v>1.65</v>
          </cell>
          <cell r="K3275" t="str">
            <v>NO</v>
          </cell>
          <cell r="L3275"/>
          <cell r="M3275"/>
          <cell r="N3275">
            <v>1.68</v>
          </cell>
          <cell r="O3275" t="str">
            <v>NO</v>
          </cell>
          <cell r="P3275"/>
          <cell r="Q3275"/>
          <cell r="R3275"/>
          <cell r="S3275"/>
          <cell r="T3275"/>
          <cell r="U3275"/>
          <cell r="V3275"/>
          <cell r="W3275"/>
          <cell r="X3275" t="str">
            <v>GAVIN</v>
          </cell>
          <cell r="Y3275" t="str">
            <v>GAVIN 3-JAN</v>
          </cell>
          <cell r="Z3275" t="str">
            <v>GAVIN' MAIL 5/1/17</v>
          </cell>
          <cell r="AA3275"/>
          <cell r="AB3275">
            <v>42746</v>
          </cell>
          <cell r="AC3275">
            <v>2629</v>
          </cell>
        </row>
        <row r="3276">
          <cell r="B3276">
            <v>2628</v>
          </cell>
          <cell r="C3276" t="str">
            <v>TS-323</v>
          </cell>
          <cell r="D3276" t="str">
            <v>WOOL DOUBLE LAYER BRUSHED</v>
          </cell>
          <cell r="E3276"/>
          <cell r="F3276" t="str">
            <v>ACYLIC / WOOL 90/10</v>
          </cell>
          <cell r="G3276" t="str">
            <v>ACYLIC / WOOL 90/10</v>
          </cell>
          <cell r="H3276" t="str">
            <v>57/58</v>
          </cell>
          <cell r="I3276">
            <v>464</v>
          </cell>
          <cell r="J3276">
            <v>3.82</v>
          </cell>
          <cell r="K3276"/>
          <cell r="L3276"/>
          <cell r="M3276"/>
          <cell r="N3276">
            <v>3.85</v>
          </cell>
          <cell r="O3276"/>
          <cell r="P3276"/>
          <cell r="Q3276"/>
          <cell r="R3276">
            <v>4</v>
          </cell>
          <cell r="S3276"/>
          <cell r="T3276"/>
          <cell r="U3276"/>
          <cell r="V3276">
            <v>15</v>
          </cell>
          <cell r="W3276"/>
          <cell r="X3276" t="str">
            <v>GAVIN</v>
          </cell>
          <cell r="Y3276" t="str">
            <v>GAVIN 3-JAN</v>
          </cell>
          <cell r="Z3276" t="str">
            <v>GAVIN' MAIL 7/1/17</v>
          </cell>
          <cell r="AA3276"/>
          <cell r="AB3276">
            <v>42746</v>
          </cell>
          <cell r="AC3276">
            <v>2628</v>
          </cell>
        </row>
        <row r="3277">
          <cell r="B3277">
            <v>2627</v>
          </cell>
          <cell r="C3277" t="str">
            <v>TS-319</v>
          </cell>
          <cell r="D3277" t="str">
            <v>CREPE</v>
          </cell>
          <cell r="E3277" t="str">
            <v>70Dx100D</v>
          </cell>
          <cell r="F3277" t="str">
            <v>N/T 51/49</v>
          </cell>
          <cell r="G3277" t="str">
            <v>70Dx100D NYLON/POLYESTER 51/49 CREPE</v>
          </cell>
          <cell r="H3277" t="str">
            <v>57/58</v>
          </cell>
          <cell r="I3277">
            <v>134</v>
          </cell>
          <cell r="J3277">
            <v>1.69</v>
          </cell>
          <cell r="K3277">
            <v>1.78</v>
          </cell>
          <cell r="L3277"/>
          <cell r="M3277"/>
          <cell r="N3277">
            <v>1.72</v>
          </cell>
          <cell r="O3277">
            <v>1.85</v>
          </cell>
          <cell r="P3277"/>
          <cell r="Q3277"/>
          <cell r="R3277">
            <v>1.87</v>
          </cell>
          <cell r="S3277">
            <v>2.15</v>
          </cell>
          <cell r="T3277"/>
          <cell r="U3277"/>
          <cell r="V3277">
            <v>15</v>
          </cell>
          <cell r="W3277"/>
          <cell r="X3277" t="str">
            <v>GAVIN</v>
          </cell>
          <cell r="Y3277" t="str">
            <v>GAVIN 3-JAN</v>
          </cell>
          <cell r="Z3277" t="str">
            <v>GAVIN' MAIL 7/1/17</v>
          </cell>
          <cell r="AA3277"/>
          <cell r="AB3277">
            <v>42746</v>
          </cell>
          <cell r="AC3277">
            <v>2627</v>
          </cell>
        </row>
        <row r="3278">
          <cell r="B3278">
            <v>2626</v>
          </cell>
          <cell r="C3278" t="str">
            <v>TS-318</v>
          </cell>
          <cell r="D3278" t="str">
            <v>DOBBY JACQUARD</v>
          </cell>
          <cell r="E3278"/>
          <cell r="F3278" t="str">
            <v>T 100%</v>
          </cell>
          <cell r="G3278" t="str">
            <v>100% POLYESTER DOBBY JACQUARD</v>
          </cell>
          <cell r="H3278" t="str">
            <v>57/58</v>
          </cell>
          <cell r="I3278">
            <v>73</v>
          </cell>
          <cell r="J3278">
            <v>1.49</v>
          </cell>
          <cell r="K3278"/>
          <cell r="L3278"/>
          <cell r="M3278"/>
          <cell r="N3278">
            <v>1.52</v>
          </cell>
          <cell r="O3278"/>
          <cell r="P3278"/>
          <cell r="Q3278"/>
          <cell r="R3278"/>
          <cell r="S3278"/>
          <cell r="T3278"/>
          <cell r="U3278"/>
          <cell r="V3278">
            <v>15</v>
          </cell>
          <cell r="W3278"/>
          <cell r="X3278" t="str">
            <v>GAVIN</v>
          </cell>
          <cell r="Y3278" t="str">
            <v>GAVIN 3-JAN</v>
          </cell>
          <cell r="Z3278" t="str">
            <v>GAVIN' MAIL 7/1/17</v>
          </cell>
          <cell r="AA3278"/>
          <cell r="AB3278">
            <v>42746</v>
          </cell>
          <cell r="AC3278">
            <v>2626</v>
          </cell>
        </row>
        <row r="3279">
          <cell r="B3279">
            <v>2625</v>
          </cell>
          <cell r="C3279" t="str">
            <v>TS-316</v>
          </cell>
          <cell r="D3279"/>
          <cell r="E3279"/>
          <cell r="F3279" t="str">
            <v>70DX100D NYLON/POLY 51/49 CREPE PRINTED</v>
          </cell>
          <cell r="G3279" t="str">
            <v>70DX100D NYLON/POLYESTER 51/49 CREPE PRINTED</v>
          </cell>
          <cell r="H3279" t="str">
            <v>57/58</v>
          </cell>
          <cell r="I3279">
            <v>118</v>
          </cell>
          <cell r="J3279">
            <v>1.69</v>
          </cell>
          <cell r="K3279">
            <v>1.78</v>
          </cell>
          <cell r="L3279"/>
          <cell r="M3279"/>
          <cell r="N3279">
            <v>1.72</v>
          </cell>
          <cell r="O3279">
            <v>1.85</v>
          </cell>
          <cell r="P3279"/>
          <cell r="Q3279"/>
          <cell r="R3279">
            <v>1.87</v>
          </cell>
          <cell r="S3279">
            <v>2.15</v>
          </cell>
          <cell r="T3279"/>
          <cell r="U3279"/>
          <cell r="V3279">
            <v>15</v>
          </cell>
          <cell r="W3279"/>
          <cell r="X3279" t="str">
            <v>GAVIN</v>
          </cell>
          <cell r="Y3279" t="str">
            <v>GAVIN 3-JAN</v>
          </cell>
          <cell r="Z3279" t="str">
            <v>GAVIN' MAIL 7/1/17</v>
          </cell>
          <cell r="AA3279"/>
          <cell r="AB3279">
            <v>42746</v>
          </cell>
          <cell r="AC3279">
            <v>2625</v>
          </cell>
        </row>
        <row r="3280">
          <cell r="B3280">
            <v>2624</v>
          </cell>
          <cell r="C3280" t="str">
            <v>TS-315</v>
          </cell>
          <cell r="D3280"/>
          <cell r="E3280" t="str">
            <v xml:space="preserve">50Dx50D+100D </v>
          </cell>
          <cell r="F3280" t="str">
            <v>T 100% CREPE PONGEE</v>
          </cell>
          <cell r="G3280" t="str">
            <v>100% POLYESTER CREPE PONGEE</v>
          </cell>
          <cell r="H3280" t="str">
            <v>57/58</v>
          </cell>
          <cell r="I3280">
            <v>60</v>
          </cell>
          <cell r="J3280">
            <v>1.62</v>
          </cell>
          <cell r="K3280">
            <v>1.74</v>
          </cell>
          <cell r="L3280"/>
          <cell r="M3280"/>
          <cell r="N3280">
            <v>1.65</v>
          </cell>
          <cell r="O3280">
            <v>1.82</v>
          </cell>
          <cell r="P3280"/>
          <cell r="Q3280"/>
          <cell r="R3280">
            <v>1.81</v>
          </cell>
          <cell r="S3280">
            <v>2.12</v>
          </cell>
          <cell r="T3280"/>
          <cell r="U3280"/>
          <cell r="V3280">
            <v>15</v>
          </cell>
          <cell r="W3280"/>
          <cell r="X3280" t="str">
            <v>GAVIN</v>
          </cell>
          <cell r="Y3280" t="str">
            <v>GAVIN 3-JAN</v>
          </cell>
          <cell r="Z3280" t="str">
            <v>GAVIN' MAIL 7/1/17</v>
          </cell>
          <cell r="AA3280"/>
          <cell r="AB3280">
            <v>42746</v>
          </cell>
          <cell r="AC3280">
            <v>2624</v>
          </cell>
        </row>
        <row r="3281">
          <cell r="B3281">
            <v>2623</v>
          </cell>
          <cell r="C3281" t="str">
            <v>TS-324</v>
          </cell>
          <cell r="D3281"/>
          <cell r="E3281"/>
          <cell r="F3281" t="str">
            <v>L/R/S 50/45/5</v>
          </cell>
          <cell r="G3281" t="str">
            <v>LINEN/RAYON/SPAN 50/45/5</v>
          </cell>
          <cell r="H3281" t="str">
            <v>54/55</v>
          </cell>
          <cell r="I3281">
            <v>224</v>
          </cell>
          <cell r="J3281">
            <v>2.57</v>
          </cell>
          <cell r="K3281">
            <v>2.7</v>
          </cell>
          <cell r="L3281"/>
          <cell r="M3281"/>
          <cell r="N3281">
            <v>2.6</v>
          </cell>
          <cell r="O3281">
            <v>2.78</v>
          </cell>
          <cell r="P3281"/>
          <cell r="Q3281"/>
          <cell r="R3281">
            <v>2.76</v>
          </cell>
          <cell r="S3281">
            <v>3.05</v>
          </cell>
          <cell r="T3281"/>
          <cell r="U3281"/>
          <cell r="V3281">
            <v>15</v>
          </cell>
          <cell r="W3281"/>
          <cell r="X3281" t="str">
            <v>GAVIN</v>
          </cell>
          <cell r="Y3281" t="str">
            <v>GAVIN 3-JAN</v>
          </cell>
          <cell r="Z3281" t="str">
            <v>GAVIN' MAIL 7/1/17</v>
          </cell>
          <cell r="AA3281"/>
          <cell r="AB3281">
            <v>42746</v>
          </cell>
          <cell r="AC3281">
            <v>2623</v>
          </cell>
        </row>
        <row r="3282">
          <cell r="B3282">
            <v>2622</v>
          </cell>
          <cell r="C3282" t="str">
            <v>TS-322</v>
          </cell>
          <cell r="D3282"/>
          <cell r="E3282"/>
          <cell r="F3282" t="str">
            <v>T/R 65/35</v>
          </cell>
          <cell r="G3282" t="str">
            <v>T/R 65/35</v>
          </cell>
          <cell r="H3282" t="str">
            <v>57/58</v>
          </cell>
          <cell r="I3282">
            <v>455</v>
          </cell>
          <cell r="J3282">
            <v>2.97</v>
          </cell>
          <cell r="K3282"/>
          <cell r="L3282"/>
          <cell r="M3282"/>
          <cell r="N3282">
            <v>3</v>
          </cell>
          <cell r="O3282"/>
          <cell r="P3282"/>
          <cell r="Q3282"/>
          <cell r="R3282">
            <v>3.26</v>
          </cell>
          <cell r="S3282"/>
          <cell r="T3282"/>
          <cell r="U3282"/>
          <cell r="V3282">
            <v>15</v>
          </cell>
          <cell r="W3282"/>
          <cell r="X3282" t="str">
            <v>GAVIN</v>
          </cell>
          <cell r="Y3282" t="str">
            <v>GAVIN 3-JAN</v>
          </cell>
          <cell r="Z3282" t="str">
            <v>GAVIN' MAIL 7/1/17</v>
          </cell>
          <cell r="AA3282"/>
          <cell r="AB3282">
            <v>42746</v>
          </cell>
          <cell r="AC3282">
            <v>2622</v>
          </cell>
        </row>
        <row r="3283">
          <cell r="B3283">
            <v>2649</v>
          </cell>
          <cell r="C3283" t="str">
            <v>OLP-16123033GC</v>
          </cell>
          <cell r="D3283" t="str">
            <v>WOOL YARNDYE TWILL BRUSHED ONE FACE</v>
          </cell>
          <cell r="E3283"/>
          <cell r="F3283" t="str">
            <v>30%WOOL 70% POLY</v>
          </cell>
          <cell r="G3283" t="str">
            <v>30%WOOL 70% POLYESTER</v>
          </cell>
          <cell r="H3283" t="str">
            <v>57/58</v>
          </cell>
          <cell r="I3283">
            <v>365</v>
          </cell>
          <cell r="J3283">
            <v>5.35</v>
          </cell>
          <cell r="K3283"/>
          <cell r="L3283"/>
          <cell r="M3283"/>
          <cell r="N3283">
            <v>5.43</v>
          </cell>
          <cell r="O3283"/>
          <cell r="P3283"/>
          <cell r="Q3283"/>
          <cell r="R3283">
            <v>5.6</v>
          </cell>
          <cell r="S3283"/>
          <cell r="T3283"/>
          <cell r="U3283"/>
          <cell r="V3283">
            <v>15</v>
          </cell>
          <cell r="W3283" t="str">
            <v>KinDly reminD that the wet color fastness is not gooD, pls help to reminD the customer</v>
          </cell>
          <cell r="X3283" t="str">
            <v>OWEN</v>
          </cell>
          <cell r="Y3283" t="str">
            <v>OLIP TEXTILE 3-JAN FULL</v>
          </cell>
          <cell r="Z3283" t="str">
            <v>SANDY' MAIL 6/1/17</v>
          </cell>
          <cell r="AA3283"/>
          <cell r="AB3283">
            <v>42745</v>
          </cell>
          <cell r="AC3283">
            <v>2649</v>
          </cell>
        </row>
        <row r="3284">
          <cell r="B3284">
            <v>2648</v>
          </cell>
          <cell r="C3284" t="str">
            <v>OLP-16123032GC</v>
          </cell>
          <cell r="D3284" t="str">
            <v>WOOL YARNDYED</v>
          </cell>
          <cell r="E3284"/>
          <cell r="F3284" t="str">
            <v>C/W/T 50/36/14</v>
          </cell>
          <cell r="G3284" t="str">
            <v>36%WOOL 50%COTTON 14%POLYESTER</v>
          </cell>
          <cell r="H3284" t="str">
            <v>57/58</v>
          </cell>
          <cell r="I3284">
            <v>420</v>
          </cell>
          <cell r="J3284">
            <v>6.58</v>
          </cell>
          <cell r="K3284"/>
          <cell r="L3284"/>
          <cell r="M3284"/>
          <cell r="N3284">
            <v>6.66</v>
          </cell>
          <cell r="O3284"/>
          <cell r="P3284"/>
          <cell r="Q3284"/>
          <cell r="R3284">
            <v>6.8</v>
          </cell>
          <cell r="S3284"/>
          <cell r="T3284"/>
          <cell r="U3284"/>
          <cell r="V3284">
            <v>15</v>
          </cell>
          <cell r="W3284" t="str">
            <v>KinDly reminD that the wet color fastness is not gooD, pls help to reminD the customer</v>
          </cell>
          <cell r="X3284" t="str">
            <v>OWEN</v>
          </cell>
          <cell r="Y3284" t="str">
            <v>OLIP TEXTILE 3-JAN FULL</v>
          </cell>
          <cell r="Z3284" t="str">
            <v>SANDY' MAIL 6/1/17</v>
          </cell>
          <cell r="AA3284"/>
          <cell r="AB3284">
            <v>42745</v>
          </cell>
          <cell r="AC3284">
            <v>2648</v>
          </cell>
        </row>
        <row r="3285">
          <cell r="B3285">
            <v>2647</v>
          </cell>
          <cell r="C3285" t="str">
            <v>OLP-16123031GC</v>
          </cell>
          <cell r="D3285" t="str">
            <v>WOOL YARNDYED JACQUARD BRUSHED ONE SIDE</v>
          </cell>
          <cell r="E3285"/>
          <cell r="F3285" t="str">
            <v>W/T/A/O 35/30/20/15</v>
          </cell>
          <cell r="G3285" t="str">
            <v>35%wool 20%Acrylic 30%POLYESTER 15%others</v>
          </cell>
          <cell r="H3285" t="str">
            <v>57/58</v>
          </cell>
          <cell r="I3285">
            <v>375</v>
          </cell>
          <cell r="J3285">
            <v>5.58</v>
          </cell>
          <cell r="K3285"/>
          <cell r="L3285"/>
          <cell r="M3285"/>
          <cell r="N3285">
            <v>5.67</v>
          </cell>
          <cell r="O3285"/>
          <cell r="P3285"/>
          <cell r="Q3285"/>
          <cell r="R3285">
            <v>5.78</v>
          </cell>
          <cell r="S3285"/>
          <cell r="T3285"/>
          <cell r="U3285"/>
          <cell r="V3285">
            <v>15</v>
          </cell>
          <cell r="W3285" t="str">
            <v>KinDly reminD that the wet color fastness is not gooD, pls help to reminD the customer</v>
          </cell>
          <cell r="X3285" t="str">
            <v>OWEN</v>
          </cell>
          <cell r="Y3285" t="str">
            <v>OLIP TEXTILE 3-JAN FULL</v>
          </cell>
          <cell r="Z3285" t="str">
            <v>SANDY' MAIL 6/1/17</v>
          </cell>
          <cell r="AA3285"/>
          <cell r="AB3285">
            <v>42745</v>
          </cell>
          <cell r="AC3285">
            <v>2647</v>
          </cell>
        </row>
        <row r="3286">
          <cell r="B3286">
            <v>2646</v>
          </cell>
          <cell r="C3286" t="str">
            <v>OLP-16123030GC</v>
          </cell>
          <cell r="D3286" t="str">
            <v>WOOL YARNDYED JACQUARD</v>
          </cell>
          <cell r="E3286"/>
          <cell r="F3286" t="str">
            <v>10%W 90% OTHERS</v>
          </cell>
          <cell r="G3286" t="str">
            <v>10%WOOL 90% OTHERS</v>
          </cell>
          <cell r="H3286" t="str">
            <v>57/58</v>
          </cell>
          <cell r="I3286">
            <v>345</v>
          </cell>
          <cell r="J3286">
            <v>3.93</v>
          </cell>
          <cell r="K3286"/>
          <cell r="L3286"/>
          <cell r="M3286"/>
          <cell r="N3286">
            <v>4.08</v>
          </cell>
          <cell r="O3286"/>
          <cell r="P3286"/>
          <cell r="Q3286"/>
          <cell r="R3286">
            <v>4.2300000000000004</v>
          </cell>
          <cell r="S3286"/>
          <cell r="T3286"/>
          <cell r="U3286"/>
          <cell r="V3286">
            <v>15</v>
          </cell>
          <cell r="W3286" t="str">
            <v>KinDly reminD that the wet color fastness is not gooD, pls help to reminD the customer</v>
          </cell>
          <cell r="X3286" t="str">
            <v>OWEN</v>
          </cell>
          <cell r="Y3286" t="str">
            <v>OLIP TEXTILE 3-JAN FULL</v>
          </cell>
          <cell r="Z3286" t="str">
            <v>SANDY' MAIL 6/1/17</v>
          </cell>
          <cell r="AA3286"/>
          <cell r="AB3286">
            <v>42745</v>
          </cell>
          <cell r="AC3286">
            <v>2646</v>
          </cell>
        </row>
        <row r="3287">
          <cell r="B3287">
            <v>2645</v>
          </cell>
          <cell r="C3287" t="str">
            <v>OLP-16123039GC</v>
          </cell>
          <cell r="D3287" t="str">
            <v>WOOL DOUBLE LAYER YARNDYED</v>
          </cell>
          <cell r="E3287"/>
          <cell r="F3287" t="str">
            <v>60%W 40% OTHERS</v>
          </cell>
          <cell r="G3287" t="str">
            <v>60%WOOL 40% OTHERS</v>
          </cell>
          <cell r="H3287" t="str">
            <v>57/58</v>
          </cell>
          <cell r="I3287">
            <v>500</v>
          </cell>
          <cell r="J3287">
            <v>8.08</v>
          </cell>
          <cell r="K3287"/>
          <cell r="L3287"/>
          <cell r="M3287"/>
          <cell r="N3287">
            <v>8.15</v>
          </cell>
          <cell r="O3287"/>
          <cell r="P3287"/>
          <cell r="Q3287"/>
          <cell r="R3287">
            <v>8.32</v>
          </cell>
          <cell r="S3287"/>
          <cell r="T3287"/>
          <cell r="U3287"/>
          <cell r="V3287">
            <v>15</v>
          </cell>
          <cell r="W3287" t="str">
            <v>KinDly reminD that the wet color fastness is not gooD, pls help to reminD the customer</v>
          </cell>
          <cell r="X3287" t="str">
            <v>OWEN</v>
          </cell>
          <cell r="Y3287" t="str">
            <v>OLIP TEXTILE 3-JAN FULL</v>
          </cell>
          <cell r="Z3287" t="str">
            <v>SANDY' MAIL 6/1/17</v>
          </cell>
          <cell r="AA3287"/>
          <cell r="AB3287">
            <v>42745</v>
          </cell>
          <cell r="AC3287">
            <v>2645</v>
          </cell>
        </row>
        <row r="3288">
          <cell r="B3288">
            <v>2644</v>
          </cell>
          <cell r="C3288" t="str">
            <v>OLP-16123029GC</v>
          </cell>
          <cell r="D3288" t="str">
            <v>WOOL / NEW STRUCTURE</v>
          </cell>
          <cell r="E3288"/>
          <cell r="F3288" t="str">
            <v>50%WOOL 50% OTHERS</v>
          </cell>
          <cell r="G3288" t="str">
            <v>50%WOOL 50% OTHERS</v>
          </cell>
          <cell r="H3288" t="str">
            <v>57/58</v>
          </cell>
          <cell r="I3288">
            <v>325</v>
          </cell>
          <cell r="J3288">
            <v>6.15</v>
          </cell>
          <cell r="K3288"/>
          <cell r="L3288"/>
          <cell r="M3288"/>
          <cell r="N3288">
            <v>6.25</v>
          </cell>
          <cell r="O3288"/>
          <cell r="P3288"/>
          <cell r="Q3288"/>
          <cell r="R3288">
            <v>6.4</v>
          </cell>
          <cell r="S3288"/>
          <cell r="T3288"/>
          <cell r="U3288"/>
          <cell r="V3288">
            <v>15</v>
          </cell>
          <cell r="W3288" t="str">
            <v>KinDly reminD that the wet color fastness is not gooD, pls help to reminD the customer</v>
          </cell>
          <cell r="X3288" t="str">
            <v>OWEN</v>
          </cell>
          <cell r="Y3288" t="str">
            <v>OLIP TEXTILE 3-JAN FULL</v>
          </cell>
          <cell r="Z3288" t="str">
            <v>SANDY' MAIL 6/1/17</v>
          </cell>
          <cell r="AA3288"/>
          <cell r="AB3288">
            <v>42745</v>
          </cell>
          <cell r="AC3288">
            <v>2644</v>
          </cell>
        </row>
        <row r="3289">
          <cell r="B3289">
            <v>2621</v>
          </cell>
          <cell r="C3289" t="str">
            <v>TS-321</v>
          </cell>
          <cell r="D3289"/>
          <cell r="E3289"/>
          <cell r="F3289" t="str">
            <v xml:space="preserve">L/R 30/70 </v>
          </cell>
          <cell r="G3289" t="str">
            <v xml:space="preserve">LINEN/RAYON 30/70 </v>
          </cell>
          <cell r="H3289" t="str">
            <v>54/55</v>
          </cell>
          <cell r="I3289">
            <v>194</v>
          </cell>
          <cell r="J3289">
            <v>2.2200000000000002</v>
          </cell>
          <cell r="K3289">
            <v>2.3199999999999998</v>
          </cell>
          <cell r="L3289"/>
          <cell r="M3289"/>
          <cell r="N3289">
            <v>2.25</v>
          </cell>
          <cell r="O3289">
            <v>2.4</v>
          </cell>
          <cell r="P3289"/>
          <cell r="Q3289"/>
          <cell r="R3289">
            <v>2.41</v>
          </cell>
          <cell r="S3289">
            <v>2.65</v>
          </cell>
          <cell r="T3289"/>
          <cell r="U3289"/>
          <cell r="V3289">
            <v>15</v>
          </cell>
          <cell r="W3289"/>
          <cell r="X3289" t="str">
            <v>GAVIN</v>
          </cell>
          <cell r="Y3289" t="str">
            <v>GAVIN 3-JAN</v>
          </cell>
          <cell r="Z3289" t="str">
            <v>GAVIN' MAIL 7/1/17</v>
          </cell>
          <cell r="AA3289"/>
          <cell r="AB3289">
            <v>42745</v>
          </cell>
          <cell r="AC3289">
            <v>2621</v>
          </cell>
        </row>
        <row r="3290">
          <cell r="B3290">
            <v>2620</v>
          </cell>
          <cell r="C3290" t="str">
            <v>TS-320</v>
          </cell>
          <cell r="D3290"/>
          <cell r="E3290"/>
          <cell r="F3290" t="str">
            <v>160Dx32'S N/C 63/37 PEACHED</v>
          </cell>
          <cell r="G3290" t="str">
            <v>160Dx32'S N/C 63/37 PEACHED</v>
          </cell>
          <cell r="H3290" t="str">
            <v>57/58</v>
          </cell>
          <cell r="I3290">
            <v>160</v>
          </cell>
          <cell r="J3290">
            <v>2.4900000000000002</v>
          </cell>
          <cell r="K3290"/>
          <cell r="L3290"/>
          <cell r="M3290"/>
          <cell r="N3290">
            <v>2.52</v>
          </cell>
          <cell r="O3290"/>
          <cell r="P3290"/>
          <cell r="Q3290"/>
          <cell r="R3290">
            <v>2.67</v>
          </cell>
          <cell r="S3290"/>
          <cell r="T3290"/>
          <cell r="U3290"/>
          <cell r="V3290">
            <v>15</v>
          </cell>
          <cell r="W3290"/>
          <cell r="X3290" t="str">
            <v>GAVIN</v>
          </cell>
          <cell r="Y3290" t="str">
            <v>GAVIN 3-JAN</v>
          </cell>
          <cell r="Z3290" t="str">
            <v>GAVIN' MAIL 7/1/17</v>
          </cell>
          <cell r="AA3290"/>
          <cell r="AB3290">
            <v>42745</v>
          </cell>
          <cell r="AC3290">
            <v>2620</v>
          </cell>
        </row>
        <row r="3291">
          <cell r="B3291">
            <v>2619</v>
          </cell>
          <cell r="C3291" t="str">
            <v>TS-317</v>
          </cell>
          <cell r="D3291"/>
          <cell r="E3291"/>
          <cell r="F3291" t="str">
            <v xml:space="preserve">70Dx21'S N/C 34/66 </v>
          </cell>
          <cell r="G3291" t="str">
            <v xml:space="preserve">70Dx21'S N/C 34/66 </v>
          </cell>
          <cell r="H3291" t="str">
            <v>57/58</v>
          </cell>
          <cell r="I3291">
            <v>160</v>
          </cell>
          <cell r="J3291">
            <v>2.69</v>
          </cell>
          <cell r="K3291"/>
          <cell r="L3291"/>
          <cell r="M3291"/>
          <cell r="N3291">
            <v>2.72</v>
          </cell>
          <cell r="O3291"/>
          <cell r="P3291"/>
          <cell r="Q3291"/>
          <cell r="R3291">
            <v>2.88</v>
          </cell>
          <cell r="S3291"/>
          <cell r="T3291"/>
          <cell r="U3291"/>
          <cell r="V3291">
            <v>15</v>
          </cell>
          <cell r="W3291"/>
          <cell r="X3291" t="str">
            <v>GAVIN</v>
          </cell>
          <cell r="Y3291" t="str">
            <v>GAVIN 3-JAN</v>
          </cell>
          <cell r="Z3291" t="str">
            <v>GAVIN' MAIL 7/1/17</v>
          </cell>
          <cell r="AA3291"/>
          <cell r="AB3291">
            <v>42745</v>
          </cell>
          <cell r="AC3291">
            <v>2619</v>
          </cell>
        </row>
        <row r="3292">
          <cell r="B3292">
            <v>2618</v>
          </cell>
          <cell r="C3292" t="str">
            <v>OLP-1612314TB</v>
          </cell>
          <cell r="D3292"/>
          <cell r="E3292"/>
          <cell r="F3292" t="str">
            <v>76% COTTON 21% POLY 3% SPAN</v>
          </cell>
          <cell r="G3292" t="str">
            <v>76% COTTON 21% POLYESTER 3% SPAN</v>
          </cell>
          <cell r="H3292" t="str">
            <v>48/50</v>
          </cell>
          <cell r="I3292">
            <v>265</v>
          </cell>
          <cell r="J3292">
            <v>2.76</v>
          </cell>
          <cell r="K3292"/>
          <cell r="L3292"/>
          <cell r="M3292"/>
          <cell r="N3292">
            <v>2.88</v>
          </cell>
          <cell r="O3292"/>
          <cell r="P3292"/>
          <cell r="Q3292"/>
          <cell r="R3292">
            <v>3.13</v>
          </cell>
          <cell r="S3292"/>
          <cell r="T3292"/>
          <cell r="U3292"/>
          <cell r="V3292">
            <v>15</v>
          </cell>
          <cell r="W3292" t="str">
            <v>KinDly reminD that the wet color fastness is not gooD, pls help to reminD the customer</v>
          </cell>
          <cell r="X3292" t="str">
            <v>OWEN</v>
          </cell>
          <cell r="Y3292" t="str">
            <v>OLIP TEXTILE 3-JAN FULL</v>
          </cell>
          <cell r="Z3292" t="str">
            <v>SANDY' MAIL 6/1/17</v>
          </cell>
          <cell r="AA3292"/>
          <cell r="AB3292">
            <v>42745</v>
          </cell>
          <cell r="AC3292">
            <v>2618</v>
          </cell>
        </row>
        <row r="3293">
          <cell r="B3293">
            <v>2617</v>
          </cell>
          <cell r="C3293" t="str">
            <v>OLP-16123024TB</v>
          </cell>
          <cell r="D3293"/>
          <cell r="E3293"/>
          <cell r="F3293" t="str">
            <v>68%COTTON 32%NYLON</v>
          </cell>
          <cell r="G3293" t="str">
            <v>68%COTTON 32%NYLON</v>
          </cell>
          <cell r="H3293" t="str">
            <v>57/58</v>
          </cell>
          <cell r="I3293">
            <v>188</v>
          </cell>
          <cell r="J3293">
            <v>2.96</v>
          </cell>
          <cell r="K3293"/>
          <cell r="L3293"/>
          <cell r="M3293"/>
          <cell r="N3293">
            <v>3.05</v>
          </cell>
          <cell r="O3293"/>
          <cell r="P3293"/>
          <cell r="Q3293"/>
          <cell r="R3293">
            <v>3.25</v>
          </cell>
          <cell r="S3293"/>
          <cell r="T3293"/>
          <cell r="U3293"/>
          <cell r="V3293">
            <v>15</v>
          </cell>
          <cell r="W3293" t="str">
            <v>KinDly reminD that the wet color fastness is not gooD, pls help to reminD the customer</v>
          </cell>
          <cell r="X3293" t="str">
            <v>OWEN</v>
          </cell>
          <cell r="Y3293" t="str">
            <v>OLIP TEXTILE 3-JAN FULL</v>
          </cell>
          <cell r="Z3293" t="str">
            <v>SANDY' MAIL 6/1/17</v>
          </cell>
          <cell r="AA3293"/>
          <cell r="AB3293">
            <v>42745</v>
          </cell>
          <cell r="AC3293">
            <v>2617</v>
          </cell>
        </row>
        <row r="3294">
          <cell r="B3294">
            <v>2616</v>
          </cell>
          <cell r="C3294" t="str">
            <v>OLP-16123022TB</v>
          </cell>
          <cell r="D3294"/>
          <cell r="E3294"/>
          <cell r="F3294" t="str">
            <v>76% COTTON 24%NYLON</v>
          </cell>
          <cell r="G3294" t="str">
            <v>76% COTTON 24%NYLON</v>
          </cell>
          <cell r="H3294" t="str">
            <v>57/58</v>
          </cell>
          <cell r="I3294">
            <v>195</v>
          </cell>
          <cell r="J3294">
            <v>2.25</v>
          </cell>
          <cell r="K3294"/>
          <cell r="L3294"/>
          <cell r="M3294"/>
          <cell r="N3294">
            <v>2.4</v>
          </cell>
          <cell r="O3294"/>
          <cell r="P3294"/>
          <cell r="Q3294"/>
          <cell r="R3294">
            <v>2.6</v>
          </cell>
          <cell r="S3294"/>
          <cell r="T3294"/>
          <cell r="U3294"/>
          <cell r="V3294">
            <v>15</v>
          </cell>
          <cell r="W3294" t="str">
            <v>KinDly reminD that the wet color fastness is not gooD, pls help to reminD the customer</v>
          </cell>
          <cell r="X3294" t="str">
            <v>OWEN</v>
          </cell>
          <cell r="Y3294" t="str">
            <v>OLIP TEXTILE 3-JAN FULL</v>
          </cell>
          <cell r="Z3294" t="str">
            <v>SANDY' MAIL 6/1/17</v>
          </cell>
          <cell r="AA3294"/>
          <cell r="AB3294">
            <v>42745</v>
          </cell>
          <cell r="AC3294">
            <v>2616</v>
          </cell>
        </row>
        <row r="3295">
          <cell r="B3295">
            <v>2615</v>
          </cell>
          <cell r="C3295" t="str">
            <v>OLP-16123020TB</v>
          </cell>
          <cell r="D3295"/>
          <cell r="E3295"/>
          <cell r="F3295" t="str">
            <v>25%COTTON 75%NYLON</v>
          </cell>
          <cell r="G3295" t="str">
            <v>25%COTTON 75%NYLON</v>
          </cell>
          <cell r="H3295" t="str">
            <v>57/58</v>
          </cell>
          <cell r="I3295">
            <v>130</v>
          </cell>
          <cell r="J3295">
            <v>2.15</v>
          </cell>
          <cell r="K3295"/>
          <cell r="L3295"/>
          <cell r="M3295"/>
          <cell r="N3295">
            <v>2.27</v>
          </cell>
          <cell r="O3295"/>
          <cell r="P3295"/>
          <cell r="Q3295"/>
          <cell r="R3295">
            <v>2.52</v>
          </cell>
          <cell r="S3295"/>
          <cell r="T3295"/>
          <cell r="U3295"/>
          <cell r="V3295">
            <v>15</v>
          </cell>
          <cell r="W3295" t="str">
            <v>KinDly reminD that the wet color fastness is not gooD, pls help to reminD the customer</v>
          </cell>
          <cell r="X3295" t="str">
            <v>OWEN</v>
          </cell>
          <cell r="Y3295" t="str">
            <v>OLIP TEXTILE 3-JAN FULL</v>
          </cell>
          <cell r="Z3295" t="str">
            <v>SANDY' MAIL 6/1/17</v>
          </cell>
          <cell r="AA3295"/>
          <cell r="AB3295">
            <v>42745</v>
          </cell>
          <cell r="AC3295">
            <v>2615</v>
          </cell>
        </row>
        <row r="3296">
          <cell r="B3296">
            <v>2614</v>
          </cell>
          <cell r="C3296" t="str">
            <v>OLP-1612312BX</v>
          </cell>
          <cell r="D3296"/>
          <cell r="E3296"/>
          <cell r="F3296" t="str">
            <v>C 100%</v>
          </cell>
          <cell r="G3296" t="str">
            <v>100% COTTON</v>
          </cell>
          <cell r="H3296" t="str">
            <v>57/58</v>
          </cell>
          <cell r="I3296">
            <v>315</v>
          </cell>
          <cell r="J3296">
            <v>2.95</v>
          </cell>
          <cell r="K3296">
            <v>3.21</v>
          </cell>
          <cell r="L3296"/>
          <cell r="M3296"/>
          <cell r="N3296">
            <v>3.12</v>
          </cell>
          <cell r="O3296">
            <v>3.5</v>
          </cell>
          <cell r="P3296"/>
          <cell r="Q3296"/>
          <cell r="R3296">
            <v>3.4</v>
          </cell>
          <cell r="S3296">
            <v>4.25</v>
          </cell>
          <cell r="T3296"/>
          <cell r="U3296"/>
          <cell r="V3296">
            <v>15</v>
          </cell>
          <cell r="W3296" t="str">
            <v>KinDly reminD that the wet color fastness is not gooD, pls help to reminD the customer</v>
          </cell>
          <cell r="X3296" t="str">
            <v>OWEN</v>
          </cell>
          <cell r="Y3296" t="str">
            <v>OLIP TEXTILE 3-JAN FULL</v>
          </cell>
          <cell r="Z3296" t="str">
            <v>SANDY' MAIL 6/1/17</v>
          </cell>
          <cell r="AA3296"/>
          <cell r="AB3296">
            <v>42745</v>
          </cell>
          <cell r="AC3296">
            <v>2614</v>
          </cell>
        </row>
        <row r="3297">
          <cell r="B3297">
            <v>2613</v>
          </cell>
          <cell r="C3297" t="str">
            <v>OLP-1612307BX</v>
          </cell>
          <cell r="D3297" t="str">
            <v>SATEEN</v>
          </cell>
          <cell r="E3297"/>
          <cell r="F3297" t="str">
            <v>R 100%</v>
          </cell>
          <cell r="G3297" t="str">
            <v>100% RAYON</v>
          </cell>
          <cell r="H3297" t="str">
            <v>53/54”</v>
          </cell>
          <cell r="I3297">
            <v>176</v>
          </cell>
          <cell r="J3297">
            <v>2.59</v>
          </cell>
          <cell r="K3297">
            <v>2.9</v>
          </cell>
          <cell r="L3297"/>
          <cell r="M3297"/>
          <cell r="N3297">
            <v>2.65</v>
          </cell>
          <cell r="O3297">
            <v>3</v>
          </cell>
          <cell r="P3297"/>
          <cell r="Q3297"/>
          <cell r="R3297">
            <v>2.98</v>
          </cell>
          <cell r="S3297">
            <v>3.73</v>
          </cell>
          <cell r="T3297"/>
          <cell r="U3297"/>
          <cell r="V3297">
            <v>15</v>
          </cell>
          <cell r="W3297" t="str">
            <v>KinDly reminD that the wet color fastness is not gooD, pls help to reminD the customer</v>
          </cell>
          <cell r="X3297" t="str">
            <v>OWEN</v>
          </cell>
          <cell r="Y3297" t="str">
            <v>OLIP TEXTILE 3-JAN FULL</v>
          </cell>
          <cell r="Z3297" t="str">
            <v>SANDY' MAIL 6/1/17</v>
          </cell>
          <cell r="AA3297"/>
          <cell r="AB3297">
            <v>42745</v>
          </cell>
          <cell r="AC3297">
            <v>2613</v>
          </cell>
        </row>
        <row r="3298">
          <cell r="B3298">
            <v>2612</v>
          </cell>
          <cell r="C3298" t="str">
            <v>OLP-16123004BX</v>
          </cell>
          <cell r="D3298"/>
          <cell r="E3298"/>
          <cell r="F3298" t="str">
            <v>C/N 90/10</v>
          </cell>
          <cell r="G3298" t="str">
            <v>10%Nylon90%cotton</v>
          </cell>
          <cell r="H3298" t="str">
            <v>53/54”</v>
          </cell>
          <cell r="I3298">
            <v>295</v>
          </cell>
          <cell r="J3298">
            <v>2.52</v>
          </cell>
          <cell r="K3298"/>
          <cell r="L3298"/>
          <cell r="M3298"/>
          <cell r="N3298">
            <v>2.6</v>
          </cell>
          <cell r="O3298"/>
          <cell r="P3298"/>
          <cell r="Q3298"/>
          <cell r="R3298">
            <v>2.9</v>
          </cell>
          <cell r="S3298"/>
          <cell r="T3298"/>
          <cell r="U3298"/>
          <cell r="V3298">
            <v>15</v>
          </cell>
          <cell r="W3298" t="str">
            <v>KinDly reminD that the wet color fastness is not gooD, pls help to reminD the customer</v>
          </cell>
          <cell r="X3298" t="str">
            <v>OWEN</v>
          </cell>
          <cell r="Y3298" t="str">
            <v>OLIP TEXTILE 3-JAN FULL</v>
          </cell>
          <cell r="Z3298" t="str">
            <v>SANDY' MAIL 6/1/17</v>
          </cell>
          <cell r="AA3298"/>
          <cell r="AB3298">
            <v>42745</v>
          </cell>
          <cell r="AC3298">
            <v>2612</v>
          </cell>
        </row>
        <row r="3299">
          <cell r="B3299">
            <v>2611</v>
          </cell>
          <cell r="C3299" t="str">
            <v>OLP-16123003BX</v>
          </cell>
          <cell r="D3299"/>
          <cell r="E3299"/>
          <cell r="F3299" t="str">
            <v>13%Nylon87%cotton</v>
          </cell>
          <cell r="G3299" t="str">
            <v>13%Nylon87%cotton</v>
          </cell>
          <cell r="H3299" t="str">
            <v>57/58</v>
          </cell>
          <cell r="I3299">
            <v>146</v>
          </cell>
          <cell r="J3299">
            <v>2.15</v>
          </cell>
          <cell r="K3299"/>
          <cell r="L3299"/>
          <cell r="M3299"/>
          <cell r="N3299">
            <v>2.25</v>
          </cell>
          <cell r="O3299"/>
          <cell r="P3299"/>
          <cell r="Q3299"/>
          <cell r="R3299">
            <v>2.58</v>
          </cell>
          <cell r="S3299"/>
          <cell r="T3299"/>
          <cell r="U3299"/>
          <cell r="V3299">
            <v>15</v>
          </cell>
          <cell r="W3299" t="str">
            <v>KinDly reminD that the wet color fastness is not gooD, pls help to reminD the customer</v>
          </cell>
          <cell r="X3299" t="str">
            <v>OWEN</v>
          </cell>
          <cell r="Y3299" t="str">
            <v>OLIP TEXTILE 3-JAN FULL</v>
          </cell>
          <cell r="Z3299" t="str">
            <v>SANDY' MAIL 6/1/17</v>
          </cell>
          <cell r="AA3299"/>
          <cell r="AB3299">
            <v>42745</v>
          </cell>
          <cell r="AC3299">
            <v>2611</v>
          </cell>
        </row>
        <row r="3300">
          <cell r="B3300">
            <v>2511</v>
          </cell>
          <cell r="C3300" t="str">
            <v>102514FS</v>
          </cell>
          <cell r="D3300" t="str">
            <v>MOSS CREPE</v>
          </cell>
          <cell r="E3300"/>
          <cell r="F3300" t="str">
            <v>T 100%</v>
          </cell>
          <cell r="G3300" t="str">
            <v>100% POLYESTER</v>
          </cell>
          <cell r="H3300" t="str">
            <v>57/58</v>
          </cell>
          <cell r="I3300">
            <v>120</v>
          </cell>
          <cell r="J3300">
            <v>1.26</v>
          </cell>
          <cell r="K3300">
            <v>1.45</v>
          </cell>
          <cell r="L3300"/>
          <cell r="M3300"/>
          <cell r="N3300">
            <v>1.36</v>
          </cell>
          <cell r="O3300">
            <v>1.55</v>
          </cell>
          <cell r="P3300"/>
          <cell r="Q3300"/>
          <cell r="R3300">
            <v>1.52</v>
          </cell>
          <cell r="S3300">
            <v>2.25</v>
          </cell>
          <cell r="T3300"/>
          <cell r="U3300"/>
          <cell r="V3300">
            <v>15</v>
          </cell>
          <cell r="W3300"/>
          <cell r="X3300" t="str">
            <v>OWEN</v>
          </cell>
          <cell r="Y3300" t="str">
            <v>OWEN 12-JAN</v>
          </cell>
          <cell r="Z3300" t="str">
            <v>SANDY' MAIL 13/1/17</v>
          </cell>
          <cell r="AA3300"/>
          <cell r="AB3300">
            <v>42745</v>
          </cell>
          <cell r="AC3300">
            <v>2511</v>
          </cell>
        </row>
        <row r="3301">
          <cell r="B3301">
            <v>2507</v>
          </cell>
          <cell r="C3301" t="str">
            <v>102516FS</v>
          </cell>
          <cell r="D3301" t="str">
            <v>RUFFLE</v>
          </cell>
          <cell r="E3301"/>
          <cell r="F3301" t="str">
            <v>T 100%</v>
          </cell>
          <cell r="G3301" t="str">
            <v>100% POLYESTER</v>
          </cell>
          <cell r="H3301" t="str">
            <v>57/58</v>
          </cell>
          <cell r="I3301">
            <v>170</v>
          </cell>
          <cell r="J3301">
            <v>1.55</v>
          </cell>
          <cell r="K3301">
            <v>1.78</v>
          </cell>
          <cell r="L3301"/>
          <cell r="M3301"/>
          <cell r="N3301">
            <v>1.65</v>
          </cell>
          <cell r="O3301">
            <v>1.88</v>
          </cell>
          <cell r="P3301"/>
          <cell r="Q3301"/>
          <cell r="R3301">
            <v>1.8</v>
          </cell>
          <cell r="S3301">
            <v>2.58</v>
          </cell>
          <cell r="T3301"/>
          <cell r="U3301"/>
          <cell r="V3301">
            <v>15</v>
          </cell>
          <cell r="W3301"/>
          <cell r="X3301" t="str">
            <v>OWEN</v>
          </cell>
          <cell r="Y3301" t="str">
            <v>OWEN 16-JAN</v>
          </cell>
          <cell r="Z3301" t="str">
            <v>SANDY' MAIL 17/1/17</v>
          </cell>
          <cell r="AA3301"/>
          <cell r="AB3301">
            <v>42745</v>
          </cell>
          <cell r="AC3301">
            <v>2507</v>
          </cell>
        </row>
        <row r="3302">
          <cell r="B3302">
            <v>2493</v>
          </cell>
          <cell r="C3302" t="str">
            <v>1025X130XS</v>
          </cell>
          <cell r="D3302" t="str">
            <v>HIGH TWIST CHIFFON - RUFFLE</v>
          </cell>
          <cell r="E3302" t="str">
            <v>75D x 21/2</v>
          </cell>
          <cell r="F3302" t="str">
            <v>T 100%</v>
          </cell>
          <cell r="G3302" t="str">
            <v>100% POLYESTER</v>
          </cell>
          <cell r="H3302" t="str">
            <v>57/58</v>
          </cell>
          <cell r="I3302">
            <v>145</v>
          </cell>
          <cell r="J3302">
            <v>1.2</v>
          </cell>
          <cell r="K3302">
            <v>1.4</v>
          </cell>
          <cell r="L3302"/>
          <cell r="M3302"/>
          <cell r="N3302">
            <v>1.3</v>
          </cell>
          <cell r="O3302">
            <v>1.5</v>
          </cell>
          <cell r="P3302"/>
          <cell r="Q3302"/>
          <cell r="R3302">
            <v>1.45</v>
          </cell>
          <cell r="S3302">
            <v>2.25</v>
          </cell>
          <cell r="T3302"/>
          <cell r="U3302"/>
          <cell r="V3302">
            <v>15</v>
          </cell>
          <cell r="W3302"/>
          <cell r="X3302" t="str">
            <v>OWEN</v>
          </cell>
          <cell r="Y3302" t="str">
            <v>OWEN 16-JAN</v>
          </cell>
          <cell r="Z3302" t="str">
            <v>SANDY' MAIL 17/1/17</v>
          </cell>
          <cell r="AA3302"/>
          <cell r="AB3302">
            <v>42745</v>
          </cell>
          <cell r="AC3302">
            <v>2493</v>
          </cell>
        </row>
        <row r="3303">
          <cell r="B3303">
            <v>2490</v>
          </cell>
          <cell r="C3303" t="str">
            <v>GLLPPS-102303</v>
          </cell>
          <cell r="D3303" t="str">
            <v>BUBBLE</v>
          </cell>
          <cell r="E3303" t="str">
            <v>140D x 32/2</v>
          </cell>
          <cell r="F3303" t="str">
            <v>T/S 97/3</v>
          </cell>
          <cell r="G3303" t="str">
            <v>97% POLYESTER 3% SPANDEX</v>
          </cell>
          <cell r="H3303" t="str">
            <v>57/58</v>
          </cell>
          <cell r="I3303">
            <v>120</v>
          </cell>
          <cell r="J3303">
            <v>1.25</v>
          </cell>
          <cell r="K3303">
            <v>1.41</v>
          </cell>
          <cell r="L3303"/>
          <cell r="M3303"/>
          <cell r="N3303">
            <v>1.27</v>
          </cell>
          <cell r="O3303">
            <v>1.44</v>
          </cell>
          <cell r="P3303"/>
          <cell r="Q3303"/>
          <cell r="R3303">
            <v>1.32</v>
          </cell>
          <cell r="S3303">
            <v>1.51</v>
          </cell>
          <cell r="T3303"/>
          <cell r="U3303"/>
          <cell r="V3303">
            <v>15</v>
          </cell>
          <cell r="W3303"/>
          <cell r="X3303" t="str">
            <v>HOWARD</v>
          </cell>
          <cell r="Y3303" t="str">
            <v>HOWARD 12-JAN</v>
          </cell>
          <cell r="Z3303" t="str">
            <v>HOWARD' MAIL 13/1/17</v>
          </cell>
          <cell r="AA3303"/>
          <cell r="AB3303">
            <v>42745</v>
          </cell>
          <cell r="AC3303">
            <v>2490</v>
          </cell>
        </row>
        <row r="3304">
          <cell r="B3304">
            <v>2472</v>
          </cell>
          <cell r="C3304" t="str">
            <v>ST-411205</v>
          </cell>
          <cell r="D3304" t="str">
            <v>RUFFLE</v>
          </cell>
          <cell r="E3304" t="str">
            <v>21/2 x 16</v>
          </cell>
          <cell r="F3304" t="str">
            <v>T/S 97/3</v>
          </cell>
          <cell r="G3304" t="str">
            <v>97% POLYESTER 3% SPAN</v>
          </cell>
          <cell r="H3304" t="str">
            <v>57/58</v>
          </cell>
          <cell r="I3304">
            <v>110</v>
          </cell>
          <cell r="J3304">
            <v>0.97</v>
          </cell>
          <cell r="K3304">
            <v>1.19</v>
          </cell>
          <cell r="L3304"/>
          <cell r="M3304"/>
          <cell r="N3304">
            <v>1.02</v>
          </cell>
          <cell r="O3304">
            <v>1.22</v>
          </cell>
          <cell r="P3304"/>
          <cell r="Q3304"/>
          <cell r="R3304">
            <v>1.06</v>
          </cell>
          <cell r="S3304">
            <v>1.26</v>
          </cell>
          <cell r="T3304"/>
          <cell r="U3304"/>
          <cell r="V3304">
            <v>15</v>
          </cell>
          <cell r="W3304"/>
          <cell r="X3304" t="str">
            <v>SIGER</v>
          </cell>
          <cell r="Y3304" t="str">
            <v>SIGER 16-JAN</v>
          </cell>
          <cell r="Z3304" t="str">
            <v>SIGER' MAIL 18/1/17</v>
          </cell>
          <cell r="AA3304"/>
          <cell r="AB3304">
            <v>42745</v>
          </cell>
          <cell r="AC3304">
            <v>2472</v>
          </cell>
        </row>
        <row r="3305">
          <cell r="B3305">
            <v>2458</v>
          </cell>
          <cell r="C3305" t="str">
            <v>BG 3121</v>
          </cell>
          <cell r="D3305" t="str">
            <v>BUBBLE</v>
          </cell>
          <cell r="E3305" t="str">
            <v>21 x 200D+40D</v>
          </cell>
          <cell r="F3305" t="str">
            <v>T/S 94/6</v>
          </cell>
          <cell r="G3305" t="str">
            <v>94% POYLY 6% SPAN</v>
          </cell>
          <cell r="H3305" t="str">
            <v>57/58</v>
          </cell>
          <cell r="I3305">
            <v>125</v>
          </cell>
          <cell r="J3305">
            <v>1.35</v>
          </cell>
          <cell r="K3305">
            <v>1.8</v>
          </cell>
          <cell r="L3305"/>
          <cell r="M3305"/>
          <cell r="N3305">
            <v>1.45</v>
          </cell>
          <cell r="O3305">
            <v>1.95</v>
          </cell>
          <cell r="P3305"/>
          <cell r="Q3305"/>
          <cell r="R3305">
            <v>1.75</v>
          </cell>
          <cell r="S3305">
            <v>2.4</v>
          </cell>
          <cell r="T3305"/>
          <cell r="U3305"/>
          <cell r="V3305">
            <v>15</v>
          </cell>
          <cell r="W3305" t="str">
            <v>AMW 1786 AND AMW 2458 ARE THE SAME</v>
          </cell>
          <cell r="X3305" t="str">
            <v>ANN</v>
          </cell>
          <cell r="Y3305" t="str">
            <v>ANN 6-JAN</v>
          </cell>
          <cell r="Z3305" t="str">
            <v>ANN' MAIL 7/1/17</v>
          </cell>
          <cell r="AA3305"/>
          <cell r="AB3305">
            <v>42745</v>
          </cell>
          <cell r="AC3305">
            <v>2458</v>
          </cell>
        </row>
        <row r="3306">
          <cell r="B3306">
            <v>2457</v>
          </cell>
          <cell r="C3306" t="str">
            <v>HLT 3217</v>
          </cell>
          <cell r="D3306"/>
          <cell r="E3306" t="str">
            <v>C/T10 x 7+70D+721</v>
          </cell>
          <cell r="F3306" t="str">
            <v>T/S 97/3</v>
          </cell>
          <cell r="G3306" t="str">
            <v>97% POLYESTER 3% SPAN</v>
          </cell>
          <cell r="H3306" t="str">
            <v>57/58</v>
          </cell>
          <cell r="I3306">
            <v>128</v>
          </cell>
          <cell r="J3306">
            <v>1.34</v>
          </cell>
          <cell r="K3306">
            <v>1.45</v>
          </cell>
          <cell r="L3306"/>
          <cell r="M3306"/>
          <cell r="N3306">
            <v>1.44</v>
          </cell>
          <cell r="O3306">
            <v>1.55</v>
          </cell>
          <cell r="P3306"/>
          <cell r="Q3306"/>
          <cell r="R3306">
            <v>1.54</v>
          </cell>
          <cell r="S3306">
            <v>1.65</v>
          </cell>
          <cell r="T3306"/>
          <cell r="U3306"/>
          <cell r="V3306">
            <v>15</v>
          </cell>
          <cell r="W3306"/>
          <cell r="X3306" t="str">
            <v>CANDY</v>
          </cell>
          <cell r="Y3306" t="str">
            <v>CANDY 6-JAN</v>
          </cell>
          <cell r="Z3306" t="str">
            <v>CANDY'MAIL 7/1/17</v>
          </cell>
          <cell r="AA3306"/>
          <cell r="AB3306">
            <v>42745</v>
          </cell>
          <cell r="AC3306">
            <v>2457</v>
          </cell>
        </row>
        <row r="3307">
          <cell r="B3307">
            <v>2456</v>
          </cell>
          <cell r="C3307" t="str">
            <v>HLT 3214</v>
          </cell>
          <cell r="D3307"/>
          <cell r="E3307" t="str">
            <v>10 x 10</v>
          </cell>
          <cell r="F3307" t="str">
            <v>T/S 97/3</v>
          </cell>
          <cell r="G3307" t="str">
            <v>97% POLYESTER 3% SPAN</v>
          </cell>
          <cell r="H3307" t="str">
            <v>57/58</v>
          </cell>
          <cell r="I3307">
            <v>137</v>
          </cell>
          <cell r="J3307">
            <v>1.34</v>
          </cell>
          <cell r="K3307">
            <v>1.45</v>
          </cell>
          <cell r="L3307"/>
          <cell r="M3307"/>
          <cell r="N3307">
            <v>1.44</v>
          </cell>
          <cell r="O3307">
            <v>1.55</v>
          </cell>
          <cell r="P3307"/>
          <cell r="Q3307"/>
          <cell r="R3307">
            <v>1.54</v>
          </cell>
          <cell r="S3307">
            <v>1.65</v>
          </cell>
          <cell r="T3307"/>
          <cell r="U3307"/>
          <cell r="V3307">
            <v>15</v>
          </cell>
          <cell r="W3307"/>
          <cell r="X3307" t="str">
            <v>CANDY</v>
          </cell>
          <cell r="Y3307" t="str">
            <v>CANDY 6-JAN</v>
          </cell>
          <cell r="Z3307" t="str">
            <v>CANDY'MAIL 7/1/17</v>
          </cell>
          <cell r="AA3307"/>
          <cell r="AB3307">
            <v>42745</v>
          </cell>
          <cell r="AC3307">
            <v>2456</v>
          </cell>
        </row>
        <row r="3308">
          <cell r="B3308">
            <v>2455</v>
          </cell>
          <cell r="C3308" t="str">
            <v>HLT 3216</v>
          </cell>
          <cell r="D3308" t="str">
            <v xml:space="preserve"> </v>
          </cell>
          <cell r="E3308"/>
          <cell r="F3308" t="str">
            <v>T/S 97/3</v>
          </cell>
          <cell r="G3308" t="str">
            <v>97% POLYESTER 3% SPAN</v>
          </cell>
          <cell r="H3308" t="str">
            <v>57/58</v>
          </cell>
          <cell r="I3308">
            <v>116</v>
          </cell>
          <cell r="J3308">
            <v>1.34</v>
          </cell>
          <cell r="K3308">
            <v>1.45</v>
          </cell>
          <cell r="L3308"/>
          <cell r="M3308"/>
          <cell r="N3308">
            <v>1.44</v>
          </cell>
          <cell r="O3308">
            <v>1.55</v>
          </cell>
          <cell r="P3308"/>
          <cell r="Q3308"/>
          <cell r="R3308">
            <v>1.54</v>
          </cell>
          <cell r="S3308">
            <v>1.65</v>
          </cell>
          <cell r="T3308"/>
          <cell r="U3308"/>
          <cell r="V3308">
            <v>15</v>
          </cell>
          <cell r="W3308"/>
          <cell r="X3308" t="str">
            <v>CANDY</v>
          </cell>
          <cell r="Y3308" t="str">
            <v>CANDY 6-JAN</v>
          </cell>
          <cell r="Z3308" t="str">
            <v>CANDY'MAIL 7/1/17</v>
          </cell>
          <cell r="AA3308"/>
          <cell r="AB3308">
            <v>42745</v>
          </cell>
          <cell r="AC3308">
            <v>2455</v>
          </cell>
        </row>
        <row r="3309">
          <cell r="B3309">
            <v>2452</v>
          </cell>
          <cell r="C3309" t="str">
            <v>HLT-3208</v>
          </cell>
          <cell r="D3309" t="str">
            <v>CREPE</v>
          </cell>
          <cell r="E3309"/>
          <cell r="F3309" t="str">
            <v>T 100%</v>
          </cell>
          <cell r="G3309" t="str">
            <v>100% POLYESTER</v>
          </cell>
          <cell r="H3309" t="str">
            <v>57/58</v>
          </cell>
          <cell r="I3309">
            <v>124</v>
          </cell>
          <cell r="J3309">
            <v>1.2</v>
          </cell>
          <cell r="K3309">
            <v>1.39</v>
          </cell>
          <cell r="L3309"/>
          <cell r="M3309"/>
          <cell r="N3309">
            <v>1.3</v>
          </cell>
          <cell r="O3309">
            <v>1.5499999999999998</v>
          </cell>
          <cell r="P3309"/>
          <cell r="Q3309"/>
          <cell r="R3309">
            <v>1.4000000000000001</v>
          </cell>
          <cell r="S3309">
            <v>1.7499999999999998</v>
          </cell>
          <cell r="T3309"/>
          <cell r="U3309"/>
          <cell r="V3309">
            <v>15</v>
          </cell>
          <cell r="W3309" t="str">
            <v>CIF VN</v>
          </cell>
          <cell r="X3309" t="str">
            <v>CANDY</v>
          </cell>
          <cell r="Y3309" t="str">
            <v>CANDY 12-JAN</v>
          </cell>
          <cell r="Z3309" t="str">
            <v>CANDY'MAIL 13/1/17</v>
          </cell>
          <cell r="AA3309"/>
          <cell r="AB3309">
            <v>42745</v>
          </cell>
          <cell r="AC3309">
            <v>2452</v>
          </cell>
        </row>
        <row r="3310">
          <cell r="B3310">
            <v>2442</v>
          </cell>
          <cell r="C3310" t="str">
            <v>TS-076</v>
          </cell>
          <cell r="D3310"/>
          <cell r="E3310"/>
          <cell r="F3310" t="str">
            <v>T/S 96/4</v>
          </cell>
          <cell r="G3310" t="str">
            <v>96% POLYESTER 4% SPAN</v>
          </cell>
          <cell r="H3310" t="str">
            <v>57/58</v>
          </cell>
          <cell r="I3310">
            <v>132</v>
          </cell>
          <cell r="J3310">
            <v>1.52</v>
          </cell>
          <cell r="K3310">
            <v>1.67</v>
          </cell>
          <cell r="L3310"/>
          <cell r="M3310"/>
          <cell r="N3310">
            <v>1.55</v>
          </cell>
          <cell r="O3310">
            <v>1.75</v>
          </cell>
          <cell r="P3310"/>
          <cell r="Q3310"/>
          <cell r="R3310">
            <v>1.7</v>
          </cell>
          <cell r="S3310">
            <v>2.0499999999999998</v>
          </cell>
          <cell r="T3310"/>
          <cell r="U3310"/>
          <cell r="V3310">
            <v>15</v>
          </cell>
          <cell r="W3310"/>
          <cell r="X3310" t="str">
            <v>GAVIN</v>
          </cell>
          <cell r="Y3310" t="str">
            <v>GAVIN 6-JAN</v>
          </cell>
          <cell r="Z3310" t="str">
            <v>GAVIN' MAIL 6/1/17</v>
          </cell>
          <cell r="AA3310"/>
          <cell r="AB3310">
            <v>42745</v>
          </cell>
          <cell r="AC3310">
            <v>2442</v>
          </cell>
        </row>
        <row r="3311">
          <cell r="B3311">
            <v>2441</v>
          </cell>
          <cell r="C3311" t="str">
            <v>TS-278</v>
          </cell>
          <cell r="D3311" t="str">
            <v>RUFFLE</v>
          </cell>
          <cell r="E3311"/>
          <cell r="F3311" t="str">
            <v>T 100%</v>
          </cell>
          <cell r="G3311" t="str">
            <v>100% POLYESTER</v>
          </cell>
          <cell r="H3311" t="str">
            <v>57/58</v>
          </cell>
          <cell r="I3311">
            <v>130</v>
          </cell>
          <cell r="J3311">
            <v>1.07</v>
          </cell>
          <cell r="K3311">
            <v>1.2</v>
          </cell>
          <cell r="L3311"/>
          <cell r="M3311"/>
          <cell r="N3311">
            <v>1.1000000000000001</v>
          </cell>
          <cell r="O3311">
            <v>1.26</v>
          </cell>
          <cell r="P3311"/>
          <cell r="Q3311"/>
          <cell r="R3311">
            <v>1.25</v>
          </cell>
          <cell r="S3311">
            <v>1.55</v>
          </cell>
          <cell r="T3311"/>
          <cell r="U3311"/>
          <cell r="V3311">
            <v>15</v>
          </cell>
          <cell r="W3311"/>
          <cell r="X3311" t="str">
            <v>GAVIN</v>
          </cell>
          <cell r="Y3311" t="str">
            <v>GAVIN 16-JAN</v>
          </cell>
          <cell r="Z3311" t="str">
            <v>GAVIN' MAIL 17/1/17</v>
          </cell>
          <cell r="AA3311"/>
          <cell r="AB3311">
            <v>42745</v>
          </cell>
          <cell r="AC3311">
            <v>2441</v>
          </cell>
        </row>
        <row r="3312">
          <cell r="B3312">
            <v>2440</v>
          </cell>
          <cell r="C3312" t="str">
            <v>TS-045</v>
          </cell>
          <cell r="D3312" t="str">
            <v>RUFFLE</v>
          </cell>
          <cell r="E3312"/>
          <cell r="F3312" t="str">
            <v>T/S 96/4</v>
          </cell>
          <cell r="G3312" t="str">
            <v>96% POLYESTER 4% SPAN</v>
          </cell>
          <cell r="H3312" t="str">
            <v>57/58</v>
          </cell>
          <cell r="I3312">
            <v>95</v>
          </cell>
          <cell r="J3312">
            <v>1.32</v>
          </cell>
          <cell r="K3312">
            <v>1.62</v>
          </cell>
          <cell r="L3312"/>
          <cell r="M3312"/>
          <cell r="N3312">
            <v>1.35</v>
          </cell>
          <cell r="O3312">
            <v>1.68</v>
          </cell>
          <cell r="P3312"/>
          <cell r="Q3312"/>
          <cell r="R3312">
            <v>1.5</v>
          </cell>
          <cell r="S3312">
            <v>1.96</v>
          </cell>
          <cell r="T3312"/>
          <cell r="U3312"/>
          <cell r="V3312">
            <v>15</v>
          </cell>
          <cell r="W3312"/>
          <cell r="X3312" t="str">
            <v>GAVIN</v>
          </cell>
          <cell r="Y3312" t="str">
            <v>GAVIN 16-JAN</v>
          </cell>
          <cell r="Z3312" t="str">
            <v>GAVIN' MAIL 17/1/17</v>
          </cell>
          <cell r="AA3312"/>
          <cell r="AB3312">
            <v>42745</v>
          </cell>
          <cell r="AC3312">
            <v>2440</v>
          </cell>
        </row>
        <row r="3313">
          <cell r="B3313">
            <v>2439</v>
          </cell>
          <cell r="C3313" t="str">
            <v>TS-275</v>
          </cell>
          <cell r="D3313" t="str">
            <v>RUFFLE</v>
          </cell>
          <cell r="E3313"/>
          <cell r="F3313" t="str">
            <v>T/S 96/4</v>
          </cell>
          <cell r="G3313" t="str">
            <v>96% POLYESTER 4% SPAN</v>
          </cell>
          <cell r="H3313" t="str">
            <v>57/58</v>
          </cell>
          <cell r="I3313">
            <v>127</v>
          </cell>
          <cell r="J3313">
            <v>1.27</v>
          </cell>
          <cell r="K3313">
            <v>1.56</v>
          </cell>
          <cell r="L3313"/>
          <cell r="M3313"/>
          <cell r="N3313">
            <v>1.3</v>
          </cell>
          <cell r="O3313">
            <v>1.62</v>
          </cell>
          <cell r="P3313"/>
          <cell r="Q3313"/>
          <cell r="R3313">
            <v>1.45</v>
          </cell>
          <cell r="S3313">
            <v>1.9</v>
          </cell>
          <cell r="T3313"/>
          <cell r="U3313"/>
          <cell r="V3313">
            <v>15</v>
          </cell>
          <cell r="W3313"/>
          <cell r="X3313" t="str">
            <v>GAVIN</v>
          </cell>
          <cell r="Y3313" t="str">
            <v>GAVIN 16-JAN</v>
          </cell>
          <cell r="Z3313" t="str">
            <v>GAVIN' MAIL 17/1/17</v>
          </cell>
          <cell r="AA3313"/>
          <cell r="AB3313">
            <v>42745</v>
          </cell>
          <cell r="AC3313">
            <v>2439</v>
          </cell>
        </row>
        <row r="3314">
          <cell r="B3314">
            <v>2428</v>
          </cell>
          <cell r="C3314" t="str">
            <v>M12451</v>
          </cell>
          <cell r="D3314"/>
          <cell r="E3314"/>
          <cell r="F3314" t="str">
            <v>T 100%</v>
          </cell>
          <cell r="G3314" t="str">
            <v>100% POLYESTER</v>
          </cell>
          <cell r="H3314" t="str">
            <v>57/58</v>
          </cell>
          <cell r="I3314">
            <v>85</v>
          </cell>
          <cell r="J3314">
            <v>0.92</v>
          </cell>
          <cell r="K3314">
            <v>1.1000000000000001</v>
          </cell>
          <cell r="L3314"/>
          <cell r="M3314"/>
          <cell r="N3314">
            <v>0.97</v>
          </cell>
          <cell r="O3314">
            <v>1.18</v>
          </cell>
          <cell r="P3314"/>
          <cell r="Q3314"/>
          <cell r="R3314">
            <v>1.25</v>
          </cell>
          <cell r="S3314"/>
          <cell r="T3314"/>
          <cell r="U3314"/>
          <cell r="V3314">
            <v>15</v>
          </cell>
          <cell r="W3314" t="str">
            <v xml:space="preserve">Amuzen crepe </v>
          </cell>
          <cell r="X3314" t="str">
            <v>MARY</v>
          </cell>
          <cell r="Y3314" t="str">
            <v>MARY 12-JAN</v>
          </cell>
          <cell r="Z3314" t="str">
            <v>MARY' MAIL 12/1/17</v>
          </cell>
          <cell r="AA3314"/>
          <cell r="AB3314">
            <v>42745</v>
          </cell>
          <cell r="AC3314">
            <v>2428</v>
          </cell>
        </row>
        <row r="3315">
          <cell r="B3315">
            <v>2391</v>
          </cell>
          <cell r="C3315" t="str">
            <v>M09638</v>
          </cell>
          <cell r="D3315" t="str">
            <v>BUBBLE</v>
          </cell>
          <cell r="E3315"/>
          <cell r="F3315" t="str">
            <v>T 100%</v>
          </cell>
          <cell r="G3315" t="str">
            <v>100% POLYESTER</v>
          </cell>
          <cell r="H3315" t="str">
            <v>57/58</v>
          </cell>
          <cell r="I3315">
            <v>133</v>
          </cell>
          <cell r="J3315">
            <v>1.08</v>
          </cell>
          <cell r="K3315">
            <v>1.23</v>
          </cell>
          <cell r="L3315">
            <v>1.1299999999999999</v>
          </cell>
          <cell r="M3315">
            <v>1.3</v>
          </cell>
          <cell r="N3315">
            <v>1.2</v>
          </cell>
          <cell r="O3315">
            <v>1.4</v>
          </cell>
          <cell r="P3315"/>
          <cell r="Q3315"/>
          <cell r="R3315">
            <v>1.48</v>
          </cell>
          <cell r="S3315">
            <v>1.7</v>
          </cell>
          <cell r="T3315"/>
          <cell r="U3315"/>
          <cell r="V3315">
            <v>15</v>
          </cell>
          <cell r="W3315" t="str">
            <v>same grounD fabric as JMR16048B, but this quality's print is paper print.</v>
          </cell>
          <cell r="X3315" t="str">
            <v>MARY</v>
          </cell>
          <cell r="Y3315" t="str">
            <v>MARY 6-JAN</v>
          </cell>
          <cell r="Z3315" t="str">
            <v>MARY' MAIL 7/1/17</v>
          </cell>
          <cell r="AA3315"/>
          <cell r="AB3315">
            <v>42745</v>
          </cell>
          <cell r="AC3315">
            <v>2391</v>
          </cell>
        </row>
        <row r="3316">
          <cell r="B3316">
            <v>2390</v>
          </cell>
          <cell r="C3316" t="str">
            <v>M09634</v>
          </cell>
          <cell r="D3316" t="str">
            <v>BUBBLE</v>
          </cell>
          <cell r="E3316"/>
          <cell r="F3316" t="str">
            <v>T 100%</v>
          </cell>
          <cell r="G3316" t="str">
            <v>100% POLYESTER</v>
          </cell>
          <cell r="H3316" t="str">
            <v>57/58</v>
          </cell>
          <cell r="I3316">
            <v>130</v>
          </cell>
          <cell r="J3316">
            <v>1.08</v>
          </cell>
          <cell r="K3316">
            <v>1.23</v>
          </cell>
          <cell r="L3316">
            <v>1.1299999999999999</v>
          </cell>
          <cell r="M3316">
            <v>1.3</v>
          </cell>
          <cell r="N3316">
            <v>1.2</v>
          </cell>
          <cell r="O3316">
            <v>1.4</v>
          </cell>
          <cell r="P3316"/>
          <cell r="Q3316"/>
          <cell r="R3316">
            <v>1.48</v>
          </cell>
          <cell r="S3316">
            <v>1.7</v>
          </cell>
          <cell r="T3316"/>
          <cell r="U3316"/>
          <cell r="V3316">
            <v>15</v>
          </cell>
          <cell r="W3316" t="str">
            <v>same grounD fabric as JMR16048B, but this quality's print is paper print.</v>
          </cell>
          <cell r="X3316" t="str">
            <v>MARY</v>
          </cell>
          <cell r="Y3316" t="str">
            <v>MARY 6-JAN</v>
          </cell>
          <cell r="Z3316" t="str">
            <v>MARY' MAIL 7/1/17</v>
          </cell>
          <cell r="AA3316"/>
          <cell r="AB3316">
            <v>42745</v>
          </cell>
          <cell r="AC3316">
            <v>2390</v>
          </cell>
        </row>
        <row r="3317">
          <cell r="B3317">
            <v>2389</v>
          </cell>
          <cell r="C3317" t="str">
            <v>JMR 16048B</v>
          </cell>
          <cell r="D3317" t="str">
            <v>BUBBLE</v>
          </cell>
          <cell r="E3317"/>
          <cell r="F3317" t="str">
            <v>T 100%</v>
          </cell>
          <cell r="G3317" t="str">
            <v>100% POLYESTER</v>
          </cell>
          <cell r="H3317" t="str">
            <v>57/58</v>
          </cell>
          <cell r="I3317">
            <v>117</v>
          </cell>
          <cell r="J3317">
            <v>1.08</v>
          </cell>
          <cell r="K3317">
            <v>1.23</v>
          </cell>
          <cell r="L3317">
            <v>1.1299999999999999</v>
          </cell>
          <cell r="M3317">
            <v>1.3</v>
          </cell>
          <cell r="N3317">
            <v>1.2</v>
          </cell>
          <cell r="O3317">
            <v>1.4</v>
          </cell>
          <cell r="P3317"/>
          <cell r="Q3317"/>
          <cell r="R3317">
            <v>1.48</v>
          </cell>
          <cell r="S3317">
            <v>1.7</v>
          </cell>
          <cell r="T3317"/>
          <cell r="U3317"/>
          <cell r="V3317">
            <v>15</v>
          </cell>
          <cell r="W3317" t="str">
            <v>bubble chiffon</v>
          </cell>
          <cell r="X3317" t="str">
            <v>MARY</v>
          </cell>
          <cell r="Y3317" t="str">
            <v>MARY 6-JAN</v>
          </cell>
          <cell r="Z3317" t="str">
            <v>MARY' MAIL 7/1/17</v>
          </cell>
          <cell r="AA3317"/>
          <cell r="AB3317">
            <v>42745</v>
          </cell>
          <cell r="AC3317">
            <v>2389</v>
          </cell>
        </row>
        <row r="3318">
          <cell r="B3318">
            <v>2273</v>
          </cell>
          <cell r="C3318" t="str">
            <v>M05068</v>
          </cell>
          <cell r="D3318"/>
          <cell r="E3318" t="str">
            <v xml:space="preserve"> 60 x  60 / 90 x 88</v>
          </cell>
          <cell r="F3318" t="str">
            <v>R 100%</v>
          </cell>
          <cell r="G3318" t="str">
            <v>100% RAYON</v>
          </cell>
          <cell r="H3318" t="str">
            <v>55/56</v>
          </cell>
          <cell r="I3318">
            <v>85</v>
          </cell>
          <cell r="J3318">
            <v>1.25</v>
          </cell>
          <cell r="K3318">
            <v>1.24</v>
          </cell>
          <cell r="L3318">
            <v>1.35</v>
          </cell>
          <cell r="M3318">
            <v>1.28</v>
          </cell>
          <cell r="N3318">
            <v>1.3</v>
          </cell>
          <cell r="O3318">
            <v>1.43</v>
          </cell>
          <cell r="P3318"/>
          <cell r="Q3318"/>
          <cell r="R3318"/>
          <cell r="S3318"/>
          <cell r="T3318"/>
          <cell r="U3318"/>
          <cell r="V3318"/>
          <cell r="W3318"/>
          <cell r="X3318" t="str">
            <v>MARY</v>
          </cell>
          <cell r="Y3318" t="str">
            <v>MARY 4-JAN</v>
          </cell>
          <cell r="Z3318" t="str">
            <v>MARY' MAIL 4/1/17</v>
          </cell>
          <cell r="AA3318"/>
          <cell r="AB3318">
            <v>42745</v>
          </cell>
          <cell r="AC3318">
            <v>2273</v>
          </cell>
        </row>
        <row r="3319">
          <cell r="B3319">
            <v>2193</v>
          </cell>
          <cell r="C3319" t="str">
            <v>HLT 187</v>
          </cell>
          <cell r="D3319"/>
          <cell r="E3319" t="str">
            <v>60 x 140D+40D</v>
          </cell>
          <cell r="F3319" t="str">
            <v>T/S 97/3</v>
          </cell>
          <cell r="G3319" t="str">
            <v>97% POLYESTER 3% SPAN</v>
          </cell>
          <cell r="H3319" t="str">
            <v>57/58</v>
          </cell>
          <cell r="I3319">
            <v>125</v>
          </cell>
          <cell r="J3319">
            <v>1.34</v>
          </cell>
          <cell r="K3319">
            <v>1.45</v>
          </cell>
          <cell r="L3319"/>
          <cell r="M3319"/>
          <cell r="N3319">
            <v>1.44</v>
          </cell>
          <cell r="O3319">
            <v>1.55</v>
          </cell>
          <cell r="P3319"/>
          <cell r="Q3319"/>
          <cell r="R3319">
            <v>1.54</v>
          </cell>
          <cell r="S3319">
            <v>1.65</v>
          </cell>
          <cell r="T3319"/>
          <cell r="U3319"/>
          <cell r="V3319">
            <v>15</v>
          </cell>
          <cell r="W3319" t="str">
            <v xml:space="preserve">HLT3216,HLT3214,HLT3217 are useD same grounD fabric HLT187. </v>
          </cell>
          <cell r="X3319" t="str">
            <v>CANDY</v>
          </cell>
          <cell r="Y3319" t="str">
            <v>CANDY 6-JAN</v>
          </cell>
          <cell r="Z3319" t="str">
            <v>CANDY'MAIL 7/1/17</v>
          </cell>
          <cell r="AA3319"/>
          <cell r="AB3319">
            <v>42745</v>
          </cell>
          <cell r="AC3319">
            <v>2193</v>
          </cell>
        </row>
        <row r="3320">
          <cell r="B3320">
            <v>2181</v>
          </cell>
          <cell r="C3320" t="str">
            <v>RP-180</v>
          </cell>
          <cell r="D3320" t="str">
            <v>CRINKLE</v>
          </cell>
          <cell r="E3320"/>
          <cell r="F3320" t="str">
            <v>R 100%</v>
          </cell>
          <cell r="G3320" t="str">
            <v>100% RAYON</v>
          </cell>
          <cell r="H3320" t="str">
            <v>48/50</v>
          </cell>
          <cell r="I3320">
            <v>135</v>
          </cell>
          <cell r="J3320">
            <v>1.83</v>
          </cell>
          <cell r="K3320">
            <v>2.0299999999999998</v>
          </cell>
          <cell r="L3320"/>
          <cell r="M3320"/>
          <cell r="N3320">
            <v>1.83</v>
          </cell>
          <cell r="O3320">
            <v>2.0299999999999998</v>
          </cell>
          <cell r="P3320"/>
          <cell r="Q3320"/>
          <cell r="R3320">
            <v>2.0299999999999998</v>
          </cell>
          <cell r="S3320">
            <v>2.63</v>
          </cell>
          <cell r="T3320"/>
          <cell r="U3320"/>
          <cell r="V3320">
            <v>15</v>
          </cell>
          <cell r="W3320"/>
          <cell r="X3320" t="str">
            <v>LIVALTEX</v>
          </cell>
          <cell r="Y3320" t="str">
            <v>LINDA 16-JAN</v>
          </cell>
          <cell r="Z3320" t="str">
            <v>LINDA' MAIL 16/1/17</v>
          </cell>
          <cell r="AA3320"/>
          <cell r="AB3320">
            <v>42745</v>
          </cell>
          <cell r="AC3320">
            <v>2181</v>
          </cell>
        </row>
        <row r="3321">
          <cell r="B3321">
            <v>2180</v>
          </cell>
          <cell r="C3321" t="str">
            <v>RP-257</v>
          </cell>
          <cell r="D3321" t="str">
            <v>CRINKLE</v>
          </cell>
          <cell r="E3321"/>
          <cell r="F3321" t="str">
            <v>R 100%</v>
          </cell>
          <cell r="G3321" t="str">
            <v>100% RAYON</v>
          </cell>
          <cell r="H3321" t="str">
            <v>48/50</v>
          </cell>
          <cell r="I3321">
            <v>140</v>
          </cell>
          <cell r="J3321">
            <v>1.85</v>
          </cell>
          <cell r="K3321">
            <v>2.0499999999999998</v>
          </cell>
          <cell r="L3321"/>
          <cell r="M3321"/>
          <cell r="N3321">
            <v>1.85</v>
          </cell>
          <cell r="O3321">
            <v>2.0499999999999998</v>
          </cell>
          <cell r="P3321"/>
          <cell r="Q3321"/>
          <cell r="R3321">
            <v>2.0499999999999998</v>
          </cell>
          <cell r="S3321">
            <v>2.65</v>
          </cell>
          <cell r="T3321"/>
          <cell r="U3321"/>
          <cell r="V3321">
            <v>15</v>
          </cell>
          <cell r="W3321"/>
          <cell r="X3321" t="str">
            <v>LIVALTEX</v>
          </cell>
          <cell r="Y3321" t="str">
            <v>LINDA 16-JAN</v>
          </cell>
          <cell r="Z3321" t="str">
            <v>LINDA' MAIL 16/1/17</v>
          </cell>
          <cell r="AA3321"/>
          <cell r="AB3321">
            <v>42744</v>
          </cell>
          <cell r="AC3321">
            <v>2180</v>
          </cell>
        </row>
        <row r="3322">
          <cell r="B3322">
            <v>2175</v>
          </cell>
          <cell r="C3322" t="str">
            <v>UD-JCE-151107</v>
          </cell>
          <cell r="D3322"/>
          <cell r="E3322" t="str">
            <v>32 x 32 + 40D / 190 x 64</v>
          </cell>
          <cell r="F3322" t="str">
            <v>97%COTTON 3% SPAN</v>
          </cell>
          <cell r="G3322" t="str">
            <v>97%COTTON 3% SPAN</v>
          </cell>
          <cell r="H3322" t="str">
            <v>57/58</v>
          </cell>
          <cell r="I3322">
            <v>190</v>
          </cell>
          <cell r="J3322">
            <v>2.1800000000000002</v>
          </cell>
          <cell r="K3322">
            <v>2.36</v>
          </cell>
          <cell r="L3322"/>
          <cell r="M3322"/>
          <cell r="N3322">
            <v>2.2799999999999998</v>
          </cell>
          <cell r="O3322">
            <v>2.52</v>
          </cell>
          <cell r="P3322"/>
          <cell r="Q3322"/>
          <cell r="R3322">
            <v>2.58</v>
          </cell>
          <cell r="S3322">
            <v>2.83</v>
          </cell>
          <cell r="T3322"/>
          <cell r="U3322"/>
          <cell r="V3322">
            <v>15</v>
          </cell>
          <cell r="W3322" t="str">
            <v>have 15m soliD DyeD samples, Don't have printeD samples</v>
          </cell>
          <cell r="X3322" t="str">
            <v>WANG HUA</v>
          </cell>
          <cell r="Y3322" t="str">
            <v>WANGHUA 6-JAN</v>
          </cell>
          <cell r="Z3322" t="str">
            <v>WANGHUA' MAIL 6/1/17</v>
          </cell>
          <cell r="AA3322"/>
          <cell r="AB3322">
            <v>42744</v>
          </cell>
          <cell r="AC3322">
            <v>2175</v>
          </cell>
        </row>
        <row r="3323">
          <cell r="B3323">
            <v>2173</v>
          </cell>
          <cell r="C3323" t="str">
            <v>UD-JCE-151104</v>
          </cell>
          <cell r="D3323"/>
          <cell r="E3323" t="str">
            <v>40 x 32 +40D / 190 x 80</v>
          </cell>
          <cell r="F3323" t="str">
            <v>97%COTTON 3% SPAN</v>
          </cell>
          <cell r="G3323" t="str">
            <v>97%COTTON 3% SPAN</v>
          </cell>
          <cell r="H3323" t="str">
            <v>57/58</v>
          </cell>
          <cell r="I3323">
            <v>180</v>
          </cell>
          <cell r="J3323">
            <v>2.1800000000000002</v>
          </cell>
          <cell r="K3323">
            <v>2.36</v>
          </cell>
          <cell r="L3323"/>
          <cell r="M3323"/>
          <cell r="N3323">
            <v>2.2799999999999998</v>
          </cell>
          <cell r="O3323">
            <v>2.52</v>
          </cell>
          <cell r="P3323"/>
          <cell r="Q3323"/>
          <cell r="R3323">
            <v>2.58</v>
          </cell>
          <cell r="S3323">
            <v>2.83</v>
          </cell>
          <cell r="T3323"/>
          <cell r="U3323"/>
          <cell r="V3323">
            <v>15</v>
          </cell>
          <cell r="W3323" t="str">
            <v>have 15m soliD DyeD samples, Don't have printeD samples</v>
          </cell>
          <cell r="X3323" t="str">
            <v>WANG HUA</v>
          </cell>
          <cell r="Y3323" t="str">
            <v>WANGHUA 6-JAN</v>
          </cell>
          <cell r="Z3323" t="str">
            <v>WANGHUA' MAIL 6/1/17</v>
          </cell>
          <cell r="AA3323"/>
          <cell r="AB3323">
            <v>42744</v>
          </cell>
          <cell r="AC3323">
            <v>2173</v>
          </cell>
        </row>
        <row r="3324">
          <cell r="B3324">
            <v>2172</v>
          </cell>
          <cell r="C3324" t="str">
            <v>UD-JCE-151103</v>
          </cell>
          <cell r="D3324"/>
          <cell r="E3324"/>
          <cell r="F3324" t="str">
            <v>97%COTTON 3% SPAN</v>
          </cell>
          <cell r="G3324" t="str">
            <v>97%COTTON 3% SPAN</v>
          </cell>
          <cell r="H3324" t="str">
            <v>57/58</v>
          </cell>
          <cell r="I3324">
            <v>170</v>
          </cell>
          <cell r="J3324">
            <v>2.0499999999999998</v>
          </cell>
          <cell r="K3324">
            <v>2.2200000000000002</v>
          </cell>
          <cell r="L3324"/>
          <cell r="M3324"/>
          <cell r="N3324">
            <v>2.15</v>
          </cell>
          <cell r="O3324">
            <v>2.38</v>
          </cell>
          <cell r="P3324"/>
          <cell r="Q3324"/>
          <cell r="R3324">
            <v>2.4500000000000002</v>
          </cell>
          <cell r="S3324">
            <v>2.66</v>
          </cell>
          <cell r="T3324"/>
          <cell r="U3324"/>
          <cell r="V3324">
            <v>15</v>
          </cell>
          <cell r="W3324" t="str">
            <v>have 15m PFD samples, Don't have printeD samples</v>
          </cell>
          <cell r="X3324" t="str">
            <v>WANG HUA</v>
          </cell>
          <cell r="Y3324" t="str">
            <v>WANGHUA 6-JAN</v>
          </cell>
          <cell r="Z3324" t="str">
            <v>WANGHUA' MAIL 6/1/17</v>
          </cell>
          <cell r="AA3324"/>
          <cell r="AB3324">
            <v>42744</v>
          </cell>
          <cell r="AC3324">
            <v>2172</v>
          </cell>
        </row>
        <row r="3325">
          <cell r="B3325">
            <v>2170</v>
          </cell>
          <cell r="C3325" t="str">
            <v>UD-JT-151172</v>
          </cell>
          <cell r="D3325" t="str">
            <v>CHIFFON SATEEN</v>
          </cell>
          <cell r="E3325"/>
          <cell r="F3325" t="str">
            <v>T 100%</v>
          </cell>
          <cell r="G3325" t="str">
            <v>100% POLYESTER</v>
          </cell>
          <cell r="H3325" t="str">
            <v>57/58</v>
          </cell>
          <cell r="I3325">
            <v>80</v>
          </cell>
          <cell r="J3325">
            <v>1.1399999999999999</v>
          </cell>
          <cell r="K3325">
            <v>1.35</v>
          </cell>
          <cell r="L3325"/>
          <cell r="M3325"/>
          <cell r="N3325">
            <v>1.24</v>
          </cell>
          <cell r="O3325">
            <v>1.55</v>
          </cell>
          <cell r="P3325"/>
          <cell r="Q3325"/>
          <cell r="R3325">
            <v>1.4</v>
          </cell>
          <cell r="S3325">
            <v>1.8</v>
          </cell>
          <cell r="T3325"/>
          <cell r="U3325"/>
          <cell r="V3325"/>
          <cell r="W3325" t="str">
            <v>1. 15M samples can be available, but the color anD Design will be not same as the swatch samples we proviDeD before.
2. PrinteD prices are not incluDing screen charges, it's DeponDeD by your Design, screen cost is $80 per screen.</v>
          </cell>
          <cell r="X3325" t="str">
            <v>WANG HUA</v>
          </cell>
          <cell r="Y3325" t="str">
            <v>WANGHUA 29-DEC</v>
          </cell>
          <cell r="Z3325" t="str">
            <v>WANGHUA' MAIL 4/1/17</v>
          </cell>
          <cell r="AA3325"/>
          <cell r="AB3325">
            <v>42744</v>
          </cell>
          <cell r="AC3325">
            <v>2170</v>
          </cell>
        </row>
        <row r="3326">
          <cell r="B3326">
            <v>2169</v>
          </cell>
          <cell r="C3326" t="str">
            <v>UD-JT-251221</v>
          </cell>
          <cell r="D3326"/>
          <cell r="E3326"/>
          <cell r="F3326" t="str">
            <v>T 100%</v>
          </cell>
          <cell r="G3326" t="str">
            <v>100% POLYESTER</v>
          </cell>
          <cell r="H3326" t="str">
            <v>57/58</v>
          </cell>
          <cell r="I3326">
            <v>115</v>
          </cell>
          <cell r="J3326">
            <v>1.68</v>
          </cell>
          <cell r="K3326">
            <v>2.2599999999999998</v>
          </cell>
          <cell r="L3326"/>
          <cell r="M3326"/>
          <cell r="N3326">
            <v>1.78</v>
          </cell>
          <cell r="O3326">
            <v>2.65</v>
          </cell>
          <cell r="P3326"/>
          <cell r="Q3326"/>
          <cell r="R3326">
            <v>1.98</v>
          </cell>
          <cell r="S3326">
            <v>3.68</v>
          </cell>
          <cell r="T3326"/>
          <cell r="U3326"/>
          <cell r="V3326">
            <v>15</v>
          </cell>
          <cell r="W3326"/>
          <cell r="X3326" t="str">
            <v>WANG HUA</v>
          </cell>
          <cell r="Y3326" t="str">
            <v>WANGHUA 12-JAN</v>
          </cell>
          <cell r="Z3326" t="str">
            <v>WANGHUA' MAIL 13/1/17</v>
          </cell>
          <cell r="AA3326"/>
          <cell r="AB3326">
            <v>42742</v>
          </cell>
          <cell r="AC3326">
            <v>2169</v>
          </cell>
        </row>
        <row r="3327">
          <cell r="B3327">
            <v>2166</v>
          </cell>
          <cell r="C3327" t="str">
            <v>UD-JT-251212</v>
          </cell>
          <cell r="D3327" t="str">
            <v>CHIFFON SATEEN</v>
          </cell>
          <cell r="E3327"/>
          <cell r="F3327" t="str">
            <v>T 100%</v>
          </cell>
          <cell r="G3327" t="str">
            <v>100% POLYESTER</v>
          </cell>
          <cell r="H3327" t="str">
            <v>57/58</v>
          </cell>
          <cell r="I3327">
            <v>80</v>
          </cell>
          <cell r="J3327">
            <v>1.1399999999999999</v>
          </cell>
          <cell r="K3327">
            <v>1.35</v>
          </cell>
          <cell r="L3327"/>
          <cell r="M3327"/>
          <cell r="N3327">
            <v>1.24</v>
          </cell>
          <cell r="O3327">
            <v>1.55</v>
          </cell>
          <cell r="P3327"/>
          <cell r="Q3327"/>
          <cell r="R3327">
            <v>1.4</v>
          </cell>
          <cell r="S3327">
            <v>1.8</v>
          </cell>
          <cell r="T3327"/>
          <cell r="U3327"/>
          <cell r="V3327">
            <v>15</v>
          </cell>
          <cell r="W3327" t="str">
            <v>1. 15M samples can be available, but the color anD Design will be not same as the swatch samples we proviDeD before.
2. PrinteD prices are not incluDing screen charges, it's DeponDeD by your Design, screen cost is $80 per screen.</v>
          </cell>
          <cell r="X3327" t="str">
            <v>WANG HUA</v>
          </cell>
          <cell r="Y3327" t="str">
            <v>WANGHUA 29-DEC</v>
          </cell>
          <cell r="Z3327" t="str">
            <v>WANGHUA' MAIL 4/1/17</v>
          </cell>
          <cell r="AA3327"/>
          <cell r="AB3327">
            <v>42742</v>
          </cell>
          <cell r="AC3327">
            <v>2166</v>
          </cell>
        </row>
        <row r="3328">
          <cell r="B3328">
            <v>2134</v>
          </cell>
          <cell r="C3328" t="str">
            <v>UD-JCNE-151015</v>
          </cell>
          <cell r="D3328"/>
          <cell r="E3328"/>
          <cell r="F3328" t="str">
            <v>72% COTTON 25% NYLON 3% SPAN</v>
          </cell>
          <cell r="G3328" t="str">
            <v>72% COTTON 25% NYLON 3% SPAN</v>
          </cell>
          <cell r="H3328" t="str">
            <v>57/58</v>
          </cell>
          <cell r="I3328">
            <v>85</v>
          </cell>
          <cell r="J3328">
            <v>2</v>
          </cell>
          <cell r="K3328"/>
          <cell r="L3328"/>
          <cell r="M3328"/>
          <cell r="N3328">
            <v>2.1</v>
          </cell>
          <cell r="O3328"/>
          <cell r="P3328"/>
          <cell r="Q3328"/>
          <cell r="R3328">
            <v>2.4</v>
          </cell>
          <cell r="S3328"/>
          <cell r="T3328"/>
          <cell r="U3328"/>
          <cell r="V3328">
            <v>15</v>
          </cell>
          <cell r="W3328"/>
          <cell r="X3328" t="str">
            <v>WANG HUA</v>
          </cell>
          <cell r="Y3328" t="str">
            <v>WANGHUA 30-DEC</v>
          </cell>
          <cell r="Z3328" t="str">
            <v>WANGHUA' MAIL 4/1/17</v>
          </cell>
          <cell r="AA3328"/>
          <cell r="AB3328">
            <v>42742</v>
          </cell>
          <cell r="AC3328">
            <v>2134</v>
          </cell>
        </row>
        <row r="3329">
          <cell r="B3329">
            <v>2132</v>
          </cell>
          <cell r="C3329" t="str">
            <v>UD-JCNE-151014</v>
          </cell>
          <cell r="D3329"/>
          <cell r="E3329"/>
          <cell r="F3329" t="str">
            <v>65% COTTON 32% NYLON 3% SPAN</v>
          </cell>
          <cell r="G3329" t="str">
            <v>65% COTTON 32% NYLON 3% SPAN</v>
          </cell>
          <cell r="H3329" t="str">
            <v>57/58</v>
          </cell>
          <cell r="I3329">
            <v>82</v>
          </cell>
          <cell r="J3329">
            <v>2.0499999999999998</v>
          </cell>
          <cell r="K3329"/>
          <cell r="L3329"/>
          <cell r="M3329"/>
          <cell r="N3329">
            <v>2.15</v>
          </cell>
          <cell r="O3329"/>
          <cell r="P3329"/>
          <cell r="Q3329"/>
          <cell r="R3329">
            <v>2.4500000000000002</v>
          </cell>
          <cell r="S3329"/>
          <cell r="T3329"/>
          <cell r="U3329"/>
          <cell r="V3329">
            <v>15</v>
          </cell>
          <cell r="W3329"/>
          <cell r="X3329" t="str">
            <v>WANG HUA</v>
          </cell>
          <cell r="Y3329" t="str">
            <v>WANGHUA 30-DEC</v>
          </cell>
          <cell r="Z3329" t="str">
            <v>WANGHUA' MAIL 4/1/17</v>
          </cell>
          <cell r="AA3329"/>
          <cell r="AB3329">
            <v>42742</v>
          </cell>
          <cell r="AC3329">
            <v>2132</v>
          </cell>
        </row>
        <row r="3330">
          <cell r="B3330">
            <v>2111</v>
          </cell>
          <cell r="C3330" t="str">
            <v>UD-JCE-151047</v>
          </cell>
          <cell r="D3330"/>
          <cell r="E3330"/>
          <cell r="F3330" t="str">
            <v>97%COTTON 3% SPAN</v>
          </cell>
          <cell r="G3330" t="str">
            <v>97%COTTON 3% SPAN</v>
          </cell>
          <cell r="H3330" t="str">
            <v>56/57</v>
          </cell>
          <cell r="I3330">
            <v>165</v>
          </cell>
          <cell r="J3330">
            <v>2.66</v>
          </cell>
          <cell r="K3330">
            <v>2.84</v>
          </cell>
          <cell r="L3330"/>
          <cell r="M3330"/>
          <cell r="N3330">
            <v>2.76</v>
          </cell>
          <cell r="O3330">
            <v>3</v>
          </cell>
          <cell r="P3330"/>
          <cell r="Q3330"/>
          <cell r="R3330">
            <v>3.06</v>
          </cell>
          <cell r="S3330">
            <v>3.4</v>
          </cell>
          <cell r="T3330"/>
          <cell r="U3330"/>
          <cell r="V3330"/>
          <cell r="W3330" t="str">
            <v>only have PFD hanger samples, Don't have printeD samples</v>
          </cell>
          <cell r="X3330" t="str">
            <v>WANG HUA</v>
          </cell>
          <cell r="Y3330" t="str">
            <v>WANGHUA 6-JAN</v>
          </cell>
          <cell r="Z3330" t="str">
            <v>WANGHUA' MAIL 6/1/17</v>
          </cell>
          <cell r="AA3330"/>
          <cell r="AB3330">
            <v>42742</v>
          </cell>
          <cell r="AC3330">
            <v>2111</v>
          </cell>
        </row>
        <row r="3331">
          <cell r="B3331">
            <v>2107</v>
          </cell>
          <cell r="C3331" t="str">
            <v>1680302ZZY</v>
          </cell>
          <cell r="D3331"/>
          <cell r="E3331"/>
          <cell r="F3331" t="str">
            <v>C 100%</v>
          </cell>
          <cell r="G3331" t="str">
            <v>100% COTTON</v>
          </cell>
          <cell r="H3331" t="str">
            <v>57/58</v>
          </cell>
          <cell r="I3331">
            <v>178</v>
          </cell>
          <cell r="J3331">
            <v>1.97</v>
          </cell>
          <cell r="K3331"/>
          <cell r="L3331"/>
          <cell r="M3331"/>
          <cell r="N3331">
            <v>2</v>
          </cell>
          <cell r="O3331"/>
          <cell r="P3331"/>
          <cell r="Q3331"/>
          <cell r="R3331">
            <v>2.1800000000000002</v>
          </cell>
          <cell r="S3331"/>
          <cell r="T3331"/>
          <cell r="U3331"/>
          <cell r="V3331">
            <v>15</v>
          </cell>
          <cell r="W3331" t="str">
            <v>PRICE FOR SWATCH AS IT IS</v>
          </cell>
          <cell r="X3331" t="str">
            <v>OWEN</v>
          </cell>
          <cell r="Y3331" t="str">
            <v>SanDy-2-30-DEC</v>
          </cell>
          <cell r="Z3331" t="str">
            <v>SANDY'MAIL 4/1/17</v>
          </cell>
          <cell r="AA3331"/>
          <cell r="AB3331">
            <v>42742</v>
          </cell>
          <cell r="AC3331">
            <v>2107</v>
          </cell>
        </row>
        <row r="3332">
          <cell r="B3332">
            <v>2104</v>
          </cell>
          <cell r="C3332" t="str">
            <v>168035ZZY</v>
          </cell>
          <cell r="D3332"/>
          <cell r="E3332"/>
          <cell r="F3332" t="str">
            <v>C 100%</v>
          </cell>
          <cell r="G3332" t="str">
            <v>100% COTTON</v>
          </cell>
          <cell r="H3332" t="str">
            <v>57/58</v>
          </cell>
          <cell r="I3332">
            <v>178</v>
          </cell>
          <cell r="J3332">
            <v>1.99</v>
          </cell>
          <cell r="K3332"/>
          <cell r="L3332"/>
          <cell r="M3332"/>
          <cell r="N3332">
            <v>2.02</v>
          </cell>
          <cell r="O3332"/>
          <cell r="P3332"/>
          <cell r="Q3332"/>
          <cell r="R3332">
            <v>2.21</v>
          </cell>
          <cell r="S3332"/>
          <cell r="T3332"/>
          <cell r="U3332"/>
          <cell r="V3332">
            <v>15</v>
          </cell>
          <cell r="W3332" t="str">
            <v>PRICE FOR SWATCH AS IT IS</v>
          </cell>
          <cell r="X3332" t="str">
            <v>OWEN</v>
          </cell>
          <cell r="Y3332" t="str">
            <v>SanDy-2-30-DEC</v>
          </cell>
          <cell r="Z3332" t="str">
            <v>SANDY'MAIL 4/1/17</v>
          </cell>
          <cell r="AA3332"/>
          <cell r="AB3332">
            <v>42742</v>
          </cell>
          <cell r="AC3332">
            <v>2104</v>
          </cell>
        </row>
        <row r="3333">
          <cell r="B3333">
            <v>2069</v>
          </cell>
          <cell r="C3333" t="str">
            <v>ME 320</v>
          </cell>
          <cell r="D3333"/>
          <cell r="E3333"/>
          <cell r="F3333" t="str">
            <v>T/S 95/5</v>
          </cell>
          <cell r="G3333" t="str">
            <v>95% POLYESTER 5% SPAN</v>
          </cell>
          <cell r="H3333" t="str">
            <v>57/58</v>
          </cell>
          <cell r="I3333">
            <v>95</v>
          </cell>
          <cell r="J3333">
            <v>1.54</v>
          </cell>
          <cell r="K3333">
            <v>2.56</v>
          </cell>
          <cell r="L3333"/>
          <cell r="M3333"/>
          <cell r="N3333">
            <v>1.64</v>
          </cell>
          <cell r="O3333">
            <v>2.66</v>
          </cell>
          <cell r="P3333"/>
          <cell r="Q3333"/>
          <cell r="R3333">
            <v>1.81</v>
          </cell>
          <cell r="S3333">
            <v>3.26</v>
          </cell>
          <cell r="T3333"/>
          <cell r="U3333"/>
          <cell r="V3333">
            <v>15</v>
          </cell>
          <cell r="W3333"/>
          <cell r="X3333" t="str">
            <v>LIVALTEX</v>
          </cell>
          <cell r="Y3333" t="str">
            <v>LIVALTEX 2-JAN-AMW</v>
          </cell>
          <cell r="Z3333" t="str">
            <v>LINDA' EMAIL 2/1/17</v>
          </cell>
          <cell r="AA3333"/>
          <cell r="AB3333">
            <v>42742</v>
          </cell>
          <cell r="AC3333">
            <v>2069</v>
          </cell>
        </row>
        <row r="3334">
          <cell r="B3334">
            <v>2064</v>
          </cell>
          <cell r="C3334" t="str">
            <v>M04822</v>
          </cell>
          <cell r="D3334" t="str">
            <v>CORE - RAYON PLAIN</v>
          </cell>
          <cell r="E3334" t="str">
            <v>30 x 30 / 68 x 68</v>
          </cell>
          <cell r="F3334" t="str">
            <v>R 100%</v>
          </cell>
          <cell r="G3334" t="str">
            <v>100% RAYON</v>
          </cell>
          <cell r="H3334" t="str">
            <v>55/56</v>
          </cell>
          <cell r="I3334">
            <v>125</v>
          </cell>
          <cell r="J3334">
            <v>1.2</v>
          </cell>
          <cell r="K3334">
            <v>1.3</v>
          </cell>
          <cell r="L3334">
            <v>1.42</v>
          </cell>
          <cell r="M3334">
            <v>1.27</v>
          </cell>
          <cell r="N3334">
            <v>1.39</v>
          </cell>
          <cell r="O3334">
            <v>1.53</v>
          </cell>
          <cell r="P3334"/>
          <cell r="Q3334"/>
          <cell r="R3334"/>
          <cell r="S3334"/>
          <cell r="T3334"/>
          <cell r="U3334"/>
          <cell r="V3334"/>
          <cell r="W3334"/>
          <cell r="X3334" t="str">
            <v>MARY</v>
          </cell>
          <cell r="Y3334" t="str">
            <v>MARY 4-JAN</v>
          </cell>
          <cell r="Z3334" t="str">
            <v>MARY' MAIL 4/1/17</v>
          </cell>
          <cell r="AA3334"/>
          <cell r="AB3334">
            <v>42742</v>
          </cell>
          <cell r="AC3334">
            <v>2064</v>
          </cell>
        </row>
        <row r="3335">
          <cell r="B3335">
            <v>2051</v>
          </cell>
          <cell r="C3335" t="str">
            <v>M11087</v>
          </cell>
          <cell r="D3335"/>
          <cell r="E3335" t="str">
            <v xml:space="preserve"> 60 x  60 / 90 x 88</v>
          </cell>
          <cell r="F3335" t="str">
            <v>R 100%</v>
          </cell>
          <cell r="G3335" t="str">
            <v>100% RAYON</v>
          </cell>
          <cell r="H3335" t="str">
            <v>55/56</v>
          </cell>
          <cell r="I3335">
            <v>75</v>
          </cell>
          <cell r="J3335">
            <v>1.18</v>
          </cell>
          <cell r="K3335">
            <v>1.2</v>
          </cell>
          <cell r="L3335">
            <v>1.3</v>
          </cell>
          <cell r="M3335">
            <v>1.24</v>
          </cell>
          <cell r="N3335">
            <v>1.26</v>
          </cell>
          <cell r="O3335">
            <v>1.38</v>
          </cell>
          <cell r="P3335"/>
          <cell r="Q3335"/>
          <cell r="R3335"/>
          <cell r="S3335"/>
          <cell r="T3335"/>
          <cell r="U3335"/>
          <cell r="V3335"/>
          <cell r="W3335"/>
          <cell r="X3335" t="str">
            <v>MARY</v>
          </cell>
          <cell r="Y3335" t="str">
            <v>MARY 4-JAN</v>
          </cell>
          <cell r="Z3335" t="str">
            <v>MARY' MAIL 4/1/17</v>
          </cell>
          <cell r="AA3335"/>
          <cell r="AB3335">
            <v>42742</v>
          </cell>
          <cell r="AC3335">
            <v>2051</v>
          </cell>
        </row>
        <row r="3336">
          <cell r="B3336">
            <v>2021</v>
          </cell>
          <cell r="C3336" t="str">
            <v>165102SY</v>
          </cell>
          <cell r="D3336"/>
          <cell r="E3336"/>
          <cell r="F3336" t="str">
            <v>60% TENCEL 38% COTTON 2% SPAN</v>
          </cell>
          <cell r="G3336" t="str">
            <v>60% TENCEL 38% COTTON 2% SPAN</v>
          </cell>
          <cell r="H3336" t="str">
            <v>49/50</v>
          </cell>
          <cell r="I3336">
            <v>190</v>
          </cell>
          <cell r="J3336">
            <v>3.63</v>
          </cell>
          <cell r="K3336"/>
          <cell r="L3336"/>
          <cell r="M3336"/>
          <cell r="N3336">
            <v>3.65</v>
          </cell>
          <cell r="O3336"/>
          <cell r="P3336"/>
          <cell r="Q3336"/>
          <cell r="R3336">
            <v>3.83</v>
          </cell>
          <cell r="S3336"/>
          <cell r="T3336"/>
          <cell r="U3336"/>
          <cell r="V3336">
            <v>15</v>
          </cell>
          <cell r="W3336"/>
          <cell r="X3336" t="str">
            <v>OWEN</v>
          </cell>
          <cell r="Y3336" t="str">
            <v>SanDy-2-30-DEC</v>
          </cell>
          <cell r="Z3336" t="str">
            <v>SANDY'MAIL 4/1/17</v>
          </cell>
          <cell r="AA3336"/>
          <cell r="AB3336">
            <v>42742</v>
          </cell>
          <cell r="AC3336">
            <v>2021</v>
          </cell>
        </row>
        <row r="3337">
          <cell r="B3337">
            <v>2018</v>
          </cell>
          <cell r="C3337" t="str">
            <v>M11810</v>
          </cell>
          <cell r="D3337" t="str">
            <v>PLAIN</v>
          </cell>
          <cell r="E3337" t="str">
            <v xml:space="preserve"> 40X40/118X88</v>
          </cell>
          <cell r="F3337" t="str">
            <v>R 100%</v>
          </cell>
          <cell r="G3337" t="str">
            <v>100% RAYON</v>
          </cell>
          <cell r="H3337" t="str">
            <v>55/56</v>
          </cell>
          <cell r="I3337">
            <v>135</v>
          </cell>
          <cell r="J3337">
            <v>1.33</v>
          </cell>
          <cell r="K3337">
            <v>1.48</v>
          </cell>
          <cell r="L3337">
            <v>1.6</v>
          </cell>
          <cell r="M3337">
            <v>1.37</v>
          </cell>
          <cell r="N3337">
            <v>1.55</v>
          </cell>
          <cell r="O3337">
            <v>1.68</v>
          </cell>
          <cell r="P3337"/>
          <cell r="Q3337"/>
          <cell r="R3337"/>
          <cell r="S3337"/>
          <cell r="T3337"/>
          <cell r="U3337"/>
          <cell r="V3337"/>
          <cell r="W3337"/>
          <cell r="X3337" t="str">
            <v>MARY</v>
          </cell>
          <cell r="Y3337" t="str">
            <v>MARY 4-JAN</v>
          </cell>
          <cell r="Z3337" t="str">
            <v>MARY' MAIL 4/1/17</v>
          </cell>
          <cell r="AA3337"/>
          <cell r="AB3337">
            <v>42742</v>
          </cell>
          <cell r="AC3337">
            <v>2018</v>
          </cell>
        </row>
        <row r="3338">
          <cell r="B3338">
            <v>2015</v>
          </cell>
          <cell r="C3338" t="str">
            <v>ST-W6159</v>
          </cell>
          <cell r="D3338"/>
          <cell r="E3338"/>
          <cell r="F3338" t="str">
            <v>T/S 97/3</v>
          </cell>
          <cell r="G3338" t="str">
            <v>97%POLYESTER 3%SPANDEX</v>
          </cell>
          <cell r="H3338" t="str">
            <v>57/58</v>
          </cell>
          <cell r="I3338">
            <v>126</v>
          </cell>
          <cell r="J3338">
            <v>1.32</v>
          </cell>
          <cell r="K3338">
            <v>1.55</v>
          </cell>
          <cell r="L3338"/>
          <cell r="M3338"/>
          <cell r="N3338">
            <v>1.38</v>
          </cell>
          <cell r="O3338">
            <v>1.6</v>
          </cell>
          <cell r="P3338"/>
          <cell r="Q3338"/>
          <cell r="R3338">
            <v>1.42</v>
          </cell>
          <cell r="S3338">
            <v>1.65</v>
          </cell>
          <cell r="T3338"/>
          <cell r="U3338"/>
          <cell r="V3338">
            <v>15</v>
          </cell>
          <cell r="W3338"/>
          <cell r="X3338" t="str">
            <v>SIGER</v>
          </cell>
          <cell r="Y3338" t="str">
            <v>SIGER 9-JAN</v>
          </cell>
          <cell r="Z3338" t="str">
            <v>CARA' MAIL 10/1/17</v>
          </cell>
          <cell r="AA3338"/>
          <cell r="AB3338">
            <v>42742</v>
          </cell>
          <cell r="AC3338">
            <v>2015</v>
          </cell>
        </row>
        <row r="3339">
          <cell r="B3339">
            <v>1958</v>
          </cell>
          <cell r="C3339" t="str">
            <v>CFTS-445-DY</v>
          </cell>
          <cell r="D3339" t="str">
            <v>CRINKLE</v>
          </cell>
          <cell r="E3339"/>
          <cell r="F3339" t="str">
            <v>R 100%</v>
          </cell>
          <cell r="G3339" t="str">
            <v>100% RAYON</v>
          </cell>
          <cell r="H3339" t="str">
            <v>49/50</v>
          </cell>
          <cell r="I3339">
            <v>134</v>
          </cell>
          <cell r="J3339">
            <v>1.7</v>
          </cell>
          <cell r="K3339">
            <v>1.95</v>
          </cell>
          <cell r="L3339"/>
          <cell r="M3339"/>
          <cell r="N3339">
            <v>1.8</v>
          </cell>
          <cell r="O3339">
            <v>2.0499999999999998</v>
          </cell>
          <cell r="P3339"/>
          <cell r="Q3339"/>
          <cell r="R3339">
            <v>1.95</v>
          </cell>
          <cell r="S3339">
            <v>2.75</v>
          </cell>
          <cell r="T3339"/>
          <cell r="U3339"/>
          <cell r="V3339">
            <v>15</v>
          </cell>
          <cell r="W3339"/>
          <cell r="X3339" t="str">
            <v>OWEN</v>
          </cell>
          <cell r="Y3339" t="str">
            <v>OWEN 16-JAN</v>
          </cell>
          <cell r="Z3339" t="str">
            <v>SANDY' MAIL 17/1/17</v>
          </cell>
          <cell r="AA3339"/>
          <cell r="AB3339">
            <v>42742</v>
          </cell>
          <cell r="AC3339">
            <v>1958</v>
          </cell>
        </row>
        <row r="3340">
          <cell r="B3340">
            <v>1895</v>
          </cell>
          <cell r="C3340" t="str">
            <v>TS-028</v>
          </cell>
          <cell r="D3340" t="str">
            <v>CORE - CREPE</v>
          </cell>
          <cell r="E3340" t="str">
            <v>75DX75D/220X100 (MORE OR LESS)</v>
          </cell>
          <cell r="F3340" t="str">
            <v>T 100%</v>
          </cell>
          <cell r="G3340" t="str">
            <v>100% POLYESTER</v>
          </cell>
          <cell r="H3340" t="str">
            <v>57/58</v>
          </cell>
          <cell r="I3340">
            <v>120</v>
          </cell>
          <cell r="J3340">
            <v>1.25</v>
          </cell>
          <cell r="K3340">
            <v>1.42</v>
          </cell>
          <cell r="L3340"/>
          <cell r="M3340"/>
          <cell r="N3340">
            <v>1.28</v>
          </cell>
          <cell r="O3340">
            <v>1.48</v>
          </cell>
          <cell r="P3340"/>
          <cell r="Q3340"/>
          <cell r="R3340">
            <v>1.58</v>
          </cell>
          <cell r="S3340">
            <v>1.93</v>
          </cell>
          <cell r="T3340"/>
          <cell r="U3340"/>
          <cell r="V3340">
            <v>15</v>
          </cell>
          <cell r="W3340"/>
          <cell r="X3340" t="str">
            <v>GAVIN</v>
          </cell>
          <cell r="Y3340" t="str">
            <v>GAVIN 4-JAN</v>
          </cell>
          <cell r="Z3340" t="str">
            <v>GAVIN' MAIL 4/1/17</v>
          </cell>
          <cell r="AA3340"/>
          <cell r="AB3340">
            <v>42741</v>
          </cell>
          <cell r="AC3340">
            <v>1895</v>
          </cell>
        </row>
        <row r="3341">
          <cell r="B3341">
            <v>1893</v>
          </cell>
          <cell r="C3341" t="str">
            <v>CF-SP-5DY</v>
          </cell>
          <cell r="D3341"/>
          <cell r="E3341"/>
          <cell r="F3341" t="str">
            <v>C/N/S 65//30/5</v>
          </cell>
          <cell r="G3341" t="str">
            <v>65% COTTON 30% NYLON 5% SPAN</v>
          </cell>
          <cell r="H3341" t="str">
            <v>49/50</v>
          </cell>
          <cell r="I3341">
            <v>200</v>
          </cell>
          <cell r="J3341">
            <v>3.44</v>
          </cell>
          <cell r="K3341"/>
          <cell r="L3341"/>
          <cell r="M3341"/>
          <cell r="N3341">
            <v>3.48</v>
          </cell>
          <cell r="O3341"/>
          <cell r="P3341"/>
          <cell r="Q3341"/>
          <cell r="R3341">
            <v>3.66</v>
          </cell>
          <cell r="S3341"/>
          <cell r="T3341"/>
          <cell r="U3341"/>
          <cell r="V3341">
            <v>15</v>
          </cell>
          <cell r="W3341"/>
          <cell r="X3341" t="str">
            <v>OWEN</v>
          </cell>
          <cell r="Y3341" t="str">
            <v>SanDy-2-30-DEC</v>
          </cell>
          <cell r="Z3341" t="str">
            <v>SANDY'MAIL 4/1/17</v>
          </cell>
          <cell r="AA3341"/>
          <cell r="AB3341">
            <v>42741</v>
          </cell>
          <cell r="AC3341">
            <v>1893</v>
          </cell>
        </row>
        <row r="3342">
          <cell r="B3342">
            <v>1854</v>
          </cell>
          <cell r="C3342" t="str">
            <v>LX128</v>
          </cell>
          <cell r="D3342"/>
          <cell r="E3342"/>
          <cell r="F3342" t="str">
            <v>T 100%</v>
          </cell>
          <cell r="G3342" t="str">
            <v>100% POLYESTER</v>
          </cell>
          <cell r="H3342" t="str">
            <v>57/58</v>
          </cell>
          <cell r="I3342">
            <v>115</v>
          </cell>
          <cell r="J3342">
            <v>1.1499999999999999</v>
          </cell>
          <cell r="K3342">
            <v>1.4</v>
          </cell>
          <cell r="L3342"/>
          <cell r="M3342"/>
          <cell r="N3342">
            <v>1.1499999999999999</v>
          </cell>
          <cell r="O3342">
            <v>1.45</v>
          </cell>
          <cell r="P3342"/>
          <cell r="Q3342"/>
          <cell r="R3342">
            <v>1.18</v>
          </cell>
          <cell r="S3342">
            <v>1.64</v>
          </cell>
          <cell r="T3342"/>
          <cell r="U3342"/>
          <cell r="V3342">
            <v>5</v>
          </cell>
          <cell r="W3342"/>
          <cell r="X3342" t="str">
            <v>TINA</v>
          </cell>
          <cell r="Y3342" t="str">
            <v>TINA 12-JAN</v>
          </cell>
          <cell r="Z3342" t="str">
            <v>TINA' MAIL 14/1/17</v>
          </cell>
          <cell r="AA3342"/>
          <cell r="AB3342">
            <v>42741</v>
          </cell>
          <cell r="AC3342">
            <v>1854</v>
          </cell>
        </row>
        <row r="3343">
          <cell r="B3343">
            <v>1752</v>
          </cell>
          <cell r="C3343" t="str">
            <v>CF-CN15-DY</v>
          </cell>
          <cell r="D3343"/>
          <cell r="E3343"/>
          <cell r="F3343" t="str">
            <v>70% TENCEL 30% NYLON</v>
          </cell>
          <cell r="G3343" t="str">
            <v>70% TENCEL 30% NYLON</v>
          </cell>
          <cell r="H3343" t="str">
            <v>57/58</v>
          </cell>
          <cell r="I3343">
            <v>120</v>
          </cell>
          <cell r="J3343">
            <v>3.45</v>
          </cell>
          <cell r="K3343"/>
          <cell r="L3343"/>
          <cell r="M3343"/>
          <cell r="N3343">
            <v>3.48</v>
          </cell>
          <cell r="O3343"/>
          <cell r="P3343"/>
          <cell r="Q3343"/>
          <cell r="R3343">
            <v>3.62</v>
          </cell>
          <cell r="S3343"/>
          <cell r="T3343"/>
          <cell r="U3343"/>
          <cell r="V3343">
            <v>15</v>
          </cell>
          <cell r="W3343"/>
          <cell r="X3343" t="str">
            <v>OWEN</v>
          </cell>
          <cell r="Y3343" t="str">
            <v>SanDy-2-30-DEC</v>
          </cell>
          <cell r="Z3343" t="str">
            <v>SANDY'MAIL 4/1/17</v>
          </cell>
          <cell r="AA3343"/>
          <cell r="AB3343">
            <v>42741</v>
          </cell>
          <cell r="AC3343">
            <v>1752</v>
          </cell>
        </row>
        <row r="3344">
          <cell r="B3344">
            <v>1745</v>
          </cell>
          <cell r="C3344" t="str">
            <v>CFTS-210-DY</v>
          </cell>
          <cell r="D3344"/>
          <cell r="E3344"/>
          <cell r="F3344" t="str">
            <v>100% TENCEL</v>
          </cell>
          <cell r="G3344" t="str">
            <v>100% TENCEL</v>
          </cell>
          <cell r="H3344" t="str">
            <v>56/57</v>
          </cell>
          <cell r="I3344">
            <v>200</v>
          </cell>
          <cell r="J3344">
            <v>2.92</v>
          </cell>
          <cell r="K3344"/>
          <cell r="L3344"/>
          <cell r="M3344"/>
          <cell r="N3344">
            <v>2.95</v>
          </cell>
          <cell r="O3344"/>
          <cell r="P3344"/>
          <cell r="Q3344"/>
          <cell r="R3344">
            <v>3.12</v>
          </cell>
          <cell r="S3344"/>
          <cell r="T3344"/>
          <cell r="U3344"/>
          <cell r="V3344">
            <v>15</v>
          </cell>
          <cell r="W3344"/>
          <cell r="X3344" t="str">
            <v>OWEN</v>
          </cell>
          <cell r="Y3344" t="str">
            <v>SanDy-2-30-DEC</v>
          </cell>
          <cell r="Z3344" t="str">
            <v>SANDY'MAIL 4/1/17</v>
          </cell>
          <cell r="AA3344"/>
          <cell r="AB3344">
            <v>42741</v>
          </cell>
          <cell r="AC3344">
            <v>1745</v>
          </cell>
        </row>
        <row r="3345">
          <cell r="B3345">
            <v>1680</v>
          </cell>
          <cell r="C3345" t="str">
            <v>ST-4403</v>
          </cell>
          <cell r="D3345"/>
          <cell r="E3345"/>
          <cell r="F3345" t="str">
            <v>T 100%</v>
          </cell>
          <cell r="G3345" t="str">
            <v>100% POLYESTER</v>
          </cell>
          <cell r="H3345" t="str">
            <v>57/58</v>
          </cell>
          <cell r="I3345">
            <v>94</v>
          </cell>
          <cell r="J3345">
            <v>1.5</v>
          </cell>
          <cell r="K3345"/>
          <cell r="L3345"/>
          <cell r="M3345"/>
          <cell r="N3345">
            <v>1.51</v>
          </cell>
          <cell r="O3345"/>
          <cell r="P3345"/>
          <cell r="Q3345"/>
          <cell r="R3345">
            <v>1.56</v>
          </cell>
          <cell r="S3345"/>
          <cell r="T3345"/>
          <cell r="U3345"/>
          <cell r="V3345">
            <v>15</v>
          </cell>
          <cell r="W3345" t="str">
            <v>HAVE 2 KIND QUALITY FOR THIS ITEM - ONE IS CREPE (WHICH ONE WE KEEPING SWATCH) AND ONE IS PLAIN.
AND WE CAN PRINT ON PLAIN ONLY (WE DON'T HAVE THIS SAMPLE)</v>
          </cell>
          <cell r="X3345" t="str">
            <v>SIGER</v>
          </cell>
          <cell r="Y3345" t="str">
            <v>SIGER 13-JAN</v>
          </cell>
          <cell r="Z3345" t="str">
            <v>CARA' MAIL 14/1/17 AND SIGER' MAIL 15/1/17</v>
          </cell>
          <cell r="AA3345"/>
          <cell r="AB3345">
            <v>42741</v>
          </cell>
          <cell r="AC3345">
            <v>1680</v>
          </cell>
        </row>
        <row r="3346">
          <cell r="B3346">
            <v>1665</v>
          </cell>
          <cell r="C3346" t="str">
            <v>OLP-16032608XH</v>
          </cell>
          <cell r="D3346"/>
          <cell r="E3346"/>
          <cell r="F3346" t="str">
            <v>70%COTTON 28%POLY 2%SPAN</v>
          </cell>
          <cell r="G3346" t="str">
            <v>70%COTTON 28%POLYESTER 2%SPAN</v>
          </cell>
          <cell r="H3346" t="str">
            <v>57/58</v>
          </cell>
          <cell r="I3346">
            <v>115</v>
          </cell>
          <cell r="J3346">
            <v>2.2799999999999998</v>
          </cell>
          <cell r="K3346"/>
          <cell r="L3346"/>
          <cell r="M3346"/>
          <cell r="N3346">
            <v>2.35</v>
          </cell>
          <cell r="O3346"/>
          <cell r="P3346"/>
          <cell r="Q3346"/>
          <cell r="R3346">
            <v>2.5</v>
          </cell>
          <cell r="S3346"/>
          <cell r="T3346"/>
          <cell r="U3346"/>
          <cell r="V3346">
            <v>3</v>
          </cell>
          <cell r="W3346"/>
          <cell r="X3346" t="str">
            <v>OWEN</v>
          </cell>
          <cell r="Y3346" t="str">
            <v>OWEN 7-JAN</v>
          </cell>
          <cell r="Z3346" t="str">
            <v>SANDY' MAIL 9/1/17</v>
          </cell>
          <cell r="AA3346"/>
          <cell r="AB3346">
            <v>42741</v>
          </cell>
          <cell r="AC3346">
            <v>1665</v>
          </cell>
        </row>
        <row r="3347">
          <cell r="B3347">
            <v>1664</v>
          </cell>
          <cell r="C3347" t="str">
            <v>OLP-16032603XH</v>
          </cell>
          <cell r="D3347"/>
          <cell r="E3347"/>
          <cell r="F3347" t="str">
            <v>80% COTTON 19% POLY 1% SPAN</v>
          </cell>
          <cell r="G3347" t="str">
            <v>80% COTTON 19% POLYESTER 1% SPAN</v>
          </cell>
          <cell r="H3347" t="str">
            <v>57/58</v>
          </cell>
          <cell r="I3347">
            <v>105</v>
          </cell>
          <cell r="J3347">
            <v>2.73</v>
          </cell>
          <cell r="K3347"/>
          <cell r="L3347"/>
          <cell r="M3347"/>
          <cell r="N3347">
            <v>2.82</v>
          </cell>
          <cell r="O3347"/>
          <cell r="P3347"/>
          <cell r="Q3347"/>
          <cell r="R3347">
            <v>2.97</v>
          </cell>
          <cell r="S3347"/>
          <cell r="T3347"/>
          <cell r="U3347"/>
          <cell r="V3347">
            <v>3</v>
          </cell>
          <cell r="W3347"/>
          <cell r="X3347" t="str">
            <v>OWEN</v>
          </cell>
          <cell r="Y3347" t="str">
            <v>OWEN 7-JAN</v>
          </cell>
          <cell r="Z3347" t="str">
            <v>SANDY' MAIL 9/1/17</v>
          </cell>
          <cell r="AA3347"/>
          <cell r="AB3347">
            <v>42741</v>
          </cell>
          <cell r="AC3347">
            <v>1664</v>
          </cell>
        </row>
        <row r="3348">
          <cell r="B3348">
            <v>1663</v>
          </cell>
          <cell r="C3348" t="str">
            <v>OLP-16032606</v>
          </cell>
          <cell r="D3348"/>
          <cell r="E3348" t="str">
            <v>75D x 160D/2 - 228 x 45</v>
          </cell>
          <cell r="F3348" t="str">
            <v>74%COTTON23%POLY3%SPAN</v>
          </cell>
          <cell r="G3348" t="str">
            <v>74%COTTON23%POLYESTER3%SPAN</v>
          </cell>
          <cell r="H3348" t="str">
            <v>49/50</v>
          </cell>
          <cell r="I3348">
            <v>110</v>
          </cell>
          <cell r="J3348">
            <v>1.69</v>
          </cell>
          <cell r="K3348"/>
          <cell r="L3348"/>
          <cell r="M3348"/>
          <cell r="N3348">
            <v>1.78</v>
          </cell>
          <cell r="O3348"/>
          <cell r="P3348"/>
          <cell r="Q3348"/>
          <cell r="R3348">
            <v>1.93</v>
          </cell>
          <cell r="S3348"/>
          <cell r="T3348"/>
          <cell r="U3348"/>
          <cell r="V3348">
            <v>15</v>
          </cell>
          <cell r="W3348"/>
          <cell r="X3348" t="str">
            <v>OWEN</v>
          </cell>
          <cell r="Y3348" t="str">
            <v>OWEN 7-JAN</v>
          </cell>
          <cell r="Z3348" t="str">
            <v>SANDY' MAIL 9/1/17</v>
          </cell>
          <cell r="AA3348"/>
          <cell r="AB3348">
            <v>42739</v>
          </cell>
          <cell r="AC3348">
            <v>1663</v>
          </cell>
        </row>
        <row r="3349">
          <cell r="B3349">
            <v>1653</v>
          </cell>
          <cell r="C3349" t="str">
            <v>BG3258</v>
          </cell>
          <cell r="D3349"/>
          <cell r="E3349"/>
          <cell r="F3349" t="str">
            <v>T/S 94/6</v>
          </cell>
          <cell r="G3349" t="str">
            <v>94% POLYESTER 6% SPAN</v>
          </cell>
          <cell r="H3349" t="str">
            <v>57/58</v>
          </cell>
          <cell r="I3349">
            <v>200</v>
          </cell>
          <cell r="J3349">
            <v>1.85</v>
          </cell>
          <cell r="K3349">
            <v>2.1</v>
          </cell>
          <cell r="L3349"/>
          <cell r="M3349"/>
          <cell r="N3349">
            <v>1.9</v>
          </cell>
          <cell r="O3349">
            <v>2.2000000000000002</v>
          </cell>
          <cell r="P3349"/>
          <cell r="Q3349"/>
          <cell r="R3349">
            <v>2.1</v>
          </cell>
          <cell r="S3349">
            <v>2.8</v>
          </cell>
          <cell r="T3349"/>
          <cell r="U3349"/>
          <cell r="V3349">
            <v>15</v>
          </cell>
          <cell r="W3349" t="str">
            <v>soilD avaliable</v>
          </cell>
          <cell r="X3349" t="str">
            <v>ANN</v>
          </cell>
          <cell r="Y3349" t="str">
            <v>ANN 10-JAN</v>
          </cell>
          <cell r="Z3349" t="str">
            <v>ANN' MAIL 10/1/17</v>
          </cell>
          <cell r="AA3349"/>
          <cell r="AB3349">
            <v>42739</v>
          </cell>
          <cell r="AC3349">
            <v>1653</v>
          </cell>
        </row>
        <row r="3350">
          <cell r="B3350">
            <v>1646</v>
          </cell>
          <cell r="C3350" t="str">
            <v>UD-JCTE-151173</v>
          </cell>
          <cell r="D3350"/>
          <cell r="E3350" t="str">
            <v>168D x 21S - 133 x 76</v>
          </cell>
          <cell r="F3350" t="str">
            <v>70% COTTON 27% POLY 3% SPAN</v>
          </cell>
          <cell r="G3350" t="str">
            <v>70% COTTON 27% POLYESTER 3% SPAN</v>
          </cell>
          <cell r="H3350" t="str">
            <v>57/58</v>
          </cell>
          <cell r="I3350">
            <v>110</v>
          </cell>
          <cell r="J3350">
            <v>1.74</v>
          </cell>
          <cell r="K3350"/>
          <cell r="L3350"/>
          <cell r="M3350"/>
          <cell r="N3350">
            <v>1.84</v>
          </cell>
          <cell r="O3350"/>
          <cell r="P3350"/>
          <cell r="Q3350"/>
          <cell r="R3350">
            <v>2.14</v>
          </cell>
          <cell r="S3350"/>
          <cell r="T3350"/>
          <cell r="U3350"/>
          <cell r="V3350">
            <v>15</v>
          </cell>
          <cell r="W3350" t="str">
            <v>ONLY HAVE WHITE COLOR SAMPLE</v>
          </cell>
          <cell r="X3350" t="str">
            <v>WANG HUA</v>
          </cell>
          <cell r="Y3350" t="str">
            <v>WANGHUA 30-DEC</v>
          </cell>
          <cell r="Z3350" t="str">
            <v>WANGHUA' MAIL 4/1/17</v>
          </cell>
          <cell r="AA3350"/>
          <cell r="AB3350">
            <v>42739</v>
          </cell>
          <cell r="AC3350">
            <v>1646</v>
          </cell>
        </row>
        <row r="3351">
          <cell r="B3351">
            <v>1643</v>
          </cell>
          <cell r="C3351" t="str">
            <v>st-w5032</v>
          </cell>
          <cell r="D3351"/>
          <cell r="E3351"/>
          <cell r="F3351" t="str">
            <v>65%c,30%n,5%sp</v>
          </cell>
          <cell r="G3351" t="str">
            <v>65%c,30%n,5%sp</v>
          </cell>
          <cell r="H3351" t="str">
            <v>57/58</v>
          </cell>
          <cell r="I3351">
            <v>72</v>
          </cell>
          <cell r="J3351">
            <v>2.2000000000000002</v>
          </cell>
          <cell r="K3351">
            <v>2.41</v>
          </cell>
          <cell r="L3351"/>
          <cell r="M3351"/>
          <cell r="N3351">
            <v>2.25</v>
          </cell>
          <cell r="O3351">
            <v>2.46</v>
          </cell>
          <cell r="P3351"/>
          <cell r="Q3351"/>
          <cell r="R3351">
            <v>2.29</v>
          </cell>
          <cell r="S3351">
            <v>2.52</v>
          </cell>
          <cell r="T3351"/>
          <cell r="U3351"/>
          <cell r="V3351">
            <v>15</v>
          </cell>
          <cell r="W3351"/>
          <cell r="X3351" t="str">
            <v>SIGER</v>
          </cell>
          <cell r="Y3351" t="str">
            <v>SIGER 9-JAN</v>
          </cell>
          <cell r="Z3351" t="str">
            <v>CARA' MAIL 10/1/17</v>
          </cell>
          <cell r="AA3351"/>
          <cell r="AB3351">
            <v>42739</v>
          </cell>
          <cell r="AC3351">
            <v>1643</v>
          </cell>
        </row>
        <row r="3352">
          <cell r="B3352">
            <v>1591</v>
          </cell>
          <cell r="C3352" t="str">
            <v>ST-W5152</v>
          </cell>
          <cell r="D3352"/>
          <cell r="E3352" t="str">
            <v>168D x 21S - 133 x 83</v>
          </cell>
          <cell r="F3352" t="str">
            <v>T 100%</v>
          </cell>
          <cell r="G3352" t="str">
            <v>100% POLYESTER</v>
          </cell>
          <cell r="H3352" t="str">
            <v>57/58</v>
          </cell>
          <cell r="I3352">
            <v>88</v>
          </cell>
          <cell r="J3352">
            <v>1.72</v>
          </cell>
          <cell r="K3352">
            <v>1.86</v>
          </cell>
          <cell r="L3352"/>
          <cell r="M3352"/>
          <cell r="N3352">
            <v>1.77</v>
          </cell>
          <cell r="O3352">
            <v>1.9</v>
          </cell>
          <cell r="P3352"/>
          <cell r="Q3352"/>
          <cell r="R3352">
            <v>1.82</v>
          </cell>
          <cell r="S3352">
            <v>1.94</v>
          </cell>
          <cell r="T3352"/>
          <cell r="U3352"/>
          <cell r="V3352">
            <v>15</v>
          </cell>
          <cell r="W3352"/>
          <cell r="X3352" t="str">
            <v>SIGER</v>
          </cell>
          <cell r="Y3352" t="str">
            <v>SIGER 29-DEC</v>
          </cell>
          <cell r="Z3352" t="str">
            <v>CARA' MAIL 4/1/17</v>
          </cell>
          <cell r="AA3352"/>
          <cell r="AB3352">
            <v>42739</v>
          </cell>
          <cell r="AC3352">
            <v>1591</v>
          </cell>
        </row>
        <row r="3353">
          <cell r="B3353">
            <v>1509</v>
          </cell>
          <cell r="C3353" t="str">
            <v>OLP-151127XS0008</v>
          </cell>
          <cell r="D3353" t="str">
            <v>CORE - CHIFFON</v>
          </cell>
          <cell r="E3353" t="str">
            <v>115x96 / 75Dx75D</v>
          </cell>
          <cell r="F3353" t="str">
            <v>T 100%</v>
          </cell>
          <cell r="G3353" t="str">
            <v>100% POLYESTER</v>
          </cell>
          <cell r="H3353" t="str">
            <v>57/58</v>
          </cell>
          <cell r="I3353">
            <v>75</v>
          </cell>
          <cell r="J3353">
            <v>1.0900000000000001</v>
          </cell>
          <cell r="K3353">
            <v>1.32</v>
          </cell>
          <cell r="L3353"/>
          <cell r="M3353"/>
          <cell r="N3353">
            <v>1.0900000000000001</v>
          </cell>
          <cell r="O3353">
            <v>1.42</v>
          </cell>
          <cell r="P3353"/>
          <cell r="Q3353"/>
          <cell r="R3353">
            <v>1.24</v>
          </cell>
          <cell r="S3353">
            <v>2.4700000000000002</v>
          </cell>
          <cell r="T3353"/>
          <cell r="U3353"/>
          <cell r="V3353">
            <v>15</v>
          </cell>
          <cell r="W3353" t="str">
            <v>KinDly reminD the weight is arounD 75~80gsm, not 90gsm
Quantity 1.000m:  -SoliD: $1.09+surcharge:$150/color   -Print: $1.42+screen charge:75/screen+surcharge $300/color</v>
          </cell>
          <cell r="X3353" t="str">
            <v>OWEN</v>
          </cell>
          <cell r="Y3353" t="str">
            <v>SANDY 4-JAN</v>
          </cell>
          <cell r="Z3353" t="str">
            <v>SANDY' MAIL 6/1/17</v>
          </cell>
          <cell r="AA3353"/>
          <cell r="AB3353">
            <v>42739</v>
          </cell>
          <cell r="AC3353">
            <v>1509</v>
          </cell>
        </row>
        <row r="3354">
          <cell r="B3354">
            <v>1237</v>
          </cell>
          <cell r="C3354" t="str">
            <v>ST-W5041</v>
          </cell>
          <cell r="D3354"/>
          <cell r="E3354"/>
          <cell r="F3354" t="str">
            <v>T/S 97/3</v>
          </cell>
          <cell r="G3354" t="str">
            <v>97%POLYESTER 3%SPANDEX</v>
          </cell>
          <cell r="H3354" t="str">
            <v>57/58</v>
          </cell>
          <cell r="I3354">
            <v>126</v>
          </cell>
          <cell r="J3354">
            <v>1.35</v>
          </cell>
          <cell r="K3354">
            <v>1.57</v>
          </cell>
          <cell r="L3354"/>
          <cell r="M3354"/>
          <cell r="N3354">
            <v>1.36</v>
          </cell>
          <cell r="O3354">
            <v>1.6</v>
          </cell>
          <cell r="P3354"/>
          <cell r="Q3354"/>
          <cell r="R3354">
            <v>1.45</v>
          </cell>
          <cell r="S3354">
            <v>1.67</v>
          </cell>
          <cell r="T3354"/>
          <cell r="U3354"/>
          <cell r="V3354">
            <v>15</v>
          </cell>
          <cell r="W3354"/>
          <cell r="X3354" t="str">
            <v>SIGER</v>
          </cell>
          <cell r="Y3354" t="str">
            <v>SIGER 9-JAN</v>
          </cell>
          <cell r="Z3354" t="str">
            <v>CARA' MAIL 10/1/17</v>
          </cell>
          <cell r="AA3354"/>
          <cell r="AB3354">
            <v>42739</v>
          </cell>
          <cell r="AC3354">
            <v>1237</v>
          </cell>
        </row>
        <row r="3355">
          <cell r="B3355">
            <v>1195</v>
          </cell>
          <cell r="C3355" t="str">
            <v>ST-W5012</v>
          </cell>
          <cell r="D3355" t="str">
            <v>CRINKLE</v>
          </cell>
          <cell r="E3355"/>
          <cell r="F3355" t="str">
            <v>R 100%</v>
          </cell>
          <cell r="G3355" t="str">
            <v>100% RAYON</v>
          </cell>
          <cell r="H3355" t="str">
            <v>57/58</v>
          </cell>
          <cell r="I3355">
            <v>100</v>
          </cell>
          <cell r="J3355">
            <v>1.56</v>
          </cell>
          <cell r="K3355">
            <v>1.64</v>
          </cell>
          <cell r="L3355"/>
          <cell r="M3355"/>
          <cell r="N3355">
            <v>1.59</v>
          </cell>
          <cell r="O3355">
            <v>1.69</v>
          </cell>
          <cell r="P3355"/>
          <cell r="Q3355"/>
          <cell r="R3355">
            <v>1.62</v>
          </cell>
          <cell r="S3355">
            <v>1.74</v>
          </cell>
          <cell r="T3355"/>
          <cell r="U3355"/>
          <cell r="V3355">
            <v>15</v>
          </cell>
          <cell r="W3355"/>
          <cell r="X3355" t="str">
            <v>SIGER</v>
          </cell>
          <cell r="Y3355" t="str">
            <v>SIGER 16-JAN</v>
          </cell>
          <cell r="Z3355" t="str">
            <v>SIGER' MAIL 18/1/17</v>
          </cell>
          <cell r="AA3355"/>
          <cell r="AB3355">
            <v>42739</v>
          </cell>
          <cell r="AC3355">
            <v>1195</v>
          </cell>
        </row>
        <row r="3356">
          <cell r="B3356">
            <v>1191</v>
          </cell>
          <cell r="C3356" t="str">
            <v>ST-W412269-A</v>
          </cell>
          <cell r="D3356" t="str">
            <v>RUFFLE</v>
          </cell>
          <cell r="E3356"/>
          <cell r="F3356" t="str">
            <v>T/S 97/3</v>
          </cell>
          <cell r="G3356" t="str">
            <v>97% POLYESTER 3% SPAN</v>
          </cell>
          <cell r="H3356" t="str">
            <v>57/58</v>
          </cell>
          <cell r="I3356">
            <v>108</v>
          </cell>
          <cell r="J3356">
            <v>0.97</v>
          </cell>
          <cell r="K3356">
            <v>1.19</v>
          </cell>
          <cell r="L3356"/>
          <cell r="M3356"/>
          <cell r="N3356">
            <v>1.02</v>
          </cell>
          <cell r="O3356">
            <v>1.22</v>
          </cell>
          <cell r="P3356"/>
          <cell r="Q3356"/>
          <cell r="R3356">
            <v>1.06</v>
          </cell>
          <cell r="S3356">
            <v>1.26</v>
          </cell>
          <cell r="T3356"/>
          <cell r="U3356"/>
          <cell r="V3356">
            <v>15</v>
          </cell>
          <cell r="W3356"/>
          <cell r="X3356" t="str">
            <v>SIGER</v>
          </cell>
          <cell r="Y3356" t="str">
            <v>SIGER 16-JAN</v>
          </cell>
          <cell r="Z3356" t="str">
            <v>SIGER' MAIL 18/1/17</v>
          </cell>
          <cell r="AA3356"/>
          <cell r="AB3356">
            <v>42739</v>
          </cell>
          <cell r="AC3356">
            <v>1191</v>
          </cell>
        </row>
        <row r="3357">
          <cell r="B3357">
            <v>1068</v>
          </cell>
          <cell r="C3357" t="str">
            <v>ST-57160</v>
          </cell>
          <cell r="D3357" t="str">
            <v>RUFFLE</v>
          </cell>
          <cell r="E3357"/>
          <cell r="F3357" t="str">
            <v>T/S 97/3</v>
          </cell>
          <cell r="G3357" t="str">
            <v>97% POLYESTER 3% SPAN</v>
          </cell>
          <cell r="H3357" t="str">
            <v>57/58</v>
          </cell>
          <cell r="I3357">
            <v>200</v>
          </cell>
          <cell r="J3357">
            <v>1.91</v>
          </cell>
          <cell r="K3357">
            <v>1.99</v>
          </cell>
          <cell r="L3357"/>
          <cell r="M3357"/>
          <cell r="N3357">
            <v>1.95</v>
          </cell>
          <cell r="O3357">
            <v>2.06</v>
          </cell>
          <cell r="P3357"/>
          <cell r="Q3357"/>
          <cell r="R3357">
            <v>2.02</v>
          </cell>
          <cell r="S3357">
            <v>2.13</v>
          </cell>
          <cell r="T3357"/>
          <cell r="U3357"/>
          <cell r="V3357">
            <v>15</v>
          </cell>
          <cell r="W3357"/>
          <cell r="X3357" t="str">
            <v>SIGER</v>
          </cell>
          <cell r="Y3357" t="str">
            <v>SIGER 16-JAN</v>
          </cell>
          <cell r="Z3357" t="str">
            <v>SIGER' MAIL 18/1/17</v>
          </cell>
          <cell r="AA3357"/>
          <cell r="AB3357">
            <v>42739</v>
          </cell>
          <cell r="AC3357">
            <v>1068</v>
          </cell>
        </row>
        <row r="3358">
          <cell r="B3358">
            <v>719</v>
          </cell>
          <cell r="C3358" t="str">
            <v>ST-4045</v>
          </cell>
          <cell r="D3358"/>
          <cell r="E3358"/>
          <cell r="F3358" t="str">
            <v>T 100%</v>
          </cell>
          <cell r="G3358" t="str">
            <v>100% POLYESTER</v>
          </cell>
          <cell r="H3358" t="str">
            <v>57/58</v>
          </cell>
          <cell r="I3358">
            <v>132</v>
          </cell>
          <cell r="J3358">
            <v>2.04</v>
          </cell>
          <cell r="K3358">
            <v>2.12</v>
          </cell>
          <cell r="L3358"/>
          <cell r="M3358"/>
          <cell r="N3358">
            <v>2.0699999999999998</v>
          </cell>
          <cell r="O3358">
            <v>2.17</v>
          </cell>
          <cell r="P3358"/>
          <cell r="Q3358"/>
          <cell r="R3358">
            <v>2.1</v>
          </cell>
          <cell r="S3358">
            <v>2.2200000000000002</v>
          </cell>
          <cell r="T3358"/>
          <cell r="U3358"/>
          <cell r="V3358">
            <v>15</v>
          </cell>
          <cell r="W3358"/>
          <cell r="X3358" t="str">
            <v>SIGER</v>
          </cell>
          <cell r="Y3358" t="str">
            <v>SIGER 12-JAN</v>
          </cell>
          <cell r="Z3358" t="str">
            <v>SIGER' MAIL 18/1/17</v>
          </cell>
          <cell r="AA3358"/>
          <cell r="AB3358">
            <v>42739</v>
          </cell>
          <cell r="AC3358">
            <v>719</v>
          </cell>
        </row>
        <row r="3359">
          <cell r="B3359">
            <v>677</v>
          </cell>
          <cell r="C3359" t="str">
            <v>ST-410183-B</v>
          </cell>
          <cell r="D3359" t="str">
            <v>BUBBLE</v>
          </cell>
          <cell r="E3359"/>
          <cell r="F3359" t="str">
            <v>T/S 97/3</v>
          </cell>
          <cell r="G3359" t="str">
            <v>97%POLYESTER 3%SPANDEX</v>
          </cell>
          <cell r="H3359" t="str">
            <v>57/58</v>
          </cell>
          <cell r="I3359">
            <v>140</v>
          </cell>
          <cell r="J3359">
            <v>1.36</v>
          </cell>
          <cell r="K3359">
            <v>1.58</v>
          </cell>
          <cell r="L3359"/>
          <cell r="M3359"/>
          <cell r="N3359">
            <v>1.38</v>
          </cell>
          <cell r="O3359">
            <v>1.62</v>
          </cell>
          <cell r="P3359"/>
          <cell r="Q3359"/>
          <cell r="R3359">
            <v>1.63</v>
          </cell>
          <cell r="S3359">
            <v>1.79</v>
          </cell>
          <cell r="T3359"/>
          <cell r="U3359"/>
          <cell r="V3359">
            <v>15</v>
          </cell>
          <cell r="W3359"/>
          <cell r="X3359" t="str">
            <v>SIGER</v>
          </cell>
          <cell r="Y3359" t="str">
            <v>SIGER 9-JAN</v>
          </cell>
          <cell r="Z3359" t="str">
            <v>CARA' MAIL 10/1/17</v>
          </cell>
          <cell r="AA3359"/>
          <cell r="AB3359">
            <v>42739</v>
          </cell>
          <cell r="AC3359">
            <v>677</v>
          </cell>
        </row>
        <row r="3360">
          <cell r="B3360">
            <v>676</v>
          </cell>
          <cell r="C3360" t="str">
            <v>ST-49143</v>
          </cell>
          <cell r="D3360"/>
          <cell r="E3360" t="str">
            <v>105D + 40D</v>
          </cell>
          <cell r="F3360" t="str">
            <v>T/S 97/3</v>
          </cell>
          <cell r="G3360" t="str">
            <v>97%POLYESTER 3%SPANDEX</v>
          </cell>
          <cell r="H3360" t="str">
            <v>57/58</v>
          </cell>
          <cell r="I3360">
            <v>126</v>
          </cell>
          <cell r="J3360">
            <v>1.8</v>
          </cell>
          <cell r="K3360">
            <v>1.97</v>
          </cell>
          <cell r="L3360"/>
          <cell r="M3360"/>
          <cell r="N3360">
            <v>1.83</v>
          </cell>
          <cell r="O3360">
            <v>2.02</v>
          </cell>
          <cell r="P3360"/>
          <cell r="Q3360"/>
          <cell r="R3360">
            <v>1.87</v>
          </cell>
          <cell r="S3360">
            <v>2.0499999999999998</v>
          </cell>
          <cell r="T3360"/>
          <cell r="U3360"/>
          <cell r="V3360">
            <v>15</v>
          </cell>
          <cell r="W3360"/>
          <cell r="X3360" t="str">
            <v>SIGER</v>
          </cell>
          <cell r="Y3360" t="str">
            <v>SIGER 9-JAN</v>
          </cell>
          <cell r="Z3360" t="str">
            <v>CARA' MAIL 10/1/17</v>
          </cell>
          <cell r="AA3360"/>
          <cell r="AB3360">
            <v>42739</v>
          </cell>
          <cell r="AC3360">
            <v>676</v>
          </cell>
        </row>
        <row r="3361">
          <cell r="B3361">
            <v>652</v>
          </cell>
          <cell r="C3361" t="str">
            <v>#2015052803</v>
          </cell>
          <cell r="D3361"/>
          <cell r="E3361"/>
          <cell r="F3361" t="str">
            <v>97% COTTON 3% SPAN</v>
          </cell>
          <cell r="G3361" t="str">
            <v>97% COTTON 3% SPAN</v>
          </cell>
          <cell r="H3361" t="str">
            <v>57/58</v>
          </cell>
          <cell r="I3361">
            <v>189</v>
          </cell>
          <cell r="J3361">
            <v>3.13</v>
          </cell>
          <cell r="K3361">
            <v>3.27</v>
          </cell>
          <cell r="L3361"/>
          <cell r="M3361"/>
          <cell r="N3361">
            <v>3.22</v>
          </cell>
          <cell r="O3361">
            <v>3.35</v>
          </cell>
          <cell r="P3361"/>
          <cell r="Q3361"/>
          <cell r="R3361">
            <v>3.47</v>
          </cell>
          <cell r="S3361">
            <v>4.0999999999999996</v>
          </cell>
          <cell r="T3361"/>
          <cell r="U3361"/>
          <cell r="V3361">
            <v>15</v>
          </cell>
          <cell r="W3361" t="str">
            <v>SUPPLIER HAVE 8.000M IN STOCK THEN WILL KEEP $3.13/M SOLID AND $3.27/M PRINT FOR NOW ORDER - 6/1/17</v>
          </cell>
          <cell r="X3361" t="str">
            <v>OWEN</v>
          </cell>
          <cell r="Y3361" t="str">
            <v>SANDY 6-JAN</v>
          </cell>
          <cell r="Z3361" t="str">
            <v>SANDY'MAIL 6/1/17</v>
          </cell>
          <cell r="AA3361"/>
          <cell r="AB3361">
            <v>42739</v>
          </cell>
          <cell r="AC3361">
            <v>652</v>
          </cell>
        </row>
        <row r="3362">
          <cell r="B3362">
            <v>649</v>
          </cell>
          <cell r="C3362" t="str">
            <v>#2015052805</v>
          </cell>
          <cell r="D3362"/>
          <cell r="E3362"/>
          <cell r="F3362" t="str">
            <v>97% COTTON 3% SPAN</v>
          </cell>
          <cell r="G3362" t="str">
            <v>97% COTTON 3% SPAN</v>
          </cell>
          <cell r="H3362" t="str">
            <v>49/50</v>
          </cell>
          <cell r="I3362">
            <v>183</v>
          </cell>
          <cell r="J3362">
            <v>2.95</v>
          </cell>
          <cell r="K3362">
            <v>3.1</v>
          </cell>
          <cell r="L3362"/>
          <cell r="M3362"/>
          <cell r="N3362">
            <v>3.03</v>
          </cell>
          <cell r="O3362">
            <v>3.2</v>
          </cell>
          <cell r="P3362"/>
          <cell r="Q3362"/>
          <cell r="R3362">
            <v>3.2</v>
          </cell>
          <cell r="S3362">
            <v>3.95</v>
          </cell>
          <cell r="T3362"/>
          <cell r="U3362"/>
          <cell r="V3362">
            <v>15</v>
          </cell>
          <cell r="W3362"/>
          <cell r="X3362" t="str">
            <v>OWEN</v>
          </cell>
          <cell r="Y3362" t="str">
            <v>SANDY 6-JAN</v>
          </cell>
          <cell r="Z3362" t="str">
            <v>SANDY'MAIL 6/1/17</v>
          </cell>
          <cell r="AA3362"/>
          <cell r="AB3362">
            <v>42739</v>
          </cell>
          <cell r="AC3362">
            <v>649</v>
          </cell>
        </row>
        <row r="3363">
          <cell r="B3363">
            <v>497</v>
          </cell>
          <cell r="C3363" t="str">
            <v>ST-410189-C</v>
          </cell>
          <cell r="D3363"/>
          <cell r="E3363"/>
          <cell r="F3363" t="str">
            <v>T/S 97/3</v>
          </cell>
          <cell r="G3363" t="str">
            <v>97% POLYESTER 3% SPAN</v>
          </cell>
          <cell r="H3363" t="str">
            <v>57/58</v>
          </cell>
          <cell r="I3363">
            <v>99</v>
          </cell>
          <cell r="J3363">
            <v>1.33</v>
          </cell>
          <cell r="K3363">
            <v>1.44</v>
          </cell>
          <cell r="L3363"/>
          <cell r="M3363"/>
          <cell r="N3363">
            <v>1.35</v>
          </cell>
          <cell r="O3363">
            <v>1.46</v>
          </cell>
          <cell r="P3363"/>
          <cell r="Q3363"/>
          <cell r="R3363">
            <v>1.4</v>
          </cell>
          <cell r="S3363">
            <v>1.49</v>
          </cell>
          <cell r="T3363"/>
          <cell r="U3363"/>
          <cell r="V3363">
            <v>15</v>
          </cell>
          <cell r="W3363"/>
          <cell r="X3363" t="str">
            <v>SIGER</v>
          </cell>
          <cell r="Y3363" t="str">
            <v>SIGER 29-DEC</v>
          </cell>
          <cell r="Z3363" t="str">
            <v>CARA' MAIL 4/1/17</v>
          </cell>
          <cell r="AA3363"/>
          <cell r="AB3363">
            <v>42739</v>
          </cell>
          <cell r="AC3363">
            <v>497</v>
          </cell>
        </row>
        <row r="3364">
          <cell r="B3364">
            <v>391</v>
          </cell>
          <cell r="C3364" t="str">
            <v>M06526</v>
          </cell>
          <cell r="D3364" t="str">
            <v>BUBBLE</v>
          </cell>
          <cell r="E3364"/>
          <cell r="F3364" t="str">
            <v>T 100%</v>
          </cell>
          <cell r="G3364" t="str">
            <v>100% POLYESTER</v>
          </cell>
          <cell r="H3364" t="str">
            <v>58/59</v>
          </cell>
          <cell r="I3364">
            <v>115</v>
          </cell>
          <cell r="J3364">
            <v>1.08</v>
          </cell>
          <cell r="K3364">
            <v>1.23</v>
          </cell>
          <cell r="L3364"/>
          <cell r="M3364"/>
          <cell r="N3364">
            <v>1.1299999999999999</v>
          </cell>
          <cell r="O3364">
            <v>1.3</v>
          </cell>
          <cell r="P3364"/>
          <cell r="Q3364"/>
          <cell r="R3364">
            <v>1.35</v>
          </cell>
          <cell r="S3364">
            <v>1.6</v>
          </cell>
          <cell r="T3364"/>
          <cell r="U3364"/>
          <cell r="V3364">
            <v>15</v>
          </cell>
          <cell r="W3364"/>
          <cell r="X3364" t="str">
            <v>MARY</v>
          </cell>
          <cell r="Y3364" t="str">
            <v>MARY 6-JAN</v>
          </cell>
          <cell r="Z3364" t="str">
            <v>MARY' MAIL 6/1/17</v>
          </cell>
          <cell r="AA3364"/>
          <cell r="AB3364">
            <v>42739</v>
          </cell>
          <cell r="AC3364">
            <v>391</v>
          </cell>
        </row>
        <row r="3365">
          <cell r="B3365">
            <v>254</v>
          </cell>
          <cell r="C3365" t="str">
            <v>ST-3039</v>
          </cell>
          <cell r="D3365" t="str">
            <v>POLY SATEEN</v>
          </cell>
          <cell r="E3365"/>
          <cell r="F3365" t="str">
            <v>T 100%</v>
          </cell>
          <cell r="G3365" t="str">
            <v>100% POLYESTER</v>
          </cell>
          <cell r="H3365" t="str">
            <v>57/58</v>
          </cell>
          <cell r="I3365">
            <v>90</v>
          </cell>
          <cell r="J3365">
            <v>1.35</v>
          </cell>
          <cell r="K3365">
            <v>1.45</v>
          </cell>
          <cell r="L3365"/>
          <cell r="M3365"/>
          <cell r="N3365">
            <v>1.37</v>
          </cell>
          <cell r="O3365">
            <v>1.47</v>
          </cell>
          <cell r="P3365"/>
          <cell r="Q3365"/>
          <cell r="R3365">
            <v>1.42</v>
          </cell>
          <cell r="S3365">
            <v>1.5</v>
          </cell>
          <cell r="T3365"/>
          <cell r="U3365"/>
          <cell r="V3365">
            <v>15</v>
          </cell>
          <cell r="W3365"/>
          <cell r="X3365" t="str">
            <v>SIGER</v>
          </cell>
          <cell r="Y3365" t="str">
            <v>SIGER 29-DEC</v>
          </cell>
          <cell r="Z3365" t="str">
            <v>CARA' MAIL 4/1/17</v>
          </cell>
          <cell r="AA3365"/>
          <cell r="AB3365">
            <v>42739</v>
          </cell>
          <cell r="AC3365">
            <v>254</v>
          </cell>
        </row>
        <row r="3366">
          <cell r="B3366">
            <v>1527</v>
          </cell>
          <cell r="C3366" t="str">
            <v>GL14068</v>
          </cell>
          <cell r="D3366" t="str">
            <v>SINGLE JERSEY</v>
          </cell>
          <cell r="E3366"/>
          <cell r="F3366" t="str">
            <v>R/S 95/5</v>
          </cell>
          <cell r="G3366" t="str">
            <v>95% RAYON 5% SPAN</v>
          </cell>
          <cell r="H3366" t="str">
            <v>175CM</v>
          </cell>
          <cell r="I3366">
            <v>200</v>
          </cell>
          <cell r="J3366"/>
          <cell r="K3366"/>
          <cell r="L3366"/>
          <cell r="M3366"/>
          <cell r="N3366">
            <v>1.72</v>
          </cell>
          <cell r="O3366"/>
          <cell r="P3366"/>
          <cell r="Q3366"/>
          <cell r="R3366">
            <v>1.74</v>
          </cell>
          <cell r="S3366"/>
          <cell r="T3366"/>
          <cell r="U3366"/>
          <cell r="V3366"/>
          <cell r="W3366"/>
          <cell r="X3366" t="str">
            <v>NICKY</v>
          </cell>
          <cell r="Y3366" t="str">
            <v>MASTER FILE</v>
          </cell>
          <cell r="Z3366" t="str">
            <v>MASTER FILE</v>
          </cell>
          <cell r="AA3366"/>
          <cell r="AB3366">
            <v>42735</v>
          </cell>
          <cell r="AC3366">
            <v>1527</v>
          </cell>
        </row>
        <row r="3367">
          <cell r="B3367">
            <v>534</v>
          </cell>
          <cell r="C3367" t="str">
            <v>OLP-LS-14073014HP</v>
          </cell>
          <cell r="D3367"/>
          <cell r="E3367"/>
          <cell r="F3367" t="str">
            <v>65%NYLON 35%RAYON</v>
          </cell>
          <cell r="G3367" t="str">
            <v>65%NYLON 35%RAYON</v>
          </cell>
          <cell r="H3367" t="str">
            <v>57/58</v>
          </cell>
          <cell r="I3367">
            <v>120</v>
          </cell>
          <cell r="J3367"/>
          <cell r="K3367"/>
          <cell r="L3367"/>
          <cell r="M3367"/>
          <cell r="N3367">
            <v>2.66</v>
          </cell>
          <cell r="O3367"/>
          <cell r="P3367"/>
          <cell r="Q3367"/>
          <cell r="R3367"/>
          <cell r="S3367"/>
          <cell r="T3367"/>
          <cell r="U3367"/>
          <cell r="V3367">
            <v>15</v>
          </cell>
          <cell r="W3367"/>
          <cell r="X3367" t="str">
            <v>OWEN</v>
          </cell>
          <cell r="Y3367" t="str">
            <v>MASTER FILE</v>
          </cell>
          <cell r="Z3367" t="str">
            <v>CONFIRM KEEP PRICE 2/3/17 ON WECHAT WITH SANDY</v>
          </cell>
          <cell r="AA3367"/>
          <cell r="AB3367">
            <v>42735</v>
          </cell>
          <cell r="AC3367">
            <v>534</v>
          </cell>
        </row>
        <row r="3368">
          <cell r="B3368">
            <v>2585</v>
          </cell>
          <cell r="C3368" t="str">
            <v>K-2693</v>
          </cell>
          <cell r="D3368" t="str">
            <v>PLEAT VELVET</v>
          </cell>
          <cell r="E3368"/>
          <cell r="F3368" t="str">
            <v>T/S 85/15</v>
          </cell>
          <cell r="G3368" t="str">
            <v>85% POLYESTER 15% SPANDEX</v>
          </cell>
          <cell r="H3368" t="str">
            <v>59/60</v>
          </cell>
          <cell r="I3368">
            <v>220</v>
          </cell>
          <cell r="J3368">
            <v>1.95</v>
          </cell>
          <cell r="K3368"/>
          <cell r="L3368"/>
          <cell r="M3368"/>
          <cell r="N3368">
            <v>2</v>
          </cell>
          <cell r="O3368"/>
          <cell r="P3368"/>
          <cell r="Q3368"/>
          <cell r="R3368">
            <v>2.0499999999999998</v>
          </cell>
          <cell r="S3368"/>
          <cell r="T3368"/>
          <cell r="U3368"/>
          <cell r="V3368">
            <v>15</v>
          </cell>
          <cell r="W3368"/>
          <cell r="X3368" t="str">
            <v>LIVALTEX</v>
          </cell>
          <cell r="Y3368" t="str">
            <v>MASTER FILE</v>
          </cell>
          <cell r="Z3368" t="str">
            <v>MASTER FILE</v>
          </cell>
          <cell r="AA3368"/>
          <cell r="AB3368">
            <v>42714</v>
          </cell>
          <cell r="AC3368">
            <v>2585</v>
          </cell>
        </row>
        <row r="3369">
          <cell r="B3369">
            <v>2577</v>
          </cell>
          <cell r="C3369" t="str">
            <v>M-13536</v>
          </cell>
          <cell r="D3369" t="str">
            <v>YARN-DYED CHECK</v>
          </cell>
          <cell r="E3369"/>
          <cell r="F3369" t="str">
            <v>R 100%</v>
          </cell>
          <cell r="G3369" t="str">
            <v>100% RAYON</v>
          </cell>
          <cell r="H3369" t="str">
            <v>55/56</v>
          </cell>
          <cell r="I3369">
            <v>130</v>
          </cell>
          <cell r="J3369">
            <v>1.86</v>
          </cell>
          <cell r="K3369"/>
          <cell r="L3369"/>
          <cell r="M3369"/>
          <cell r="N3369">
            <v>1.92</v>
          </cell>
          <cell r="O3369"/>
          <cell r="P3369"/>
          <cell r="Q3369"/>
          <cell r="R3369"/>
          <cell r="S3369"/>
          <cell r="T3369"/>
          <cell r="U3369"/>
          <cell r="V3369">
            <v>15</v>
          </cell>
          <cell r="W3369"/>
          <cell r="X3369" t="str">
            <v>MARY</v>
          </cell>
          <cell r="Y3369" t="str">
            <v>MASTER FILE</v>
          </cell>
          <cell r="Z3369" t="str">
            <v>MASTER FILE</v>
          </cell>
          <cell r="AA3369"/>
          <cell r="AB3369">
            <v>42714</v>
          </cell>
          <cell r="AC3369">
            <v>2577</v>
          </cell>
        </row>
        <row r="3370">
          <cell r="B3370">
            <v>2572</v>
          </cell>
          <cell r="C3370" t="str">
            <v>OLP-52721-1HMR</v>
          </cell>
          <cell r="D3370" t="str">
            <v>DIAMOND DOBBY</v>
          </cell>
          <cell r="E3370"/>
          <cell r="F3370" t="str">
            <v>T 100%</v>
          </cell>
          <cell r="G3370" t="str">
            <v>100% POLYESTER</v>
          </cell>
          <cell r="H3370" t="str">
            <v>57/58</v>
          </cell>
          <cell r="I3370">
            <v>135</v>
          </cell>
          <cell r="J3370">
            <v>1.79</v>
          </cell>
          <cell r="K3370">
            <v>1.92</v>
          </cell>
          <cell r="L3370"/>
          <cell r="M3370"/>
          <cell r="N3370">
            <v>1.82</v>
          </cell>
          <cell r="O3370">
            <v>1.98</v>
          </cell>
          <cell r="P3370"/>
          <cell r="Q3370"/>
          <cell r="R3370">
            <v>1.97</v>
          </cell>
          <cell r="S3370">
            <v>2.98</v>
          </cell>
          <cell r="T3370"/>
          <cell r="U3370"/>
          <cell r="V3370">
            <v>15</v>
          </cell>
          <cell r="W3370"/>
          <cell r="X3370" t="str">
            <v>OWEN</v>
          </cell>
          <cell r="Y3370" t="str">
            <v>MASTER FILE</v>
          </cell>
          <cell r="Z3370" t="str">
            <v>MASTER FILE</v>
          </cell>
          <cell r="AA3370"/>
          <cell r="AB3370">
            <v>42707</v>
          </cell>
          <cell r="AC3370">
            <v>2572</v>
          </cell>
        </row>
        <row r="3371">
          <cell r="B3371">
            <v>2530</v>
          </cell>
          <cell r="C3371" t="str">
            <v>OLP-YDP-3068</v>
          </cell>
          <cell r="D3371" t="str">
            <v>YARNDYED PLAIN</v>
          </cell>
          <cell r="E3371"/>
          <cell r="F3371" t="str">
            <v>R 100%</v>
          </cell>
          <cell r="G3371" t="str">
            <v>100% RAYON</v>
          </cell>
          <cell r="H3371" t="str">
            <v>55/56</v>
          </cell>
          <cell r="I3371">
            <v>120</v>
          </cell>
          <cell r="J3371"/>
          <cell r="K3371"/>
          <cell r="L3371"/>
          <cell r="M3371"/>
          <cell r="N3371">
            <v>1.89</v>
          </cell>
          <cell r="O3371"/>
          <cell r="P3371"/>
          <cell r="Q3371"/>
          <cell r="R3371"/>
          <cell r="S3371"/>
          <cell r="T3371"/>
          <cell r="U3371"/>
          <cell r="V3371"/>
          <cell r="W3371"/>
          <cell r="X3371" t="str">
            <v>OWEN</v>
          </cell>
          <cell r="Y3371" t="str">
            <v>MASTER FILE</v>
          </cell>
          <cell r="Z3371" t="str">
            <v>MASTER FILE</v>
          </cell>
          <cell r="AA3371"/>
          <cell r="AB3371">
            <v>42693</v>
          </cell>
          <cell r="AC3371">
            <v>2530</v>
          </cell>
        </row>
        <row r="3372">
          <cell r="B3372">
            <v>2508</v>
          </cell>
          <cell r="C3372" t="str">
            <v>OLP-1025X1815XS</v>
          </cell>
          <cell r="D3372" t="str">
            <v>TWILL CORDED</v>
          </cell>
          <cell r="E3372"/>
          <cell r="F3372" t="str">
            <v>T 100%</v>
          </cell>
          <cell r="G3372" t="str">
            <v>100% POLYESTER</v>
          </cell>
          <cell r="H3372" t="str">
            <v>57/58</v>
          </cell>
          <cell r="I3372">
            <v>115</v>
          </cell>
          <cell r="J3372">
            <v>1.43</v>
          </cell>
          <cell r="K3372">
            <v>1.63</v>
          </cell>
          <cell r="L3372"/>
          <cell r="M3372"/>
          <cell r="N3372">
            <v>1.48</v>
          </cell>
          <cell r="O3372">
            <v>1.8</v>
          </cell>
          <cell r="P3372"/>
          <cell r="Q3372"/>
          <cell r="R3372">
            <v>1.61</v>
          </cell>
          <cell r="S3372">
            <v>3.25</v>
          </cell>
          <cell r="T3372"/>
          <cell r="U3372"/>
          <cell r="V3372"/>
          <cell r="W3372"/>
          <cell r="X3372" t="str">
            <v>OWEN</v>
          </cell>
          <cell r="Y3372"/>
          <cell r="Z3372" t="str">
            <v>MASTER FILE</v>
          </cell>
          <cell r="AA3372"/>
          <cell r="AB3372">
            <v>42679</v>
          </cell>
          <cell r="AC3372">
            <v>2508</v>
          </cell>
        </row>
        <row r="3373">
          <cell r="B3373">
            <v>2348</v>
          </cell>
          <cell r="C3373" t="str">
            <v>ST-W6104</v>
          </cell>
          <cell r="D3373"/>
          <cell r="E3373"/>
          <cell r="F3373" t="str">
            <v>T 100%</v>
          </cell>
          <cell r="G3373" t="str">
            <v>100% POLYESTER</v>
          </cell>
          <cell r="H3373" t="str">
            <v>57/58</v>
          </cell>
          <cell r="I3373">
            <v>110</v>
          </cell>
          <cell r="J3373"/>
          <cell r="K3373"/>
          <cell r="L3373"/>
          <cell r="M3373"/>
          <cell r="N3373"/>
          <cell r="O3373"/>
          <cell r="P3373"/>
          <cell r="Q3373"/>
          <cell r="R3373"/>
          <cell r="S3373"/>
          <cell r="T3373"/>
          <cell r="U3373"/>
          <cell r="V3373"/>
          <cell r="W3373"/>
          <cell r="X3373" t="str">
            <v>SIGER</v>
          </cell>
          <cell r="Y3373" t="str">
            <v>MASTER FILE</v>
          </cell>
          <cell r="Z3373" t="str">
            <v>MASTER FILE</v>
          </cell>
          <cell r="AA3373"/>
          <cell r="AB3373">
            <v>42644</v>
          </cell>
          <cell r="AC3373">
            <v>2348</v>
          </cell>
        </row>
        <row r="3374">
          <cell r="B3374">
            <v>2300</v>
          </cell>
          <cell r="C3374" t="str">
            <v>TP-8163</v>
          </cell>
          <cell r="D3374" t="str">
            <v>POLY DOBBY</v>
          </cell>
          <cell r="E3374"/>
          <cell r="F3374" t="str">
            <v xml:space="preserve">T 100% </v>
          </cell>
          <cell r="G3374" t="str">
            <v>100% POLYESTER</v>
          </cell>
          <cell r="H3374" t="str">
            <v>57/58</v>
          </cell>
          <cell r="I3374">
            <v>116</v>
          </cell>
          <cell r="J3374"/>
          <cell r="K3374"/>
          <cell r="L3374"/>
          <cell r="M3374"/>
          <cell r="N3374"/>
          <cell r="O3374"/>
          <cell r="P3374"/>
          <cell r="Q3374"/>
          <cell r="R3374"/>
          <cell r="S3374"/>
          <cell r="T3374"/>
          <cell r="U3374"/>
          <cell r="V3374"/>
          <cell r="W3374"/>
          <cell r="X3374" t="str">
            <v>STEVEN</v>
          </cell>
          <cell r="Y3374" t="str">
            <v>MASTER FILE</v>
          </cell>
          <cell r="Z3374" t="str">
            <v>MASTER FILE</v>
          </cell>
          <cell r="AA3374"/>
          <cell r="AB3374">
            <v>42644</v>
          </cell>
          <cell r="AC3374">
            <v>2300</v>
          </cell>
        </row>
        <row r="3375">
          <cell r="B3375">
            <v>2145</v>
          </cell>
          <cell r="C3375" t="str">
            <v>OW-K5327</v>
          </cell>
          <cell r="D3375" t="str">
            <v>SINGLE JERSEY</v>
          </cell>
          <cell r="E3375"/>
          <cell r="F3375" t="str">
            <v xml:space="preserve">T/R/S </v>
          </cell>
          <cell r="G3375" t="str">
            <v>POLYESTER RAYON SPANDEX</v>
          </cell>
          <cell r="H3375" t="str">
            <v>67/68</v>
          </cell>
          <cell r="I3375">
            <v>173</v>
          </cell>
          <cell r="J3375"/>
          <cell r="K3375"/>
          <cell r="L3375"/>
          <cell r="M3375"/>
          <cell r="N3375"/>
          <cell r="O3375"/>
          <cell r="P3375"/>
          <cell r="Q3375"/>
          <cell r="R3375"/>
          <cell r="S3375"/>
          <cell r="T3375"/>
          <cell r="U3375"/>
          <cell r="V3375"/>
          <cell r="W3375"/>
          <cell r="X3375" t="str">
            <v>TRACY</v>
          </cell>
          <cell r="Y3375" t="str">
            <v>MASTER FILE</v>
          </cell>
          <cell r="Z3375" t="str">
            <v>MASTER FILE</v>
          </cell>
          <cell r="AA3375"/>
          <cell r="AB3375">
            <v>42602</v>
          </cell>
          <cell r="AC3375">
            <v>2145</v>
          </cell>
        </row>
        <row r="3376">
          <cell r="B3376">
            <v>2143</v>
          </cell>
          <cell r="C3376" t="str">
            <v>GS1583</v>
          </cell>
          <cell r="D3376" t="str">
            <v>SINGLE JERSEY</v>
          </cell>
          <cell r="E3376"/>
          <cell r="F3376" t="str">
            <v>R/S 95/5</v>
          </cell>
          <cell r="G3376" t="str">
            <v>95% RAYON 5% SPAN</v>
          </cell>
          <cell r="H3376" t="str">
            <v>160CM</v>
          </cell>
          <cell r="I3376">
            <v>185</v>
          </cell>
          <cell r="J3376"/>
          <cell r="K3376"/>
          <cell r="L3376"/>
          <cell r="M3376"/>
          <cell r="N3376">
            <v>1.74</v>
          </cell>
          <cell r="O3376"/>
          <cell r="P3376"/>
          <cell r="Q3376"/>
          <cell r="R3376"/>
          <cell r="S3376"/>
          <cell r="T3376"/>
          <cell r="U3376"/>
          <cell r="V3376"/>
          <cell r="W3376"/>
          <cell r="X3376" t="str">
            <v>NICKY</v>
          </cell>
          <cell r="Y3376" t="str">
            <v>MASTER FILE</v>
          </cell>
          <cell r="Z3376" t="str">
            <v>MASTER FILE</v>
          </cell>
          <cell r="AA3376"/>
          <cell r="AB3376">
            <v>42602</v>
          </cell>
          <cell r="AC3376">
            <v>2143</v>
          </cell>
        </row>
        <row r="3377">
          <cell r="B3377">
            <v>2136</v>
          </cell>
          <cell r="C3377" t="str">
            <v>M11138</v>
          </cell>
          <cell r="D3377" t="str">
            <v>MOSS CREPE</v>
          </cell>
          <cell r="E3377" t="str">
            <v>100D</v>
          </cell>
          <cell r="F3377" t="str">
            <v>T/S 98/2</v>
          </cell>
          <cell r="G3377" t="str">
            <v>97% POLYESTER 3% SPAN</v>
          </cell>
          <cell r="H3377" t="str">
            <v>57/58</v>
          </cell>
          <cell r="I3377">
            <v>130</v>
          </cell>
          <cell r="J3377"/>
          <cell r="K3377"/>
          <cell r="L3377"/>
          <cell r="M3377"/>
          <cell r="N3377">
            <v>1.24</v>
          </cell>
          <cell r="O3377">
            <v>1.55</v>
          </cell>
          <cell r="P3377"/>
          <cell r="Q3377"/>
          <cell r="R3377">
            <v>1.32</v>
          </cell>
          <cell r="S3377">
            <v>1.7</v>
          </cell>
          <cell r="T3377"/>
          <cell r="U3377"/>
          <cell r="V3377"/>
          <cell r="W3377" t="str">
            <v>INFORMATION IN MASTER</v>
          </cell>
          <cell r="X3377" t="str">
            <v>MARY</v>
          </cell>
          <cell r="Y3377"/>
          <cell r="Z3377" t="str">
            <v>MASTER FILE</v>
          </cell>
          <cell r="AA3377"/>
          <cell r="AB3377">
            <v>42602</v>
          </cell>
          <cell r="AC3377">
            <v>2136</v>
          </cell>
        </row>
        <row r="3378">
          <cell r="B3378">
            <v>2126</v>
          </cell>
          <cell r="C3378" t="str">
            <v>UD-JC-251003</v>
          </cell>
          <cell r="D3378" t="str">
            <v>PLAIN</v>
          </cell>
          <cell r="E3378" t="str">
            <v>80x80 / 157x147</v>
          </cell>
          <cell r="F3378" t="str">
            <v>C 100%</v>
          </cell>
          <cell r="G3378" t="str">
            <v>100% COTTON</v>
          </cell>
          <cell r="H3378" t="str">
            <v>57/58</v>
          </cell>
          <cell r="I3378">
            <v>87</v>
          </cell>
          <cell r="J3378"/>
          <cell r="K3378"/>
          <cell r="L3378"/>
          <cell r="M3378"/>
          <cell r="N3378">
            <v>3.24</v>
          </cell>
          <cell r="O3378">
            <v>3.97</v>
          </cell>
          <cell r="P3378"/>
          <cell r="Q3378"/>
          <cell r="R3378">
            <v>3.8</v>
          </cell>
          <cell r="S3378">
            <v>5.3</v>
          </cell>
          <cell r="T3378"/>
          <cell r="U3378"/>
          <cell r="V3378"/>
          <cell r="W3378" t="str">
            <v>INFORMATION IN MASTER</v>
          </cell>
          <cell r="X3378" t="str">
            <v>WANG HUA</v>
          </cell>
          <cell r="Y3378"/>
          <cell r="Z3378" t="str">
            <v>MASTER FILE</v>
          </cell>
          <cell r="AA3378"/>
          <cell r="AB3378">
            <v>42602</v>
          </cell>
          <cell r="AC3378">
            <v>2126</v>
          </cell>
        </row>
        <row r="3379">
          <cell r="B3379">
            <v>2125</v>
          </cell>
          <cell r="C3379" t="str">
            <v>UD-JC-251290</v>
          </cell>
          <cell r="D3379" t="str">
            <v>PLAIN</v>
          </cell>
          <cell r="E3379" t="str">
            <v>40x40 / 110x70</v>
          </cell>
          <cell r="F3379" t="str">
            <v>C 100%</v>
          </cell>
          <cell r="G3379" t="str">
            <v>100% COTTON</v>
          </cell>
          <cell r="H3379" t="str">
            <v>57/58</v>
          </cell>
          <cell r="I3379">
            <v>105</v>
          </cell>
          <cell r="J3379"/>
          <cell r="K3379"/>
          <cell r="L3379"/>
          <cell r="M3379"/>
          <cell r="N3379">
            <v>1.71</v>
          </cell>
          <cell r="O3379">
            <v>2.37</v>
          </cell>
          <cell r="P3379"/>
          <cell r="Q3379"/>
          <cell r="R3379">
            <v>2.34</v>
          </cell>
          <cell r="S3379">
            <v>3.75</v>
          </cell>
          <cell r="T3379"/>
          <cell r="U3379"/>
          <cell r="V3379"/>
          <cell r="W3379" t="str">
            <v>INFORMATION IN MASTER</v>
          </cell>
          <cell r="X3379" t="str">
            <v>WANG HUA</v>
          </cell>
          <cell r="Y3379"/>
          <cell r="Z3379" t="str">
            <v>MASTER FILE</v>
          </cell>
          <cell r="AA3379"/>
          <cell r="AB3379">
            <v>42602</v>
          </cell>
          <cell r="AC3379">
            <v>2125</v>
          </cell>
        </row>
        <row r="3380">
          <cell r="B3380">
            <v>4543</v>
          </cell>
          <cell r="C3380" t="str">
            <v>ST-VK0673</v>
          </cell>
          <cell r="D3380" t="str">
            <v>CHEMICAL LACE</v>
          </cell>
          <cell r="E3380"/>
          <cell r="F3380"/>
          <cell r="G3380"/>
          <cell r="H3380"/>
          <cell r="I3380"/>
          <cell r="J3380"/>
          <cell r="K3380"/>
          <cell r="L3380"/>
          <cell r="M3380"/>
          <cell r="N3380"/>
          <cell r="O3380"/>
          <cell r="P3380"/>
          <cell r="Q3380"/>
          <cell r="R3380"/>
          <cell r="S3380"/>
          <cell r="T3380"/>
          <cell r="U3380"/>
          <cell r="V3380"/>
          <cell r="W3380"/>
          <cell r="X3380" t="str">
            <v>LILY</v>
          </cell>
          <cell r="Y3380"/>
          <cell r="Z3380"/>
          <cell r="AA3380"/>
          <cell r="AB3380">
            <v>0</v>
          </cell>
          <cell r="AC3380">
            <v>4543</v>
          </cell>
        </row>
        <row r="3381">
          <cell r="B3381">
            <v>4542</v>
          </cell>
          <cell r="C3381" t="str">
            <v>ST-VK0670</v>
          </cell>
          <cell r="D3381" t="str">
            <v>CHEMICAL LACE</v>
          </cell>
          <cell r="E3381"/>
          <cell r="F3381"/>
          <cell r="G3381"/>
          <cell r="H3381"/>
          <cell r="I3381"/>
          <cell r="J3381"/>
          <cell r="K3381"/>
          <cell r="L3381"/>
          <cell r="M3381"/>
          <cell r="N3381"/>
          <cell r="O3381"/>
          <cell r="P3381"/>
          <cell r="Q3381"/>
          <cell r="R3381"/>
          <cell r="S3381"/>
          <cell r="T3381"/>
          <cell r="U3381"/>
          <cell r="V3381"/>
          <cell r="W3381"/>
          <cell r="X3381" t="str">
            <v>LILY</v>
          </cell>
          <cell r="Y3381"/>
          <cell r="Z3381"/>
          <cell r="AA3381"/>
          <cell r="AB3381">
            <v>0</v>
          </cell>
          <cell r="AC3381">
            <v>4542</v>
          </cell>
        </row>
        <row r="3382">
          <cell r="B3382">
            <v>4520</v>
          </cell>
          <cell r="C3382" t="str">
            <v>DGBAO1007</v>
          </cell>
          <cell r="D3382" t="str">
            <v>COTTON SATEEN</v>
          </cell>
          <cell r="E3382" t="str">
            <v>21x16+70D -105x70</v>
          </cell>
          <cell r="F3382" t="str">
            <v>C/S 97/3</v>
          </cell>
          <cell r="G3382" t="str">
            <v>97% COTTON 3% SPANDEX</v>
          </cell>
          <cell r="H3382"/>
          <cell r="I3382"/>
          <cell r="J3382"/>
          <cell r="K3382"/>
          <cell r="L3382"/>
          <cell r="M3382"/>
          <cell r="N3382"/>
          <cell r="O3382"/>
          <cell r="P3382"/>
          <cell r="Q3382"/>
          <cell r="R3382"/>
          <cell r="S3382"/>
          <cell r="T3382"/>
          <cell r="U3382"/>
          <cell r="V3382">
            <v>15</v>
          </cell>
          <cell r="W3382"/>
          <cell r="X3382" t="str">
            <v>KHÔI</v>
          </cell>
          <cell r="Y3382"/>
          <cell r="Z3382"/>
          <cell r="AA3382"/>
          <cell r="AB3382">
            <v>0</v>
          </cell>
          <cell r="AC3382">
            <v>4520</v>
          </cell>
        </row>
        <row r="3383">
          <cell r="B3383">
            <v>2</v>
          </cell>
          <cell r="C3383" t="str">
            <v>M-RVJ003</v>
          </cell>
          <cell r="D3383" t="str">
            <v>SATEEN JAC.</v>
          </cell>
          <cell r="E3383" t="str">
            <v>120D*30S 140*70</v>
          </cell>
          <cell r="F3383" t="str">
            <v>V/R 55/45</v>
          </cell>
          <cell r="G3383" t="str">
            <v>55% VISCOSE 45% RAYON</v>
          </cell>
          <cell r="H3383" t="str">
            <v>54/55</v>
          </cell>
          <cell r="I3383">
            <v>105</v>
          </cell>
          <cell r="J3383">
            <v>2.8</v>
          </cell>
          <cell r="K3383">
            <v>3.13</v>
          </cell>
          <cell r="L3383">
            <v>2.8</v>
          </cell>
          <cell r="M3383">
            <v>3.13</v>
          </cell>
          <cell r="N3383">
            <v>2.83</v>
          </cell>
          <cell r="O3383">
            <v>3.16</v>
          </cell>
          <cell r="P3383"/>
          <cell r="Q3383"/>
          <cell r="R3383">
            <v>3</v>
          </cell>
          <cell r="S3383">
            <v>3.5</v>
          </cell>
          <cell r="T3383"/>
          <cell r="U3383"/>
          <cell r="V3383"/>
          <cell r="W3383"/>
          <cell r="X3383" t="str">
            <v>LINDA</v>
          </cell>
          <cell r="Y3383"/>
          <cell r="Z3383" t="str">
            <v>LINDA 3/6/19</v>
          </cell>
          <cell r="AA3383"/>
          <cell r="AB3383">
            <v>0</v>
          </cell>
          <cell r="AC3383">
            <v>2</v>
          </cell>
        </row>
        <row r="3384">
          <cell r="B3384">
            <v>3</v>
          </cell>
          <cell r="C3384" t="str">
            <v>M-RVJ001</v>
          </cell>
          <cell r="D3384" t="str">
            <v>SATEEN JAC.</v>
          </cell>
          <cell r="E3384" t="str">
            <v>120D*60S</v>
          </cell>
          <cell r="F3384" t="str">
            <v>V/R 55/45</v>
          </cell>
          <cell r="G3384" t="str">
            <v>55% VISCOSE 45% RAYON</v>
          </cell>
          <cell r="H3384" t="str">
            <v>54/55</v>
          </cell>
          <cell r="I3384">
            <v>122</v>
          </cell>
          <cell r="J3384">
            <v>2.64</v>
          </cell>
          <cell r="K3384">
            <v>2.97</v>
          </cell>
          <cell r="L3384">
            <v>2.64</v>
          </cell>
          <cell r="M3384">
            <v>2.97</v>
          </cell>
          <cell r="N3384">
            <v>2.67</v>
          </cell>
          <cell r="O3384">
            <v>3</v>
          </cell>
          <cell r="P3384"/>
          <cell r="Q3384"/>
          <cell r="R3384">
            <v>2.84</v>
          </cell>
          <cell r="S3384">
            <v>3.34</v>
          </cell>
          <cell r="T3384"/>
          <cell r="U3384"/>
          <cell r="V3384"/>
          <cell r="W3384"/>
          <cell r="X3384" t="str">
            <v>LINDA</v>
          </cell>
          <cell r="Y3384"/>
          <cell r="Z3384" t="str">
            <v>LINDA 3/6/19</v>
          </cell>
          <cell r="AA3384"/>
          <cell r="AB3384">
            <v>0</v>
          </cell>
          <cell r="AC3384">
            <v>3</v>
          </cell>
        </row>
        <row r="3385">
          <cell r="B3385">
            <v>4</v>
          </cell>
          <cell r="C3385" t="str">
            <v>M-RVJ004</v>
          </cell>
          <cell r="D3385" t="str">
            <v>SATEEN JAC.</v>
          </cell>
          <cell r="E3385" t="str">
            <v>120D*60S</v>
          </cell>
          <cell r="F3385" t="str">
            <v>V/R 55/45</v>
          </cell>
          <cell r="G3385" t="str">
            <v>55% VISCOSE 45% RAYON</v>
          </cell>
          <cell r="H3385" t="str">
            <v>54/55</v>
          </cell>
          <cell r="I3385">
            <v>150</v>
          </cell>
          <cell r="J3385">
            <v>2.84</v>
          </cell>
          <cell r="K3385">
            <v>3.17</v>
          </cell>
          <cell r="L3385">
            <v>2.84</v>
          </cell>
          <cell r="M3385">
            <v>3.17</v>
          </cell>
          <cell r="N3385">
            <v>2.87</v>
          </cell>
          <cell r="O3385">
            <v>3.2</v>
          </cell>
          <cell r="P3385"/>
          <cell r="Q3385"/>
          <cell r="R3385">
            <v>3.04</v>
          </cell>
          <cell r="S3385">
            <v>3.54</v>
          </cell>
          <cell r="T3385"/>
          <cell r="U3385"/>
          <cell r="V3385"/>
          <cell r="W3385"/>
          <cell r="X3385" t="str">
            <v>LINDA</v>
          </cell>
          <cell r="Y3385"/>
          <cell r="Z3385" t="str">
            <v>LINDA 3/6/19</v>
          </cell>
          <cell r="AA3385"/>
          <cell r="AB3385">
            <v>0</v>
          </cell>
          <cell r="AC3385">
            <v>4</v>
          </cell>
        </row>
        <row r="3386">
          <cell r="B3386">
            <v>4701</v>
          </cell>
          <cell r="C3386" t="str">
            <v>F-010</v>
          </cell>
          <cell r="D3386" t="str">
            <v>STRETCH COTTON POPLIN</v>
          </cell>
          <cell r="E3386" t="str">
            <v>40S*100D+40D/133*72</v>
          </cell>
          <cell r="F3386" t="str">
            <v>T/C/S 83/15/2</v>
          </cell>
          <cell r="G3386" t="str">
            <v>83%POLYESTER 15%COTTON 2%SPX</v>
          </cell>
          <cell r="H3386" t="str">
            <v>57/58</v>
          </cell>
          <cell r="I3386" t="str">
            <v>115-120</v>
          </cell>
          <cell r="J3386">
            <v>1.55</v>
          </cell>
          <cell r="K3386">
            <v>1.8</v>
          </cell>
          <cell r="L3386">
            <v>1.55</v>
          </cell>
          <cell r="M3386">
            <v>1.8</v>
          </cell>
          <cell r="N3386">
            <v>1.55</v>
          </cell>
          <cell r="O3386">
            <v>1.8</v>
          </cell>
          <cell r="P3386"/>
          <cell r="Q3386"/>
          <cell r="R3386">
            <v>1.75</v>
          </cell>
          <cell r="S3386"/>
          <cell r="T3386"/>
          <cell r="U3386"/>
          <cell r="V3386"/>
          <cell r="W3386"/>
          <cell r="X3386" t="str">
            <v>ALICE</v>
          </cell>
          <cell r="Y3386"/>
          <cell r="Z3386" t="str">
            <v>SALLY 11/6/19 BY WECHAT</v>
          </cell>
          <cell r="AA3386"/>
          <cell r="AB3386">
            <v>43627</v>
          </cell>
          <cell r="AC3386">
            <v>4701</v>
          </cell>
        </row>
        <row r="3387">
          <cell r="B3387">
            <v>4702</v>
          </cell>
          <cell r="C3387" t="str">
            <v>XF-855B</v>
          </cell>
          <cell r="D3387" t="str">
            <v>COTTON POPLIN</v>
          </cell>
          <cell r="E3387" t="str">
            <v>45S*45S/110*76</v>
          </cell>
          <cell r="F3387" t="str">
            <v>C/T 55/45</v>
          </cell>
          <cell r="G3387" t="str">
            <v>55%COTTON 45%POLYESTER</v>
          </cell>
          <cell r="H3387" t="str">
            <v>57/58</v>
          </cell>
          <cell r="I3387">
            <v>105</v>
          </cell>
          <cell r="J3387">
            <v>1.18</v>
          </cell>
          <cell r="K3387">
            <v>1.43</v>
          </cell>
          <cell r="L3387">
            <v>1.18</v>
          </cell>
          <cell r="M3387">
            <v>1.43</v>
          </cell>
          <cell r="N3387">
            <v>1.18</v>
          </cell>
          <cell r="O3387">
            <v>1.43</v>
          </cell>
          <cell r="P3387"/>
          <cell r="Q3387"/>
          <cell r="R3387">
            <v>1.38</v>
          </cell>
          <cell r="S3387"/>
          <cell r="T3387"/>
          <cell r="U3387"/>
          <cell r="V3387"/>
          <cell r="W3387"/>
          <cell r="X3387" t="str">
            <v>ALICE</v>
          </cell>
          <cell r="Y3387"/>
          <cell r="Z3387" t="str">
            <v>SALLY 11/6/19 BY WECHAT</v>
          </cell>
          <cell r="AA3387"/>
          <cell r="AB3387">
            <v>43627</v>
          </cell>
          <cell r="AC3387">
            <v>4702</v>
          </cell>
        </row>
        <row r="3388">
          <cell r="B3388">
            <v>4703</v>
          </cell>
          <cell r="C3388" t="str">
            <v>XJ-5770B</v>
          </cell>
          <cell r="D3388" t="str">
            <v>SOFT-BLOUSE</v>
          </cell>
          <cell r="E3388"/>
          <cell r="F3388" t="str">
            <v>N/R 60/40</v>
          </cell>
          <cell r="G3388" t="str">
            <v>60%NYLON 40%RAYON</v>
          </cell>
          <cell r="H3388" t="str">
            <v>58"</v>
          </cell>
          <cell r="I3388" t="str">
            <v>100-105</v>
          </cell>
          <cell r="J3388">
            <v>1.47</v>
          </cell>
          <cell r="K3388">
            <v>1.72</v>
          </cell>
          <cell r="L3388">
            <v>1.47</v>
          </cell>
          <cell r="M3388">
            <v>1.72</v>
          </cell>
          <cell r="N3388">
            <v>1.47</v>
          </cell>
          <cell r="O3388">
            <v>1.72</v>
          </cell>
          <cell r="P3388"/>
          <cell r="Q3388"/>
          <cell r="R3388"/>
          <cell r="S3388"/>
          <cell r="T3388"/>
          <cell r="U3388"/>
          <cell r="V3388"/>
          <cell r="W3388"/>
          <cell r="X3388" t="str">
            <v>ALICE</v>
          </cell>
          <cell r="Y3388"/>
          <cell r="Z3388" t="str">
            <v>SALLY 11/6/19 BY WECHAT</v>
          </cell>
          <cell r="AA3388"/>
          <cell r="AB3388">
            <v>43627</v>
          </cell>
          <cell r="AC3388">
            <v>4703</v>
          </cell>
        </row>
        <row r="3389">
          <cell r="B3389">
            <v>4704</v>
          </cell>
          <cell r="C3389" t="str">
            <v>XF-855</v>
          </cell>
          <cell r="D3389" t="str">
            <v>COTTON POPLIN</v>
          </cell>
          <cell r="E3389" t="str">
            <v>45S*45S/110*76</v>
          </cell>
          <cell r="F3389" t="str">
            <v>T/C 80/20</v>
          </cell>
          <cell r="G3389" t="str">
            <v>80%POLYESTER 20%COTTON</v>
          </cell>
          <cell r="H3389" t="str">
            <v>57/58"</v>
          </cell>
          <cell r="I3389">
            <v>105</v>
          </cell>
          <cell r="J3389">
            <v>1.08</v>
          </cell>
          <cell r="K3389">
            <v>1.33</v>
          </cell>
          <cell r="L3389">
            <v>1.08</v>
          </cell>
          <cell r="M3389">
            <v>1.33</v>
          </cell>
          <cell r="N3389">
            <v>1.08</v>
          </cell>
          <cell r="O3389">
            <v>1.33</v>
          </cell>
          <cell r="P3389"/>
          <cell r="Q3389"/>
          <cell r="R3389">
            <v>1.28</v>
          </cell>
          <cell r="S3389"/>
          <cell r="T3389"/>
          <cell r="U3389"/>
          <cell r="V3389"/>
          <cell r="W3389"/>
          <cell r="X3389" t="str">
            <v>ALICE</v>
          </cell>
          <cell r="Y3389"/>
          <cell r="Z3389" t="str">
            <v>SALLY 12/6/19 BY WECHAT</v>
          </cell>
          <cell r="AA3389"/>
          <cell r="AB3389">
            <v>43628</v>
          </cell>
          <cell r="AC3389">
            <v>4704</v>
          </cell>
        </row>
        <row r="3390">
          <cell r="B3390">
            <v>4705</v>
          </cell>
          <cell r="C3390" t="str">
            <v xml:space="preserve"> ZT-A-030</v>
          </cell>
          <cell r="D3390" t="str">
            <v>CHIFFON GGT</v>
          </cell>
          <cell r="E3390" t="str">
            <v>75D*75D 2400 TWISTS</v>
          </cell>
          <cell r="F3390" t="str">
            <v>T100%</v>
          </cell>
          <cell r="G3390" t="str">
            <v>100% POLYESTER</v>
          </cell>
          <cell r="H3390" t="str">
            <v>57/58</v>
          </cell>
          <cell r="I3390">
            <v>75</v>
          </cell>
          <cell r="J3390">
            <v>0.81</v>
          </cell>
          <cell r="K3390">
            <v>1.05</v>
          </cell>
          <cell r="L3390">
            <v>0.83000000000000007</v>
          </cell>
          <cell r="M3390">
            <v>1.08</v>
          </cell>
          <cell r="N3390">
            <v>0.86</v>
          </cell>
          <cell r="O3390">
            <v>1.1599999999999999</v>
          </cell>
          <cell r="P3390">
            <v>0.02</v>
          </cell>
          <cell r="Q3390">
            <v>0.02</v>
          </cell>
          <cell r="R3390">
            <v>0.94000000000000006</v>
          </cell>
          <cell r="S3390">
            <v>1.77</v>
          </cell>
          <cell r="T3390"/>
          <cell r="U3390"/>
          <cell r="V3390"/>
          <cell r="W3390" t="str">
            <v>**</v>
          </cell>
          <cell r="X3390" t="str">
            <v>ALEX</v>
          </cell>
          <cell r="Y3390"/>
          <cell r="Z3390" t="str">
            <v>ALEX 12/6/19 BY WECHAT</v>
          </cell>
          <cell r="AA3390"/>
          <cell r="AB3390">
            <v>43628</v>
          </cell>
          <cell r="AC3390">
            <v>4705</v>
          </cell>
        </row>
        <row r="3391">
          <cell r="B3391">
            <v>4639</v>
          </cell>
          <cell r="C3391" t="str">
            <v>ZT-A-005</v>
          </cell>
          <cell r="D3391" t="str">
            <v>POLY</v>
          </cell>
          <cell r="E3391" t="str">
            <v>50D+50D*50D+50D</v>
          </cell>
          <cell r="F3391" t="str">
            <v>T100%</v>
          </cell>
          <cell r="G3391" t="str">
            <v>100% POLYESTER</v>
          </cell>
          <cell r="H3391" t="str">
            <v>57/58</v>
          </cell>
          <cell r="I3391" t="str">
            <v>125</v>
          </cell>
          <cell r="J3391">
            <v>1.06</v>
          </cell>
          <cell r="K3391">
            <v>1.3</v>
          </cell>
          <cell r="L3391">
            <v>1.07</v>
          </cell>
          <cell r="M3391">
            <v>1.32</v>
          </cell>
          <cell r="N3391">
            <v>1.1400000000000001</v>
          </cell>
          <cell r="O3391">
            <v>1.44</v>
          </cell>
          <cell r="P3391">
            <v>0.02</v>
          </cell>
          <cell r="Q3391">
            <v>0.02</v>
          </cell>
          <cell r="R3391">
            <v>1.3358000000000001</v>
          </cell>
          <cell r="S3391">
            <v>1.9070000000000003</v>
          </cell>
          <cell r="T3391"/>
          <cell r="U3391"/>
          <cell r="V3391"/>
          <cell r="W3391" t="str">
            <v>**</v>
          </cell>
          <cell r="X3391" t="str">
            <v>ALEX</v>
          </cell>
          <cell r="Y3391"/>
          <cell r="Z3391" t="str">
            <v>ALEX 12/6/19 BY WECHAT</v>
          </cell>
          <cell r="AA3391"/>
          <cell r="AB3391">
            <v>43628</v>
          </cell>
          <cell r="AC3391">
            <v>4639</v>
          </cell>
        </row>
        <row r="3392">
          <cell r="B3392">
            <v>4707</v>
          </cell>
          <cell r="C3392" t="str">
            <v>XJ-2707</v>
          </cell>
          <cell r="D3392" t="str">
            <v>CHECK POLY</v>
          </cell>
          <cell r="E3392" t="str">
            <v>150D+75D*150D+75D</v>
          </cell>
          <cell r="F3392" t="str">
            <v>T100%</v>
          </cell>
          <cell r="G3392" t="str">
            <v>100% POLYESTER</v>
          </cell>
          <cell r="H3392" t="str">
            <v>57/58</v>
          </cell>
          <cell r="I3392">
            <v>100</v>
          </cell>
          <cell r="J3392">
            <v>1.01</v>
          </cell>
          <cell r="K3392">
            <v>1.26</v>
          </cell>
          <cell r="L3392">
            <v>1.01</v>
          </cell>
          <cell r="M3392">
            <v>1.26</v>
          </cell>
          <cell r="N3392">
            <v>1.01</v>
          </cell>
          <cell r="O3392">
            <v>1.26</v>
          </cell>
          <cell r="P3392"/>
          <cell r="Q3392"/>
          <cell r="R3392"/>
          <cell r="S3392"/>
          <cell r="T3392"/>
          <cell r="U3392"/>
          <cell r="V3392"/>
          <cell r="W3392"/>
          <cell r="X3392" t="str">
            <v>ALICE</v>
          </cell>
          <cell r="Y3392"/>
          <cell r="Z3392" t="str">
            <v>SALLY 11/6/19 BY WECHAT</v>
          </cell>
          <cell r="AA3392"/>
          <cell r="AB3392">
            <v>43629</v>
          </cell>
          <cell r="AC3392">
            <v>4707</v>
          </cell>
        </row>
        <row r="3393">
          <cell r="B3393">
            <v>4470</v>
          </cell>
          <cell r="C3393" t="str">
            <v>T349-1</v>
          </cell>
          <cell r="D3393" t="str">
            <v>CRINKLE SATEEN</v>
          </cell>
          <cell r="E3393" t="str">
            <v>50+75</v>
          </cell>
          <cell r="F3393" t="str">
            <v>T100%</v>
          </cell>
          <cell r="G3393" t="str">
            <v xml:space="preserve">100% POLYESTER </v>
          </cell>
          <cell r="H3393" t="str">
            <v>57/58</v>
          </cell>
          <cell r="I3393">
            <v>105</v>
          </cell>
          <cell r="J3393">
            <v>1.35</v>
          </cell>
          <cell r="K3393">
            <v>1.59</v>
          </cell>
          <cell r="L3393">
            <v>1.38</v>
          </cell>
          <cell r="M3393">
            <v>1.67</v>
          </cell>
          <cell r="N3393">
            <v>1.43</v>
          </cell>
          <cell r="O3393">
            <v>1.72</v>
          </cell>
          <cell r="P3393"/>
          <cell r="Q3393"/>
          <cell r="R3393">
            <v>1.53</v>
          </cell>
          <cell r="S3393">
            <v>2.31</v>
          </cell>
          <cell r="T3393"/>
          <cell r="U3393"/>
          <cell r="V3393"/>
          <cell r="W3393"/>
          <cell r="X3393" t="str">
            <v>TERESA</v>
          </cell>
          <cell r="Y3393" t="str">
            <v>DMCARE-TRI-02</v>
          </cell>
          <cell r="Z3393" t="str">
            <v>TERESA 17/6/19 BY WEHCAT</v>
          </cell>
          <cell r="AA3393"/>
          <cell r="AB3393">
            <v>43633</v>
          </cell>
          <cell r="AC3393">
            <v>4470</v>
          </cell>
        </row>
        <row r="3394">
          <cell r="B3394">
            <v>4463</v>
          </cell>
          <cell r="C3394" t="str">
            <v>T188</v>
          </cell>
          <cell r="D3394" t="str">
            <v>SATEEN BUBBLE</v>
          </cell>
          <cell r="E3394" t="str">
            <v>50D*(20D+26D)+75D</v>
          </cell>
          <cell r="F3394" t="str">
            <v>T100%</v>
          </cell>
          <cell r="G3394" t="str">
            <v xml:space="preserve">100% POLYESTER </v>
          </cell>
          <cell r="H3394" t="str">
            <v>57/58</v>
          </cell>
          <cell r="I3394">
            <v>105</v>
          </cell>
          <cell r="J3394">
            <v>1.35</v>
          </cell>
          <cell r="K3394">
            <v>1.59</v>
          </cell>
          <cell r="L3394">
            <v>1.38</v>
          </cell>
          <cell r="M3394">
            <v>1.67</v>
          </cell>
          <cell r="N3394">
            <v>1.43</v>
          </cell>
          <cell r="O3394">
            <v>1.72</v>
          </cell>
          <cell r="P3394"/>
          <cell r="Q3394"/>
          <cell r="R3394">
            <v>1.53</v>
          </cell>
          <cell r="S3394">
            <v>2.31</v>
          </cell>
          <cell r="T3394"/>
          <cell r="U3394"/>
          <cell r="V3394"/>
          <cell r="W3394"/>
          <cell r="X3394" t="str">
            <v>TERESA</v>
          </cell>
          <cell r="Y3394" t="str">
            <v>DMCARE-TRI-02</v>
          </cell>
          <cell r="Z3394" t="str">
            <v>TERESA 17/6/19 BY WEHCAT</v>
          </cell>
          <cell r="AA3394"/>
          <cell r="AB3394">
            <v>43633</v>
          </cell>
          <cell r="AC3394">
            <v>4463</v>
          </cell>
        </row>
        <row r="3395">
          <cell r="B3395">
            <v>4708</v>
          </cell>
          <cell r="C3395" t="str">
            <v>XJ-4778</v>
          </cell>
          <cell r="D3395" t="str">
            <v>SATEEN AIR FLOW</v>
          </cell>
          <cell r="E3395"/>
          <cell r="F3395" t="str">
            <v xml:space="preserve">T100% </v>
          </cell>
          <cell r="G3395" t="str">
            <v>100%POLYESTER</v>
          </cell>
          <cell r="H3395" t="str">
            <v>58"</v>
          </cell>
          <cell r="I3395" t="str">
            <v>90-95</v>
          </cell>
          <cell r="J3395">
            <v>1.4</v>
          </cell>
          <cell r="K3395"/>
          <cell r="L3395">
            <v>1.4</v>
          </cell>
          <cell r="M3395"/>
          <cell r="N3395">
            <v>1.48</v>
          </cell>
          <cell r="O3395"/>
          <cell r="P3395"/>
          <cell r="Q3395"/>
          <cell r="R3395"/>
          <cell r="S3395"/>
          <cell r="T3395"/>
          <cell r="U3395"/>
          <cell r="V3395"/>
          <cell r="W3395"/>
          <cell r="X3395" t="str">
            <v>ALICE</v>
          </cell>
          <cell r="Y3395"/>
          <cell r="Z3395" t="str">
            <v>SALLY 18/6/19</v>
          </cell>
          <cell r="AA3395"/>
          <cell r="AB3395">
            <v>0</v>
          </cell>
          <cell r="AC3395">
            <v>0</v>
          </cell>
        </row>
        <row r="3396">
          <cell r="J3396"/>
          <cell r="AB3396">
            <v>0</v>
          </cell>
          <cell r="AC3396">
            <v>0</v>
          </cell>
        </row>
        <row r="3397">
          <cell r="J3397"/>
          <cell r="AB3397">
            <v>0</v>
          </cell>
          <cell r="AC3397">
            <v>0</v>
          </cell>
        </row>
        <row r="3398">
          <cell r="J3398"/>
          <cell r="AB3398">
            <v>0</v>
          </cell>
          <cell r="AC3398">
            <v>0</v>
          </cell>
        </row>
        <row r="3399">
          <cell r="J3399"/>
          <cell r="AB3399">
            <v>0</v>
          </cell>
          <cell r="AC3399">
            <v>0</v>
          </cell>
        </row>
        <row r="3400">
          <cell r="J3400"/>
          <cell r="AB3400">
            <v>0</v>
          </cell>
          <cell r="AC3400">
            <v>0</v>
          </cell>
        </row>
        <row r="3401">
          <cell r="J3401"/>
          <cell r="AB3401">
            <v>0</v>
          </cell>
          <cell r="AC3401">
            <v>0</v>
          </cell>
        </row>
        <row r="3402">
          <cell r="J3402"/>
          <cell r="AB3402">
            <v>0</v>
          </cell>
          <cell r="AC3402">
            <v>0</v>
          </cell>
        </row>
        <row r="3403">
          <cell r="J3403"/>
          <cell r="AB3403">
            <v>0</v>
          </cell>
          <cell r="AC3403">
            <v>0</v>
          </cell>
        </row>
        <row r="3404">
          <cell r="J3404"/>
          <cell r="AB3404">
            <v>0</v>
          </cell>
          <cell r="AC3404">
            <v>0</v>
          </cell>
        </row>
        <row r="3405">
          <cell r="J3405"/>
          <cell r="AB3405">
            <v>0</v>
          </cell>
          <cell r="AC3405">
            <v>0</v>
          </cell>
        </row>
        <row r="3406">
          <cell r="J3406"/>
          <cell r="AB3406">
            <v>0</v>
          </cell>
          <cell r="AC3406">
            <v>0</v>
          </cell>
        </row>
        <row r="3407">
          <cell r="J3407"/>
          <cell r="AB3407">
            <v>0</v>
          </cell>
          <cell r="AC3407">
            <v>0</v>
          </cell>
        </row>
        <row r="3408">
          <cell r="J3408"/>
          <cell r="AB3408">
            <v>0</v>
          </cell>
          <cell r="AC3408">
            <v>0</v>
          </cell>
        </row>
        <row r="3409">
          <cell r="J3409"/>
          <cell r="AB3409">
            <v>0</v>
          </cell>
          <cell r="AC3409">
            <v>0</v>
          </cell>
        </row>
        <row r="3410">
          <cell r="J3410"/>
          <cell r="AB3410">
            <v>0</v>
          </cell>
          <cell r="AC3410">
            <v>0</v>
          </cell>
        </row>
        <row r="3411">
          <cell r="J3411"/>
          <cell r="AB3411">
            <v>0</v>
          </cell>
          <cell r="AC3411">
            <v>0</v>
          </cell>
        </row>
        <row r="3412">
          <cell r="J3412"/>
          <cell r="AB3412">
            <v>0</v>
          </cell>
          <cell r="AC3412">
            <v>0</v>
          </cell>
        </row>
        <row r="3413">
          <cell r="J3413"/>
          <cell r="AB3413">
            <v>0</v>
          </cell>
          <cell r="AC3413">
            <v>0</v>
          </cell>
        </row>
        <row r="3414">
          <cell r="J3414"/>
          <cell r="AB3414">
            <v>0</v>
          </cell>
          <cell r="AC3414">
            <v>0</v>
          </cell>
        </row>
        <row r="3415">
          <cell r="J3415"/>
          <cell r="AB3415">
            <v>0</v>
          </cell>
          <cell r="AC3415">
            <v>0</v>
          </cell>
        </row>
        <row r="3416">
          <cell r="J3416"/>
          <cell r="AB3416">
            <v>0</v>
          </cell>
          <cell r="AC3416">
            <v>0</v>
          </cell>
        </row>
        <row r="3417">
          <cell r="J3417"/>
          <cell r="AB3417">
            <v>0</v>
          </cell>
          <cell r="AC3417">
            <v>0</v>
          </cell>
        </row>
        <row r="3418">
          <cell r="J3418"/>
          <cell r="AB3418">
            <v>0</v>
          </cell>
          <cell r="AC3418">
            <v>0</v>
          </cell>
        </row>
        <row r="3419">
          <cell r="J3419"/>
          <cell r="AB3419">
            <v>0</v>
          </cell>
          <cell r="AC3419">
            <v>0</v>
          </cell>
        </row>
        <row r="3420">
          <cell r="J3420"/>
          <cell r="AB3420">
            <v>0</v>
          </cell>
          <cell r="AC3420">
            <v>0</v>
          </cell>
        </row>
        <row r="3421">
          <cell r="J3421"/>
          <cell r="AB3421">
            <v>0</v>
          </cell>
          <cell r="AC3421">
            <v>0</v>
          </cell>
        </row>
        <row r="3422">
          <cell r="J3422"/>
          <cell r="AB3422">
            <v>0</v>
          </cell>
          <cell r="AC3422">
            <v>0</v>
          </cell>
        </row>
        <row r="3423">
          <cell r="J3423"/>
          <cell r="AB3423">
            <v>0</v>
          </cell>
          <cell r="AC3423">
            <v>0</v>
          </cell>
        </row>
        <row r="3424">
          <cell r="J3424"/>
          <cell r="AB3424">
            <v>0</v>
          </cell>
          <cell r="AC3424">
            <v>0</v>
          </cell>
        </row>
        <row r="3425">
          <cell r="J3425"/>
          <cell r="AB3425">
            <v>0</v>
          </cell>
          <cell r="AC3425">
            <v>0</v>
          </cell>
        </row>
        <row r="3426">
          <cell r="J3426"/>
          <cell r="AB3426">
            <v>0</v>
          </cell>
          <cell r="AC3426">
            <v>0</v>
          </cell>
        </row>
        <row r="3427">
          <cell r="J3427"/>
          <cell r="AB3427">
            <v>0</v>
          </cell>
          <cell r="AC3427">
            <v>0</v>
          </cell>
        </row>
        <row r="3428">
          <cell r="J3428"/>
          <cell r="AB3428">
            <v>0</v>
          </cell>
          <cell r="AC3428">
            <v>0</v>
          </cell>
        </row>
        <row r="3429">
          <cell r="J3429"/>
          <cell r="AB3429">
            <v>0</v>
          </cell>
          <cell r="AC3429">
            <v>0</v>
          </cell>
        </row>
        <row r="3430">
          <cell r="J3430"/>
          <cell r="AB3430">
            <v>0</v>
          </cell>
          <cell r="AC3430">
            <v>0</v>
          </cell>
        </row>
        <row r="3431">
          <cell r="J3431"/>
          <cell r="AB3431">
            <v>0</v>
          </cell>
          <cell r="AC3431">
            <v>0</v>
          </cell>
        </row>
        <row r="3432">
          <cell r="J3432"/>
          <cell r="AB3432">
            <v>0</v>
          </cell>
          <cell r="AC3432">
            <v>0</v>
          </cell>
        </row>
        <row r="3433">
          <cell r="J3433"/>
          <cell r="AB3433">
            <v>0</v>
          </cell>
          <cell r="AC3433">
            <v>0</v>
          </cell>
        </row>
        <row r="3434">
          <cell r="J3434"/>
          <cell r="AB3434">
            <v>0</v>
          </cell>
          <cell r="AC3434">
            <v>0</v>
          </cell>
        </row>
        <row r="3435">
          <cell r="J3435"/>
          <cell r="AB3435">
            <v>0</v>
          </cell>
          <cell r="AC3435">
            <v>0</v>
          </cell>
        </row>
        <row r="3436">
          <cell r="J3436"/>
          <cell r="AB3436">
            <v>0</v>
          </cell>
          <cell r="AC3436">
            <v>0</v>
          </cell>
        </row>
        <row r="3437">
          <cell r="J3437"/>
          <cell r="AB3437">
            <v>0</v>
          </cell>
          <cell r="AC3437">
            <v>0</v>
          </cell>
        </row>
        <row r="3438">
          <cell r="J3438"/>
          <cell r="AB3438">
            <v>0</v>
          </cell>
          <cell r="AC3438">
            <v>0</v>
          </cell>
        </row>
        <row r="3439">
          <cell r="K3439"/>
          <cell r="P3439">
            <v>-0.01</v>
          </cell>
          <cell r="Q3439">
            <v>-0.01</v>
          </cell>
        </row>
        <row r="3440">
          <cell r="J3440"/>
          <cell r="K3440"/>
          <cell r="L3440"/>
          <cell r="M3440"/>
          <cell r="N3440"/>
          <cell r="O3440"/>
          <cell r="P3440">
            <v>1.24</v>
          </cell>
          <cell r="Q3440">
            <v>0.04</v>
          </cell>
          <cell r="R3440"/>
          <cell r="S3440"/>
          <cell r="T3440">
            <v>0</v>
          </cell>
          <cell r="U3440">
            <v>0</v>
          </cell>
        </row>
        <row r="3441">
          <cell r="P3441">
            <v>1.24</v>
          </cell>
        </row>
      </sheetData>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2">
          <cell r="B2" t="str">
            <v>AWM CODE</v>
          </cell>
          <cell r="C2" t="str">
            <v xml:space="preserve">TYPE OF 
TRIMS </v>
          </cell>
          <cell r="D2" t="str">
            <v xml:space="preserve">SUPPILER 
NAME </v>
          </cell>
          <cell r="E2" t="str">
            <v xml:space="preserve">SUPPILER CODE </v>
          </cell>
          <cell r="F2" t="str">
            <v>SUPPLIER CODE NAME</v>
          </cell>
          <cell r="G2" t="str">
            <v xml:space="preserve">SIZE </v>
          </cell>
          <cell r="H2" t="str">
            <v>UNIT</v>
          </cell>
          <cell r="I2" t="str">
            <v>Description</v>
          </cell>
          <cell r="J2" t="str">
            <v xml:space="preserve">
Composition  </v>
          </cell>
          <cell r="K2" t="str">
            <v>MOQ</v>
          </cell>
          <cell r="L2" t="str">
            <v xml:space="preserve">SURCHARGE </v>
          </cell>
          <cell r="M2" t="str">
            <v>VND Price</v>
          </cell>
          <cell r="N2" t="str">
            <v>USD Price</v>
          </cell>
          <cell r="O2" t="str">
            <v>CONTACT PERSON</v>
          </cell>
          <cell r="P2" t="str">
            <v>Unit in order</v>
          </cell>
        </row>
        <row r="3">
          <cell r="B3">
            <v>43</v>
          </cell>
          <cell r="C3" t="str">
            <v>Thread</v>
          </cell>
          <cell r="D3" t="str">
            <v>Khải Trình</v>
          </cell>
          <cell r="E3" t="str">
            <v>KT36037-NAVY</v>
          </cell>
          <cell r="F3" t="str">
            <v>KTR</v>
          </cell>
          <cell r="G3" t="str">
            <v>60/2</v>
          </cell>
          <cell r="H3" t="str">
            <v>meter</v>
          </cell>
          <cell r="K3">
            <v>5000</v>
          </cell>
          <cell r="M3">
            <v>18500</v>
          </cell>
          <cell r="O3"/>
          <cell r="P3" t="str">
            <v>Cone</v>
          </cell>
        </row>
        <row r="4">
          <cell r="B4">
            <v>44</v>
          </cell>
          <cell r="C4" t="str">
            <v>Thread</v>
          </cell>
          <cell r="D4" t="str">
            <v>Khải Trình</v>
          </cell>
          <cell r="E4" t="str">
            <v>KT36036-BLUE</v>
          </cell>
          <cell r="F4" t="str">
            <v>KTR</v>
          </cell>
          <cell r="G4" t="str">
            <v>60/2</v>
          </cell>
          <cell r="H4" t="str">
            <v>meter</v>
          </cell>
          <cell r="K4">
            <v>5000</v>
          </cell>
          <cell r="M4">
            <v>18500</v>
          </cell>
          <cell r="P4" t="str">
            <v>Cone</v>
          </cell>
        </row>
        <row r="5">
          <cell r="B5">
            <v>45</v>
          </cell>
          <cell r="C5" t="str">
            <v>Thread</v>
          </cell>
          <cell r="D5" t="str">
            <v>Khải Trình</v>
          </cell>
          <cell r="E5" t="str">
            <v>KT36035-PINK</v>
          </cell>
          <cell r="F5" t="str">
            <v>KTR</v>
          </cell>
          <cell r="G5" t="str">
            <v>60/2</v>
          </cell>
          <cell r="H5" t="str">
            <v>meter</v>
          </cell>
          <cell r="K5">
            <v>5000</v>
          </cell>
          <cell r="M5">
            <v>18500</v>
          </cell>
          <cell r="P5" t="str">
            <v>Cone</v>
          </cell>
        </row>
        <row r="6">
          <cell r="B6">
            <v>46</v>
          </cell>
          <cell r="C6" t="str">
            <v>Thread</v>
          </cell>
          <cell r="D6" t="str">
            <v>Khải Trình</v>
          </cell>
          <cell r="E6" t="str">
            <v>KT36038-NAVY GREY</v>
          </cell>
          <cell r="F6" t="str">
            <v>KTR</v>
          </cell>
          <cell r="G6" t="str">
            <v>60/2</v>
          </cell>
          <cell r="H6" t="str">
            <v>meter</v>
          </cell>
          <cell r="K6">
            <v>5000</v>
          </cell>
          <cell r="M6">
            <v>18500</v>
          </cell>
          <cell r="P6" t="str">
            <v>Cone</v>
          </cell>
        </row>
        <row r="7">
          <cell r="B7">
            <v>47</v>
          </cell>
          <cell r="C7" t="str">
            <v>Thread</v>
          </cell>
          <cell r="D7" t="str">
            <v>Khải Trình</v>
          </cell>
          <cell r="E7" t="str">
            <v>KT36034-PINK</v>
          </cell>
          <cell r="F7" t="str">
            <v>KTR</v>
          </cell>
          <cell r="G7" t="str">
            <v>60/2</v>
          </cell>
          <cell r="H7" t="str">
            <v>meter</v>
          </cell>
          <cell r="K7">
            <v>5000</v>
          </cell>
          <cell r="M7">
            <v>18500</v>
          </cell>
          <cell r="P7" t="str">
            <v>Cone</v>
          </cell>
        </row>
        <row r="8">
          <cell r="B8">
            <v>37</v>
          </cell>
          <cell r="C8" t="str">
            <v>Thread</v>
          </cell>
          <cell r="D8" t="str">
            <v>Khải Trình</v>
          </cell>
          <cell r="E8" t="str">
            <v>KT36554-NAVY</v>
          </cell>
          <cell r="F8" t="str">
            <v>KTR</v>
          </cell>
          <cell r="G8" t="str">
            <v>60/2</v>
          </cell>
          <cell r="H8" t="str">
            <v>meter</v>
          </cell>
          <cell r="K8">
            <v>5000</v>
          </cell>
          <cell r="M8">
            <v>18500</v>
          </cell>
          <cell r="P8" t="str">
            <v>Cone</v>
          </cell>
        </row>
        <row r="9">
          <cell r="B9">
            <v>38</v>
          </cell>
          <cell r="C9" t="str">
            <v>Thread</v>
          </cell>
          <cell r="D9" t="str">
            <v>Khải Trình</v>
          </cell>
          <cell r="E9" t="str">
            <v>KT36555-YELLOW</v>
          </cell>
          <cell r="F9" t="str">
            <v>KTR</v>
          </cell>
          <cell r="G9" t="str">
            <v>60/2</v>
          </cell>
          <cell r="H9" t="str">
            <v>meter</v>
          </cell>
          <cell r="K9">
            <v>5000</v>
          </cell>
          <cell r="M9">
            <v>18500</v>
          </cell>
          <cell r="P9" t="str">
            <v>Cone</v>
          </cell>
        </row>
        <row r="10">
          <cell r="B10">
            <v>39</v>
          </cell>
          <cell r="C10" t="str">
            <v>Thread</v>
          </cell>
          <cell r="D10" t="str">
            <v>Khải Trình</v>
          </cell>
          <cell r="E10" t="str">
            <v>KT36556-NAVY</v>
          </cell>
          <cell r="F10" t="str">
            <v>KTR</v>
          </cell>
          <cell r="G10" t="str">
            <v>60/2</v>
          </cell>
          <cell r="H10" t="str">
            <v>meter</v>
          </cell>
          <cell r="K10">
            <v>5000</v>
          </cell>
          <cell r="M10">
            <v>18500</v>
          </cell>
          <cell r="P10" t="str">
            <v>Cone</v>
          </cell>
        </row>
        <row r="11">
          <cell r="B11">
            <v>40</v>
          </cell>
          <cell r="C11" t="str">
            <v>Thread</v>
          </cell>
          <cell r="D11" t="str">
            <v>Khải Trình</v>
          </cell>
          <cell r="E11" t="str">
            <v>KT1250-BLACK</v>
          </cell>
          <cell r="F11" t="str">
            <v>KTR</v>
          </cell>
          <cell r="G11" t="str">
            <v>60/2</v>
          </cell>
          <cell r="H11" t="str">
            <v>meter</v>
          </cell>
          <cell r="K11">
            <v>5000</v>
          </cell>
          <cell r="M11">
            <v>18500</v>
          </cell>
          <cell r="P11" t="str">
            <v>Cone</v>
          </cell>
        </row>
        <row r="12">
          <cell r="B12">
            <v>41</v>
          </cell>
          <cell r="C12" t="str">
            <v>Thread</v>
          </cell>
          <cell r="D12" t="str">
            <v>Khải Trình</v>
          </cell>
          <cell r="E12" t="str">
            <v>KT36193-DK.PINK</v>
          </cell>
          <cell r="F12" t="str">
            <v>KTR</v>
          </cell>
          <cell r="G12" t="str">
            <v>60/2</v>
          </cell>
          <cell r="H12" t="str">
            <v>meter</v>
          </cell>
          <cell r="K12">
            <v>5000</v>
          </cell>
          <cell r="M12">
            <v>18500</v>
          </cell>
          <cell r="P12" t="str">
            <v>Cone</v>
          </cell>
        </row>
        <row r="13">
          <cell r="B13">
            <v>42</v>
          </cell>
          <cell r="C13" t="str">
            <v>Thread</v>
          </cell>
          <cell r="D13" t="str">
            <v>Khải Trình</v>
          </cell>
          <cell r="E13" t="str">
            <v>KT3260-IVORY</v>
          </cell>
          <cell r="F13" t="str">
            <v>KTR</v>
          </cell>
          <cell r="G13" t="str">
            <v>60/2</v>
          </cell>
          <cell r="H13" t="str">
            <v>meter</v>
          </cell>
          <cell r="K13">
            <v>5000</v>
          </cell>
          <cell r="M13">
            <v>18500</v>
          </cell>
          <cell r="P13" t="str">
            <v>Cone</v>
          </cell>
        </row>
        <row r="14">
          <cell r="B14">
            <v>34</v>
          </cell>
          <cell r="C14" t="str">
            <v>Fusing</v>
          </cell>
          <cell r="D14" t="str">
            <v>Thịnh Vượng Toàn Cầu</v>
          </cell>
          <cell r="E14" t="str">
            <v>6518FB</v>
          </cell>
          <cell r="F14" t="str">
            <v>TVC</v>
          </cell>
          <cell r="G14" t="str">
            <v>Width 100cm</v>
          </cell>
          <cell r="H14" t="str">
            <v>yard</v>
          </cell>
          <cell r="I14" t="str">
            <v>Black</v>
          </cell>
          <cell r="K14">
            <v>100</v>
          </cell>
          <cell r="M14">
            <v>320000</v>
          </cell>
          <cell r="P14" t="str">
            <v>Roll</v>
          </cell>
        </row>
        <row r="15">
          <cell r="B15">
            <v>35</v>
          </cell>
          <cell r="C15" t="str">
            <v>Fusing</v>
          </cell>
          <cell r="D15" t="str">
            <v>Thịnh Vượng Toàn Cầu</v>
          </cell>
          <cell r="E15" t="str">
            <v>6518FW</v>
          </cell>
          <cell r="F15" t="str">
            <v>TVC</v>
          </cell>
          <cell r="G15" t="str">
            <v>Width 100cm</v>
          </cell>
          <cell r="H15" t="str">
            <v>yard</v>
          </cell>
          <cell r="I15" t="str">
            <v>White</v>
          </cell>
          <cell r="K15">
            <v>100</v>
          </cell>
          <cell r="M15">
            <v>320000</v>
          </cell>
          <cell r="P15" t="str">
            <v>Roll</v>
          </cell>
        </row>
        <row r="16">
          <cell r="B16">
            <v>36</v>
          </cell>
          <cell r="C16" t="str">
            <v>Fusing</v>
          </cell>
          <cell r="D16" t="str">
            <v>Thịnh Vượng Toàn Cầu</v>
          </cell>
          <cell r="E16" t="str">
            <v>6518FC</v>
          </cell>
          <cell r="F16" t="str">
            <v>TVC</v>
          </cell>
          <cell r="G16" t="str">
            <v>Width 100cm</v>
          </cell>
          <cell r="H16" t="str">
            <v>yard</v>
          </cell>
          <cell r="I16" t="str">
            <v>Charcoal</v>
          </cell>
          <cell r="K16">
            <v>100</v>
          </cell>
          <cell r="M16">
            <v>320000</v>
          </cell>
          <cell r="P16" t="str">
            <v>Roll</v>
          </cell>
        </row>
        <row r="17">
          <cell r="B17">
            <v>33</v>
          </cell>
          <cell r="C17" t="str">
            <v>Fusing</v>
          </cell>
          <cell r="D17" t="str">
            <v>Thịnh Vượng Toàn Cầu</v>
          </cell>
          <cell r="E17" t="str">
            <v>6122FOW</v>
          </cell>
          <cell r="F17" t="str">
            <v>TVC</v>
          </cell>
          <cell r="G17" t="str">
            <v>Width 100cm</v>
          </cell>
          <cell r="H17" t="str">
            <v>yard</v>
          </cell>
          <cell r="I17" t="str">
            <v>Off White-NHAT</v>
          </cell>
          <cell r="K17">
            <v>100</v>
          </cell>
          <cell r="M17">
            <v>185000</v>
          </cell>
          <cell r="P17" t="str">
            <v>Roll</v>
          </cell>
        </row>
        <row r="18">
          <cell r="B18">
            <v>32</v>
          </cell>
          <cell r="C18" t="str">
            <v>Fusing</v>
          </cell>
          <cell r="D18" t="str">
            <v>NEW ONE-BRAND</v>
          </cell>
          <cell r="E18" t="str">
            <v>DD6701W</v>
          </cell>
          <cell r="F18" t="str">
            <v>NBR</v>
          </cell>
          <cell r="G18" t="str">
            <v>Width 100cm</v>
          </cell>
          <cell r="H18" t="str">
            <v>yard</v>
          </cell>
          <cell r="I18" t="str">
            <v>White</v>
          </cell>
          <cell r="K18">
            <v>100</v>
          </cell>
          <cell r="M18">
            <v>180000</v>
          </cell>
          <cell r="P18" t="str">
            <v>Roll</v>
          </cell>
        </row>
        <row r="19">
          <cell r="B19">
            <v>29</v>
          </cell>
          <cell r="C19" t="str">
            <v>Thun Tròn</v>
          </cell>
          <cell r="D19" t="str">
            <v>Cty Dệt Toàn Thịnh</v>
          </cell>
          <cell r="E19" t="str">
            <v>Thun tròn 8mm White</v>
          </cell>
          <cell r="F19" t="str">
            <v>TTH</v>
          </cell>
          <cell r="G19" t="str">
            <v>8mm</v>
          </cell>
          <cell r="H19" t="str">
            <v>meter</v>
          </cell>
          <cell r="I19" t="str">
            <v>Thun tròn 8mm White</v>
          </cell>
          <cell r="K19">
            <v>100</v>
          </cell>
          <cell r="M19">
            <v>64000</v>
          </cell>
          <cell r="P19" t="str">
            <v>Cone</v>
          </cell>
        </row>
        <row r="20">
          <cell r="B20">
            <v>30</v>
          </cell>
          <cell r="C20" t="str">
            <v>Thun Tròn</v>
          </cell>
          <cell r="D20" t="str">
            <v>Cty Dệt Toàn Thịnh</v>
          </cell>
          <cell r="E20" t="str">
            <v>Thun tròn 6mm White</v>
          </cell>
          <cell r="F20" t="str">
            <v>TTH</v>
          </cell>
          <cell r="G20" t="str">
            <v>6mm</v>
          </cell>
          <cell r="H20" t="str">
            <v>meter</v>
          </cell>
          <cell r="I20" t="str">
            <v>Thun tròn 6mm White</v>
          </cell>
          <cell r="K20">
            <v>100</v>
          </cell>
          <cell r="M20">
            <v>56000</v>
          </cell>
          <cell r="P20" t="str">
            <v>Cone</v>
          </cell>
        </row>
        <row r="21">
          <cell r="B21">
            <v>31</v>
          </cell>
          <cell r="C21" t="str">
            <v>Thread</v>
          </cell>
          <cell r="D21" t="str">
            <v>Khải Trình</v>
          </cell>
          <cell r="E21" t="str">
            <v>Chỉ 60/2-KT36344-BROWN</v>
          </cell>
          <cell r="F21" t="str">
            <v>KTR</v>
          </cell>
          <cell r="G21" t="str">
            <v>60/2</v>
          </cell>
          <cell r="H21" t="str">
            <v>meter</v>
          </cell>
          <cell r="I21" t="str">
            <v>Chỉ 60/2-KT36344-BROWN</v>
          </cell>
          <cell r="K21">
            <v>5000</v>
          </cell>
          <cell r="M21">
            <v>18500</v>
          </cell>
          <cell r="P21" t="str">
            <v>Cone</v>
          </cell>
        </row>
        <row r="22">
          <cell r="B22">
            <v>27</v>
          </cell>
          <cell r="C22" t="str">
            <v>Metal Zipper</v>
          </cell>
          <cell r="D22" t="str">
            <v>IDEAL FASTENER ASIA LTD</v>
          </cell>
          <cell r="E22" t="str">
            <v>1061967 YMRNC-36DALH C5 PJR12 N-ANTI(PNNBC36 B3B-IP45)</v>
          </cell>
          <cell r="F22" t="str">
            <v>IDL</v>
          </cell>
          <cell r="G22" t="str">
            <v>15 inch 1/2</v>
          </cell>
          <cell r="H22" t="str">
            <v>pcs</v>
          </cell>
          <cell r="I22" t="str">
            <v>(DÂY KÉO KIM LOẠI #3)</v>
          </cell>
          <cell r="N22">
            <v>0.40239999999999998</v>
          </cell>
          <cell r="O22" t="str">
            <v>Ms Chau/Hung</v>
          </cell>
          <cell r="P22" t="str">
            <v>pcs</v>
          </cell>
        </row>
        <row r="23">
          <cell r="B23">
            <v>28</v>
          </cell>
          <cell r="C23" t="str">
            <v>Button</v>
          </cell>
          <cell r="D23" t="str">
            <v>Vinh Đạt</v>
          </cell>
          <cell r="E23" t="str">
            <v>Nút Nhựa 2 Lỗ 16L</v>
          </cell>
          <cell r="F23" t="str">
            <v>VDT</v>
          </cell>
          <cell r="G23" t="str">
            <v>16L</v>
          </cell>
          <cell r="H23" t="str">
            <v>pcs</v>
          </cell>
          <cell r="I23" t="str">
            <v>Nút Nhựa 2 Lỗ 16L</v>
          </cell>
          <cell r="J23" t="str">
            <v>Plastic</v>
          </cell>
          <cell r="K23">
            <v>1728</v>
          </cell>
          <cell r="M23">
            <v>172000</v>
          </cell>
          <cell r="P23" t="str">
            <v>Mass</v>
          </cell>
        </row>
        <row r="24">
          <cell r="B24">
            <v>25</v>
          </cell>
          <cell r="C24" t="str">
            <v>Thun Chỉ</v>
          </cell>
          <cell r="D24" t="str">
            <v>C.Thúy</v>
          </cell>
          <cell r="F24" t="str">
            <v>C.T</v>
          </cell>
          <cell r="G24" t="str">
            <v>12mm</v>
          </cell>
          <cell r="H24" t="str">
            <v>meter</v>
          </cell>
          <cell r="I24" t="str">
            <v>Thun Trắng 12mm</v>
          </cell>
          <cell r="K24">
            <v>100</v>
          </cell>
          <cell r="M24">
            <v>83000</v>
          </cell>
          <cell r="P24" t="str">
            <v>cone</v>
          </cell>
        </row>
        <row r="25">
          <cell r="B25">
            <v>26</v>
          </cell>
          <cell r="C25" t="str">
            <v>Button</v>
          </cell>
          <cell r="D25" t="str">
            <v>Vinh Đạt</v>
          </cell>
          <cell r="E25" t="str">
            <v>Chalk-4Hole</v>
          </cell>
          <cell r="F25" t="str">
            <v>VDT</v>
          </cell>
          <cell r="G25" t="str">
            <v>24L</v>
          </cell>
          <cell r="H25" t="str">
            <v>pcs</v>
          </cell>
          <cell r="I25" t="str">
            <v>Nút chalk 4 lỗ có vành mờ 24L</v>
          </cell>
          <cell r="J25" t="str">
            <v>Plastic</v>
          </cell>
          <cell r="K25">
            <v>1728</v>
          </cell>
          <cell r="M25">
            <v>243.05555555555554</v>
          </cell>
          <cell r="O25" t="str">
            <v>Mr Tùng</v>
          </cell>
          <cell r="P25" t="str">
            <v>Mass</v>
          </cell>
        </row>
        <row r="26">
          <cell r="B26">
            <v>21</v>
          </cell>
          <cell r="C26" t="str">
            <v>Invisible Zipper</v>
          </cell>
          <cell r="D26" t="str">
            <v>IDEAL FASTENER ASIA LTD</v>
          </cell>
          <cell r="E26" t="str">
            <v xml:space="preserve"> CC36 WT C36 IP32 NO.3 </v>
          </cell>
          <cell r="F26" t="str">
            <v>IDL</v>
          </cell>
          <cell r="G26" t="str">
            <v>14 inch 1/4</v>
          </cell>
          <cell r="H26" t="str">
            <v>pcs</v>
          </cell>
          <cell r="I26" t="str">
            <v>(Dây kéo giọt nước size # 3)</v>
          </cell>
          <cell r="N26">
            <v>0.3327</v>
          </cell>
          <cell r="O26" t="str">
            <v>Ms Chau/Hung</v>
          </cell>
          <cell r="P26" t="str">
            <v>pcs</v>
          </cell>
        </row>
        <row r="27">
          <cell r="B27">
            <v>22</v>
          </cell>
          <cell r="C27" t="str">
            <v>Hook&amp;Eye</v>
          </cell>
          <cell r="D27" t="str">
            <v>Kien Linh</v>
          </cell>
          <cell r="E27" t="str">
            <v>White Hook&amp;Eye</v>
          </cell>
          <cell r="F27" t="str">
            <v>KLI</v>
          </cell>
          <cell r="G27" t="str">
            <v>Hook &amp; Eye No 01</v>
          </cell>
          <cell r="H27" t="str">
            <v>pcs</v>
          </cell>
          <cell r="I27" t="str">
            <v>Hook &amp; Eye No 01</v>
          </cell>
          <cell r="K27">
            <v>1000</v>
          </cell>
          <cell r="M27">
            <v>65000</v>
          </cell>
          <cell r="O27" t="str">
            <v>Yến</v>
          </cell>
          <cell r="P27" t="str">
            <v>Hộp</v>
          </cell>
        </row>
        <row r="28">
          <cell r="B28">
            <v>23</v>
          </cell>
          <cell r="C28" t="str">
            <v>HangingTape</v>
          </cell>
          <cell r="D28" t="str">
            <v>Kien Linh</v>
          </cell>
          <cell r="E28" t="str">
            <v>HL3MM-DTM</v>
          </cell>
          <cell r="F28" t="str">
            <v>KLI</v>
          </cell>
          <cell r="G28" t="str">
            <v>3MM</v>
          </cell>
          <cell r="H28" t="str">
            <v>meter</v>
          </cell>
          <cell r="I28" t="str">
            <v>Dây treo 3 mm DTM</v>
          </cell>
          <cell r="K28">
            <v>500</v>
          </cell>
          <cell r="M28">
            <v>360000</v>
          </cell>
          <cell r="P28" t="str">
            <v>cone</v>
          </cell>
        </row>
        <row r="29">
          <cell r="B29">
            <v>24</v>
          </cell>
          <cell r="C29" t="str">
            <v>HangingTape</v>
          </cell>
          <cell r="D29" t="str">
            <v>Kien Linh</v>
          </cell>
          <cell r="E29" t="str">
            <v>HL3MM-BOOK</v>
          </cell>
          <cell r="F29" t="str">
            <v>KLI</v>
          </cell>
          <cell r="G29" t="str">
            <v>3MM</v>
          </cell>
          <cell r="H29" t="str">
            <v>meter</v>
          </cell>
          <cell r="I29" t="str">
            <v>Dây treo 3 mm Book</v>
          </cell>
          <cell r="K29">
            <v>880</v>
          </cell>
          <cell r="M29">
            <v>230000</v>
          </cell>
          <cell r="P29" t="str">
            <v>cone</v>
          </cell>
        </row>
        <row r="30">
          <cell r="B30">
            <v>19</v>
          </cell>
          <cell r="C30" t="str">
            <v>Metal Zipper</v>
          </cell>
          <cell r="D30" t="str">
            <v>IDEAL FASTENER ASIA LTD</v>
          </cell>
          <cell r="E30" t="str">
            <v>1061967 YMRNC-36DALH C5 PJR12 N-ANTI(PNNBC36 B3B-IP45)</v>
          </cell>
          <cell r="F30" t="str">
            <v>IDL</v>
          </cell>
          <cell r="G30" t="str">
            <v>14 inch</v>
          </cell>
          <cell r="H30" t="str">
            <v>pcs</v>
          </cell>
          <cell r="I30" t="str">
            <v>(DÂY KÉO KIM LOẠI #3)</v>
          </cell>
          <cell r="N30">
            <v>0.375</v>
          </cell>
          <cell r="O30" t="str">
            <v>Ms Chau/Hung</v>
          </cell>
          <cell r="P30" t="str">
            <v>pcs</v>
          </cell>
        </row>
        <row r="31">
          <cell r="B31">
            <v>20</v>
          </cell>
          <cell r="C31" t="str">
            <v>Cover Button</v>
          </cell>
          <cell r="D31" t="str">
            <v>A.Vu</v>
          </cell>
          <cell r="E31" t="str">
            <v>CoverBTN16L</v>
          </cell>
          <cell r="F31" t="str">
            <v>AVU</v>
          </cell>
          <cell r="G31" t="str">
            <v>16L</v>
          </cell>
          <cell r="H31" t="str">
            <v>pcs</v>
          </cell>
          <cell r="I31" t="str">
            <v>Nút bọc 16L</v>
          </cell>
          <cell r="M31">
            <v>270</v>
          </cell>
          <cell r="O31" t="str">
            <v>A. Vu</v>
          </cell>
          <cell r="P31"/>
        </row>
        <row r="32">
          <cell r="B32">
            <v>18</v>
          </cell>
          <cell r="C32" t="str">
            <v>Main label</v>
          </cell>
          <cell r="D32" t="str">
            <v>SML</v>
          </cell>
          <cell r="E32" t="str">
            <v>LB-MH/GENERIC-TS</v>
          </cell>
          <cell r="F32" t="str">
            <v>SML</v>
          </cell>
          <cell r="H32" t="str">
            <v>pcs</v>
          </cell>
          <cell r="I32" t="str">
            <v>Nhãn chính DMC gấp đôi</v>
          </cell>
          <cell r="M32">
            <v>255</v>
          </cell>
          <cell r="P32"/>
        </row>
        <row r="33">
          <cell r="B33">
            <v>15</v>
          </cell>
          <cell r="C33" t="str">
            <v>Main label</v>
          </cell>
          <cell r="D33" t="str">
            <v>SML</v>
          </cell>
          <cell r="E33" t="str">
            <v>LB-MH-GENERIC-TS</v>
          </cell>
          <cell r="F33" t="str">
            <v>SML</v>
          </cell>
          <cell r="H33" t="str">
            <v>pcs</v>
          </cell>
          <cell r="I33" t="str">
            <v>Mother hood main label Fold</v>
          </cell>
          <cell r="M33">
            <v>255</v>
          </cell>
          <cell r="P33"/>
        </row>
        <row r="34">
          <cell r="B34">
            <v>16</v>
          </cell>
          <cell r="C34" t="str">
            <v>Size label</v>
          </cell>
          <cell r="D34" t="str">
            <v>SML</v>
          </cell>
          <cell r="E34" t="str">
            <v>LB-MH-GENERIC-COO3</v>
          </cell>
          <cell r="F34" t="str">
            <v>SML</v>
          </cell>
          <cell r="H34" t="str">
            <v>pcs</v>
          </cell>
          <cell r="I34" t="str">
            <v>Mother hood size label</v>
          </cell>
          <cell r="M34">
            <v>196</v>
          </cell>
          <cell r="P34"/>
        </row>
        <row r="35">
          <cell r="B35">
            <v>17</v>
          </cell>
          <cell r="C35" t="str">
            <v>Main label</v>
          </cell>
          <cell r="D35" t="str">
            <v>SML</v>
          </cell>
          <cell r="E35" t="str">
            <v>LB-MH-GENERIC-SS</v>
          </cell>
          <cell r="F35" t="str">
            <v>SML</v>
          </cell>
          <cell r="H35" t="str">
            <v>pcs</v>
          </cell>
          <cell r="I35" t="str">
            <v>Mother hood main END Fold</v>
          </cell>
          <cell r="M35">
            <v>210</v>
          </cell>
          <cell r="P35"/>
        </row>
        <row r="36">
          <cell r="B36">
            <v>1</v>
          </cell>
          <cell r="C36" t="str">
            <v>Main label</v>
          </cell>
          <cell r="D36" t="str">
            <v>SML</v>
          </cell>
          <cell r="E36" t="str">
            <v>LB-APIP/GENERIC/BLACK-SS</v>
          </cell>
          <cell r="F36" t="str">
            <v>SML</v>
          </cell>
          <cell r="H36" t="str">
            <v>pcs</v>
          </cell>
          <cell r="I36" t="str">
            <v>Nhãn chính DMC gấp chặn</v>
          </cell>
          <cell r="M36">
            <v>287</v>
          </cell>
          <cell r="P36"/>
        </row>
        <row r="37">
          <cell r="B37">
            <v>2</v>
          </cell>
          <cell r="C37" t="str">
            <v>Size label</v>
          </cell>
          <cell r="D37" t="str">
            <v>SML</v>
          </cell>
          <cell r="E37" t="str">
            <v>LB-APIP/GENERIC/COO3</v>
          </cell>
          <cell r="F37" t="str">
            <v>SML</v>
          </cell>
          <cell r="H37" t="str">
            <v>pcs</v>
          </cell>
          <cell r="I37" t="str">
            <v>Nhãn size DMC</v>
          </cell>
          <cell r="M37">
            <v>196</v>
          </cell>
          <cell r="P37"/>
        </row>
        <row r="38">
          <cell r="B38">
            <v>3</v>
          </cell>
          <cell r="C38" t="str">
            <v>Care Label</v>
          </cell>
          <cell r="D38" t="str">
            <v>Dong Sinh</v>
          </cell>
          <cell r="E38" t="str">
            <v>Destination Maternity Care</v>
          </cell>
          <cell r="F38" t="str">
            <v>DSI</v>
          </cell>
          <cell r="H38" t="str">
            <v>pcs</v>
          </cell>
          <cell r="I38" t="str">
            <v>Nhãn Care Đông Sinh( mới)</v>
          </cell>
          <cell r="M38">
            <v>300</v>
          </cell>
          <cell r="P38"/>
        </row>
        <row r="39">
          <cell r="B39">
            <v>4</v>
          </cell>
          <cell r="C39" t="str">
            <v>Button</v>
          </cell>
          <cell r="D39" t="str">
            <v>Scaler</v>
          </cell>
          <cell r="E39" t="str">
            <v>FB8319-2</v>
          </cell>
          <cell r="F39" t="str">
            <v>SCL</v>
          </cell>
          <cell r="G39" t="str">
            <v>14L</v>
          </cell>
          <cell r="H39" t="str">
            <v>pcs</v>
          </cell>
          <cell r="I39" t="str">
            <v>Metal button</v>
          </cell>
          <cell r="J39" t="str">
            <v>Metal</v>
          </cell>
          <cell r="N39">
            <v>2.5000000000000001E-2</v>
          </cell>
          <cell r="P39"/>
        </row>
        <row r="40">
          <cell r="B40">
            <v>5</v>
          </cell>
          <cell r="C40" t="str">
            <v>Price Tag</v>
          </cell>
          <cell r="D40" t="str">
            <v>Avery Denision</v>
          </cell>
          <cell r="E40" t="str">
            <v>Price Tag</v>
          </cell>
          <cell r="F40" t="str">
            <v>AVD</v>
          </cell>
          <cell r="H40" t="str">
            <v>pcs</v>
          </cell>
          <cell r="I40" t="str">
            <v>Nhãn giá DMC</v>
          </cell>
          <cell r="N40">
            <v>6.7400000000000003E-3</v>
          </cell>
          <cell r="P40"/>
        </row>
        <row r="41">
          <cell r="B41">
            <v>6</v>
          </cell>
          <cell r="C41" t="str">
            <v>Dây Cotton</v>
          </cell>
          <cell r="D41" t="str">
            <v>C.Thúy</v>
          </cell>
          <cell r="F41" t="str">
            <v>C.T</v>
          </cell>
          <cell r="G41" t="str">
            <v>3mm</v>
          </cell>
          <cell r="H41" t="str">
            <v>kg</v>
          </cell>
          <cell r="I41" t="str">
            <v>Dây cotton 3mm Black</v>
          </cell>
          <cell r="J41" t="str">
            <v>Cotton</v>
          </cell>
          <cell r="K41">
            <v>1200</v>
          </cell>
          <cell r="M41">
            <v>128000</v>
          </cell>
          <cell r="P41"/>
        </row>
        <row r="42">
          <cell r="B42">
            <v>7</v>
          </cell>
          <cell r="C42" t="str">
            <v>Dây Cotton</v>
          </cell>
          <cell r="D42" t="str">
            <v>C.Thúy</v>
          </cell>
          <cell r="F42" t="str">
            <v>C.T</v>
          </cell>
          <cell r="G42" t="str">
            <v>3mm</v>
          </cell>
          <cell r="H42" t="str">
            <v>kg</v>
          </cell>
          <cell r="I42" t="str">
            <v>Dây cotton 3mm White</v>
          </cell>
          <cell r="J42" t="str">
            <v>Cotton</v>
          </cell>
          <cell r="K42">
            <v>1200</v>
          </cell>
          <cell r="M42">
            <v>118000</v>
          </cell>
          <cell r="P42"/>
        </row>
        <row r="43">
          <cell r="B43">
            <v>8</v>
          </cell>
          <cell r="C43" t="str">
            <v>Snap button</v>
          </cell>
          <cell r="D43" t="str">
            <v>C.Thúy</v>
          </cell>
          <cell r="F43" t="str">
            <v>C.T</v>
          </cell>
          <cell r="H43" t="str">
            <v>hộp</v>
          </cell>
          <cell r="I43" t="str">
            <v>Nút Bóp</v>
          </cell>
          <cell r="K43">
            <v>316</v>
          </cell>
          <cell r="M43">
            <v>95000</v>
          </cell>
          <cell r="P43"/>
        </row>
        <row r="44">
          <cell r="B44">
            <v>9</v>
          </cell>
          <cell r="C44" t="str">
            <v>Thun Tròn</v>
          </cell>
          <cell r="D44" t="str">
            <v>Cty Dệt Toàn Thịnh</v>
          </cell>
          <cell r="E44" t="str">
            <v>Thun tròn 1mm white</v>
          </cell>
          <cell r="F44" t="str">
            <v>TTH</v>
          </cell>
          <cell r="G44" t="str">
            <v>1mm</v>
          </cell>
          <cell r="H44" t="str">
            <v>cone</v>
          </cell>
          <cell r="I44" t="str">
            <v>Thun tròn 1mm white</v>
          </cell>
          <cell r="K44">
            <v>500</v>
          </cell>
          <cell r="M44">
            <v>225000</v>
          </cell>
          <cell r="P44"/>
        </row>
        <row r="45">
          <cell r="B45">
            <v>10</v>
          </cell>
          <cell r="C45" t="str">
            <v>Thun Tròn</v>
          </cell>
          <cell r="D45" t="str">
            <v>Cty Dệt Toàn Thịnh</v>
          </cell>
          <cell r="E45" t="str">
            <v>Thun tròn 1mm Black</v>
          </cell>
          <cell r="F45" t="str">
            <v>TTH</v>
          </cell>
          <cell r="G45" t="str">
            <v>1mm</v>
          </cell>
          <cell r="H45" t="str">
            <v>cone</v>
          </cell>
          <cell r="I45" t="str">
            <v>Thun tròn 1mm Black</v>
          </cell>
          <cell r="K45">
            <v>500</v>
          </cell>
          <cell r="M45">
            <v>225000</v>
          </cell>
          <cell r="P45"/>
        </row>
        <row r="46">
          <cell r="B46">
            <v>11</v>
          </cell>
          <cell r="C46" t="str">
            <v>Poly Bag Sticker</v>
          </cell>
          <cell r="D46" t="str">
            <v>Hiệp Thịnh</v>
          </cell>
          <cell r="F46" t="str">
            <v>HTP</v>
          </cell>
          <cell r="H46" t="str">
            <v>pcs</v>
          </cell>
          <cell r="I46" t="str">
            <v>Nhãn Dán Bao DMC</v>
          </cell>
          <cell r="M46">
            <v>200</v>
          </cell>
          <cell r="P46"/>
        </row>
        <row r="47">
          <cell r="B47">
            <v>12</v>
          </cell>
          <cell r="C47" t="str">
            <v>Carton box</v>
          </cell>
          <cell r="D47" t="str">
            <v>CÔNG TY TNHH BAO BÌ ĐỨC PHÚ</v>
          </cell>
          <cell r="F47" t="str">
            <v>DPC</v>
          </cell>
          <cell r="G47" t="str">
            <v xml:space="preserve">24 INCH * 16 INCH * 10 INCH </v>
          </cell>
          <cell r="I47" t="str">
            <v>Thùng DMC 24x16x10</v>
          </cell>
          <cell r="J47" t="str">
            <v>Carton</v>
          </cell>
          <cell r="M47">
            <v>29000</v>
          </cell>
          <cell r="P47"/>
        </row>
        <row r="48">
          <cell r="B48">
            <v>13</v>
          </cell>
          <cell r="C48" t="str">
            <v>Carton box</v>
          </cell>
          <cell r="D48" t="str">
            <v>CÔNG TY TNHH BAO BÌ ĐỨC PHÚ</v>
          </cell>
          <cell r="F48" t="str">
            <v>DPC</v>
          </cell>
          <cell r="G48" t="str">
            <v xml:space="preserve">24 INCH * 16 INCH * 5" INCH </v>
          </cell>
          <cell r="I48" t="str">
            <v>Thùng DMC 24x16x5</v>
          </cell>
          <cell r="J48" t="str">
            <v>Carton</v>
          </cell>
          <cell r="M48">
            <v>23300</v>
          </cell>
          <cell r="P48"/>
        </row>
        <row r="49">
          <cell r="B49">
            <v>14</v>
          </cell>
          <cell r="C49" t="str">
            <v>Tấm lót 24x16</v>
          </cell>
          <cell r="D49" t="str">
            <v>CÔNG TY TNHH BAO BÌ ĐỨC PHÚ</v>
          </cell>
          <cell r="F49" t="str">
            <v>DPC</v>
          </cell>
          <cell r="G49" t="str">
            <v>24 INCH * 16 INCH</v>
          </cell>
          <cell r="I49" t="str">
            <v>Tấm lót 24x16</v>
          </cell>
          <cell r="J49" t="str">
            <v>Carton</v>
          </cell>
          <cell r="M49">
            <v>2800</v>
          </cell>
          <cell r="P49"/>
        </row>
        <row r="50">
          <cell r="B50">
            <v>48</v>
          </cell>
          <cell r="C50" t="str">
            <v>Price Ticket</v>
          </cell>
          <cell r="D50" t="str">
            <v>SML</v>
          </cell>
          <cell r="E50" t="str">
            <v>PRICE TICKET 4MMWMNK022</v>
          </cell>
          <cell r="F50" t="str">
            <v>SML</v>
          </cell>
          <cell r="H50" t="str">
            <v>pcs</v>
          </cell>
          <cell r="M50">
            <v>367</v>
          </cell>
          <cell r="O50" t="str">
            <v>Mr Toàn</v>
          </cell>
          <cell r="P50"/>
        </row>
        <row r="51">
          <cell r="B51">
            <v>49</v>
          </cell>
          <cell r="C51" t="str">
            <v>Thun</v>
          </cell>
          <cell r="D51" t="str">
            <v>Cty Dệt Toàn Thịnh</v>
          </cell>
          <cell r="F51" t="str">
            <v>TTH</v>
          </cell>
          <cell r="G51" t="str">
            <v>6mm</v>
          </cell>
          <cell r="I51" t="str">
            <v>Thun 6mm</v>
          </cell>
          <cell r="J51" t="str">
            <v>Elastic</v>
          </cell>
          <cell r="K51">
            <v>100</v>
          </cell>
          <cell r="M51">
            <v>59000</v>
          </cell>
          <cell r="P51"/>
        </row>
        <row r="52">
          <cell r="B52">
            <v>50</v>
          </cell>
          <cell r="C52" t="str">
            <v>Thread</v>
          </cell>
          <cell r="D52" t="str">
            <v>Khải Trình</v>
          </cell>
          <cell r="E52" t="str">
            <v>Navy-28145</v>
          </cell>
          <cell r="F52" t="str">
            <v>KTR</v>
          </cell>
          <cell r="G52" t="str">
            <v>60/2</v>
          </cell>
          <cell r="H52" t="str">
            <v>cone</v>
          </cell>
          <cell r="K52">
            <v>5000</v>
          </cell>
          <cell r="M52">
            <v>18500</v>
          </cell>
          <cell r="P52"/>
        </row>
        <row r="53">
          <cell r="B53">
            <v>51</v>
          </cell>
          <cell r="C53" t="str">
            <v>Button</v>
          </cell>
          <cell r="D53" t="str">
            <v>Kttrim</v>
          </cell>
          <cell r="E53" t="str">
            <v>#ANTIQUE GOLD</v>
          </cell>
          <cell r="F53" t="str">
            <v>KTT</v>
          </cell>
          <cell r="G53" t="str">
            <v>16L</v>
          </cell>
          <cell r="H53" t="str">
            <v>pcs</v>
          </cell>
          <cell r="I53" t="str">
            <v xml:space="preserve"> Nút Mushroom  
#ANTIQUE GOLD</v>
          </cell>
          <cell r="J53" t="str">
            <v>ABS</v>
          </cell>
          <cell r="M53">
            <v>536</v>
          </cell>
          <cell r="O53" t="str">
            <v>Thuy</v>
          </cell>
          <cell r="P53"/>
        </row>
        <row r="54">
          <cell r="B54">
            <v>52</v>
          </cell>
          <cell r="C54" t="str">
            <v>Thun</v>
          </cell>
          <cell r="D54" t="str">
            <v>Cty Dệt Toàn Thịnh</v>
          </cell>
          <cell r="E54" t="str">
            <v>THUN 10MM - BLACK</v>
          </cell>
          <cell r="F54" t="str">
            <v>TTH</v>
          </cell>
          <cell r="G54" t="str">
            <v>10mm</v>
          </cell>
          <cell r="H54" t="str">
            <v>cone</v>
          </cell>
          <cell r="I54" t="str">
            <v>THUN 10MM - BLACK</v>
          </cell>
          <cell r="J54" t="str">
            <v>Elastic</v>
          </cell>
          <cell r="K54">
            <v>100</v>
          </cell>
          <cell r="M54">
            <v>74000</v>
          </cell>
          <cell r="P54"/>
        </row>
        <row r="55">
          <cell r="B55">
            <v>53</v>
          </cell>
          <cell r="C55" t="str">
            <v>Thun</v>
          </cell>
          <cell r="D55" t="str">
            <v>Cty Dệt Toàn Thịnh</v>
          </cell>
          <cell r="E55" t="str">
            <v>THUN 6MM - BLACK</v>
          </cell>
          <cell r="F55" t="str">
            <v>TTH</v>
          </cell>
          <cell r="G55" t="str">
            <v>6mm</v>
          </cell>
          <cell r="H55" t="str">
            <v>cone</v>
          </cell>
          <cell r="I55" t="str">
            <v>THUN 6MM - BLACK</v>
          </cell>
          <cell r="J55" t="str">
            <v>Elastic</v>
          </cell>
          <cell r="K55">
            <v>100</v>
          </cell>
          <cell r="M55">
            <v>59000</v>
          </cell>
          <cell r="P55"/>
        </row>
        <row r="56">
          <cell r="B56">
            <v>54</v>
          </cell>
          <cell r="C56" t="str">
            <v>Button</v>
          </cell>
          <cell r="D56" t="str">
            <v>Kttrim</v>
          </cell>
          <cell r="E56" t="str">
            <v xml:space="preserve"> Nút 16L Flat ,VINTAGE SILVER</v>
          </cell>
          <cell r="F56" t="str">
            <v>KTT</v>
          </cell>
          <cell r="G56" t="str">
            <v>16L</v>
          </cell>
          <cell r="H56" t="str">
            <v>pcs</v>
          </cell>
          <cell r="I56" t="str">
            <v>ABS Flat BTN</v>
          </cell>
          <cell r="J56" t="str">
            <v>ABS</v>
          </cell>
          <cell r="M56">
            <v>420</v>
          </cell>
          <cell r="P56"/>
        </row>
        <row r="57">
          <cell r="B57">
            <v>55</v>
          </cell>
          <cell r="C57" t="str">
            <v>Cord End</v>
          </cell>
          <cell r="D57" t="str">
            <v>Scaler</v>
          </cell>
          <cell r="E57" t="str">
            <v>FM7918-1</v>
          </cell>
          <cell r="F57" t="str">
            <v>SCL</v>
          </cell>
          <cell r="H57" t="str">
            <v>pcs</v>
          </cell>
          <cell r="I57" t="str">
            <v>Antique brass-matte finish(Nickle free)</v>
          </cell>
          <cell r="N57">
            <v>4.3999999999999997E-2</v>
          </cell>
          <cell r="P57"/>
        </row>
        <row r="58">
          <cell r="B58">
            <v>56</v>
          </cell>
          <cell r="C58" t="str">
            <v>Tassel</v>
          </cell>
          <cell r="D58" t="str">
            <v>Veega</v>
          </cell>
          <cell r="E58" t="str">
            <v>FTU4002-2</v>
          </cell>
          <cell r="F58" t="str">
            <v>VGA</v>
          </cell>
          <cell r="G58" t="str">
            <v>6cm</v>
          </cell>
          <cell r="H58" t="str">
            <v>pcs</v>
          </cell>
          <cell r="I58" t="str">
            <v>Tassel</v>
          </cell>
          <cell r="N58">
            <v>0.11</v>
          </cell>
          <cell r="P58"/>
        </row>
        <row r="59">
          <cell r="B59">
            <v>57</v>
          </cell>
          <cell r="C59" t="str">
            <v>Invisible Zipper</v>
          </cell>
          <cell r="D59" t="str">
            <v>IDEAL FASTENER ASIA LTD</v>
          </cell>
          <cell r="E59" t="str">
            <v xml:space="preserve"> CC36 WT C36 IP32 NO.3 </v>
          </cell>
          <cell r="F59" t="str">
            <v>IDL</v>
          </cell>
          <cell r="G59" t="str">
            <v>15 inch 1/4</v>
          </cell>
          <cell r="H59" t="str">
            <v>pcs</v>
          </cell>
          <cell r="I59" t="str">
            <v>(Dây kéo giọt nước size # 3)</v>
          </cell>
          <cell r="N59">
            <v>0.34770000000000001</v>
          </cell>
          <cell r="O59" t="str">
            <v>Ms Chau/Hung</v>
          </cell>
          <cell r="P59" t="str">
            <v>pcs</v>
          </cell>
        </row>
        <row r="60">
          <cell r="B60">
            <v>58</v>
          </cell>
          <cell r="C60" t="str">
            <v>Lace Trim</v>
          </cell>
          <cell r="D60" t="str">
            <v>Cheerslife Group ltd</v>
          </cell>
          <cell r="E60" t="str">
            <v>LACE QH0392 (2.8cm W)</v>
          </cell>
          <cell r="F60" t="str">
            <v>CHE</v>
          </cell>
          <cell r="G60" t="str">
            <v>2.8cm</v>
          </cell>
          <cell r="H60" t="str">
            <v>Meter</v>
          </cell>
          <cell r="I60" t="str">
            <v xml:space="preserve">Ren </v>
          </cell>
          <cell r="J60" t="str">
            <v>Cotton</v>
          </cell>
          <cell r="N60">
            <v>0.36499999999999999</v>
          </cell>
          <cell r="O60" t="str">
            <v>Suky Leong</v>
          </cell>
          <cell r="P60" t="str">
            <v>meter</v>
          </cell>
        </row>
        <row r="61">
          <cell r="B61">
            <v>59</v>
          </cell>
          <cell r="C61" t="str">
            <v>Tassel</v>
          </cell>
          <cell r="D61" t="str">
            <v>Scaler</v>
          </cell>
          <cell r="E61" t="str">
            <v>FTL-181205 # 68 inch</v>
          </cell>
          <cell r="F61" t="str">
            <v>SCL</v>
          </cell>
          <cell r="G61" t="str">
            <v>68 inch</v>
          </cell>
          <cell r="H61" t="str">
            <v>pcs</v>
          </cell>
          <cell r="I61" t="str">
            <v>Length rope 68" (not included the tassel tail) + robe width 1/4" -0.6cm</v>
          </cell>
          <cell r="J61" t="str">
            <v>Cotton</v>
          </cell>
          <cell r="N61">
            <v>0.35</v>
          </cell>
          <cell r="P61"/>
        </row>
        <row r="62">
          <cell r="B62">
            <v>60</v>
          </cell>
          <cell r="C62" t="str">
            <v>Tassel</v>
          </cell>
          <cell r="D62" t="str">
            <v>Scaler</v>
          </cell>
          <cell r="E62" t="str">
            <v>FTL-181205 # 75 inch</v>
          </cell>
          <cell r="F62" t="str">
            <v>SCL</v>
          </cell>
          <cell r="G62" t="str">
            <v>75 inch</v>
          </cell>
          <cell r="H62" t="str">
            <v>pcs</v>
          </cell>
          <cell r="I62" t="str">
            <v>Length rope 75" (not included the tassel tail) + robe width 3/8" - 1cm</v>
          </cell>
          <cell r="J62" t="str">
            <v>Cotton</v>
          </cell>
          <cell r="N62">
            <v>0.35</v>
          </cell>
          <cell r="P62"/>
        </row>
        <row r="63">
          <cell r="B63">
            <v>61</v>
          </cell>
          <cell r="C63" t="str">
            <v>Invisible Zipper</v>
          </cell>
          <cell r="D63" t="str">
            <v>IDEAL FASTENER ASIA LTD</v>
          </cell>
          <cell r="E63" t="str">
            <v xml:space="preserve"> CC36 WT C36 IP32 NO.3 ( Mesh tape)</v>
          </cell>
          <cell r="F63" t="str">
            <v>IDL</v>
          </cell>
          <cell r="G63" t="str">
            <v>14 inch</v>
          </cell>
          <cell r="H63" t="str">
            <v>pcs</v>
          </cell>
          <cell r="I63" t="str">
            <v>(Dây kéo giọt nước size # 3) Mesh Tape</v>
          </cell>
          <cell r="N63">
            <v>0.42276000000000002</v>
          </cell>
          <cell r="P63" t="str">
            <v>pcs</v>
          </cell>
        </row>
        <row r="64">
          <cell r="B64">
            <v>62</v>
          </cell>
          <cell r="C64" t="str">
            <v>Invisible Zipper</v>
          </cell>
          <cell r="D64" t="str">
            <v>IDEAL FASTENER ASIA LTD</v>
          </cell>
          <cell r="E64" t="str">
            <v xml:space="preserve"> CC36 WT C36 IP32 NO.3 ( Mesh tape)</v>
          </cell>
          <cell r="F64" t="str">
            <v>IDL</v>
          </cell>
          <cell r="G64" t="str">
            <v>14 inch 1/2</v>
          </cell>
          <cell r="H64" t="str">
            <v>pcs</v>
          </cell>
          <cell r="I64" t="str">
            <v>(Dây kéo giọt nước size # 3) Mesh Tape</v>
          </cell>
          <cell r="N64">
            <v>0.43250999999999995</v>
          </cell>
          <cell r="P64" t="str">
            <v>pcs</v>
          </cell>
        </row>
        <row r="65">
          <cell r="B65">
            <v>63</v>
          </cell>
          <cell r="C65" t="str">
            <v>Invisible Zipper</v>
          </cell>
          <cell r="D65" t="str">
            <v>IDEAL FASTENER ASIA LTD</v>
          </cell>
          <cell r="E65" t="str">
            <v xml:space="preserve"> CC36 WT C36 IP32 NO.3 ( Mesh tape)</v>
          </cell>
          <cell r="F65" t="str">
            <v>IDL</v>
          </cell>
          <cell r="G65" t="str">
            <v>15 inch</v>
          </cell>
          <cell r="H65" t="str">
            <v>pcs</v>
          </cell>
          <cell r="I65" t="str">
            <v>(Dây kéo giọt nước size # 3) Mesh Tape</v>
          </cell>
          <cell r="N65">
            <v>0.44225999999999999</v>
          </cell>
          <cell r="P65" t="str">
            <v>pcs</v>
          </cell>
        </row>
        <row r="66">
          <cell r="B66">
            <v>64</v>
          </cell>
          <cell r="C66" t="str">
            <v>Fusing</v>
          </cell>
          <cell r="D66" t="str">
            <v>NEW ONE-BRAND</v>
          </cell>
          <cell r="E66" t="str">
            <v>DD6701C</v>
          </cell>
          <cell r="F66" t="str">
            <v>NBR</v>
          </cell>
          <cell r="G66" t="str">
            <v>Width 100cm</v>
          </cell>
          <cell r="H66" t="str">
            <v>yard</v>
          </cell>
          <cell r="I66" t="str">
            <v>Charcoal</v>
          </cell>
          <cell r="K66">
            <v>100</v>
          </cell>
          <cell r="M66">
            <v>180000</v>
          </cell>
          <cell r="P66" t="str">
            <v>Roll</v>
          </cell>
        </row>
        <row r="67">
          <cell r="B67">
            <v>65</v>
          </cell>
          <cell r="C67" t="str">
            <v>Fusing</v>
          </cell>
          <cell r="D67" t="str">
            <v>NEW ONE-BRAND</v>
          </cell>
          <cell r="E67" t="str">
            <v>DD6701B</v>
          </cell>
          <cell r="F67" t="str">
            <v>NBR</v>
          </cell>
          <cell r="G67" t="str">
            <v>Width 100cm</v>
          </cell>
          <cell r="H67" t="str">
            <v>yard</v>
          </cell>
          <cell r="I67" t="str">
            <v>Black</v>
          </cell>
          <cell r="K67">
            <v>100</v>
          </cell>
          <cell r="M67">
            <v>180000</v>
          </cell>
          <cell r="P67" t="str">
            <v>Roll</v>
          </cell>
        </row>
        <row r="68">
          <cell r="B68">
            <v>66</v>
          </cell>
          <cell r="C68" t="str">
            <v>Fusing</v>
          </cell>
          <cell r="D68" t="str">
            <v>Thịnh Vượng Toàn Cầu</v>
          </cell>
          <cell r="E68" t="str">
            <v>6122FG</v>
          </cell>
          <cell r="F68" t="str">
            <v>TVC</v>
          </cell>
          <cell r="G68" t="str">
            <v>Width 100cm</v>
          </cell>
          <cell r="H68" t="str">
            <v>yard</v>
          </cell>
          <cell r="I68" t="str">
            <v>Charcoal</v>
          </cell>
          <cell r="K68">
            <v>100</v>
          </cell>
          <cell r="M68">
            <v>190000</v>
          </cell>
          <cell r="P68" t="str">
            <v>Roll</v>
          </cell>
        </row>
        <row r="69">
          <cell r="B69">
            <v>67</v>
          </cell>
          <cell r="C69" t="str">
            <v>Fusing</v>
          </cell>
          <cell r="D69" t="str">
            <v>Thịnh Vượng Toàn Cầu</v>
          </cell>
          <cell r="E69" t="str">
            <v>6122FB</v>
          </cell>
          <cell r="F69" t="str">
            <v>TVC</v>
          </cell>
          <cell r="G69" t="str">
            <v>Width 100cm</v>
          </cell>
          <cell r="H69" t="str">
            <v>yard</v>
          </cell>
          <cell r="I69" t="str">
            <v>Black</v>
          </cell>
          <cell r="K69">
            <v>100</v>
          </cell>
          <cell r="M69">
            <v>190000</v>
          </cell>
          <cell r="P69" t="str">
            <v>Roll</v>
          </cell>
        </row>
        <row r="70">
          <cell r="B70">
            <v>68</v>
          </cell>
          <cell r="C70" t="str">
            <v>Fusing</v>
          </cell>
          <cell r="D70" t="str">
            <v>Thịnh Vượng Toàn Cầu</v>
          </cell>
          <cell r="E70" t="str">
            <v>6518FOW</v>
          </cell>
          <cell r="F70" t="str">
            <v>TVC</v>
          </cell>
          <cell r="G70" t="str">
            <v>Width 100cm</v>
          </cell>
          <cell r="H70" t="str">
            <v>yard</v>
          </cell>
          <cell r="I70" t="str">
            <v>Off White</v>
          </cell>
          <cell r="K70">
            <v>100</v>
          </cell>
          <cell r="M70">
            <v>320000</v>
          </cell>
          <cell r="P70" t="str">
            <v>Roll</v>
          </cell>
        </row>
        <row r="71">
          <cell r="B71">
            <v>69</v>
          </cell>
          <cell r="C71" t="str">
            <v>Fusing</v>
          </cell>
          <cell r="D71" t="str">
            <v>NEW ONE-BRAND</v>
          </cell>
          <cell r="E71" t="str">
            <v>DD6701</v>
          </cell>
          <cell r="F71" t="str">
            <v>NBR</v>
          </cell>
          <cell r="G71" t="str">
            <v>Width 100cm</v>
          </cell>
          <cell r="H71" t="str">
            <v>yard</v>
          </cell>
          <cell r="I71" t="str">
            <v>Black</v>
          </cell>
          <cell r="K71">
            <v>100</v>
          </cell>
          <cell r="M71">
            <v>180000</v>
          </cell>
          <cell r="P71" t="str">
            <v>Roll</v>
          </cell>
        </row>
        <row r="72">
          <cell r="B72">
            <v>70</v>
          </cell>
          <cell r="C72" t="str">
            <v>Fusing</v>
          </cell>
          <cell r="D72" t="str">
            <v>Thịnh Vượng Toàn Cầu</v>
          </cell>
          <cell r="E72" t="str">
            <v>6118FB</v>
          </cell>
          <cell r="F72" t="str">
            <v>TVC</v>
          </cell>
          <cell r="G72" t="str">
            <v>Width 100cm</v>
          </cell>
          <cell r="H72" t="str">
            <v>yard</v>
          </cell>
          <cell r="I72" t="str">
            <v>Black</v>
          </cell>
          <cell r="K72">
            <v>100</v>
          </cell>
          <cell r="M72">
            <v>190000</v>
          </cell>
          <cell r="P72" t="str">
            <v>Roll</v>
          </cell>
        </row>
        <row r="73">
          <cell r="B73">
            <v>71</v>
          </cell>
          <cell r="C73" t="str">
            <v>Fusing</v>
          </cell>
          <cell r="D73" t="str">
            <v>Thịnh Vượng Toàn Cầu</v>
          </cell>
          <cell r="E73" t="str">
            <v>6122FOW</v>
          </cell>
          <cell r="F73" t="str">
            <v>TVC</v>
          </cell>
          <cell r="G73" t="str">
            <v>Width 100cm</v>
          </cell>
          <cell r="H73" t="str">
            <v>yard</v>
          </cell>
          <cell r="I73" t="str">
            <v>Off White-NGA</v>
          </cell>
          <cell r="J73"/>
          <cell r="K73">
            <v>100</v>
          </cell>
          <cell r="L73"/>
          <cell r="M73">
            <v>185000</v>
          </cell>
          <cell r="N73"/>
          <cell r="O73"/>
          <cell r="P73" t="str">
            <v>Roll</v>
          </cell>
        </row>
        <row r="74">
          <cell r="B74">
            <v>72</v>
          </cell>
          <cell r="C74" t="str">
            <v>Fusing</v>
          </cell>
          <cell r="D74" t="str">
            <v>Thịnh Vượng Toàn Cầu</v>
          </cell>
          <cell r="E74" t="str">
            <v>6515FOW</v>
          </cell>
          <cell r="F74" t="str">
            <v>TVC</v>
          </cell>
          <cell r="G74" t="str">
            <v>Width 100cm</v>
          </cell>
          <cell r="H74" t="str">
            <v>yard</v>
          </cell>
          <cell r="I74" t="str">
            <v>Off White</v>
          </cell>
          <cell r="J74"/>
          <cell r="K74">
            <v>100</v>
          </cell>
          <cell r="L74"/>
          <cell r="M74">
            <v>300000</v>
          </cell>
          <cell r="N74"/>
          <cell r="O74"/>
          <cell r="P74" t="str">
            <v>Roll</v>
          </cell>
        </row>
        <row r="75">
          <cell r="B75">
            <v>73</v>
          </cell>
          <cell r="C75" t="str">
            <v>Fusing</v>
          </cell>
          <cell r="D75" t="str">
            <v>Thịnh Vượng Toàn Cầu</v>
          </cell>
          <cell r="E75" t="str">
            <v>6515FB</v>
          </cell>
          <cell r="F75" t="str">
            <v>TVC</v>
          </cell>
          <cell r="G75" t="str">
            <v>Width 100cm</v>
          </cell>
          <cell r="H75" t="str">
            <v>yard</v>
          </cell>
          <cell r="I75" t="str">
            <v>Black</v>
          </cell>
          <cell r="J75"/>
          <cell r="K75">
            <v>100</v>
          </cell>
          <cell r="L75"/>
          <cell r="M75">
            <v>300000</v>
          </cell>
          <cell r="N75"/>
          <cell r="O75"/>
          <cell r="P75" t="str">
            <v>Roll</v>
          </cell>
        </row>
        <row r="76">
          <cell r="B76">
            <v>74</v>
          </cell>
          <cell r="C76" t="str">
            <v>Fusing</v>
          </cell>
          <cell r="D76" t="str">
            <v>Thịnh Vượng Toàn Cầu</v>
          </cell>
          <cell r="E76" t="str">
            <v>6118FW</v>
          </cell>
          <cell r="F76" t="str">
            <v>TVC</v>
          </cell>
          <cell r="G76" t="str">
            <v>Width 100cm</v>
          </cell>
          <cell r="H76" t="str">
            <v>yard</v>
          </cell>
          <cell r="I76" t="str">
            <v>White</v>
          </cell>
          <cell r="J76"/>
          <cell r="K76">
            <v>100</v>
          </cell>
          <cell r="L76"/>
          <cell r="M76">
            <v>185000</v>
          </cell>
          <cell r="N76"/>
          <cell r="O76"/>
          <cell r="P76" t="str">
            <v>Roll</v>
          </cell>
        </row>
        <row r="77">
          <cell r="B77">
            <v>75</v>
          </cell>
          <cell r="C77" t="str">
            <v>Fusing</v>
          </cell>
          <cell r="D77" t="str">
            <v>Thịnh Vượng Toàn Cầu</v>
          </cell>
          <cell r="E77" t="str">
            <v>6118FG</v>
          </cell>
          <cell r="F77" t="str">
            <v>TVC</v>
          </cell>
          <cell r="G77" t="str">
            <v>Width 100cm</v>
          </cell>
          <cell r="H77" t="str">
            <v>yard</v>
          </cell>
          <cell r="I77" t="str">
            <v>Grey</v>
          </cell>
          <cell r="J77"/>
          <cell r="K77">
            <v>100</v>
          </cell>
          <cell r="L77"/>
          <cell r="M77">
            <v>190000</v>
          </cell>
          <cell r="N77"/>
          <cell r="O77"/>
          <cell r="P77" t="str">
            <v>Roll</v>
          </cell>
        </row>
        <row r="78">
          <cell r="B78">
            <v>76</v>
          </cell>
          <cell r="C78" t="str">
            <v>Fusing</v>
          </cell>
          <cell r="D78" t="str">
            <v>Thịnh Vượng Toàn Cầu</v>
          </cell>
          <cell r="E78" t="str">
            <v>6515FG</v>
          </cell>
          <cell r="F78" t="str">
            <v>TVC</v>
          </cell>
          <cell r="G78" t="str">
            <v>Width 100cm</v>
          </cell>
          <cell r="H78" t="str">
            <v>yard</v>
          </cell>
          <cell r="I78" t="str">
            <v>Grey</v>
          </cell>
          <cell r="J78"/>
          <cell r="K78">
            <v>100</v>
          </cell>
          <cell r="L78"/>
          <cell r="M78">
            <v>300000</v>
          </cell>
          <cell r="N78"/>
          <cell r="O78"/>
          <cell r="P78" t="str">
            <v>Roll</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ulk"/>
      <sheetName val="Balance"/>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row>
        <row r="2">
          <cell r="A2" t="str">
            <v>PO Number</v>
          </cell>
          <cell r="B2" t="str">
            <v>Style</v>
          </cell>
          <cell r="C2" t="str">
            <v>Concept</v>
          </cell>
          <cell r="D2" t="str">
            <v>Size XS</v>
          </cell>
          <cell r="E2" t="str">
            <v>Size S</v>
          </cell>
          <cell r="F2" t="str">
            <v>Size M</v>
          </cell>
          <cell r="G2" t="str">
            <v>Size L</v>
          </cell>
          <cell r="H2" t="str">
            <v>Size XL</v>
          </cell>
          <cell r="I2" t="str">
            <v>1X</v>
          </cell>
          <cell r="J2" t="str">
            <v>2X</v>
          </cell>
          <cell r="K2" t="str">
            <v>3X</v>
          </cell>
          <cell r="L2" t="str">
            <v>S/M</v>
          </cell>
          <cell r="M2" t="str">
            <v>L/XL</v>
          </cell>
          <cell r="N2" t="str">
            <v>OS</v>
          </cell>
        </row>
        <row r="3">
          <cell r="A3">
            <v>621736</v>
          </cell>
          <cell r="B3" t="str">
            <v>1-95312-65</v>
          </cell>
          <cell r="C3" t="str">
            <v>MH43SM16016D</v>
          </cell>
          <cell r="D3">
            <v>50</v>
          </cell>
          <cell r="E3">
            <v>245</v>
          </cell>
          <cell r="F3">
            <v>312</v>
          </cell>
          <cell r="G3">
            <v>216</v>
          </cell>
          <cell r="H3">
            <v>131</v>
          </cell>
          <cell r="I3"/>
          <cell r="J3"/>
          <cell r="K3"/>
          <cell r="L3"/>
          <cell r="M3"/>
        </row>
        <row r="4">
          <cell r="A4">
            <v>621733</v>
          </cell>
          <cell r="B4" t="str">
            <v>1-95312-58</v>
          </cell>
          <cell r="C4" t="str">
            <v>MH43SM16016D</v>
          </cell>
          <cell r="D4">
            <v>372</v>
          </cell>
          <cell r="E4">
            <v>1836</v>
          </cell>
          <cell r="F4">
            <v>2337</v>
          </cell>
          <cell r="G4">
            <v>1621</v>
          </cell>
          <cell r="H4">
            <v>981</v>
          </cell>
          <cell r="I4"/>
          <cell r="J4"/>
          <cell r="K4"/>
          <cell r="L4"/>
          <cell r="M4"/>
        </row>
        <row r="5">
          <cell r="A5">
            <v>621734</v>
          </cell>
          <cell r="B5" t="str">
            <v>1-95312-01</v>
          </cell>
          <cell r="C5" t="str">
            <v>MH43SM16016D</v>
          </cell>
          <cell r="D5">
            <v>230</v>
          </cell>
          <cell r="E5">
            <v>1136</v>
          </cell>
          <cell r="F5">
            <v>1445</v>
          </cell>
          <cell r="G5">
            <v>1003</v>
          </cell>
          <cell r="H5">
            <v>607</v>
          </cell>
          <cell r="I5"/>
          <cell r="J5"/>
          <cell r="K5"/>
          <cell r="L5"/>
          <cell r="M5"/>
        </row>
        <row r="6">
          <cell r="A6">
            <v>621735</v>
          </cell>
          <cell r="B6" t="str">
            <v xml:space="preserve">1-97710-48  </v>
          </cell>
          <cell r="C6" t="str">
            <v>MH43SM16016D</v>
          </cell>
          <cell r="D6">
            <v>128</v>
          </cell>
          <cell r="E6">
            <v>705</v>
          </cell>
          <cell r="F6">
            <v>867</v>
          </cell>
          <cell r="G6">
            <v>605</v>
          </cell>
          <cell r="H6">
            <v>378</v>
          </cell>
          <cell r="I6"/>
          <cell r="J6"/>
          <cell r="K6"/>
          <cell r="L6"/>
          <cell r="M6"/>
        </row>
        <row r="7">
          <cell r="A7">
            <v>621663</v>
          </cell>
          <cell r="B7" t="str">
            <v>1-93121-06</v>
          </cell>
          <cell r="C7" t="str">
            <v>MH43SP18022D</v>
          </cell>
          <cell r="D7">
            <v>391</v>
          </cell>
          <cell r="E7">
            <v>1884</v>
          </cell>
          <cell r="F7">
            <v>2364</v>
          </cell>
          <cell r="G7">
            <v>1747</v>
          </cell>
          <cell r="H7">
            <v>977</v>
          </cell>
          <cell r="I7"/>
          <cell r="J7"/>
          <cell r="K7"/>
          <cell r="L7"/>
          <cell r="M7"/>
        </row>
        <row r="8">
          <cell r="A8" t="str">
            <v>E621663</v>
          </cell>
          <cell r="B8" t="str">
            <v>1-93121-06E</v>
          </cell>
          <cell r="C8" t="str">
            <v>MH43SP18022D</v>
          </cell>
          <cell r="D8"/>
          <cell r="E8">
            <v>10</v>
          </cell>
          <cell r="F8">
            <v>15</v>
          </cell>
          <cell r="G8">
            <v>15</v>
          </cell>
          <cell r="H8">
            <v>10</v>
          </cell>
          <cell r="I8"/>
          <cell r="J8"/>
          <cell r="K8"/>
          <cell r="L8"/>
          <cell r="M8"/>
        </row>
        <row r="9">
          <cell r="A9">
            <v>621725</v>
          </cell>
          <cell r="B9" t="str">
            <v>1-93121-15</v>
          </cell>
          <cell r="C9" t="str">
            <v>MH43SP18022D</v>
          </cell>
          <cell r="D9">
            <v>233</v>
          </cell>
          <cell r="E9">
            <v>1121</v>
          </cell>
          <cell r="F9">
            <v>1406</v>
          </cell>
          <cell r="G9">
            <v>1040</v>
          </cell>
          <cell r="H9">
            <v>582</v>
          </cell>
          <cell r="I9"/>
          <cell r="J9"/>
          <cell r="K9"/>
          <cell r="L9"/>
          <cell r="M9"/>
        </row>
        <row r="10">
          <cell r="A10">
            <v>621726</v>
          </cell>
          <cell r="B10" t="str">
            <v>1-93121-47</v>
          </cell>
          <cell r="C10" t="str">
            <v>MH43SP18022D</v>
          </cell>
          <cell r="D10">
            <v>394</v>
          </cell>
          <cell r="E10">
            <v>1817</v>
          </cell>
          <cell r="F10">
            <v>2295</v>
          </cell>
          <cell r="G10">
            <v>1817</v>
          </cell>
          <cell r="H10">
            <v>956</v>
          </cell>
          <cell r="I10"/>
          <cell r="J10"/>
          <cell r="K10"/>
          <cell r="L10"/>
          <cell r="M10"/>
        </row>
        <row r="11">
          <cell r="A11" t="str">
            <v>E621726</v>
          </cell>
          <cell r="B11" t="str">
            <v>1-93121-47E</v>
          </cell>
          <cell r="C11" t="str">
            <v>MH43SP18022D</v>
          </cell>
          <cell r="D11"/>
          <cell r="E11">
            <v>8</v>
          </cell>
          <cell r="F11">
            <v>12</v>
          </cell>
          <cell r="G11">
            <v>12</v>
          </cell>
          <cell r="H11">
            <v>8</v>
          </cell>
          <cell r="I11"/>
          <cell r="J11"/>
          <cell r="K11"/>
          <cell r="L11"/>
          <cell r="M11"/>
        </row>
        <row r="12">
          <cell r="A12">
            <v>621727</v>
          </cell>
          <cell r="B12" t="str">
            <v>1-93121-16</v>
          </cell>
          <cell r="C12" t="str">
            <v>MH43SP18022D</v>
          </cell>
          <cell r="D12">
            <v>370</v>
          </cell>
          <cell r="E12">
            <v>1708</v>
          </cell>
          <cell r="F12">
            <v>2157</v>
          </cell>
          <cell r="G12">
            <v>1708</v>
          </cell>
          <cell r="H12">
            <v>899</v>
          </cell>
          <cell r="I12"/>
          <cell r="J12"/>
          <cell r="K12"/>
          <cell r="L12"/>
          <cell r="M12"/>
        </row>
        <row r="13">
          <cell r="A13" t="str">
            <v>E621727</v>
          </cell>
          <cell r="B13" t="str">
            <v>1-93121-16E</v>
          </cell>
          <cell r="C13" t="str">
            <v>MH43SP18022D</v>
          </cell>
          <cell r="D13"/>
          <cell r="E13">
            <v>8</v>
          </cell>
          <cell r="F13">
            <v>12</v>
          </cell>
          <cell r="G13">
            <v>12</v>
          </cell>
          <cell r="H13">
            <v>8</v>
          </cell>
          <cell r="I13"/>
          <cell r="J13"/>
          <cell r="K13"/>
          <cell r="L13"/>
          <cell r="M13"/>
        </row>
        <row r="14">
          <cell r="A14">
            <v>621728</v>
          </cell>
          <cell r="B14" t="str">
            <v>1-93121-87</v>
          </cell>
          <cell r="C14" t="str">
            <v>MH43SP18022D</v>
          </cell>
          <cell r="D14">
            <v>204</v>
          </cell>
          <cell r="E14">
            <v>944</v>
          </cell>
          <cell r="F14">
            <v>1191</v>
          </cell>
          <cell r="G14">
            <v>943</v>
          </cell>
          <cell r="H14">
            <v>496</v>
          </cell>
          <cell r="I14"/>
          <cell r="J14"/>
          <cell r="K14"/>
          <cell r="L14"/>
          <cell r="M14"/>
        </row>
        <row r="15">
          <cell r="A15">
            <v>621643</v>
          </cell>
          <cell r="B15" t="str">
            <v>1-95219-01</v>
          </cell>
          <cell r="C15" t="str">
            <v>MH43SP19047D</v>
          </cell>
          <cell r="D15">
            <v>269</v>
          </cell>
          <cell r="E15">
            <v>1076</v>
          </cell>
          <cell r="F15">
            <v>1345</v>
          </cell>
          <cell r="G15">
            <v>942</v>
          </cell>
          <cell r="H15">
            <v>583</v>
          </cell>
          <cell r="I15"/>
          <cell r="J15"/>
          <cell r="K15"/>
          <cell r="L15"/>
          <cell r="M15"/>
        </row>
        <row r="16">
          <cell r="A16">
            <v>621647</v>
          </cell>
          <cell r="B16" t="str">
            <v>1-95219-01</v>
          </cell>
          <cell r="C16" t="str">
            <v>MH43SP19047D</v>
          </cell>
          <cell r="D16">
            <v>64</v>
          </cell>
          <cell r="E16">
            <v>255</v>
          </cell>
          <cell r="F16">
            <v>319</v>
          </cell>
          <cell r="G16">
            <v>224</v>
          </cell>
          <cell r="H16">
            <v>138</v>
          </cell>
          <cell r="I16"/>
          <cell r="J16"/>
          <cell r="K16"/>
          <cell r="L16"/>
          <cell r="M16"/>
        </row>
        <row r="17">
          <cell r="A17">
            <v>621652</v>
          </cell>
          <cell r="B17" t="str">
            <v>1-95219-01</v>
          </cell>
          <cell r="C17" t="str">
            <v>MH43SP19047D</v>
          </cell>
          <cell r="D17">
            <v>32</v>
          </cell>
          <cell r="E17">
            <v>128</v>
          </cell>
          <cell r="F17">
            <v>160</v>
          </cell>
          <cell r="G17">
            <v>111</v>
          </cell>
          <cell r="H17">
            <v>69</v>
          </cell>
          <cell r="I17"/>
          <cell r="J17"/>
          <cell r="K17"/>
          <cell r="L17"/>
          <cell r="M17"/>
        </row>
        <row r="18">
          <cell r="A18">
            <v>621729</v>
          </cell>
          <cell r="B18" t="str">
            <v>1-95219-14</v>
          </cell>
          <cell r="C18" t="str">
            <v>MH43SP19047D</v>
          </cell>
          <cell r="D18">
            <v>338</v>
          </cell>
          <cell r="E18">
            <v>1853</v>
          </cell>
          <cell r="F18">
            <v>2281</v>
          </cell>
          <cell r="G18">
            <v>1591</v>
          </cell>
          <cell r="H18">
            <v>992</v>
          </cell>
          <cell r="I18"/>
          <cell r="J18"/>
          <cell r="K18"/>
          <cell r="L18"/>
          <cell r="M18"/>
        </row>
        <row r="19">
          <cell r="A19">
            <v>621730</v>
          </cell>
          <cell r="B19" t="str">
            <v>1-95219-86</v>
          </cell>
          <cell r="C19" t="str">
            <v>MH43SP19047D</v>
          </cell>
          <cell r="D19">
            <v>207</v>
          </cell>
          <cell r="E19">
            <v>1141</v>
          </cell>
          <cell r="F19">
            <v>1404</v>
          </cell>
          <cell r="G19">
            <v>980</v>
          </cell>
          <cell r="H19">
            <v>611</v>
          </cell>
          <cell r="I19"/>
          <cell r="J19"/>
          <cell r="K19"/>
          <cell r="L19"/>
          <cell r="M19"/>
        </row>
        <row r="20">
          <cell r="A20">
            <v>621731</v>
          </cell>
          <cell r="B20" t="str">
            <v>1-95219-45</v>
          </cell>
          <cell r="C20" t="str">
            <v>MH43SP19047D</v>
          </cell>
          <cell r="D20">
            <v>193</v>
          </cell>
          <cell r="E20">
            <v>1062</v>
          </cell>
          <cell r="F20">
            <v>1307</v>
          </cell>
          <cell r="G20">
            <v>911</v>
          </cell>
          <cell r="H20">
            <v>568</v>
          </cell>
          <cell r="I20"/>
          <cell r="J20"/>
          <cell r="K20"/>
          <cell r="L20"/>
          <cell r="M20"/>
        </row>
        <row r="21">
          <cell r="A21">
            <v>621732</v>
          </cell>
          <cell r="B21" t="str">
            <v>1-95219-76</v>
          </cell>
          <cell r="C21" t="str">
            <v>MH43SP19047D</v>
          </cell>
          <cell r="D21">
            <v>347</v>
          </cell>
          <cell r="E21">
            <v>1911</v>
          </cell>
          <cell r="F21">
            <v>2352</v>
          </cell>
          <cell r="G21">
            <v>1641</v>
          </cell>
          <cell r="H21">
            <v>1023</v>
          </cell>
          <cell r="I21"/>
          <cell r="J21"/>
          <cell r="K21"/>
          <cell r="L21"/>
          <cell r="M21"/>
        </row>
        <row r="22">
          <cell r="A22">
            <v>622844</v>
          </cell>
          <cell r="B22" t="str">
            <v>1-95348-86</v>
          </cell>
          <cell r="C22" t="str">
            <v>MH43SP19032D</v>
          </cell>
          <cell r="D22"/>
          <cell r="E22"/>
          <cell r="F22"/>
          <cell r="G22"/>
          <cell r="H22"/>
          <cell r="I22"/>
          <cell r="J22"/>
          <cell r="K22"/>
          <cell r="L22"/>
          <cell r="M22"/>
          <cell r="N22">
            <v>6280</v>
          </cell>
        </row>
        <row r="23">
          <cell r="A23">
            <v>622434</v>
          </cell>
          <cell r="B23" t="str">
            <v>1-95464-87</v>
          </cell>
          <cell r="C23" t="str">
            <v>MH57SP19009D</v>
          </cell>
          <cell r="D23"/>
          <cell r="E23"/>
          <cell r="F23"/>
          <cell r="G23"/>
          <cell r="H23"/>
          <cell r="I23">
            <v>672</v>
          </cell>
          <cell r="J23">
            <v>672</v>
          </cell>
          <cell r="K23">
            <v>337</v>
          </cell>
          <cell r="L23"/>
          <cell r="M23"/>
        </row>
        <row r="24">
          <cell r="A24">
            <v>622597</v>
          </cell>
          <cell r="B24" t="str">
            <v>1-95251-44</v>
          </cell>
          <cell r="C24" t="str">
            <v>MH43SP19003D</v>
          </cell>
          <cell r="D24"/>
          <cell r="E24">
            <v>770</v>
          </cell>
          <cell r="F24">
            <v>979</v>
          </cell>
          <cell r="G24">
            <v>730</v>
          </cell>
          <cell r="H24">
            <v>430</v>
          </cell>
          <cell r="I24"/>
          <cell r="J24"/>
          <cell r="K24"/>
          <cell r="L24"/>
          <cell r="M24"/>
        </row>
        <row r="25">
          <cell r="A25">
            <v>622596</v>
          </cell>
          <cell r="B25" t="str">
            <v>1-95248-44</v>
          </cell>
          <cell r="C25" t="str">
            <v>MH43SP19006D</v>
          </cell>
          <cell r="D25"/>
          <cell r="E25"/>
          <cell r="F25"/>
          <cell r="G25"/>
          <cell r="H25"/>
          <cell r="I25"/>
          <cell r="J25"/>
          <cell r="K25"/>
          <cell r="L25"/>
          <cell r="M25"/>
          <cell r="N25">
            <v>3015</v>
          </cell>
        </row>
        <row r="26">
          <cell r="A26" t="str">
            <v>I622465</v>
          </cell>
          <cell r="B26" t="str">
            <v>1-95268-57I</v>
          </cell>
          <cell r="C26" t="str">
            <v>MH49SP19006D</v>
          </cell>
          <cell r="D26"/>
          <cell r="E26">
            <v>19</v>
          </cell>
          <cell r="F26">
            <v>27</v>
          </cell>
          <cell r="G26">
            <v>19</v>
          </cell>
          <cell r="H26">
            <v>16</v>
          </cell>
          <cell r="I26"/>
          <cell r="J26"/>
          <cell r="K26"/>
          <cell r="L26"/>
          <cell r="M26"/>
        </row>
        <row r="27">
          <cell r="A27">
            <v>622465</v>
          </cell>
          <cell r="B27" t="str">
            <v>1-95268-57</v>
          </cell>
          <cell r="C27" t="str">
            <v>MH49SP19006D</v>
          </cell>
          <cell r="D27"/>
          <cell r="E27">
            <v>1010</v>
          </cell>
          <cell r="F27">
            <v>1394</v>
          </cell>
          <cell r="G27">
            <v>1006</v>
          </cell>
          <cell r="H27">
            <v>464</v>
          </cell>
          <cell r="I27"/>
          <cell r="J27"/>
          <cell r="K27"/>
          <cell r="L27"/>
          <cell r="M27"/>
        </row>
        <row r="28">
          <cell r="A28">
            <v>621741</v>
          </cell>
          <cell r="B28" t="str">
            <v>1-95386-29</v>
          </cell>
          <cell r="C28" t="str">
            <v>MH43SP19023D</v>
          </cell>
          <cell r="D28"/>
          <cell r="E28">
            <v>800</v>
          </cell>
          <cell r="F28">
            <v>1104</v>
          </cell>
          <cell r="G28">
            <v>890</v>
          </cell>
          <cell r="H28">
            <v>606</v>
          </cell>
          <cell r="I28"/>
          <cell r="J28"/>
          <cell r="K28"/>
          <cell r="L28"/>
          <cell r="M28"/>
        </row>
        <row r="29">
          <cell r="A29" t="str">
            <v>E621734</v>
          </cell>
          <cell r="B29" t="str">
            <v>1-95312-01E</v>
          </cell>
          <cell r="C29" t="str">
            <v>MH43SM16016D</v>
          </cell>
          <cell r="D29"/>
          <cell r="E29">
            <v>8</v>
          </cell>
          <cell r="F29">
            <v>14</v>
          </cell>
          <cell r="G29">
            <v>13</v>
          </cell>
          <cell r="H29">
            <v>8</v>
          </cell>
          <cell r="I29"/>
          <cell r="J29"/>
          <cell r="K29"/>
          <cell r="L29"/>
          <cell r="M29"/>
        </row>
        <row r="30">
          <cell r="A30" t="str">
            <v>E621735</v>
          </cell>
          <cell r="B30" t="str">
            <v xml:space="preserve">1-97710-48E  </v>
          </cell>
          <cell r="C30" t="str">
            <v>MH43SM16016D</v>
          </cell>
          <cell r="D30"/>
          <cell r="E30">
            <v>11</v>
          </cell>
          <cell r="F30">
            <v>17</v>
          </cell>
          <cell r="G30">
            <v>17</v>
          </cell>
          <cell r="H30">
            <v>12</v>
          </cell>
          <cell r="I30"/>
          <cell r="J30"/>
          <cell r="K30"/>
          <cell r="L30"/>
          <cell r="M30"/>
        </row>
        <row r="31">
          <cell r="A31" t="str">
            <v>E621643</v>
          </cell>
          <cell r="B31" t="str">
            <v>1-95219-01E</v>
          </cell>
          <cell r="C31" t="str">
            <v>MH43SP19047D</v>
          </cell>
          <cell r="D31">
            <v>19</v>
          </cell>
          <cell r="E31">
            <v>38</v>
          </cell>
          <cell r="F31">
            <v>45</v>
          </cell>
          <cell r="G31">
            <v>30</v>
          </cell>
          <cell r="H31">
            <v>18</v>
          </cell>
          <cell r="I31"/>
          <cell r="J31"/>
          <cell r="K31"/>
          <cell r="L31"/>
          <cell r="M31"/>
        </row>
        <row r="32">
          <cell r="A32" t="str">
            <v>I621731</v>
          </cell>
          <cell r="B32" t="str">
            <v>1-95219-45I</v>
          </cell>
          <cell r="C32" t="str">
            <v>MH43SP19047D</v>
          </cell>
          <cell r="D32"/>
          <cell r="E32">
            <v>77</v>
          </cell>
          <cell r="F32">
            <v>99</v>
          </cell>
          <cell r="G32">
            <v>131</v>
          </cell>
          <cell r="H32">
            <v>61</v>
          </cell>
          <cell r="I32"/>
          <cell r="J32"/>
          <cell r="K32"/>
          <cell r="L32"/>
          <cell r="M32"/>
        </row>
        <row r="33">
          <cell r="A33" t="str">
            <v>E621773</v>
          </cell>
          <cell r="B33" t="str">
            <v>1-95467-87E</v>
          </cell>
          <cell r="C33" t="str">
            <v>MH57SP19004D</v>
          </cell>
          <cell r="D33"/>
          <cell r="E33"/>
          <cell r="F33"/>
          <cell r="G33"/>
          <cell r="H33"/>
          <cell r="I33">
            <v>12</v>
          </cell>
          <cell r="J33">
            <v>19</v>
          </cell>
          <cell r="K33">
            <v>19</v>
          </cell>
          <cell r="L33"/>
          <cell r="M33"/>
        </row>
        <row r="34">
          <cell r="A34" t="str">
            <v>E621729</v>
          </cell>
          <cell r="B34" t="str">
            <v>1-95219-14E</v>
          </cell>
          <cell r="C34" t="str">
            <v>MH43SP19047D</v>
          </cell>
          <cell r="D34"/>
          <cell r="E34">
            <v>8</v>
          </cell>
          <cell r="F34">
            <v>13</v>
          </cell>
          <cell r="G34">
            <v>13</v>
          </cell>
          <cell r="H34">
            <v>9</v>
          </cell>
          <cell r="I34"/>
          <cell r="J34"/>
          <cell r="K34"/>
          <cell r="L34"/>
          <cell r="M34"/>
        </row>
        <row r="35">
          <cell r="A35">
            <v>621773</v>
          </cell>
          <cell r="B35" t="str">
            <v>1-95467-87</v>
          </cell>
          <cell r="C35" t="str">
            <v>MH57SP19004D</v>
          </cell>
          <cell r="D35"/>
          <cell r="E35"/>
          <cell r="F35"/>
          <cell r="G35"/>
          <cell r="H35"/>
          <cell r="I35">
            <v>121</v>
          </cell>
          <cell r="J35">
            <v>121</v>
          </cell>
          <cell r="K35">
            <v>60</v>
          </cell>
          <cell r="L35"/>
          <cell r="M35"/>
        </row>
        <row r="36">
          <cell r="A36">
            <v>623454</v>
          </cell>
          <cell r="B36" t="str">
            <v>1-95628-76</v>
          </cell>
          <cell r="C36" t="str">
            <v>MH57SP19055D</v>
          </cell>
          <cell r="D36"/>
          <cell r="E36"/>
          <cell r="F36"/>
          <cell r="G36"/>
          <cell r="H36"/>
          <cell r="I36">
            <v>88</v>
          </cell>
          <cell r="J36">
            <v>106</v>
          </cell>
          <cell r="K36">
            <v>58</v>
          </cell>
          <cell r="L36"/>
          <cell r="M36"/>
        </row>
        <row r="37">
          <cell r="A37">
            <v>623456</v>
          </cell>
          <cell r="B37" t="str">
            <v>1-95628-44</v>
          </cell>
          <cell r="C37" t="str">
            <v>MH57SP19055D</v>
          </cell>
          <cell r="D37"/>
          <cell r="E37"/>
          <cell r="F37"/>
          <cell r="G37"/>
          <cell r="H37"/>
          <cell r="I37">
            <v>81</v>
          </cell>
          <cell r="J37">
            <v>97</v>
          </cell>
          <cell r="K37">
            <v>53</v>
          </cell>
          <cell r="L37"/>
          <cell r="M37"/>
        </row>
        <row r="38">
          <cell r="A38">
            <v>623582</v>
          </cell>
          <cell r="B38" t="str">
            <v>1-93896-50</v>
          </cell>
          <cell r="C38" t="str">
            <v>MH57SP18050D</v>
          </cell>
          <cell r="D38"/>
          <cell r="E38"/>
          <cell r="F38"/>
          <cell r="G38"/>
          <cell r="H38"/>
          <cell r="I38">
            <v>71</v>
          </cell>
          <cell r="J38">
            <v>85</v>
          </cell>
          <cell r="K38">
            <v>46</v>
          </cell>
          <cell r="L38"/>
          <cell r="M38"/>
        </row>
        <row r="39">
          <cell r="A39">
            <v>623583</v>
          </cell>
          <cell r="B39" t="str">
            <v>1-93896-01</v>
          </cell>
          <cell r="C39" t="str">
            <v>MH57SP18050D</v>
          </cell>
          <cell r="D39"/>
          <cell r="E39"/>
          <cell r="F39"/>
          <cell r="G39"/>
          <cell r="H39"/>
          <cell r="I39">
            <v>71</v>
          </cell>
          <cell r="J39">
            <v>85</v>
          </cell>
          <cell r="K39">
            <v>46</v>
          </cell>
          <cell r="L39"/>
          <cell r="M39"/>
        </row>
        <row r="40">
          <cell r="A40">
            <v>623452</v>
          </cell>
          <cell r="B40" t="str">
            <v>1-95648-87</v>
          </cell>
          <cell r="C40" t="str">
            <v>MH57SP19051D</v>
          </cell>
          <cell r="D40"/>
          <cell r="E40"/>
          <cell r="F40"/>
          <cell r="G40"/>
          <cell r="H40"/>
          <cell r="I40">
            <v>64</v>
          </cell>
          <cell r="J40">
            <v>76</v>
          </cell>
          <cell r="K40">
            <v>42</v>
          </cell>
          <cell r="L40"/>
          <cell r="M40"/>
        </row>
        <row r="41">
          <cell r="A41">
            <v>622863</v>
          </cell>
          <cell r="B41" t="str">
            <v>1-90760-86</v>
          </cell>
          <cell r="C41" t="str">
            <v>MH45SP17036D</v>
          </cell>
          <cell r="D41">
            <v>56</v>
          </cell>
          <cell r="E41">
            <v>998</v>
          </cell>
          <cell r="F41">
            <v>832</v>
          </cell>
          <cell r="G41">
            <v>470</v>
          </cell>
          <cell r="H41">
            <v>416</v>
          </cell>
          <cell r="I41"/>
          <cell r="J41"/>
          <cell r="K41"/>
          <cell r="L41"/>
          <cell r="M41"/>
        </row>
        <row r="42">
          <cell r="A42" t="str">
            <v>E622863</v>
          </cell>
          <cell r="B42" t="str">
            <v>1-90760-86E</v>
          </cell>
          <cell r="C42" t="str">
            <v>MH45SP17036D</v>
          </cell>
          <cell r="D42"/>
          <cell r="E42">
            <v>14</v>
          </cell>
          <cell r="F42">
            <v>23</v>
          </cell>
          <cell r="G42">
            <v>23</v>
          </cell>
          <cell r="H42">
            <v>15</v>
          </cell>
          <cell r="I42"/>
          <cell r="J42"/>
          <cell r="K42"/>
          <cell r="L42"/>
          <cell r="M42"/>
        </row>
        <row r="43">
          <cell r="A43">
            <v>622856</v>
          </cell>
          <cell r="B43" t="str">
            <v>1-90760-45</v>
          </cell>
          <cell r="C43" t="str">
            <v>MH45SP17036D</v>
          </cell>
          <cell r="D43">
            <v>140</v>
          </cell>
          <cell r="E43">
            <v>2470</v>
          </cell>
          <cell r="F43">
            <v>2060</v>
          </cell>
          <cell r="G43">
            <v>1165</v>
          </cell>
          <cell r="H43">
            <v>1030</v>
          </cell>
          <cell r="I43"/>
          <cell r="J43"/>
          <cell r="K43"/>
          <cell r="L43"/>
          <cell r="M43"/>
        </row>
        <row r="44">
          <cell r="A44" t="str">
            <v>I622856</v>
          </cell>
          <cell r="B44" t="str">
            <v>1-90760-45I</v>
          </cell>
          <cell r="C44" t="str">
            <v>MH45SP17036D</v>
          </cell>
          <cell r="D44">
            <v>17</v>
          </cell>
          <cell r="E44">
            <v>22</v>
          </cell>
          <cell r="F44">
            <v>29</v>
          </cell>
          <cell r="G44">
            <v>14</v>
          </cell>
          <cell r="H44"/>
          <cell r="I44"/>
          <cell r="J44"/>
          <cell r="K44"/>
          <cell r="L44"/>
          <cell r="M44"/>
        </row>
        <row r="45">
          <cell r="A45" t="str">
            <v>E622856</v>
          </cell>
          <cell r="B45" t="str">
            <v>1-90760-45E</v>
          </cell>
          <cell r="C45" t="str">
            <v>MH45SP17036D</v>
          </cell>
          <cell r="D45"/>
          <cell r="E45">
            <v>10</v>
          </cell>
          <cell r="F45">
            <v>15</v>
          </cell>
          <cell r="G45">
            <v>15</v>
          </cell>
          <cell r="H45">
            <v>10</v>
          </cell>
          <cell r="I45"/>
          <cell r="J45"/>
          <cell r="K45"/>
          <cell r="L45"/>
          <cell r="M45"/>
        </row>
        <row r="46">
          <cell r="A46">
            <v>622860</v>
          </cell>
          <cell r="B46" t="str">
            <v>1-90760-45</v>
          </cell>
          <cell r="C46" t="str">
            <v>MH45SP17036D</v>
          </cell>
          <cell r="D46">
            <v>35</v>
          </cell>
          <cell r="E46">
            <v>650</v>
          </cell>
          <cell r="F46">
            <v>540</v>
          </cell>
          <cell r="G46">
            <v>305</v>
          </cell>
          <cell r="H46">
            <v>270</v>
          </cell>
          <cell r="I46"/>
          <cell r="J46"/>
          <cell r="K46"/>
          <cell r="L46"/>
          <cell r="M46"/>
        </row>
        <row r="47">
          <cell r="A47">
            <v>622861</v>
          </cell>
          <cell r="B47" t="str">
            <v>1-90760-45</v>
          </cell>
          <cell r="C47" t="str">
            <v>MH45SP17036D</v>
          </cell>
          <cell r="D47">
            <v>65</v>
          </cell>
          <cell r="E47">
            <v>1190</v>
          </cell>
          <cell r="F47">
            <v>995</v>
          </cell>
          <cell r="G47">
            <v>565</v>
          </cell>
          <cell r="H47">
            <v>495</v>
          </cell>
          <cell r="I47"/>
          <cell r="J47"/>
          <cell r="K47"/>
          <cell r="L47"/>
          <cell r="M47"/>
        </row>
        <row r="48">
          <cell r="A48">
            <v>623253</v>
          </cell>
          <cell r="B48" t="str">
            <v>1-95504-76</v>
          </cell>
          <cell r="C48" t="str">
            <v>MH43SP19031D</v>
          </cell>
          <cell r="D48"/>
          <cell r="E48">
            <v>484</v>
          </cell>
          <cell r="F48">
            <v>588</v>
          </cell>
          <cell r="G48">
            <v>440</v>
          </cell>
          <cell r="H48">
            <v>260</v>
          </cell>
          <cell r="I48"/>
          <cell r="J48"/>
          <cell r="K48"/>
          <cell r="L48"/>
          <cell r="M48"/>
        </row>
        <row r="49">
          <cell r="A49">
            <v>623254</v>
          </cell>
          <cell r="B49" t="str">
            <v>1-95504-44</v>
          </cell>
          <cell r="C49" t="str">
            <v>MH43SP19031D</v>
          </cell>
          <cell r="D49"/>
          <cell r="E49">
            <v>377</v>
          </cell>
          <cell r="F49">
            <v>457</v>
          </cell>
          <cell r="G49">
            <v>343</v>
          </cell>
          <cell r="H49">
            <v>203</v>
          </cell>
          <cell r="I49"/>
          <cell r="J49"/>
          <cell r="K49"/>
          <cell r="L49"/>
          <cell r="M49"/>
        </row>
        <row r="50">
          <cell r="A50">
            <v>623553</v>
          </cell>
          <cell r="B50" t="str">
            <v>1-97710-05</v>
          </cell>
          <cell r="C50" t="str">
            <v>MH43SM16016D</v>
          </cell>
          <cell r="D50">
            <v>272</v>
          </cell>
          <cell r="E50">
            <v>1342</v>
          </cell>
          <cell r="F50">
            <v>1708</v>
          </cell>
          <cell r="G50">
            <v>1185</v>
          </cell>
          <cell r="H50">
            <v>717</v>
          </cell>
          <cell r="I50"/>
          <cell r="J50"/>
          <cell r="K50"/>
          <cell r="L50"/>
          <cell r="M50"/>
        </row>
        <row r="51">
          <cell r="A51">
            <v>623558</v>
          </cell>
          <cell r="B51" t="str">
            <v>1-97710-12</v>
          </cell>
          <cell r="C51" t="str">
            <v>MH43SM16016D</v>
          </cell>
          <cell r="D51">
            <v>188</v>
          </cell>
          <cell r="E51">
            <v>926</v>
          </cell>
          <cell r="F51">
            <v>1178</v>
          </cell>
          <cell r="G51">
            <v>818</v>
          </cell>
          <cell r="H51">
            <v>495</v>
          </cell>
          <cell r="I51"/>
          <cell r="J51"/>
          <cell r="K51"/>
          <cell r="L51"/>
          <cell r="M51"/>
        </row>
        <row r="52">
          <cell r="A52">
            <v>623555</v>
          </cell>
          <cell r="B52" t="str">
            <v>1-97710-06</v>
          </cell>
          <cell r="C52" t="str">
            <v>MH43SM16016D</v>
          </cell>
          <cell r="D52">
            <v>26</v>
          </cell>
          <cell r="E52">
            <v>128</v>
          </cell>
          <cell r="F52">
            <v>163</v>
          </cell>
          <cell r="G52">
            <v>114</v>
          </cell>
          <cell r="H52">
            <v>69</v>
          </cell>
          <cell r="I52"/>
          <cell r="J52"/>
          <cell r="K52"/>
          <cell r="L52"/>
          <cell r="M52"/>
        </row>
        <row r="53">
          <cell r="A53">
            <v>623284</v>
          </cell>
          <cell r="B53" t="str">
            <v>1-95550-86</v>
          </cell>
          <cell r="C53" t="str">
            <v>MH45SP19031D</v>
          </cell>
          <cell r="D53">
            <v>68</v>
          </cell>
          <cell r="E53">
            <v>1210</v>
          </cell>
          <cell r="F53">
            <v>1010</v>
          </cell>
          <cell r="G53">
            <v>572</v>
          </cell>
          <cell r="H53">
            <v>504</v>
          </cell>
          <cell r="I53"/>
          <cell r="J53"/>
          <cell r="K53"/>
          <cell r="L53"/>
          <cell r="M53"/>
        </row>
        <row r="54">
          <cell r="A54">
            <v>623286</v>
          </cell>
          <cell r="B54" t="str">
            <v>1-95550-44</v>
          </cell>
          <cell r="C54" t="str">
            <v>MH45SP19031D</v>
          </cell>
          <cell r="D54">
            <v>60</v>
          </cell>
          <cell r="E54">
            <v>1064</v>
          </cell>
          <cell r="F54">
            <v>886</v>
          </cell>
          <cell r="G54">
            <v>502</v>
          </cell>
          <cell r="H54">
            <v>444</v>
          </cell>
          <cell r="I54"/>
          <cell r="J54"/>
          <cell r="K54"/>
          <cell r="L54"/>
          <cell r="M54"/>
        </row>
        <row r="55">
          <cell r="A55">
            <v>622538</v>
          </cell>
          <cell r="B55" t="str">
            <v>1-95267-45</v>
          </cell>
          <cell r="C55" t="str">
            <v>MH76SP19038D</v>
          </cell>
          <cell r="D55">
            <v>24</v>
          </cell>
          <cell r="E55">
            <v>184</v>
          </cell>
          <cell r="F55">
            <v>212</v>
          </cell>
          <cell r="G55">
            <v>128</v>
          </cell>
          <cell r="H55">
            <v>60</v>
          </cell>
          <cell r="I55"/>
          <cell r="J55"/>
          <cell r="K55"/>
          <cell r="L55"/>
          <cell r="M55"/>
        </row>
        <row r="56">
          <cell r="A56">
            <v>622695</v>
          </cell>
          <cell r="B56" t="str">
            <v>1-93121-06</v>
          </cell>
          <cell r="C56" t="str">
            <v>MH43SP18022D</v>
          </cell>
          <cell r="D56">
            <v>159</v>
          </cell>
          <cell r="E56">
            <v>766</v>
          </cell>
          <cell r="F56">
            <v>961</v>
          </cell>
          <cell r="G56">
            <v>711</v>
          </cell>
          <cell r="H56">
            <v>398</v>
          </cell>
          <cell r="I56"/>
          <cell r="J56"/>
          <cell r="K56"/>
          <cell r="L56"/>
          <cell r="M56"/>
        </row>
        <row r="57">
          <cell r="A57">
            <v>622696</v>
          </cell>
          <cell r="B57" t="str">
            <v>1-93121-15</v>
          </cell>
          <cell r="C57" t="str">
            <v>MH43SP18022D</v>
          </cell>
          <cell r="D57">
            <v>96</v>
          </cell>
          <cell r="E57">
            <v>604</v>
          </cell>
          <cell r="F57">
            <v>768</v>
          </cell>
          <cell r="G57">
            <v>585</v>
          </cell>
          <cell r="H57">
            <v>293</v>
          </cell>
          <cell r="I57"/>
          <cell r="J57"/>
          <cell r="K57"/>
          <cell r="L57"/>
          <cell r="M57"/>
        </row>
        <row r="58">
          <cell r="A58">
            <v>623433</v>
          </cell>
          <cell r="B58" t="str">
            <v>1-95633-45</v>
          </cell>
          <cell r="C58" t="str">
            <v>MH57SP19039D</v>
          </cell>
          <cell r="D58"/>
          <cell r="E58"/>
          <cell r="F58"/>
          <cell r="G58"/>
          <cell r="H58"/>
          <cell r="I58">
            <v>115</v>
          </cell>
          <cell r="J58">
            <v>118</v>
          </cell>
          <cell r="K58">
            <v>69</v>
          </cell>
          <cell r="L58"/>
          <cell r="M58"/>
        </row>
        <row r="59">
          <cell r="A59">
            <v>623886</v>
          </cell>
          <cell r="B59" t="str">
            <v>1-93121-07</v>
          </cell>
          <cell r="C59" t="str">
            <v>MH43SP18022D</v>
          </cell>
          <cell r="D59">
            <v>197</v>
          </cell>
          <cell r="E59">
            <v>948</v>
          </cell>
          <cell r="F59">
            <v>1189</v>
          </cell>
          <cell r="G59">
            <v>879</v>
          </cell>
          <cell r="H59">
            <v>492</v>
          </cell>
          <cell r="I59"/>
          <cell r="J59"/>
          <cell r="K59"/>
          <cell r="L59"/>
          <cell r="M59"/>
        </row>
        <row r="60">
          <cell r="A60">
            <v>623058</v>
          </cell>
          <cell r="B60" t="str">
            <v>1-93792-77</v>
          </cell>
          <cell r="C60" t="str">
            <v>MH17SM18006D</v>
          </cell>
          <cell r="D60"/>
          <cell r="E60">
            <v>1512</v>
          </cell>
          <cell r="F60">
            <v>1426</v>
          </cell>
          <cell r="G60">
            <v>924</v>
          </cell>
          <cell r="H60">
            <v>336</v>
          </cell>
          <cell r="I60"/>
          <cell r="J60"/>
          <cell r="K60"/>
          <cell r="L60"/>
          <cell r="M60"/>
        </row>
        <row r="61">
          <cell r="A61">
            <v>623442</v>
          </cell>
          <cell r="B61" t="str">
            <v>1-95645-44</v>
          </cell>
          <cell r="C61" t="str">
            <v>MH57SP19040D</v>
          </cell>
          <cell r="D61"/>
          <cell r="E61"/>
          <cell r="F61"/>
          <cell r="G61"/>
          <cell r="H61"/>
          <cell r="I61">
            <v>119</v>
          </cell>
          <cell r="J61">
            <v>122</v>
          </cell>
          <cell r="K61">
            <v>72</v>
          </cell>
          <cell r="L61"/>
          <cell r="M61"/>
        </row>
        <row r="62">
          <cell r="A62">
            <v>623441</v>
          </cell>
          <cell r="B62" t="str">
            <v>1-95645-86</v>
          </cell>
          <cell r="C62" t="str">
            <v>MH57SP19040D</v>
          </cell>
          <cell r="D62"/>
          <cell r="E62"/>
          <cell r="F62"/>
          <cell r="G62"/>
          <cell r="H62"/>
          <cell r="I62">
            <v>57</v>
          </cell>
          <cell r="J62">
            <v>59</v>
          </cell>
          <cell r="K62">
            <v>35</v>
          </cell>
          <cell r="L62"/>
          <cell r="M62"/>
        </row>
        <row r="63">
          <cell r="A63">
            <v>623840</v>
          </cell>
          <cell r="B63" t="str">
            <v>1-93896-58</v>
          </cell>
          <cell r="C63" t="str">
            <v>MH57SP18050D</v>
          </cell>
          <cell r="D63"/>
          <cell r="E63"/>
          <cell r="F63"/>
          <cell r="G63"/>
          <cell r="H63"/>
          <cell r="I63">
            <v>77</v>
          </cell>
          <cell r="J63">
            <v>77</v>
          </cell>
          <cell r="K63">
            <v>39</v>
          </cell>
          <cell r="L63"/>
          <cell r="M63"/>
        </row>
        <row r="64">
          <cell r="A64">
            <v>623842</v>
          </cell>
          <cell r="B64" t="str">
            <v>1-93896-02</v>
          </cell>
          <cell r="C64" t="str">
            <v>MH57SP18050D</v>
          </cell>
          <cell r="D64"/>
          <cell r="E64"/>
          <cell r="F64"/>
          <cell r="G64"/>
          <cell r="H64"/>
          <cell r="I64">
            <v>73</v>
          </cell>
          <cell r="J64">
            <v>73</v>
          </cell>
          <cell r="K64">
            <v>36</v>
          </cell>
          <cell r="L64"/>
          <cell r="M64"/>
        </row>
        <row r="65">
          <cell r="A65">
            <v>623891</v>
          </cell>
          <cell r="B65" t="str">
            <v>1-95648-47</v>
          </cell>
          <cell r="C65" t="str">
            <v>MH57SP19051D</v>
          </cell>
          <cell r="D65"/>
          <cell r="E65"/>
          <cell r="F65"/>
          <cell r="G65"/>
          <cell r="H65"/>
          <cell r="I65">
            <v>101</v>
          </cell>
          <cell r="J65">
            <v>101</v>
          </cell>
          <cell r="K65">
            <v>50</v>
          </cell>
          <cell r="L65"/>
          <cell r="M65"/>
        </row>
        <row r="66">
          <cell r="A66">
            <v>623892</v>
          </cell>
          <cell r="B66" t="str">
            <v>1-95648-16</v>
          </cell>
          <cell r="C66" t="str">
            <v>MH57SP19051D</v>
          </cell>
          <cell r="D66"/>
          <cell r="E66"/>
          <cell r="F66"/>
          <cell r="G66"/>
          <cell r="H66"/>
          <cell r="I66">
            <v>73</v>
          </cell>
          <cell r="J66">
            <v>73</v>
          </cell>
          <cell r="K66">
            <v>36</v>
          </cell>
          <cell r="L66"/>
          <cell r="M66"/>
        </row>
        <row r="67">
          <cell r="A67">
            <v>623893</v>
          </cell>
          <cell r="B67" t="str">
            <v>1-95467-45</v>
          </cell>
          <cell r="C67" t="str">
            <v>MH57SP19004D</v>
          </cell>
          <cell r="D67"/>
          <cell r="E67"/>
          <cell r="F67"/>
          <cell r="G67"/>
          <cell r="H67"/>
          <cell r="I67">
            <v>93</v>
          </cell>
          <cell r="J67">
            <v>93</v>
          </cell>
          <cell r="K67">
            <v>46</v>
          </cell>
          <cell r="L67"/>
          <cell r="M67"/>
        </row>
        <row r="68">
          <cell r="A68">
            <v>623894</v>
          </cell>
          <cell r="B68" t="str">
            <v>1-95467-01</v>
          </cell>
          <cell r="C68" t="str">
            <v>MH57SP19004D</v>
          </cell>
          <cell r="D68"/>
          <cell r="E68"/>
          <cell r="F68"/>
          <cell r="G68"/>
          <cell r="H68"/>
          <cell r="I68">
            <v>125</v>
          </cell>
          <cell r="J68">
            <v>125</v>
          </cell>
          <cell r="K68">
            <v>63</v>
          </cell>
          <cell r="L68"/>
          <cell r="M68"/>
        </row>
        <row r="69">
          <cell r="A69" t="str">
            <v>E623894</v>
          </cell>
          <cell r="B69" t="e">
            <v>#N/A</v>
          </cell>
          <cell r="C69" t="e">
            <v>#N/A</v>
          </cell>
          <cell r="D69"/>
          <cell r="E69"/>
          <cell r="F69"/>
          <cell r="G69"/>
          <cell r="H69"/>
          <cell r="I69">
            <v>13</v>
          </cell>
          <cell r="J69">
            <v>9</v>
          </cell>
          <cell r="K69">
            <v>6</v>
          </cell>
          <cell r="L69"/>
          <cell r="M69"/>
        </row>
        <row r="70">
          <cell r="A70">
            <v>624136</v>
          </cell>
          <cell r="B70" t="str">
            <v>1-95648-07</v>
          </cell>
          <cell r="C70" t="str">
            <v>MH57SP19051D</v>
          </cell>
          <cell r="D70"/>
          <cell r="E70"/>
          <cell r="F70"/>
          <cell r="G70"/>
          <cell r="H70"/>
          <cell r="I70">
            <v>65</v>
          </cell>
          <cell r="J70">
            <v>65</v>
          </cell>
          <cell r="K70">
            <v>33</v>
          </cell>
          <cell r="L70"/>
          <cell r="M70"/>
        </row>
        <row r="71">
          <cell r="A71">
            <v>624145</v>
          </cell>
          <cell r="B71" t="str">
            <v>1-95495-13</v>
          </cell>
          <cell r="C71" t="str">
            <v>MH57SM18038D</v>
          </cell>
          <cell r="D71"/>
          <cell r="E71"/>
          <cell r="F71"/>
          <cell r="G71"/>
          <cell r="H71"/>
          <cell r="I71">
            <v>106</v>
          </cell>
          <cell r="J71">
            <v>106</v>
          </cell>
          <cell r="K71">
            <v>53</v>
          </cell>
          <cell r="L71"/>
          <cell r="M71"/>
        </row>
        <row r="72">
          <cell r="A72">
            <v>624191</v>
          </cell>
          <cell r="B72" t="str">
            <v>1-93914-12</v>
          </cell>
          <cell r="C72" t="str">
            <v>MH43SM18016D</v>
          </cell>
          <cell r="D72"/>
          <cell r="E72"/>
          <cell r="F72"/>
          <cell r="G72"/>
          <cell r="H72"/>
          <cell r="I72"/>
          <cell r="J72"/>
          <cell r="K72"/>
          <cell r="L72"/>
          <cell r="M72"/>
          <cell r="N72">
            <v>5520</v>
          </cell>
        </row>
        <row r="73">
          <cell r="A73">
            <v>624099</v>
          </cell>
          <cell r="B73" t="str">
            <v>1-95818-77</v>
          </cell>
          <cell r="C73" t="str">
            <v>MH57SP19032D</v>
          </cell>
          <cell r="D73"/>
          <cell r="E73"/>
          <cell r="F73"/>
          <cell r="G73"/>
          <cell r="H73"/>
          <cell r="I73">
            <v>84</v>
          </cell>
          <cell r="J73">
            <v>86</v>
          </cell>
          <cell r="K73">
            <v>51</v>
          </cell>
          <cell r="L73"/>
          <cell r="M73"/>
        </row>
        <row r="74">
          <cell r="A74">
            <v>623899</v>
          </cell>
          <cell r="B74" t="str">
            <v>1-95570-76</v>
          </cell>
          <cell r="C74" t="str">
            <v>MH45SP19052D</v>
          </cell>
          <cell r="D74"/>
          <cell r="E74">
            <v>986</v>
          </cell>
          <cell r="F74">
            <v>1172</v>
          </cell>
          <cell r="G74">
            <v>678</v>
          </cell>
          <cell r="H74">
            <v>246</v>
          </cell>
          <cell r="I74"/>
          <cell r="J74"/>
          <cell r="K74"/>
          <cell r="L74"/>
          <cell r="M74"/>
        </row>
        <row r="75">
          <cell r="A75">
            <v>624195</v>
          </cell>
          <cell r="B75" t="str">
            <v>1-95521-44</v>
          </cell>
          <cell r="C75" t="str">
            <v>MH17SP19010D</v>
          </cell>
          <cell r="D75"/>
          <cell r="E75">
            <v>978</v>
          </cell>
          <cell r="F75">
            <v>1228</v>
          </cell>
          <cell r="G75">
            <v>756</v>
          </cell>
          <cell r="H75">
            <v>408</v>
          </cell>
          <cell r="I75"/>
          <cell r="J75"/>
          <cell r="K75"/>
          <cell r="L75"/>
          <cell r="M75"/>
        </row>
        <row r="76">
          <cell r="A76">
            <v>623830</v>
          </cell>
          <cell r="B76" t="str">
            <v>1-95759-44</v>
          </cell>
          <cell r="C76" t="str">
            <v>MH57SP19060D</v>
          </cell>
          <cell r="D76"/>
          <cell r="E76"/>
          <cell r="F76"/>
          <cell r="G76"/>
          <cell r="H76"/>
          <cell r="I76">
            <v>40</v>
          </cell>
          <cell r="J76">
            <v>40</v>
          </cell>
          <cell r="K76">
            <v>20</v>
          </cell>
          <cell r="L76"/>
          <cell r="M76"/>
        </row>
        <row r="77">
          <cell r="A77">
            <v>624193</v>
          </cell>
          <cell r="B77" t="str">
            <v>1-95521-86</v>
          </cell>
          <cell r="C77" t="str">
            <v>MH17SP19010D</v>
          </cell>
          <cell r="D77"/>
          <cell r="E77">
            <v>475</v>
          </cell>
          <cell r="F77">
            <v>597</v>
          </cell>
          <cell r="G77">
            <v>368</v>
          </cell>
          <cell r="H77">
            <v>198</v>
          </cell>
          <cell r="I77"/>
          <cell r="J77"/>
          <cell r="K77"/>
          <cell r="L77"/>
          <cell r="M77"/>
        </row>
        <row r="78">
          <cell r="A78">
            <v>623827</v>
          </cell>
          <cell r="B78" t="str">
            <v>1-95759-76</v>
          </cell>
          <cell r="C78" t="str">
            <v>MH57SP19060D</v>
          </cell>
          <cell r="D78"/>
          <cell r="E78"/>
          <cell r="F78"/>
          <cell r="G78"/>
          <cell r="H78"/>
          <cell r="I78">
            <v>40</v>
          </cell>
          <cell r="J78">
            <v>40</v>
          </cell>
          <cell r="K78">
            <v>20</v>
          </cell>
          <cell r="L78"/>
          <cell r="M78"/>
        </row>
        <row r="79">
          <cell r="A79">
            <v>622701</v>
          </cell>
          <cell r="B79" t="str">
            <v>1-95312-58</v>
          </cell>
          <cell r="C79" t="str">
            <v>MH43SM16016D</v>
          </cell>
          <cell r="D79">
            <v>38</v>
          </cell>
          <cell r="E79">
            <v>211</v>
          </cell>
          <cell r="F79">
            <v>260</v>
          </cell>
          <cell r="G79">
            <v>182</v>
          </cell>
          <cell r="H79">
            <v>114</v>
          </cell>
          <cell r="I79"/>
          <cell r="J79"/>
          <cell r="K79"/>
          <cell r="L79"/>
          <cell r="M79"/>
        </row>
        <row r="80">
          <cell r="A80">
            <v>624320</v>
          </cell>
          <cell r="B80" t="str">
            <v>1-93896-65</v>
          </cell>
          <cell r="C80" t="str">
            <v>MH57SP18050D</v>
          </cell>
          <cell r="D80"/>
          <cell r="E80"/>
          <cell r="F80"/>
          <cell r="G80"/>
          <cell r="H80"/>
          <cell r="I80">
            <v>81</v>
          </cell>
          <cell r="J80">
            <v>81</v>
          </cell>
          <cell r="K80">
            <v>40</v>
          </cell>
          <cell r="L80"/>
          <cell r="M80"/>
        </row>
        <row r="81">
          <cell r="A81" t="str">
            <v>I624195</v>
          </cell>
          <cell r="B81" t="str">
            <v>1-95521-44I</v>
          </cell>
          <cell r="C81" t="str">
            <v>MH17SP19010D</v>
          </cell>
          <cell r="D81"/>
          <cell r="E81">
            <v>81</v>
          </cell>
          <cell r="F81">
            <v>99</v>
          </cell>
          <cell r="G81">
            <v>58</v>
          </cell>
          <cell r="H81">
            <v>40</v>
          </cell>
          <cell r="I81"/>
          <cell r="J81"/>
          <cell r="K81"/>
          <cell r="L81"/>
          <cell r="M81"/>
        </row>
        <row r="82">
          <cell r="A82">
            <v>622700</v>
          </cell>
          <cell r="B82" t="str">
            <v>1-95219-14</v>
          </cell>
          <cell r="C82" t="str">
            <v>MH43SP19047D</v>
          </cell>
          <cell r="D82">
            <v>113</v>
          </cell>
          <cell r="E82">
            <v>622</v>
          </cell>
          <cell r="F82">
            <v>765</v>
          </cell>
          <cell r="G82">
            <v>534</v>
          </cell>
          <cell r="H82">
            <v>332</v>
          </cell>
          <cell r="I82"/>
          <cell r="J82"/>
          <cell r="K82"/>
          <cell r="L82"/>
          <cell r="M82"/>
        </row>
        <row r="83">
          <cell r="A83">
            <v>625004</v>
          </cell>
          <cell r="B83" t="str">
            <v>1-96097-01</v>
          </cell>
          <cell r="C83" t="str">
            <v>MH57SM19028D</v>
          </cell>
          <cell r="D83"/>
          <cell r="E83"/>
          <cell r="F83"/>
          <cell r="G83"/>
          <cell r="H83"/>
          <cell r="I83">
            <v>78</v>
          </cell>
          <cell r="J83">
            <v>81</v>
          </cell>
          <cell r="K83">
            <v>48</v>
          </cell>
          <cell r="L83"/>
          <cell r="M83"/>
        </row>
        <row r="84">
          <cell r="A84">
            <v>625164</v>
          </cell>
          <cell r="B84" t="str">
            <v>1-95848-01</v>
          </cell>
          <cell r="C84" t="str">
            <v>MH45SM19009D</v>
          </cell>
          <cell r="D84"/>
          <cell r="E84">
            <v>822</v>
          </cell>
          <cell r="F84">
            <v>740</v>
          </cell>
          <cell r="G84">
            <v>330</v>
          </cell>
          <cell r="H84">
            <v>164</v>
          </cell>
          <cell r="I84"/>
          <cell r="J84"/>
          <cell r="K84"/>
          <cell r="L84"/>
          <cell r="M84"/>
        </row>
        <row r="85">
          <cell r="A85">
            <v>625165</v>
          </cell>
          <cell r="B85" t="str">
            <v>1-93001-02</v>
          </cell>
          <cell r="C85" t="str">
            <v>MH45SP18060D</v>
          </cell>
          <cell r="D85"/>
          <cell r="E85">
            <v>1825</v>
          </cell>
          <cell r="F85">
            <v>1945</v>
          </cell>
          <cell r="G85">
            <v>1520</v>
          </cell>
          <cell r="H85">
            <v>790</v>
          </cell>
          <cell r="I85"/>
          <cell r="J85"/>
          <cell r="K85"/>
          <cell r="L85"/>
          <cell r="M85"/>
        </row>
        <row r="86">
          <cell r="A86">
            <v>625014</v>
          </cell>
          <cell r="B86" t="str">
            <v>1-96100-22</v>
          </cell>
          <cell r="C86" t="str">
            <v>MH57SM19035D</v>
          </cell>
          <cell r="D86"/>
          <cell r="E86"/>
          <cell r="F86"/>
          <cell r="G86"/>
          <cell r="H86"/>
          <cell r="I86">
            <v>120</v>
          </cell>
          <cell r="J86">
            <v>123</v>
          </cell>
          <cell r="K86">
            <v>72</v>
          </cell>
          <cell r="L86"/>
          <cell r="M86"/>
        </row>
        <row r="87">
          <cell r="A87">
            <v>625019</v>
          </cell>
          <cell r="B87" t="str">
            <v>1-95633-86</v>
          </cell>
          <cell r="C87" t="str">
            <v>MH57SP19039D</v>
          </cell>
          <cell r="D87"/>
          <cell r="E87"/>
          <cell r="F87"/>
          <cell r="G87"/>
          <cell r="H87"/>
          <cell r="I87">
            <v>93</v>
          </cell>
          <cell r="J87">
            <v>96</v>
          </cell>
          <cell r="K87">
            <v>56</v>
          </cell>
          <cell r="L87"/>
          <cell r="M87"/>
        </row>
        <row r="88">
          <cell r="A88">
            <v>625016</v>
          </cell>
          <cell r="B88" t="str">
            <v>1-95633-46</v>
          </cell>
          <cell r="C88" t="str">
            <v>MH57SP19039D</v>
          </cell>
          <cell r="D88"/>
          <cell r="E88"/>
          <cell r="F88"/>
          <cell r="G88"/>
          <cell r="H88"/>
          <cell r="I88">
            <v>120</v>
          </cell>
          <cell r="J88">
            <v>123</v>
          </cell>
          <cell r="K88">
            <v>72</v>
          </cell>
          <cell r="L88"/>
          <cell r="M88"/>
        </row>
        <row r="89">
          <cell r="A89">
            <v>625168</v>
          </cell>
          <cell r="B89" t="str">
            <v>1-90760-46</v>
          </cell>
          <cell r="C89" t="str">
            <v>MH45SP17036D</v>
          </cell>
          <cell r="D89">
            <v>90</v>
          </cell>
          <cell r="E89">
            <v>1518</v>
          </cell>
          <cell r="F89">
            <v>1430</v>
          </cell>
          <cell r="G89">
            <v>804</v>
          </cell>
          <cell r="H89">
            <v>624</v>
          </cell>
          <cell r="I89"/>
          <cell r="J89"/>
          <cell r="K89"/>
          <cell r="L89"/>
          <cell r="M89"/>
        </row>
        <row r="90">
          <cell r="A90">
            <v>625169</v>
          </cell>
          <cell r="B90" t="str">
            <v>1-90760-46</v>
          </cell>
          <cell r="C90" t="str">
            <v>MH45SP17036D</v>
          </cell>
          <cell r="D90">
            <v>20</v>
          </cell>
          <cell r="E90">
            <v>305</v>
          </cell>
          <cell r="F90">
            <v>290</v>
          </cell>
          <cell r="G90">
            <v>160</v>
          </cell>
          <cell r="H90">
            <v>125</v>
          </cell>
          <cell r="I90"/>
          <cell r="J90"/>
          <cell r="K90"/>
          <cell r="L90"/>
          <cell r="M90"/>
        </row>
        <row r="91">
          <cell r="A91">
            <v>625170</v>
          </cell>
          <cell r="B91" t="str">
            <v>1-90760-87</v>
          </cell>
          <cell r="C91" t="str">
            <v>MH45SP17036D</v>
          </cell>
          <cell r="D91">
            <v>95</v>
          </cell>
          <cell r="E91">
            <v>1584</v>
          </cell>
          <cell r="F91">
            <v>1490</v>
          </cell>
          <cell r="G91">
            <v>838</v>
          </cell>
          <cell r="H91">
            <v>652</v>
          </cell>
          <cell r="I91"/>
          <cell r="J91"/>
          <cell r="K91"/>
          <cell r="L91"/>
          <cell r="M91"/>
        </row>
        <row r="92">
          <cell r="A92">
            <v>625171</v>
          </cell>
          <cell r="B92" t="str">
            <v>1-90760-87</v>
          </cell>
          <cell r="C92" t="str">
            <v>MH45SP17036D</v>
          </cell>
          <cell r="D92">
            <v>20</v>
          </cell>
          <cell r="E92">
            <v>340</v>
          </cell>
          <cell r="F92">
            <v>320</v>
          </cell>
          <cell r="G92">
            <v>180</v>
          </cell>
          <cell r="H92">
            <v>140</v>
          </cell>
          <cell r="I92"/>
          <cell r="J92"/>
          <cell r="K92"/>
          <cell r="L92"/>
          <cell r="M92"/>
        </row>
        <row r="93">
          <cell r="A93">
            <v>625166</v>
          </cell>
          <cell r="B93" t="str">
            <v>1-93874-45</v>
          </cell>
          <cell r="C93" t="str">
            <v>MH45SM18021D</v>
          </cell>
          <cell r="D93"/>
          <cell r="E93">
            <v>786</v>
          </cell>
          <cell r="F93">
            <v>1054</v>
          </cell>
          <cell r="G93">
            <v>786</v>
          </cell>
          <cell r="H93">
            <v>308</v>
          </cell>
          <cell r="I93"/>
          <cell r="J93"/>
          <cell r="K93"/>
          <cell r="L93"/>
          <cell r="M93"/>
        </row>
        <row r="94">
          <cell r="A94">
            <v>625059</v>
          </cell>
          <cell r="B94" t="str">
            <v>1-96122-44</v>
          </cell>
          <cell r="C94" t="str">
            <v>MH57SM18044D</v>
          </cell>
          <cell r="D94"/>
          <cell r="E94"/>
          <cell r="F94"/>
          <cell r="G94"/>
          <cell r="H94"/>
          <cell r="I94">
            <v>94</v>
          </cell>
          <cell r="J94">
            <v>97</v>
          </cell>
          <cell r="K94">
            <v>57</v>
          </cell>
          <cell r="L94"/>
          <cell r="M94"/>
        </row>
        <row r="95">
          <cell r="A95">
            <v>625111</v>
          </cell>
          <cell r="B95" t="str">
            <v>1-95339-46</v>
          </cell>
          <cell r="C95" t="str">
            <v>MH76SP19013D</v>
          </cell>
          <cell r="D95">
            <v>84</v>
          </cell>
          <cell r="E95">
            <v>608</v>
          </cell>
          <cell r="F95">
            <v>754</v>
          </cell>
          <cell r="G95">
            <v>440</v>
          </cell>
          <cell r="H95">
            <v>210</v>
          </cell>
          <cell r="I95"/>
          <cell r="J95"/>
          <cell r="K95"/>
          <cell r="L95"/>
          <cell r="M95"/>
        </row>
        <row r="96">
          <cell r="A96">
            <v>625112</v>
          </cell>
          <cell r="B96" t="str">
            <v>1-95339-01</v>
          </cell>
          <cell r="C96" t="str">
            <v>MH76SP19013D</v>
          </cell>
          <cell r="D96">
            <v>105</v>
          </cell>
          <cell r="E96">
            <v>760</v>
          </cell>
          <cell r="F96">
            <v>945</v>
          </cell>
          <cell r="G96">
            <v>550</v>
          </cell>
          <cell r="H96">
            <v>260</v>
          </cell>
          <cell r="I96"/>
          <cell r="J96"/>
          <cell r="K96"/>
          <cell r="L96"/>
          <cell r="M96"/>
        </row>
        <row r="97">
          <cell r="A97">
            <v>625296</v>
          </cell>
          <cell r="B97" t="str">
            <v>1-95871-01</v>
          </cell>
          <cell r="C97" t="str">
            <v>MH76SM19004D</v>
          </cell>
          <cell r="D97">
            <v>40</v>
          </cell>
          <cell r="E97">
            <v>150</v>
          </cell>
          <cell r="F97">
            <v>175</v>
          </cell>
          <cell r="G97">
            <v>100</v>
          </cell>
          <cell r="H97">
            <v>35</v>
          </cell>
          <cell r="I97"/>
          <cell r="J97"/>
          <cell r="K97"/>
          <cell r="L97"/>
          <cell r="M97"/>
        </row>
        <row r="98">
          <cell r="A98">
            <v>625167</v>
          </cell>
          <cell r="B98" t="str">
            <v>1-95988-86</v>
          </cell>
          <cell r="C98" t="str">
            <v>MH45SM19025D</v>
          </cell>
          <cell r="D98"/>
          <cell r="E98">
            <v>1242</v>
          </cell>
          <cell r="F98">
            <v>1490</v>
          </cell>
          <cell r="G98">
            <v>912</v>
          </cell>
          <cell r="H98">
            <v>496</v>
          </cell>
          <cell r="I98"/>
          <cell r="J98"/>
          <cell r="K98"/>
          <cell r="L98"/>
          <cell r="M98"/>
        </row>
        <row r="99">
          <cell r="A99">
            <v>625037</v>
          </cell>
          <cell r="B99" t="str">
            <v>1-96109-86</v>
          </cell>
          <cell r="C99" t="str">
            <v>MH57SM19016D</v>
          </cell>
          <cell r="D99"/>
          <cell r="E99"/>
          <cell r="F99"/>
          <cell r="G99"/>
          <cell r="H99"/>
          <cell r="I99">
            <v>86</v>
          </cell>
          <cell r="J99">
            <v>89</v>
          </cell>
          <cell r="K99">
            <v>52</v>
          </cell>
          <cell r="L99"/>
          <cell r="M99"/>
        </row>
        <row r="100">
          <cell r="A100">
            <v>625044</v>
          </cell>
          <cell r="B100" t="str">
            <v>1-96115-44</v>
          </cell>
          <cell r="C100" t="str">
            <v>MH57SM19076D</v>
          </cell>
          <cell r="D100"/>
          <cell r="E100"/>
          <cell r="F100"/>
          <cell r="G100"/>
          <cell r="H100"/>
          <cell r="I100">
            <v>186</v>
          </cell>
          <cell r="J100">
            <v>186</v>
          </cell>
          <cell r="K100">
            <v>93</v>
          </cell>
          <cell r="L100"/>
          <cell r="M100"/>
        </row>
        <row r="101">
          <cell r="A101">
            <v>625371</v>
          </cell>
          <cell r="B101" t="str">
            <v>1-95917-44</v>
          </cell>
          <cell r="C101" t="str">
            <v>MH43SM19014D</v>
          </cell>
          <cell r="D101"/>
          <cell r="E101"/>
          <cell r="F101"/>
          <cell r="G101"/>
          <cell r="H101"/>
          <cell r="I101"/>
          <cell r="J101"/>
          <cell r="K101"/>
          <cell r="L101">
            <v>1821</v>
          </cell>
          <cell r="M101">
            <v>1070</v>
          </cell>
        </row>
        <row r="102">
          <cell r="A102">
            <v>625005</v>
          </cell>
          <cell r="B102" t="str">
            <v>1-96099-44</v>
          </cell>
          <cell r="C102" t="str">
            <v>MH57SM19080D</v>
          </cell>
          <cell r="D102"/>
          <cell r="E102"/>
          <cell r="F102"/>
          <cell r="G102"/>
          <cell r="H102"/>
          <cell r="I102">
            <v>91</v>
          </cell>
          <cell r="J102">
            <v>91</v>
          </cell>
          <cell r="K102">
            <v>46</v>
          </cell>
          <cell r="L102"/>
          <cell r="M102"/>
        </row>
        <row r="103">
          <cell r="A103">
            <v>625360</v>
          </cell>
          <cell r="B103" t="str">
            <v>1-95940-45</v>
          </cell>
          <cell r="C103" t="str">
            <v>MH43SM19021D</v>
          </cell>
          <cell r="D103"/>
          <cell r="E103">
            <v>1027</v>
          </cell>
          <cell r="F103">
            <v>1398</v>
          </cell>
          <cell r="G103">
            <v>1068</v>
          </cell>
          <cell r="H103">
            <v>616</v>
          </cell>
          <cell r="I103"/>
          <cell r="J103"/>
          <cell r="K103"/>
          <cell r="L103"/>
          <cell r="M103"/>
        </row>
        <row r="104">
          <cell r="A104">
            <v>625017</v>
          </cell>
          <cell r="B104" t="str">
            <v>1-95853-87</v>
          </cell>
          <cell r="C104" t="str">
            <v>MH43SM19003D</v>
          </cell>
          <cell r="D104"/>
          <cell r="E104"/>
          <cell r="F104"/>
          <cell r="G104"/>
          <cell r="H104"/>
          <cell r="I104"/>
          <cell r="J104"/>
          <cell r="K104"/>
          <cell r="L104"/>
          <cell r="M104"/>
          <cell r="N104">
            <v>2856</v>
          </cell>
        </row>
        <row r="105">
          <cell r="A105" t="str">
            <v>E625017</v>
          </cell>
          <cell r="B105" t="e">
            <v>#N/A</v>
          </cell>
          <cell r="C105" t="e">
            <v>#N/A</v>
          </cell>
          <cell r="D105"/>
          <cell r="E105"/>
          <cell r="F105"/>
          <cell r="G105"/>
          <cell r="H105"/>
          <cell r="I105"/>
          <cell r="J105"/>
          <cell r="K105"/>
          <cell r="L105"/>
          <cell r="M105"/>
          <cell r="N105">
            <v>24</v>
          </cell>
        </row>
        <row r="106">
          <cell r="A106">
            <v>625015</v>
          </cell>
          <cell r="B106" t="str">
            <v>1-96101-86</v>
          </cell>
          <cell r="C106" t="str">
            <v>MH57SM19085D</v>
          </cell>
          <cell r="D106"/>
          <cell r="E106"/>
          <cell r="F106"/>
          <cell r="G106"/>
          <cell r="H106"/>
          <cell r="I106">
            <v>138</v>
          </cell>
          <cell r="J106">
            <v>137</v>
          </cell>
          <cell r="K106">
            <v>69</v>
          </cell>
          <cell r="L106"/>
          <cell r="M106"/>
        </row>
        <row r="107">
          <cell r="A107">
            <v>622853</v>
          </cell>
          <cell r="B107" t="e">
            <v>#N/A</v>
          </cell>
          <cell r="C107" t="e">
            <v>#N/A</v>
          </cell>
          <cell r="D107">
            <v>140</v>
          </cell>
          <cell r="E107">
            <v>2470</v>
          </cell>
          <cell r="F107">
            <v>2060</v>
          </cell>
          <cell r="G107">
            <v>1165</v>
          </cell>
          <cell r="H107">
            <v>1030</v>
          </cell>
          <cell r="I107"/>
          <cell r="J107"/>
          <cell r="K107"/>
          <cell r="L107"/>
          <cell r="M107"/>
        </row>
        <row r="108">
          <cell r="A108">
            <v>625357</v>
          </cell>
          <cell r="B108" t="str">
            <v>1-97710-49</v>
          </cell>
          <cell r="C108" t="str">
            <v>MH43SM16016D</v>
          </cell>
          <cell r="D108">
            <v>54</v>
          </cell>
          <cell r="E108">
            <v>261</v>
          </cell>
          <cell r="F108">
            <v>306</v>
          </cell>
          <cell r="G108">
            <v>189</v>
          </cell>
          <cell r="H108">
            <v>90</v>
          </cell>
          <cell r="I108"/>
          <cell r="J108"/>
          <cell r="K108"/>
          <cell r="L108"/>
          <cell r="M108"/>
        </row>
        <row r="109">
          <cell r="A109">
            <v>625358</v>
          </cell>
          <cell r="B109" t="str">
            <v>1-97710-70</v>
          </cell>
          <cell r="C109" t="str">
            <v>MH43SM16016D</v>
          </cell>
          <cell r="D109">
            <v>48</v>
          </cell>
          <cell r="E109">
            <v>232</v>
          </cell>
          <cell r="F109">
            <v>272</v>
          </cell>
          <cell r="G109">
            <v>168</v>
          </cell>
          <cell r="H109">
            <v>80</v>
          </cell>
          <cell r="I109"/>
          <cell r="J109"/>
          <cell r="K109"/>
          <cell r="L109"/>
          <cell r="M109"/>
        </row>
        <row r="110">
          <cell r="A110">
            <v>625367</v>
          </cell>
          <cell r="B110" t="str">
            <v>1-97710-58</v>
          </cell>
          <cell r="C110" t="str">
            <v>MH43SM16016D</v>
          </cell>
          <cell r="D110">
            <v>42</v>
          </cell>
          <cell r="E110">
            <v>203</v>
          </cell>
          <cell r="F110">
            <v>238</v>
          </cell>
          <cell r="G110">
            <v>147</v>
          </cell>
          <cell r="H110">
            <v>70</v>
          </cell>
          <cell r="I110"/>
          <cell r="J110"/>
          <cell r="K110"/>
          <cell r="L110"/>
          <cell r="M110"/>
        </row>
        <row r="111">
          <cell r="A111">
            <v>625365</v>
          </cell>
          <cell r="B111" t="str">
            <v>1-97710-05</v>
          </cell>
          <cell r="C111" t="str">
            <v>MH43SM16016D</v>
          </cell>
          <cell r="D111">
            <v>30</v>
          </cell>
          <cell r="E111">
            <v>145</v>
          </cell>
          <cell r="F111">
            <v>170</v>
          </cell>
          <cell r="G111">
            <v>105</v>
          </cell>
          <cell r="H111">
            <v>50</v>
          </cell>
          <cell r="I111"/>
          <cell r="J111"/>
          <cell r="K111"/>
          <cell r="L111"/>
          <cell r="M111"/>
        </row>
        <row r="112">
          <cell r="A112">
            <v>625364</v>
          </cell>
          <cell r="B112" t="str">
            <v>1-97710-05</v>
          </cell>
          <cell r="C112" t="str">
            <v>MH43SM16016D</v>
          </cell>
          <cell r="D112">
            <v>76</v>
          </cell>
          <cell r="E112">
            <v>365</v>
          </cell>
          <cell r="F112">
            <v>428</v>
          </cell>
          <cell r="G112">
            <v>265</v>
          </cell>
          <cell r="H112">
            <v>126</v>
          </cell>
          <cell r="I112"/>
          <cell r="J112"/>
          <cell r="K112"/>
          <cell r="L112"/>
          <cell r="M112"/>
        </row>
        <row r="113">
          <cell r="A113">
            <v>624992</v>
          </cell>
          <cell r="B113" t="str">
            <v>1-93896-50</v>
          </cell>
          <cell r="C113" t="str">
            <v>MH57SP18050D</v>
          </cell>
          <cell r="D113"/>
          <cell r="E113"/>
          <cell r="F113"/>
          <cell r="G113"/>
          <cell r="H113"/>
          <cell r="I113"/>
          <cell r="J113"/>
          <cell r="K113"/>
          <cell r="L113"/>
          <cell r="M113"/>
          <cell r="N113">
            <v>70</v>
          </cell>
        </row>
        <row r="114">
          <cell r="A114">
            <v>624991</v>
          </cell>
          <cell r="B114" t="str">
            <v>1-93896-50</v>
          </cell>
          <cell r="C114" t="str">
            <v>MH57SP18050D</v>
          </cell>
          <cell r="D114"/>
          <cell r="E114"/>
          <cell r="F114"/>
          <cell r="G114"/>
          <cell r="H114"/>
          <cell r="I114"/>
          <cell r="J114"/>
          <cell r="K114"/>
          <cell r="L114"/>
          <cell r="M114"/>
          <cell r="N114">
            <v>70</v>
          </cell>
        </row>
        <row r="115">
          <cell r="A115">
            <v>624990</v>
          </cell>
          <cell r="B115" t="str">
            <v>1-93896-50</v>
          </cell>
          <cell r="C115" t="str">
            <v>MH57SP18050D</v>
          </cell>
          <cell r="D115"/>
          <cell r="E115"/>
          <cell r="F115"/>
          <cell r="G115"/>
          <cell r="H115"/>
          <cell r="I115"/>
          <cell r="J115"/>
          <cell r="K115"/>
          <cell r="L115"/>
          <cell r="M115"/>
          <cell r="N115">
            <v>70</v>
          </cell>
        </row>
        <row r="116">
          <cell r="A116">
            <v>625356</v>
          </cell>
          <cell r="B116" t="str">
            <v>1-97710-69</v>
          </cell>
          <cell r="C116" t="str">
            <v>MH43SM16016D</v>
          </cell>
          <cell r="D116">
            <v>268</v>
          </cell>
          <cell r="E116">
            <v>1294</v>
          </cell>
          <cell r="F116">
            <v>1517</v>
          </cell>
          <cell r="G116">
            <v>936</v>
          </cell>
          <cell r="H116">
            <v>446</v>
          </cell>
          <cell r="I116"/>
          <cell r="J116"/>
          <cell r="K116"/>
          <cell r="L116"/>
          <cell r="M116"/>
        </row>
        <row r="117">
          <cell r="A117">
            <v>624997</v>
          </cell>
          <cell r="B117" t="str">
            <v>1-93896-69</v>
          </cell>
          <cell r="C117" t="str">
            <v>MH57SP18050D</v>
          </cell>
          <cell r="D117"/>
          <cell r="E117"/>
          <cell r="F117"/>
          <cell r="G117"/>
          <cell r="H117"/>
          <cell r="I117">
            <v>80</v>
          </cell>
          <cell r="J117">
            <v>80</v>
          </cell>
          <cell r="K117">
            <v>40</v>
          </cell>
          <cell r="L117"/>
          <cell r="M117"/>
        </row>
        <row r="118">
          <cell r="A118">
            <v>624995</v>
          </cell>
          <cell r="B118" t="str">
            <v>1-93896-12</v>
          </cell>
          <cell r="C118" t="str">
            <v>MH57SP18050D</v>
          </cell>
          <cell r="D118"/>
          <cell r="E118"/>
          <cell r="F118"/>
          <cell r="G118"/>
          <cell r="H118"/>
          <cell r="I118">
            <v>120</v>
          </cell>
          <cell r="J118">
            <v>120</v>
          </cell>
          <cell r="K118">
            <v>60</v>
          </cell>
          <cell r="L118"/>
          <cell r="M118"/>
        </row>
        <row r="119">
          <cell r="A119">
            <v>625352</v>
          </cell>
          <cell r="B119" t="str">
            <v>1-95219-58</v>
          </cell>
          <cell r="C119" t="str">
            <v>MH43SP19047D</v>
          </cell>
          <cell r="D119">
            <v>40</v>
          </cell>
          <cell r="E119">
            <v>208</v>
          </cell>
          <cell r="F119">
            <v>256</v>
          </cell>
          <cell r="G119">
            <v>176</v>
          </cell>
          <cell r="H119">
            <v>120</v>
          </cell>
          <cell r="I119"/>
          <cell r="J119"/>
          <cell r="K119"/>
          <cell r="L119"/>
          <cell r="M119"/>
        </row>
        <row r="120">
          <cell r="A120">
            <v>625354</v>
          </cell>
          <cell r="B120" t="str">
            <v>1-95219-48</v>
          </cell>
          <cell r="C120" t="str">
            <v>MH43SP19047D</v>
          </cell>
          <cell r="D120">
            <v>30</v>
          </cell>
          <cell r="E120">
            <v>156</v>
          </cell>
          <cell r="F120">
            <v>192</v>
          </cell>
          <cell r="G120">
            <v>132</v>
          </cell>
          <cell r="H120">
            <v>90</v>
          </cell>
          <cell r="I120"/>
          <cell r="J120"/>
          <cell r="K120"/>
          <cell r="L120"/>
          <cell r="M120"/>
        </row>
        <row r="121">
          <cell r="A121">
            <v>625351</v>
          </cell>
          <cell r="B121" t="str">
            <v>1-95219-46</v>
          </cell>
          <cell r="C121" t="str">
            <v>MH43SP19047D</v>
          </cell>
          <cell r="D121">
            <v>300</v>
          </cell>
          <cell r="E121">
            <v>1045</v>
          </cell>
          <cell r="F121">
            <v>1275</v>
          </cell>
          <cell r="G121">
            <v>900</v>
          </cell>
          <cell r="H121">
            <v>585</v>
          </cell>
          <cell r="I121"/>
          <cell r="J121"/>
          <cell r="K121"/>
          <cell r="L121"/>
          <cell r="M121"/>
        </row>
        <row r="122">
          <cell r="A122">
            <v>625003</v>
          </cell>
          <cell r="B122" t="str">
            <v>1-95467-46</v>
          </cell>
          <cell r="C122" t="str">
            <v>MH57SP19004D</v>
          </cell>
          <cell r="D122"/>
          <cell r="E122"/>
          <cell r="F122"/>
          <cell r="G122"/>
          <cell r="H122"/>
          <cell r="I122">
            <v>120</v>
          </cell>
          <cell r="J122">
            <v>120</v>
          </cell>
          <cell r="K122">
            <v>60</v>
          </cell>
          <cell r="L122"/>
          <cell r="M122"/>
        </row>
        <row r="123">
          <cell r="A123">
            <v>625361</v>
          </cell>
          <cell r="B123" t="str">
            <v>1-95219-01</v>
          </cell>
          <cell r="C123" t="str">
            <v>MH43SP19047D</v>
          </cell>
          <cell r="D123">
            <v>105</v>
          </cell>
          <cell r="E123">
            <v>472</v>
          </cell>
          <cell r="F123">
            <v>541</v>
          </cell>
          <cell r="G123">
            <v>384</v>
          </cell>
          <cell r="H123">
            <v>244</v>
          </cell>
          <cell r="I123"/>
          <cell r="J123"/>
          <cell r="K123"/>
          <cell r="L123"/>
          <cell r="M123"/>
        </row>
        <row r="124">
          <cell r="A124" t="str">
            <v>I625361</v>
          </cell>
          <cell r="B124" t="str">
            <v>1-95219-01I</v>
          </cell>
          <cell r="C124" t="str">
            <v>MH43SP19047D</v>
          </cell>
          <cell r="D124">
            <v>67</v>
          </cell>
          <cell r="E124">
            <v>93</v>
          </cell>
          <cell r="F124">
            <v>118</v>
          </cell>
          <cell r="G124">
            <v>56</v>
          </cell>
          <cell r="H124"/>
          <cell r="I124"/>
          <cell r="J124"/>
          <cell r="K124"/>
          <cell r="L124"/>
          <cell r="M124"/>
        </row>
        <row r="125">
          <cell r="A125">
            <v>625362</v>
          </cell>
          <cell r="B125" t="str">
            <v>1-95219-01</v>
          </cell>
          <cell r="C125" t="str">
            <v>MH43SP19047D</v>
          </cell>
          <cell r="D125">
            <v>60</v>
          </cell>
          <cell r="E125">
            <v>270</v>
          </cell>
          <cell r="F125">
            <v>310</v>
          </cell>
          <cell r="G125">
            <v>220</v>
          </cell>
          <cell r="H125">
            <v>140</v>
          </cell>
          <cell r="I125"/>
          <cell r="J125"/>
          <cell r="K125"/>
          <cell r="L125"/>
          <cell r="M125"/>
        </row>
        <row r="126">
          <cell r="A126">
            <v>625363</v>
          </cell>
          <cell r="B126" t="str">
            <v>1-95219-01</v>
          </cell>
          <cell r="C126" t="str">
            <v>MH43SP19047D</v>
          </cell>
          <cell r="D126">
            <v>30</v>
          </cell>
          <cell r="E126">
            <v>135</v>
          </cell>
          <cell r="F126">
            <v>155</v>
          </cell>
          <cell r="G126">
            <v>110</v>
          </cell>
          <cell r="H126">
            <v>70</v>
          </cell>
          <cell r="I126"/>
          <cell r="J126"/>
          <cell r="K126"/>
          <cell r="L126"/>
          <cell r="M126"/>
        </row>
        <row r="127">
          <cell r="A127">
            <v>625353</v>
          </cell>
          <cell r="B127" t="str">
            <v>1-95219-47</v>
          </cell>
          <cell r="C127" t="str">
            <v>MH43SP19047D</v>
          </cell>
          <cell r="D127">
            <v>35</v>
          </cell>
          <cell r="E127">
            <v>182</v>
          </cell>
          <cell r="F127">
            <v>224</v>
          </cell>
          <cell r="G127">
            <v>154</v>
          </cell>
          <cell r="H127">
            <v>105</v>
          </cell>
          <cell r="I127"/>
          <cell r="J127"/>
          <cell r="K127"/>
          <cell r="L127"/>
          <cell r="M127"/>
        </row>
        <row r="128">
          <cell r="A128">
            <v>625350</v>
          </cell>
          <cell r="B128" t="str">
            <v>1-95219-87</v>
          </cell>
          <cell r="C128" t="str">
            <v>MH43SP19047D</v>
          </cell>
          <cell r="D128">
            <v>336</v>
          </cell>
          <cell r="E128">
            <v>1747</v>
          </cell>
          <cell r="F128">
            <v>2151</v>
          </cell>
          <cell r="G128">
            <v>1479</v>
          </cell>
          <cell r="H128">
            <v>1008</v>
          </cell>
          <cell r="I128"/>
          <cell r="J128"/>
          <cell r="K128"/>
          <cell r="L128"/>
          <cell r="M128"/>
        </row>
        <row r="129">
          <cell r="A129">
            <v>625002</v>
          </cell>
          <cell r="B129" t="str">
            <v>1-95467-86</v>
          </cell>
          <cell r="C129" t="str">
            <v>MH57SP19004D</v>
          </cell>
          <cell r="D129"/>
          <cell r="E129"/>
          <cell r="F129"/>
          <cell r="G129"/>
          <cell r="H129"/>
          <cell r="I129">
            <v>156</v>
          </cell>
          <cell r="J129">
            <v>156</v>
          </cell>
          <cell r="K129">
            <v>78</v>
          </cell>
          <cell r="L129"/>
          <cell r="M129"/>
        </row>
        <row r="130">
          <cell r="A130">
            <v>624999</v>
          </cell>
          <cell r="B130" t="str">
            <v>1-95467-01</v>
          </cell>
          <cell r="C130" t="str">
            <v>MH57SP19004D</v>
          </cell>
          <cell r="D130"/>
          <cell r="E130"/>
          <cell r="F130"/>
          <cell r="G130"/>
          <cell r="H130"/>
          <cell r="I130"/>
          <cell r="J130"/>
          <cell r="K130"/>
          <cell r="L130"/>
          <cell r="M130"/>
          <cell r="N130">
            <v>135</v>
          </cell>
        </row>
        <row r="131">
          <cell r="A131" t="str">
            <v>E624999</v>
          </cell>
          <cell r="B131" t="str">
            <v>1-95467-01E</v>
          </cell>
          <cell r="C131" t="str">
            <v>MH57SP19004D</v>
          </cell>
          <cell r="D131"/>
          <cell r="E131"/>
          <cell r="F131"/>
          <cell r="G131"/>
          <cell r="H131"/>
          <cell r="I131">
            <v>12</v>
          </cell>
          <cell r="J131">
            <v>19</v>
          </cell>
          <cell r="K131">
            <v>19</v>
          </cell>
          <cell r="L131"/>
          <cell r="M131"/>
        </row>
        <row r="132">
          <cell r="A132">
            <v>625000</v>
          </cell>
          <cell r="B132" t="str">
            <v>1-95467-01</v>
          </cell>
          <cell r="C132" t="str">
            <v>MH57SP19004D</v>
          </cell>
          <cell r="D132"/>
          <cell r="E132"/>
          <cell r="F132"/>
          <cell r="G132"/>
          <cell r="H132"/>
          <cell r="I132"/>
          <cell r="J132"/>
          <cell r="K132"/>
          <cell r="L132"/>
          <cell r="M132"/>
          <cell r="N132">
            <v>130</v>
          </cell>
        </row>
        <row r="133">
          <cell r="A133">
            <v>625001</v>
          </cell>
          <cell r="B133" t="str">
            <v>1-95467-01</v>
          </cell>
          <cell r="C133" t="str">
            <v>MH57SP19004D</v>
          </cell>
          <cell r="D133"/>
          <cell r="E133"/>
          <cell r="F133"/>
          <cell r="G133"/>
          <cell r="H133"/>
          <cell r="I133"/>
          <cell r="J133"/>
          <cell r="K133"/>
          <cell r="L133"/>
          <cell r="M133"/>
          <cell r="N133">
            <v>135</v>
          </cell>
        </row>
        <row r="134">
          <cell r="A134">
            <v>625345</v>
          </cell>
          <cell r="B134" t="str">
            <v>1-93121-48</v>
          </cell>
          <cell r="C134" t="str">
            <v>MH43SP18022D</v>
          </cell>
          <cell r="D134">
            <v>217</v>
          </cell>
          <cell r="E134">
            <v>1821</v>
          </cell>
          <cell r="F134">
            <v>2589</v>
          </cell>
          <cell r="G134">
            <v>1930</v>
          </cell>
          <cell r="H134">
            <v>1063</v>
          </cell>
          <cell r="I134"/>
          <cell r="J134"/>
          <cell r="K134"/>
          <cell r="L134"/>
          <cell r="M134"/>
        </row>
        <row r="135">
          <cell r="A135" t="str">
            <v>I625345</v>
          </cell>
          <cell r="B135" t="str">
            <v>1-93121-48I</v>
          </cell>
          <cell r="C135" t="str">
            <v>MH43SP18022D</v>
          </cell>
          <cell r="D135">
            <v>67</v>
          </cell>
          <cell r="E135">
            <v>93</v>
          </cell>
          <cell r="F135">
            <v>118</v>
          </cell>
          <cell r="G135">
            <v>56</v>
          </cell>
          <cell r="H135"/>
          <cell r="I135"/>
          <cell r="J135"/>
          <cell r="K135"/>
          <cell r="L135"/>
          <cell r="M135"/>
        </row>
        <row r="136">
          <cell r="A136">
            <v>624986</v>
          </cell>
          <cell r="B136" t="str">
            <v>1-95648-48</v>
          </cell>
          <cell r="C136" t="str">
            <v>MH57SP19051D</v>
          </cell>
          <cell r="D136"/>
          <cell r="E136"/>
          <cell r="F136"/>
          <cell r="G136"/>
          <cell r="H136"/>
          <cell r="I136">
            <v>66</v>
          </cell>
          <cell r="J136">
            <v>66</v>
          </cell>
          <cell r="K136">
            <v>33</v>
          </cell>
          <cell r="L136"/>
          <cell r="M136"/>
        </row>
        <row r="137">
          <cell r="A137">
            <v>625346</v>
          </cell>
          <cell r="B137" t="str">
            <v>1-93121-49</v>
          </cell>
          <cell r="C137" t="str">
            <v>MH43SP18022D</v>
          </cell>
          <cell r="D137">
            <v>126</v>
          </cell>
          <cell r="E137">
            <v>1014</v>
          </cell>
          <cell r="F137">
            <v>1437</v>
          </cell>
          <cell r="G137">
            <v>1056</v>
          </cell>
          <cell r="H137">
            <v>592</v>
          </cell>
          <cell r="I137"/>
          <cell r="J137"/>
          <cell r="K137"/>
          <cell r="L137"/>
          <cell r="M137"/>
        </row>
        <row r="138">
          <cell r="A138">
            <v>624987</v>
          </cell>
          <cell r="B138" t="str">
            <v>1-95648-49</v>
          </cell>
          <cell r="C138" t="str">
            <v>MH57SP19051D</v>
          </cell>
          <cell r="D138"/>
          <cell r="E138"/>
          <cell r="F138"/>
          <cell r="G138"/>
          <cell r="H138"/>
          <cell r="I138">
            <v>61</v>
          </cell>
          <cell r="J138">
            <v>61</v>
          </cell>
          <cell r="K138">
            <v>30</v>
          </cell>
          <cell r="L138"/>
          <cell r="M138"/>
        </row>
        <row r="139">
          <cell r="A139">
            <v>625368</v>
          </cell>
          <cell r="B139" t="str">
            <v>1-93121-07</v>
          </cell>
          <cell r="C139" t="str">
            <v>MH43SP18022D</v>
          </cell>
          <cell r="D139">
            <v>28</v>
          </cell>
          <cell r="E139">
            <v>239</v>
          </cell>
          <cell r="F139">
            <v>340</v>
          </cell>
          <cell r="G139">
            <v>253</v>
          </cell>
          <cell r="H139">
            <v>140</v>
          </cell>
          <cell r="I139"/>
          <cell r="J139"/>
          <cell r="K139"/>
          <cell r="L139"/>
          <cell r="M139"/>
        </row>
        <row r="140">
          <cell r="A140">
            <v>625369</v>
          </cell>
          <cell r="B140" t="str">
            <v>1-93121-07</v>
          </cell>
          <cell r="C140" t="str">
            <v>MH43SP18022D</v>
          </cell>
          <cell r="D140">
            <v>111</v>
          </cell>
          <cell r="E140">
            <v>934</v>
          </cell>
          <cell r="F140">
            <v>1328</v>
          </cell>
          <cell r="G140">
            <v>990</v>
          </cell>
          <cell r="H140">
            <v>545</v>
          </cell>
          <cell r="I140"/>
          <cell r="J140"/>
          <cell r="K140"/>
          <cell r="L140"/>
          <cell r="M140"/>
        </row>
        <row r="141">
          <cell r="A141">
            <v>624988</v>
          </cell>
          <cell r="B141" t="str">
            <v>1-95648-07</v>
          </cell>
          <cell r="C141" t="str">
            <v>MH57SP19051D</v>
          </cell>
          <cell r="D141"/>
          <cell r="E141"/>
          <cell r="F141"/>
          <cell r="G141"/>
          <cell r="H141"/>
          <cell r="I141">
            <v>70</v>
          </cell>
          <cell r="J141">
            <v>70</v>
          </cell>
          <cell r="K141">
            <v>35</v>
          </cell>
          <cell r="L141"/>
          <cell r="M141"/>
        </row>
        <row r="142">
          <cell r="A142">
            <v>625349</v>
          </cell>
          <cell r="B142" t="str">
            <v>1-93121-76</v>
          </cell>
          <cell r="C142" t="str">
            <v>MH43SP18022D</v>
          </cell>
          <cell r="D142">
            <v>30</v>
          </cell>
          <cell r="E142">
            <v>240</v>
          </cell>
          <cell r="F142">
            <v>340</v>
          </cell>
          <cell r="G142">
            <v>250</v>
          </cell>
          <cell r="H142">
            <v>140</v>
          </cell>
          <cell r="I142"/>
          <cell r="J142"/>
          <cell r="K142"/>
          <cell r="L142"/>
          <cell r="M142"/>
        </row>
        <row r="143">
          <cell r="A143">
            <v>625348</v>
          </cell>
          <cell r="B143" t="str">
            <v>1-93121-88</v>
          </cell>
          <cell r="C143" t="str">
            <v>MH43SP18022D</v>
          </cell>
          <cell r="D143">
            <v>24</v>
          </cell>
          <cell r="E143">
            <v>192</v>
          </cell>
          <cell r="F143">
            <v>272</v>
          </cell>
          <cell r="G143">
            <v>200</v>
          </cell>
          <cell r="H143">
            <v>112</v>
          </cell>
          <cell r="I143"/>
          <cell r="J143"/>
          <cell r="K143"/>
          <cell r="L143"/>
          <cell r="M143"/>
        </row>
        <row r="144">
          <cell r="A144" t="str">
            <v>I625348</v>
          </cell>
          <cell r="B144" t="str">
            <v>1-93121-88I</v>
          </cell>
          <cell r="C144" t="str">
            <v>MH43SP18022D</v>
          </cell>
          <cell r="D144">
            <v>67</v>
          </cell>
          <cell r="E144">
            <v>93</v>
          </cell>
          <cell r="F144">
            <v>118</v>
          </cell>
          <cell r="G144">
            <v>56</v>
          </cell>
          <cell r="H144"/>
          <cell r="I144"/>
          <cell r="J144"/>
          <cell r="K144"/>
          <cell r="L144"/>
          <cell r="M144"/>
        </row>
        <row r="145">
          <cell r="A145">
            <v>625295</v>
          </cell>
          <cell r="B145" t="str">
            <v>1-95865-58</v>
          </cell>
          <cell r="C145" t="str">
            <v>MH76SM19028D</v>
          </cell>
          <cell r="D145">
            <v>150</v>
          </cell>
          <cell r="E145">
            <v>688</v>
          </cell>
          <cell r="F145">
            <v>730</v>
          </cell>
          <cell r="G145">
            <v>408</v>
          </cell>
          <cell r="H145">
            <v>172</v>
          </cell>
          <cell r="I145"/>
          <cell r="J145"/>
          <cell r="K145"/>
          <cell r="L145"/>
          <cell r="M145"/>
        </row>
        <row r="146">
          <cell r="A146">
            <v>625409</v>
          </cell>
          <cell r="B146" t="str">
            <v>1-96165-58</v>
          </cell>
          <cell r="C146" t="str">
            <v>MH57SM19056D</v>
          </cell>
          <cell r="D146"/>
          <cell r="E146"/>
          <cell r="F146"/>
          <cell r="G146"/>
          <cell r="H146"/>
          <cell r="I146">
            <v>73</v>
          </cell>
          <cell r="J146">
            <v>110</v>
          </cell>
          <cell r="K146">
            <v>68</v>
          </cell>
          <cell r="L146"/>
          <cell r="M146"/>
        </row>
        <row r="147">
          <cell r="A147">
            <v>625294</v>
          </cell>
          <cell r="B147" t="str">
            <v>1-95865-12</v>
          </cell>
          <cell r="C147" t="str">
            <v>MH76SM19028D</v>
          </cell>
          <cell r="D147">
            <v>206</v>
          </cell>
          <cell r="E147">
            <v>946</v>
          </cell>
          <cell r="F147">
            <v>1004</v>
          </cell>
          <cell r="G147">
            <v>562</v>
          </cell>
          <cell r="H147">
            <v>236</v>
          </cell>
          <cell r="I147"/>
          <cell r="J147"/>
          <cell r="K147"/>
          <cell r="L147"/>
          <cell r="M147"/>
        </row>
        <row r="148">
          <cell r="A148">
            <v>625407</v>
          </cell>
          <cell r="B148" t="str">
            <v>1-96165-12</v>
          </cell>
          <cell r="C148" t="str">
            <v>MH57SM19056D</v>
          </cell>
          <cell r="D148"/>
          <cell r="E148"/>
          <cell r="F148"/>
          <cell r="G148"/>
          <cell r="H148"/>
          <cell r="I148">
            <v>29</v>
          </cell>
          <cell r="J148">
            <v>44</v>
          </cell>
          <cell r="K148">
            <v>27</v>
          </cell>
          <cell r="L148"/>
          <cell r="M148"/>
        </row>
        <row r="149">
          <cell r="A149" t="str">
            <v>E625170</v>
          </cell>
          <cell r="B149" t="str">
            <v>1-90760-87E</v>
          </cell>
          <cell r="C149" t="str">
            <v>MH45SP17036D</v>
          </cell>
          <cell r="D149">
            <v>15</v>
          </cell>
          <cell r="E149">
            <v>32</v>
          </cell>
          <cell r="F149">
            <v>38</v>
          </cell>
          <cell r="G149">
            <v>35</v>
          </cell>
          <cell r="H149">
            <v>30</v>
          </cell>
          <cell r="I149"/>
          <cell r="J149"/>
          <cell r="K149"/>
          <cell r="L149"/>
          <cell r="M149"/>
        </row>
        <row r="150">
          <cell r="A150" t="str">
            <v>E625168</v>
          </cell>
          <cell r="B150" t="str">
            <v>1-90760-46E</v>
          </cell>
          <cell r="C150" t="str">
            <v>MH45SP17036D</v>
          </cell>
          <cell r="D150">
            <v>10</v>
          </cell>
          <cell r="E150">
            <v>21</v>
          </cell>
          <cell r="F150">
            <v>26</v>
          </cell>
          <cell r="G150">
            <v>23</v>
          </cell>
          <cell r="H150">
            <v>20</v>
          </cell>
          <cell r="I150"/>
          <cell r="J150"/>
          <cell r="K150"/>
          <cell r="L150"/>
          <cell r="M150"/>
        </row>
        <row r="151">
          <cell r="A151" t="str">
            <v>E625351</v>
          </cell>
          <cell r="B151" t="str">
            <v>1-95219-46E</v>
          </cell>
          <cell r="C151" t="str">
            <v>MH43SP19047D</v>
          </cell>
          <cell r="D151">
            <v>7</v>
          </cell>
          <cell r="E151">
            <v>10</v>
          </cell>
          <cell r="F151">
            <v>14</v>
          </cell>
          <cell r="G151">
            <v>11</v>
          </cell>
          <cell r="H151">
            <v>8</v>
          </cell>
          <cell r="I151"/>
          <cell r="J151"/>
          <cell r="K151"/>
          <cell r="L151"/>
          <cell r="M151"/>
        </row>
        <row r="152">
          <cell r="A152" t="str">
            <v>E625350</v>
          </cell>
          <cell r="B152" t="str">
            <v>1-95219-87E</v>
          </cell>
          <cell r="C152" t="str">
            <v>MH43SP19047D</v>
          </cell>
          <cell r="D152">
            <v>11</v>
          </cell>
          <cell r="E152">
            <v>15</v>
          </cell>
          <cell r="F152">
            <v>21</v>
          </cell>
          <cell r="G152">
            <v>16</v>
          </cell>
          <cell r="H152">
            <v>12</v>
          </cell>
          <cell r="I152"/>
          <cell r="J152"/>
          <cell r="K152"/>
          <cell r="L152"/>
          <cell r="M152"/>
        </row>
        <row r="153">
          <cell r="A153" t="str">
            <v>E625002</v>
          </cell>
          <cell r="B153" t="str">
            <v>1-95467-86E</v>
          </cell>
          <cell r="C153" t="str">
            <v>MH57SP19004D</v>
          </cell>
          <cell r="D153"/>
          <cell r="E153"/>
          <cell r="F153"/>
          <cell r="G153"/>
          <cell r="H153"/>
          <cell r="I153">
            <v>15</v>
          </cell>
          <cell r="J153">
            <v>12</v>
          </cell>
          <cell r="K153">
            <v>9</v>
          </cell>
          <cell r="L153"/>
          <cell r="M153"/>
        </row>
        <row r="154">
          <cell r="A154" t="str">
            <v>E623558</v>
          </cell>
          <cell r="B154" t="str">
            <v>1-97710-12E</v>
          </cell>
          <cell r="C154" t="str">
            <v>MH43SM16016D</v>
          </cell>
          <cell r="D154">
            <v>6</v>
          </cell>
          <cell r="E154">
            <v>13</v>
          </cell>
          <cell r="F154">
            <v>20</v>
          </cell>
          <cell r="G154">
            <v>19</v>
          </cell>
          <cell r="H154">
            <v>17</v>
          </cell>
          <cell r="I154"/>
          <cell r="J154"/>
          <cell r="K154"/>
          <cell r="L154"/>
          <cell r="M154"/>
        </row>
        <row r="155">
          <cell r="A155" t="str">
            <v>E625364</v>
          </cell>
          <cell r="B155" t="str">
            <v>1-97710-05E</v>
          </cell>
          <cell r="C155" t="str">
            <v>MH43SM16016D</v>
          </cell>
          <cell r="D155">
            <v>8</v>
          </cell>
          <cell r="E155">
            <v>17</v>
          </cell>
          <cell r="F155">
            <v>26</v>
          </cell>
          <cell r="G155">
            <v>26</v>
          </cell>
          <cell r="H155">
            <v>23</v>
          </cell>
          <cell r="I155"/>
          <cell r="J155"/>
          <cell r="K155"/>
          <cell r="L155"/>
          <cell r="M155"/>
        </row>
        <row r="156">
          <cell r="A156" t="str">
            <v>E624990</v>
          </cell>
          <cell r="B156" t="str">
            <v>1-93896-50E</v>
          </cell>
          <cell r="C156" t="str">
            <v>MH57SP18050D</v>
          </cell>
          <cell r="D156"/>
          <cell r="E156"/>
          <cell r="F156"/>
          <cell r="G156"/>
          <cell r="H156"/>
          <cell r="I156">
            <v>13</v>
          </cell>
          <cell r="J156">
            <v>10</v>
          </cell>
          <cell r="K156">
            <v>7</v>
          </cell>
          <cell r="L156"/>
          <cell r="M156"/>
        </row>
        <row r="157">
          <cell r="A157">
            <v>625347</v>
          </cell>
          <cell r="B157" t="str">
            <v>1-93121-50</v>
          </cell>
          <cell r="C157" t="str">
            <v>MH43SP18022D</v>
          </cell>
          <cell r="D157">
            <v>30</v>
          </cell>
          <cell r="E157">
            <v>240</v>
          </cell>
          <cell r="F157">
            <v>340</v>
          </cell>
          <cell r="G157">
            <v>250</v>
          </cell>
          <cell r="H157">
            <v>140</v>
          </cell>
          <cell r="I157"/>
          <cell r="J157"/>
          <cell r="K157"/>
          <cell r="L157"/>
          <cell r="M157"/>
        </row>
        <row r="158">
          <cell r="A158" t="str">
            <v>I625168</v>
          </cell>
          <cell r="B158" t="str">
            <v>1-90760-46I</v>
          </cell>
          <cell r="C158" t="str">
            <v>MH45SP17036D</v>
          </cell>
          <cell r="D158">
            <v>27</v>
          </cell>
          <cell r="E158">
            <v>36</v>
          </cell>
          <cell r="F158">
            <v>45</v>
          </cell>
          <cell r="G158">
            <v>18</v>
          </cell>
          <cell r="H158"/>
          <cell r="I158"/>
          <cell r="J158"/>
          <cell r="K158"/>
          <cell r="L158"/>
          <cell r="M158"/>
        </row>
        <row r="159">
          <cell r="A159">
            <v>626584</v>
          </cell>
          <cell r="B159" t="str">
            <v>1-91413-91</v>
          </cell>
          <cell r="C159" t="str">
            <v>MH74SM17004D</v>
          </cell>
          <cell r="D159"/>
          <cell r="E159">
            <v>2206</v>
          </cell>
          <cell r="F159">
            <v>3886</v>
          </cell>
          <cell r="G159">
            <v>2860</v>
          </cell>
          <cell r="H159">
            <v>1256</v>
          </cell>
          <cell r="I159"/>
          <cell r="J159"/>
          <cell r="K159"/>
          <cell r="L159"/>
          <cell r="M159"/>
        </row>
        <row r="160">
          <cell r="A160">
            <v>626583</v>
          </cell>
          <cell r="B160" t="str">
            <v>1-95857-91</v>
          </cell>
          <cell r="C160" t="str">
            <v>MH74SM19002D</v>
          </cell>
          <cell r="D160"/>
          <cell r="E160"/>
          <cell r="F160"/>
          <cell r="G160"/>
          <cell r="H160"/>
          <cell r="I160"/>
          <cell r="J160"/>
          <cell r="K160"/>
          <cell r="L160">
            <v>1795</v>
          </cell>
          <cell r="M160">
            <v>1529</v>
          </cell>
        </row>
        <row r="161">
          <cell r="A161" t="str">
            <v>I626583</v>
          </cell>
          <cell r="B161" t="str">
            <v>1-95857-91I</v>
          </cell>
          <cell r="C161" t="str">
            <v>MH74SM19002D</v>
          </cell>
          <cell r="D161"/>
          <cell r="E161"/>
          <cell r="F161"/>
          <cell r="G161"/>
          <cell r="H161"/>
          <cell r="I161"/>
          <cell r="J161"/>
          <cell r="K161"/>
          <cell r="L161">
            <v>141</v>
          </cell>
          <cell r="M161">
            <v>129</v>
          </cell>
        </row>
        <row r="162">
          <cell r="A162">
            <v>626671</v>
          </cell>
          <cell r="B162" t="str">
            <v>1-92961-01</v>
          </cell>
          <cell r="C162" t="str">
            <v>MH48SP18008D</v>
          </cell>
          <cell r="D162"/>
          <cell r="E162">
            <v>731</v>
          </cell>
          <cell r="F162">
            <v>966</v>
          </cell>
          <cell r="G162">
            <v>790</v>
          </cell>
          <cell r="H162">
            <v>439</v>
          </cell>
          <cell r="I162"/>
          <cell r="J162"/>
          <cell r="K162"/>
          <cell r="L162"/>
          <cell r="M162"/>
        </row>
        <row r="163">
          <cell r="A163" t="str">
            <v>E626671</v>
          </cell>
          <cell r="B163" t="str">
            <v>1-92961-01E</v>
          </cell>
          <cell r="C163" t="str">
            <v>MH48SP18008D</v>
          </cell>
          <cell r="D163"/>
          <cell r="E163">
            <v>8</v>
          </cell>
          <cell r="F163">
            <v>10</v>
          </cell>
          <cell r="G163">
            <v>10</v>
          </cell>
          <cell r="H163">
            <v>8</v>
          </cell>
          <cell r="I163"/>
          <cell r="J163"/>
          <cell r="K163"/>
          <cell r="L163"/>
          <cell r="M163"/>
        </row>
        <row r="164">
          <cell r="A164">
            <v>626732</v>
          </cell>
          <cell r="B164" t="str">
            <v>1-96083-61</v>
          </cell>
          <cell r="C164" t="str">
            <v>MH49SM19009D</v>
          </cell>
          <cell r="D164"/>
          <cell r="E164">
            <v>770</v>
          </cell>
          <cell r="F164">
            <v>1068</v>
          </cell>
          <cell r="G164">
            <v>772</v>
          </cell>
          <cell r="H164">
            <v>356</v>
          </cell>
          <cell r="I164"/>
          <cell r="J164"/>
          <cell r="K164"/>
          <cell r="L164"/>
          <cell r="M164"/>
        </row>
        <row r="165">
          <cell r="A165" t="str">
            <v>E626732</v>
          </cell>
          <cell r="B165" t="str">
            <v>1-96083-61E</v>
          </cell>
          <cell r="C165" t="str">
            <v>MH49SM19009D</v>
          </cell>
          <cell r="D165"/>
          <cell r="E165">
            <v>8</v>
          </cell>
          <cell r="F165">
            <v>10</v>
          </cell>
          <cell r="G165">
            <v>10</v>
          </cell>
          <cell r="H165">
            <v>8</v>
          </cell>
          <cell r="I165"/>
          <cell r="J165"/>
          <cell r="K165"/>
          <cell r="L165"/>
          <cell r="M165"/>
        </row>
        <row r="166">
          <cell r="A166">
            <v>627079</v>
          </cell>
          <cell r="B166" t="str">
            <v>1-96302-01</v>
          </cell>
          <cell r="C166" t="str">
            <v>MH57SM19063D</v>
          </cell>
          <cell r="D166"/>
          <cell r="E166"/>
          <cell r="F166"/>
          <cell r="G166"/>
          <cell r="H166"/>
          <cell r="I166">
            <v>72</v>
          </cell>
          <cell r="J166">
            <v>61</v>
          </cell>
          <cell r="K166">
            <v>24</v>
          </cell>
          <cell r="L166"/>
          <cell r="M166"/>
        </row>
        <row r="167">
          <cell r="A167" t="str">
            <v>E625165</v>
          </cell>
          <cell r="B167" t="str">
            <v>1-93001-02E</v>
          </cell>
          <cell r="C167" t="str">
            <v>MH45SP18060D</v>
          </cell>
          <cell r="D167"/>
          <cell r="E167">
            <v>8</v>
          </cell>
          <cell r="F167">
            <v>10</v>
          </cell>
          <cell r="G167">
            <v>10</v>
          </cell>
          <cell r="H167">
            <v>8</v>
          </cell>
          <cell r="I167"/>
          <cell r="J167"/>
          <cell r="K167"/>
          <cell r="L167"/>
          <cell r="M167"/>
        </row>
        <row r="168">
          <cell r="A168"/>
          <cell r="B168"/>
          <cell r="C168"/>
          <cell r="D168"/>
          <cell r="E168"/>
          <cell r="F168"/>
          <cell r="G168"/>
          <cell r="H168"/>
          <cell r="I168"/>
          <cell r="J168"/>
          <cell r="K168"/>
          <cell r="L168"/>
          <cell r="M168"/>
        </row>
        <row r="169">
          <cell r="A169"/>
          <cell r="B169"/>
          <cell r="C169"/>
          <cell r="D169"/>
          <cell r="E169"/>
          <cell r="F169"/>
          <cell r="G169"/>
          <cell r="H169"/>
          <cell r="I169"/>
          <cell r="J169"/>
          <cell r="K169"/>
          <cell r="L169"/>
          <cell r="M169"/>
        </row>
        <row r="170">
          <cell r="A170"/>
          <cell r="B170"/>
          <cell r="C170"/>
          <cell r="D170"/>
          <cell r="E170"/>
          <cell r="F170"/>
          <cell r="G170"/>
          <cell r="H170"/>
          <cell r="I170"/>
          <cell r="J170"/>
          <cell r="K170"/>
          <cell r="L170"/>
          <cell r="M170"/>
        </row>
        <row r="171">
          <cell r="A171"/>
          <cell r="B171"/>
          <cell r="C171"/>
          <cell r="D171"/>
          <cell r="E171"/>
          <cell r="F171"/>
          <cell r="G171"/>
          <cell r="H171"/>
          <cell r="I171"/>
          <cell r="J171"/>
          <cell r="K171"/>
          <cell r="L171"/>
          <cell r="M171"/>
        </row>
        <row r="172">
          <cell r="A172"/>
          <cell r="B172"/>
          <cell r="C172"/>
          <cell r="D172"/>
          <cell r="E172"/>
          <cell r="F172"/>
          <cell r="G172"/>
          <cell r="H172"/>
          <cell r="I172"/>
          <cell r="J172"/>
          <cell r="K172"/>
          <cell r="L172"/>
          <cell r="M172"/>
        </row>
        <row r="173">
          <cell r="A173"/>
          <cell r="B173"/>
          <cell r="C173"/>
          <cell r="D173"/>
          <cell r="E173"/>
          <cell r="F173"/>
          <cell r="G173"/>
          <cell r="H173"/>
          <cell r="I173"/>
          <cell r="J173"/>
          <cell r="K173"/>
          <cell r="L173"/>
          <cell r="M173"/>
        </row>
        <row r="174">
          <cell r="A174"/>
          <cell r="B174"/>
          <cell r="C174"/>
          <cell r="D174"/>
          <cell r="E174"/>
          <cell r="F174"/>
          <cell r="G174"/>
          <cell r="H174"/>
          <cell r="I174"/>
          <cell r="J174"/>
          <cell r="K174"/>
          <cell r="L174"/>
          <cell r="M174"/>
        </row>
        <row r="175">
          <cell r="A175"/>
          <cell r="B175"/>
          <cell r="C175"/>
          <cell r="D175"/>
          <cell r="E175"/>
          <cell r="F175"/>
          <cell r="G175"/>
          <cell r="H175"/>
          <cell r="I175"/>
          <cell r="J175"/>
          <cell r="K175"/>
          <cell r="L175"/>
          <cell r="M175"/>
        </row>
        <row r="176">
          <cell r="A176"/>
          <cell r="B176"/>
          <cell r="C176"/>
          <cell r="D176"/>
          <cell r="E176"/>
          <cell r="F176"/>
          <cell r="G176"/>
          <cell r="H176"/>
          <cell r="I176"/>
          <cell r="J176"/>
          <cell r="K176"/>
          <cell r="L176"/>
          <cell r="M176"/>
        </row>
        <row r="177">
          <cell r="A177"/>
          <cell r="B177"/>
          <cell r="C177"/>
          <cell r="D177"/>
          <cell r="E177"/>
          <cell r="F177"/>
          <cell r="G177"/>
          <cell r="H177"/>
          <cell r="I177"/>
          <cell r="J177"/>
          <cell r="K177"/>
          <cell r="L177"/>
          <cell r="M177"/>
        </row>
      </sheetData>
      <sheetData sheetId="1"/>
      <sheetData sheetId="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tatus"/>
      <sheetName val="F-Main"/>
      <sheetName val="F-Main-Lin"/>
      <sheetName val="F-Main-COM"/>
      <sheetName val="F-Lin-Lin"/>
      <sheetName val="F-COM-COM"/>
      <sheetName val="Contrast-Con"/>
      <sheetName val="Sheet1"/>
      <sheetName val="Sheet2"/>
    </sheetNames>
    <sheetDataSet>
      <sheetData sheetId="0">
        <row r="1">
          <cell r="B1">
            <v>2</v>
          </cell>
          <cell r="D1">
            <v>4</v>
          </cell>
          <cell r="H1">
            <v>8</v>
          </cell>
        </row>
        <row r="2">
          <cell r="D2" t="str">
            <v>PO Number</v>
          </cell>
          <cell r="H2" t="str">
            <v>Colour M</v>
          </cell>
        </row>
        <row r="3">
          <cell r="D3">
            <v>612128</v>
          </cell>
          <cell r="H3" t="str">
            <v>FEDERAL BLUE 18 4029TCX-002</v>
          </cell>
        </row>
        <row r="4">
          <cell r="D4" t="str">
            <v>I612128</v>
          </cell>
          <cell r="H4" t="str">
            <v>FEDERAL BLUE 18 4029TCX-002</v>
          </cell>
        </row>
        <row r="5">
          <cell r="D5">
            <v>612126</v>
          </cell>
          <cell r="H5" t="str">
            <v>SOFT WHITE-002</v>
          </cell>
        </row>
        <row r="6">
          <cell r="D6" t="str">
            <v>I612126</v>
          </cell>
          <cell r="H6" t="str">
            <v>SOFT WHITE-002</v>
          </cell>
        </row>
        <row r="7">
          <cell r="D7">
            <v>612131</v>
          </cell>
          <cell r="H7" t="str">
            <v>THYME ( 19-0309 TCX)-003</v>
          </cell>
        </row>
        <row r="8">
          <cell r="D8" t="str">
            <v>I612131</v>
          </cell>
          <cell r="H8" t="str">
            <v>THYME ( 19-0309 TCX)-003</v>
          </cell>
        </row>
        <row r="9">
          <cell r="D9">
            <v>612130</v>
          </cell>
          <cell r="H9" t="str">
            <v>8GEO1550-004</v>
          </cell>
        </row>
        <row r="10">
          <cell r="D10">
            <v>612135</v>
          </cell>
          <cell r="H10" t="str">
            <v>8GEO1550-004</v>
          </cell>
        </row>
        <row r="11">
          <cell r="D11">
            <v>612070</v>
          </cell>
          <cell r="H11" t="str">
            <v>9PRT1714-005</v>
          </cell>
        </row>
        <row r="12">
          <cell r="D12" t="str">
            <v>I612070</v>
          </cell>
          <cell r="H12" t="str">
            <v>9PRT1714-005</v>
          </cell>
        </row>
        <row r="13">
          <cell r="D13">
            <v>611444</v>
          </cell>
          <cell r="H13" t="str">
            <v>CORE BLACK CSI# 1000175-006</v>
          </cell>
        </row>
        <row r="14">
          <cell r="D14" t="str">
            <v>I611444</v>
          </cell>
          <cell r="H14" t="str">
            <v>CORE BLACK CSI# 1000175-006</v>
          </cell>
        </row>
        <row r="15">
          <cell r="D15">
            <v>611445</v>
          </cell>
          <cell r="H15" t="str">
            <v>CORE BLACK CSI# 1000175-006</v>
          </cell>
        </row>
        <row r="16">
          <cell r="D16">
            <v>611446</v>
          </cell>
          <cell r="H16" t="str">
            <v>CORE BLACK CSI# 1000175-006</v>
          </cell>
        </row>
        <row r="17">
          <cell r="D17">
            <v>612287</v>
          </cell>
          <cell r="H17" t="str">
            <v>CORE BLACK CSI# 1000175</v>
          </cell>
        </row>
        <row r="18">
          <cell r="D18">
            <v>612071</v>
          </cell>
          <cell r="H18" t="str">
            <v>9FLR1865-005</v>
          </cell>
        </row>
        <row r="19">
          <cell r="D19" t="str">
            <v>I612071</v>
          </cell>
          <cell r="H19" t="str">
            <v>9FLR1865-005</v>
          </cell>
        </row>
        <row r="20">
          <cell r="D20">
            <v>612494</v>
          </cell>
          <cell r="H20" t="str">
            <v>DRAGONFLY (PT: 19-4826 TCX)</v>
          </cell>
        </row>
        <row r="21">
          <cell r="D21">
            <v>612495</v>
          </cell>
          <cell r="H21" t="str">
            <v>LT. MAHOGANY</v>
          </cell>
        </row>
        <row r="22">
          <cell r="D22">
            <v>613075</v>
          </cell>
          <cell r="H22" t="str">
            <v>Lotus Pink</v>
          </cell>
        </row>
        <row r="23">
          <cell r="D23">
            <v>613125</v>
          </cell>
          <cell r="H23" t="str">
            <v>9PLD1657</v>
          </cell>
        </row>
        <row r="24">
          <cell r="D24">
            <v>612981</v>
          </cell>
          <cell r="H24" t="str">
            <v>9FLR1672A-001</v>
          </cell>
        </row>
        <row r="25">
          <cell r="D25">
            <v>612979</v>
          </cell>
          <cell r="H25" t="str">
            <v>9FLR1953-002</v>
          </cell>
        </row>
        <row r="26">
          <cell r="D26">
            <v>613284</v>
          </cell>
          <cell r="H26" t="str">
            <v>7BOR1564-003</v>
          </cell>
        </row>
        <row r="27">
          <cell r="D27">
            <v>613284</v>
          </cell>
          <cell r="H27" t="str">
            <v>7BOR1564-001</v>
          </cell>
        </row>
        <row r="28">
          <cell r="D28">
            <v>613629</v>
          </cell>
          <cell r="H28" t="str">
            <v>CORE BLACK</v>
          </cell>
        </row>
        <row r="29">
          <cell r="D29">
            <v>613630</v>
          </cell>
          <cell r="H29" t="str">
            <v>CORE BLACK</v>
          </cell>
        </row>
        <row r="30">
          <cell r="D30">
            <v>613632</v>
          </cell>
          <cell r="H30" t="str">
            <v>Aqua sea</v>
          </cell>
        </row>
        <row r="31">
          <cell r="D31">
            <v>613635</v>
          </cell>
          <cell r="H31" t="str">
            <v>CORE BLACK</v>
          </cell>
        </row>
        <row r="32">
          <cell r="D32">
            <v>614077</v>
          </cell>
          <cell r="H32" t="str">
            <v>OLIVE NIGHT 19-0515</v>
          </cell>
        </row>
        <row r="33">
          <cell r="D33">
            <v>614077</v>
          </cell>
          <cell r="H33" t="str">
            <v>OLIVE NIGHT 19-0515</v>
          </cell>
        </row>
        <row r="34">
          <cell r="D34">
            <v>614351</v>
          </cell>
          <cell r="H34" t="str">
            <v>SMOKED PAPRIKA</v>
          </cell>
        </row>
        <row r="35">
          <cell r="D35">
            <v>614173</v>
          </cell>
          <cell r="H35" t="str">
            <v>9FLR1797A-001</v>
          </cell>
        </row>
        <row r="36">
          <cell r="D36">
            <v>614063</v>
          </cell>
          <cell r="H36" t="str">
            <v>SLATE ROSE-002</v>
          </cell>
        </row>
        <row r="37">
          <cell r="D37">
            <v>614227</v>
          </cell>
          <cell r="H37" t="str">
            <v>4FLR1555A-003</v>
          </cell>
        </row>
        <row r="38">
          <cell r="D38">
            <v>614228</v>
          </cell>
          <cell r="H38" t="str">
            <v>4FLR1577-003</v>
          </cell>
        </row>
        <row r="39">
          <cell r="D39">
            <v>613724</v>
          </cell>
          <cell r="H39" t="str">
            <v>4FLR1558-001</v>
          </cell>
        </row>
        <row r="40">
          <cell r="D40" t="str">
            <v>I613724</v>
          </cell>
          <cell r="H40" t="str">
            <v>4FLR1558-001</v>
          </cell>
        </row>
        <row r="41">
          <cell r="D41">
            <v>613723</v>
          </cell>
          <cell r="H41" t="str">
            <v>4FLR1558-001</v>
          </cell>
        </row>
        <row r="42">
          <cell r="D42">
            <v>613725</v>
          </cell>
          <cell r="H42" t="str">
            <v>4FLR1559-002</v>
          </cell>
        </row>
        <row r="43">
          <cell r="D43">
            <v>614825</v>
          </cell>
          <cell r="H43" t="str">
            <v>Beetle-001</v>
          </cell>
        </row>
        <row r="44">
          <cell r="D44">
            <v>615885</v>
          </cell>
          <cell r="H44" t="str">
            <v>Beetle-001</v>
          </cell>
        </row>
        <row r="45">
          <cell r="D45">
            <v>614822</v>
          </cell>
          <cell r="H45" t="str">
            <v>9PRT1507A-002</v>
          </cell>
        </row>
        <row r="46">
          <cell r="D46">
            <v>614821</v>
          </cell>
          <cell r="H46" t="str">
            <v>9PRT1507A-002</v>
          </cell>
        </row>
        <row r="47">
          <cell r="D47">
            <v>614598</v>
          </cell>
          <cell r="H47" t="str">
            <v>BEETLE (19-0312TCX)-003</v>
          </cell>
        </row>
        <row r="48">
          <cell r="D48" t="str">
            <v>I614597</v>
          </cell>
          <cell r="H48" t="str">
            <v>BEETLE (19-0312TCX)-003</v>
          </cell>
        </row>
        <row r="49">
          <cell r="D49">
            <v>614597</v>
          </cell>
          <cell r="H49" t="str">
            <v>BEETLE (19-0312TCX)-003</v>
          </cell>
        </row>
        <row r="50">
          <cell r="D50" t="str">
            <v>E614597</v>
          </cell>
          <cell r="H50" t="str">
            <v>BEETLE (19-0312TCX)-003</v>
          </cell>
        </row>
        <row r="51">
          <cell r="D51">
            <v>614711</v>
          </cell>
          <cell r="H51" t="str">
            <v>Pomegrante-004</v>
          </cell>
        </row>
        <row r="52">
          <cell r="D52" t="str">
            <v>E614711</v>
          </cell>
          <cell r="H52" t="str">
            <v>Pomegrante-004</v>
          </cell>
        </row>
        <row r="53">
          <cell r="D53" t="str">
            <v>I614711</v>
          </cell>
          <cell r="H53" t="str">
            <v>Pomegrante-004</v>
          </cell>
        </row>
        <row r="54">
          <cell r="D54">
            <v>614594</v>
          </cell>
          <cell r="H54" t="str">
            <v>CORE BLACK (CSI: 04CW1000175CK)-005</v>
          </cell>
        </row>
        <row r="55">
          <cell r="D55" t="str">
            <v>E614594</v>
          </cell>
          <cell r="H55" t="str">
            <v>CORE BLACK (CSI: 04CW1000175CK)-005</v>
          </cell>
        </row>
        <row r="56">
          <cell r="D56" t="str">
            <v>I614594</v>
          </cell>
          <cell r="H56" t="str">
            <v>CORE BLACK (CSI: 04CW1000175CK)-005</v>
          </cell>
        </row>
        <row r="57">
          <cell r="D57">
            <v>614595</v>
          </cell>
          <cell r="H57" t="str">
            <v>CORE BLACK (CSI: 04CW1000175CK)-005</v>
          </cell>
        </row>
        <row r="58">
          <cell r="D58">
            <v>614596</v>
          </cell>
          <cell r="H58" t="str">
            <v>CORE BLACK (CSI: 04CW1000175CK)-005</v>
          </cell>
        </row>
        <row r="59">
          <cell r="D59">
            <v>614872</v>
          </cell>
          <cell r="H59" t="str">
            <v>9FLR1913-006</v>
          </cell>
        </row>
        <row r="60">
          <cell r="D60" t="str">
            <v>I614872</v>
          </cell>
          <cell r="H60" t="str">
            <v>9FLR1913-006</v>
          </cell>
        </row>
        <row r="61">
          <cell r="D61">
            <v>614819</v>
          </cell>
          <cell r="H61" t="str">
            <v>9FLR1623A-007</v>
          </cell>
        </row>
        <row r="62">
          <cell r="D62">
            <v>614824</v>
          </cell>
          <cell r="H62" t="str">
            <v>9DOT1503H-008</v>
          </cell>
        </row>
        <row r="63">
          <cell r="D63">
            <v>614823</v>
          </cell>
          <cell r="H63" t="str">
            <v>ALLURE (16-4021 TCX)-009</v>
          </cell>
        </row>
        <row r="64">
          <cell r="D64" t="str">
            <v>I614823</v>
          </cell>
          <cell r="H64" t="str">
            <v>ALLURE (16-4021 TCX)-009</v>
          </cell>
        </row>
        <row r="65">
          <cell r="D65">
            <v>614712</v>
          </cell>
          <cell r="H65" t="str">
            <v>9FLR1901A-010</v>
          </cell>
        </row>
        <row r="66">
          <cell r="D66" t="str">
            <v>E614712</v>
          </cell>
          <cell r="H66" t="str">
            <v>9FLR1901A-010</v>
          </cell>
        </row>
        <row r="67">
          <cell r="D67" t="str">
            <v>I614712</v>
          </cell>
          <cell r="H67" t="str">
            <v>9FLR1901A-010</v>
          </cell>
        </row>
        <row r="68">
          <cell r="D68">
            <v>614820</v>
          </cell>
          <cell r="H68" t="str">
            <v>WINETASTING-011</v>
          </cell>
        </row>
        <row r="69">
          <cell r="D69">
            <v>614708</v>
          </cell>
          <cell r="H69" t="str">
            <v>TAWNY OLIVE-003</v>
          </cell>
        </row>
        <row r="70">
          <cell r="D70">
            <v>614987</v>
          </cell>
          <cell r="H70" t="str">
            <v>9PRT1507A-003</v>
          </cell>
        </row>
        <row r="71">
          <cell r="D71" t="str">
            <v>E614987</v>
          </cell>
          <cell r="H71" t="str">
            <v>9PRT1507A-003</v>
          </cell>
        </row>
        <row r="72">
          <cell r="D72">
            <v>614954</v>
          </cell>
          <cell r="H72" t="str">
            <v>9FLR1942-014</v>
          </cell>
        </row>
        <row r="73">
          <cell r="D73" t="str">
            <v>I614954</v>
          </cell>
          <cell r="H73" t="str">
            <v>9FLR1942-014</v>
          </cell>
        </row>
        <row r="74">
          <cell r="D74" t="str">
            <v>E614954</v>
          </cell>
          <cell r="H74" t="str">
            <v>9FLR1942-014</v>
          </cell>
        </row>
        <row r="75">
          <cell r="D75">
            <v>614953</v>
          </cell>
          <cell r="H75" t="str">
            <v>9FLR1901-015</v>
          </cell>
        </row>
        <row r="76">
          <cell r="D76" t="str">
            <v>I614953</v>
          </cell>
          <cell r="H76" t="str">
            <v>9FLR1901-015</v>
          </cell>
        </row>
        <row r="77">
          <cell r="D77" t="str">
            <v>E614953</v>
          </cell>
          <cell r="H77" t="str">
            <v>9FLR1901-015</v>
          </cell>
        </row>
        <row r="78">
          <cell r="D78">
            <v>614817</v>
          </cell>
          <cell r="H78" t="str">
            <v>9FLR1945-016</v>
          </cell>
        </row>
        <row r="79">
          <cell r="D79" t="str">
            <v>I614817</v>
          </cell>
          <cell r="H79" t="str">
            <v>9FLR1945-016</v>
          </cell>
        </row>
        <row r="80">
          <cell r="D80">
            <v>614818</v>
          </cell>
          <cell r="H80" t="str">
            <v>9FLR1945-016</v>
          </cell>
        </row>
        <row r="81">
          <cell r="D81">
            <v>614706</v>
          </cell>
          <cell r="H81" t="str">
            <v>1FLR1871-017</v>
          </cell>
        </row>
        <row r="82">
          <cell r="D82">
            <v>614870</v>
          </cell>
          <cell r="H82" t="str">
            <v>PRIMARY NAVY -018</v>
          </cell>
        </row>
        <row r="83">
          <cell r="D83" t="str">
            <v>I614870</v>
          </cell>
          <cell r="H83" t="str">
            <v>PRIMARY NAVY -018</v>
          </cell>
        </row>
        <row r="84">
          <cell r="D84">
            <v>614871</v>
          </cell>
          <cell r="H84" t="str">
            <v>SUDAN BROWN  # 18-1160 TCX-019</v>
          </cell>
        </row>
        <row r="85">
          <cell r="D85" t="str">
            <v>E614871</v>
          </cell>
          <cell r="H85" t="str">
            <v>SUDAN BROWN  # 18-1160 TCX-019</v>
          </cell>
        </row>
        <row r="86">
          <cell r="D86">
            <v>614990</v>
          </cell>
          <cell r="H86" t="str">
            <v>9FLR1893-003</v>
          </cell>
        </row>
        <row r="87">
          <cell r="D87" t="str">
            <v>E614990</v>
          </cell>
          <cell r="H87" t="str">
            <v>9FLR1893-003</v>
          </cell>
        </row>
        <row r="88">
          <cell r="D88">
            <v>614781</v>
          </cell>
          <cell r="H88" t="str">
            <v>WINETATSING (PT: 19-2118 TCX)-001</v>
          </cell>
        </row>
        <row r="89">
          <cell r="D89" t="str">
            <v>I614781</v>
          </cell>
          <cell r="H89" t="str">
            <v>WINETATSING (PT: 19-2118 TCX)-001</v>
          </cell>
        </row>
        <row r="90">
          <cell r="D90">
            <v>614780</v>
          </cell>
          <cell r="H90" t="str">
            <v>1FLR1809B-002</v>
          </cell>
        </row>
        <row r="91">
          <cell r="D91">
            <v>614780</v>
          </cell>
          <cell r="H91" t="str">
            <v>1FLR1809B-001</v>
          </cell>
        </row>
        <row r="92">
          <cell r="D92">
            <v>614782</v>
          </cell>
          <cell r="H92" t="str">
            <v>1FLR1843-004</v>
          </cell>
        </row>
        <row r="93">
          <cell r="D93">
            <v>614782</v>
          </cell>
          <cell r="H93" t="str">
            <v>1FLR1843-005</v>
          </cell>
        </row>
        <row r="94">
          <cell r="D94" t="str">
            <v>I614782</v>
          </cell>
          <cell r="H94" t="str">
            <v>1FLR1843-004</v>
          </cell>
        </row>
        <row r="95">
          <cell r="D95" t="str">
            <v>I614782</v>
          </cell>
          <cell r="H95" t="str">
            <v>1FLR1843-005</v>
          </cell>
        </row>
        <row r="96">
          <cell r="D96">
            <v>615383</v>
          </cell>
          <cell r="H96" t="str">
            <v>9FLR1828C-001</v>
          </cell>
        </row>
        <row r="97">
          <cell r="D97" t="str">
            <v>E615383</v>
          </cell>
          <cell r="H97" t="str">
            <v>9FLR1828C-001</v>
          </cell>
        </row>
        <row r="98">
          <cell r="D98">
            <v>615642</v>
          </cell>
          <cell r="H98" t="str">
            <v>1FLR1856A-003</v>
          </cell>
        </row>
        <row r="99">
          <cell r="D99">
            <v>615898</v>
          </cell>
          <cell r="H99" t="str">
            <v>9GEO1654-003</v>
          </cell>
        </row>
        <row r="100">
          <cell r="D100" t="str">
            <v>E615898</v>
          </cell>
          <cell r="H100" t="str">
            <v>9GEO1654-003</v>
          </cell>
        </row>
        <row r="101">
          <cell r="D101">
            <v>615895</v>
          </cell>
          <cell r="H101" t="str">
            <v>9FLR1896-003</v>
          </cell>
        </row>
        <row r="102">
          <cell r="D102" t="str">
            <v>E615895</v>
          </cell>
          <cell r="H102" t="str">
            <v>9FLR1896-003</v>
          </cell>
        </row>
        <row r="103">
          <cell r="D103">
            <v>615897</v>
          </cell>
          <cell r="H103" t="str">
            <v>9FLR1893-002</v>
          </cell>
        </row>
        <row r="104">
          <cell r="D104" t="str">
            <v>I615897</v>
          </cell>
          <cell r="H104" t="str">
            <v>9FLR1893-002</v>
          </cell>
        </row>
        <row r="105">
          <cell r="D105" t="str">
            <v>E615897</v>
          </cell>
          <cell r="H105" t="str">
            <v>9FLR1893-002</v>
          </cell>
        </row>
        <row r="106">
          <cell r="D106">
            <v>615896</v>
          </cell>
          <cell r="H106" t="str">
            <v>MARS RED: 18-1655 TCX-003</v>
          </cell>
        </row>
        <row r="107">
          <cell r="D107" t="str">
            <v>E615896</v>
          </cell>
          <cell r="H107" t="str">
            <v>MARS RED: 18-1655 TCX-003</v>
          </cell>
        </row>
        <row r="108">
          <cell r="D108" t="str">
            <v>I615896</v>
          </cell>
          <cell r="H108" t="str">
            <v>MARS RED: 18-1655 TCX-003</v>
          </cell>
        </row>
        <row r="109">
          <cell r="D109">
            <v>616011</v>
          </cell>
          <cell r="H109" t="str">
            <v>9FLR1828C-002</v>
          </cell>
        </row>
        <row r="110">
          <cell r="D110">
            <v>615899</v>
          </cell>
          <cell r="H110" t="str">
            <v>9FLR1828C-002</v>
          </cell>
        </row>
        <row r="111">
          <cell r="D111" t="str">
            <v>I615899</v>
          </cell>
          <cell r="H111" t="str">
            <v>9FLR1828C-002</v>
          </cell>
        </row>
        <row r="112">
          <cell r="D112">
            <v>616059</v>
          </cell>
          <cell r="H112" t="str">
            <v>1FLR1843-001</v>
          </cell>
        </row>
        <row r="113">
          <cell r="D113" t="str">
            <v>I616059</v>
          </cell>
          <cell r="H113" t="str">
            <v>1FLR1843-001</v>
          </cell>
        </row>
        <row r="114">
          <cell r="D114">
            <v>616060</v>
          </cell>
          <cell r="H114" t="str">
            <v>1PRT1729-001</v>
          </cell>
        </row>
        <row r="115">
          <cell r="D115">
            <v>615833</v>
          </cell>
          <cell r="H115" t="str">
            <v>9STR1614-002</v>
          </cell>
        </row>
        <row r="116">
          <cell r="D116" t="str">
            <v>E615833</v>
          </cell>
          <cell r="H116" t="str">
            <v>9STR1614-002</v>
          </cell>
        </row>
        <row r="117">
          <cell r="D117" t="str">
            <v>I615833</v>
          </cell>
          <cell r="H117" t="str">
            <v>9STR1614-002</v>
          </cell>
        </row>
        <row r="118">
          <cell r="D118">
            <v>615631</v>
          </cell>
          <cell r="H118" t="str">
            <v>SMOCKED PAPRIKA (19-1429TCX)-001</v>
          </cell>
        </row>
        <row r="119">
          <cell r="D119" t="str">
            <v>I615631</v>
          </cell>
          <cell r="H119" t="str">
            <v>SMOCKED PAPRIKA (19-1429TCX)-001</v>
          </cell>
        </row>
        <row r="120">
          <cell r="D120">
            <v>616069</v>
          </cell>
          <cell r="H120" t="str">
            <v>1PRT1722-001</v>
          </cell>
        </row>
        <row r="121">
          <cell r="D121" t="str">
            <v>I616069</v>
          </cell>
          <cell r="H121" t="str">
            <v>1PRT1722-001</v>
          </cell>
        </row>
        <row r="122">
          <cell r="D122">
            <v>615865</v>
          </cell>
          <cell r="H122" t="str">
            <v>Sea Moss-001</v>
          </cell>
        </row>
        <row r="123">
          <cell r="D123">
            <v>616865</v>
          </cell>
          <cell r="H123" t="str">
            <v>9FLR1900-001</v>
          </cell>
        </row>
        <row r="124">
          <cell r="D124" t="str">
            <v>E616865</v>
          </cell>
          <cell r="H124" t="str">
            <v>9FLR1900-001</v>
          </cell>
        </row>
        <row r="125">
          <cell r="D125">
            <v>616866</v>
          </cell>
          <cell r="H125" t="str">
            <v>JASPER-001</v>
          </cell>
        </row>
        <row r="126">
          <cell r="D126" t="str">
            <v>I616866</v>
          </cell>
          <cell r="H126" t="str">
            <v>JASPER-001</v>
          </cell>
        </row>
        <row r="127">
          <cell r="D127" t="str">
            <v>E616866</v>
          </cell>
          <cell r="H127" t="str">
            <v>JASPER-001</v>
          </cell>
        </row>
        <row r="128">
          <cell r="D128">
            <v>616868</v>
          </cell>
          <cell r="H128" t="str">
            <v>CORE BLACK-002</v>
          </cell>
        </row>
        <row r="129">
          <cell r="D129" t="str">
            <v>I616868</v>
          </cell>
          <cell r="H129" t="str">
            <v>CORE BLACK-002</v>
          </cell>
        </row>
        <row r="130">
          <cell r="D130" t="str">
            <v>E616868</v>
          </cell>
          <cell r="H130" t="str">
            <v>CORE BLACK-002</v>
          </cell>
        </row>
        <row r="131">
          <cell r="D131">
            <v>617218</v>
          </cell>
          <cell r="H131" t="str">
            <v>CORE BLACK-001</v>
          </cell>
        </row>
        <row r="132">
          <cell r="D132" t="str">
            <v>E617218</v>
          </cell>
          <cell r="H132" t="str">
            <v>CORE BLACK-001</v>
          </cell>
        </row>
        <row r="133">
          <cell r="D133">
            <v>617219</v>
          </cell>
          <cell r="H133" t="str">
            <v>CORE BLACK-001</v>
          </cell>
        </row>
        <row r="134">
          <cell r="D134">
            <v>618262</v>
          </cell>
          <cell r="H134" t="str">
            <v>CORE BLACK-001</v>
          </cell>
        </row>
        <row r="135">
          <cell r="D135" t="str">
            <v>E618262</v>
          </cell>
          <cell r="H135" t="str">
            <v>CORE BLACK-001</v>
          </cell>
        </row>
        <row r="136">
          <cell r="D136">
            <v>618263</v>
          </cell>
          <cell r="H136" t="str">
            <v>CORE BLACK-001</v>
          </cell>
        </row>
        <row r="137">
          <cell r="D137">
            <v>618297</v>
          </cell>
          <cell r="H137" t="str">
            <v>9FLR1918A-002</v>
          </cell>
        </row>
        <row r="138">
          <cell r="D138" t="str">
            <v>E618297</v>
          </cell>
          <cell r="H138" t="str">
            <v>9FLR1918A-002</v>
          </cell>
        </row>
        <row r="139">
          <cell r="D139">
            <v>618178</v>
          </cell>
          <cell r="H139" t="str">
            <v>1PRT1737-003</v>
          </cell>
        </row>
        <row r="140">
          <cell r="D140">
            <v>618174</v>
          </cell>
          <cell r="H140" t="str">
            <v>1FLR1901-003</v>
          </cell>
        </row>
        <row r="141">
          <cell r="D141">
            <v>618533</v>
          </cell>
          <cell r="H141" t="str">
            <v>9FLR1992-004</v>
          </cell>
        </row>
        <row r="142">
          <cell r="D142">
            <v>618532</v>
          </cell>
          <cell r="H142" t="str">
            <v>9FLR1992-004</v>
          </cell>
        </row>
        <row r="143">
          <cell r="D143" t="str">
            <v>E618532</v>
          </cell>
          <cell r="H143" t="str">
            <v>9FLR1992-004</v>
          </cell>
        </row>
        <row r="144">
          <cell r="D144">
            <v>618531</v>
          </cell>
          <cell r="H144" t="str">
            <v>9FLR1922-004</v>
          </cell>
        </row>
        <row r="145">
          <cell r="D145" t="str">
            <v>E618531</v>
          </cell>
          <cell r="H145" t="str">
            <v>9FLR1922-004</v>
          </cell>
        </row>
        <row r="146">
          <cell r="D146" t="str">
            <v>I618531</v>
          </cell>
          <cell r="H146" t="str">
            <v>9FLR1922-004</v>
          </cell>
        </row>
        <row r="147">
          <cell r="D147">
            <v>618530</v>
          </cell>
          <cell r="H147" t="str">
            <v>9FLR1920-004</v>
          </cell>
        </row>
        <row r="148">
          <cell r="D148" t="str">
            <v>E618530</v>
          </cell>
          <cell r="H148" t="str">
            <v>9FLR1920-004</v>
          </cell>
        </row>
        <row r="149">
          <cell r="D149" t="str">
            <v>I618530</v>
          </cell>
          <cell r="H149" t="str">
            <v>9FLR1920-004</v>
          </cell>
        </row>
        <row r="150">
          <cell r="D150">
            <v>618534</v>
          </cell>
          <cell r="H150" t="str">
            <v>9FLR1981-004</v>
          </cell>
        </row>
        <row r="151">
          <cell r="D151" t="str">
            <v>E618534</v>
          </cell>
          <cell r="H151" t="str">
            <v>9FLR1981-004</v>
          </cell>
        </row>
        <row r="152">
          <cell r="D152">
            <v>618553</v>
          </cell>
          <cell r="H152" t="str">
            <v>LEGION BLUE-001</v>
          </cell>
        </row>
        <row r="153">
          <cell r="D153" t="str">
            <v>E618553</v>
          </cell>
          <cell r="H153" t="str">
            <v>LEGION BLUE-001</v>
          </cell>
        </row>
        <row r="154">
          <cell r="D154" t="str">
            <v>I618553</v>
          </cell>
          <cell r="H154" t="str">
            <v>LEGION BLUE-001</v>
          </cell>
        </row>
        <row r="155">
          <cell r="D155">
            <v>618555</v>
          </cell>
          <cell r="H155" t="str">
            <v>9FLR1928A-001</v>
          </cell>
        </row>
        <row r="156">
          <cell r="D156" t="str">
            <v>E618555</v>
          </cell>
          <cell r="H156" t="str">
            <v>9FLR1928A-001</v>
          </cell>
        </row>
        <row r="157">
          <cell r="D157">
            <v>618552</v>
          </cell>
          <cell r="H157" t="str">
            <v>9FLR1918-001</v>
          </cell>
        </row>
        <row r="158">
          <cell r="D158" t="str">
            <v>E618552</v>
          </cell>
          <cell r="H158" t="str">
            <v>9FLR1918-001</v>
          </cell>
        </row>
        <row r="159">
          <cell r="D159">
            <v>618618</v>
          </cell>
          <cell r="H159" t="str">
            <v>9FLR1918-001</v>
          </cell>
        </row>
        <row r="160">
          <cell r="D160">
            <v>618576</v>
          </cell>
          <cell r="H160" t="str">
            <v>DEAUVILLEMAUVE-001</v>
          </cell>
        </row>
        <row r="161">
          <cell r="D161" t="str">
            <v>E618576</v>
          </cell>
          <cell r="H161" t="str">
            <v>DEAUVILLEMAUVE-001</v>
          </cell>
        </row>
        <row r="162">
          <cell r="D162">
            <v>618551</v>
          </cell>
          <cell r="H162" t="str">
            <v>9FLR1926-001</v>
          </cell>
        </row>
        <row r="163">
          <cell r="D163" t="str">
            <v>E618551</v>
          </cell>
          <cell r="H163" t="str">
            <v>9FLR1926-001</v>
          </cell>
        </row>
        <row r="164">
          <cell r="D164">
            <v>618550</v>
          </cell>
          <cell r="H164" t="str">
            <v>9PRT1749-001</v>
          </cell>
        </row>
        <row r="165">
          <cell r="D165">
            <v>618549</v>
          </cell>
          <cell r="H165" t="str">
            <v>9PRT1749-001</v>
          </cell>
        </row>
        <row r="166">
          <cell r="D166" t="str">
            <v>E618549</v>
          </cell>
          <cell r="H166" t="str">
            <v>9PRT1749-001</v>
          </cell>
        </row>
        <row r="167">
          <cell r="D167">
            <v>618573</v>
          </cell>
          <cell r="H167" t="str">
            <v>9FLR1928-002</v>
          </cell>
        </row>
        <row r="168">
          <cell r="D168" t="str">
            <v>E618573</v>
          </cell>
          <cell r="H168" t="str">
            <v>9FLR1928-002</v>
          </cell>
        </row>
        <row r="169">
          <cell r="D169">
            <v>618583</v>
          </cell>
          <cell r="H169" t="str">
            <v>9DOT1619-002</v>
          </cell>
        </row>
        <row r="170">
          <cell r="D170" t="str">
            <v>E618583</v>
          </cell>
          <cell r="H170" t="str">
            <v>9DOT1619-002</v>
          </cell>
        </row>
        <row r="171">
          <cell r="D171" t="str">
            <v>I618583</v>
          </cell>
          <cell r="H171" t="str">
            <v>9DOT1619-002</v>
          </cell>
        </row>
        <row r="172">
          <cell r="D172">
            <v>618584</v>
          </cell>
          <cell r="H172" t="str">
            <v>9DOT1619-002</v>
          </cell>
        </row>
        <row r="173">
          <cell r="D173">
            <v>618593</v>
          </cell>
          <cell r="H173" t="str">
            <v>WINETASTING 19-2118 TCX-003</v>
          </cell>
        </row>
        <row r="174">
          <cell r="D174">
            <v>618592</v>
          </cell>
          <cell r="H174" t="str">
            <v>1FLR1840-003</v>
          </cell>
        </row>
        <row r="175">
          <cell r="D175">
            <v>618565</v>
          </cell>
          <cell r="H175" t="str">
            <v>9FLR1981-002</v>
          </cell>
        </row>
        <row r="176">
          <cell r="D176" t="str">
            <v>E618565</v>
          </cell>
          <cell r="H176" t="str">
            <v>9FLR1981-002</v>
          </cell>
        </row>
        <row r="177">
          <cell r="D177">
            <v>619041</v>
          </cell>
          <cell r="H177" t="str">
            <v>BEETLE-001</v>
          </cell>
        </row>
        <row r="178">
          <cell r="D178" t="str">
            <v>E619041</v>
          </cell>
          <cell r="H178" t="str">
            <v>BEETLE-001</v>
          </cell>
        </row>
        <row r="179">
          <cell r="D179">
            <v>619037</v>
          </cell>
          <cell r="H179" t="str">
            <v>9FLR1922A-001</v>
          </cell>
        </row>
        <row r="180">
          <cell r="D180" t="str">
            <v>E619037</v>
          </cell>
          <cell r="H180" t="str">
            <v>9FLR1922A-001</v>
          </cell>
        </row>
        <row r="181">
          <cell r="D181">
            <v>618782</v>
          </cell>
          <cell r="H181" t="str">
            <v>7FLR1708-001</v>
          </cell>
        </row>
        <row r="182">
          <cell r="D182">
            <v>619690</v>
          </cell>
          <cell r="H182" t="str">
            <v>1FLR1942-001</v>
          </cell>
        </row>
        <row r="183">
          <cell r="D183">
            <v>619839</v>
          </cell>
          <cell r="H183" t="str">
            <v>9FLR1981-001</v>
          </cell>
        </row>
        <row r="184">
          <cell r="D184">
            <v>619831</v>
          </cell>
          <cell r="H184" t="str">
            <v>MADDER BROWN 19-1331-001</v>
          </cell>
        </row>
        <row r="185">
          <cell r="D185">
            <v>619832</v>
          </cell>
          <cell r="H185" t="str">
            <v>FOREST NIGHT 19-0414-001</v>
          </cell>
        </row>
        <row r="186">
          <cell r="D186">
            <v>620976</v>
          </cell>
          <cell r="H186" t="str">
            <v>9DOT1619-001</v>
          </cell>
        </row>
        <row r="187">
          <cell r="D187">
            <v>621643</v>
          </cell>
          <cell r="H187" t="str">
            <v>9DOT1619-001</v>
          </cell>
        </row>
        <row r="188">
          <cell r="D188">
            <v>623894</v>
          </cell>
          <cell r="H188" t="str">
            <v>9DOT1619-001</v>
          </cell>
        </row>
        <row r="189">
          <cell r="D189" t="str">
            <v>E621643</v>
          </cell>
          <cell r="H189" t="str">
            <v>9DOT1619-001</v>
          </cell>
        </row>
        <row r="190">
          <cell r="D190">
            <v>621647</v>
          </cell>
          <cell r="H190" t="str">
            <v>9DOT1619-001</v>
          </cell>
        </row>
        <row r="191">
          <cell r="D191">
            <v>621652</v>
          </cell>
          <cell r="H191" t="str">
            <v>9DOT1619-001</v>
          </cell>
        </row>
        <row r="192">
          <cell r="D192">
            <v>621729</v>
          </cell>
          <cell r="H192" t="str">
            <v>9DOT1628B-001</v>
          </cell>
        </row>
        <row r="193">
          <cell r="D193">
            <v>622700</v>
          </cell>
          <cell r="H193" t="str">
            <v>9DOT1628B-001</v>
          </cell>
        </row>
        <row r="194">
          <cell r="D194" t="str">
            <v>E621729</v>
          </cell>
          <cell r="H194" t="str">
            <v>9DOT1628B-001</v>
          </cell>
        </row>
        <row r="195">
          <cell r="D195">
            <v>621730</v>
          </cell>
          <cell r="H195" t="str">
            <v>9FLR2020-001</v>
          </cell>
        </row>
        <row r="196">
          <cell r="D196">
            <v>621773</v>
          </cell>
          <cell r="H196" t="str">
            <v>9FLR2020-001</v>
          </cell>
        </row>
        <row r="197">
          <cell r="D197" t="str">
            <v>E621773</v>
          </cell>
          <cell r="H197" t="str">
            <v>9FLR2020-001</v>
          </cell>
        </row>
        <row r="198">
          <cell r="D198">
            <v>621731</v>
          </cell>
          <cell r="H198" t="str">
            <v>9FLR2056-001</v>
          </cell>
        </row>
        <row r="199">
          <cell r="D199">
            <v>623893</v>
          </cell>
          <cell r="H199" t="str">
            <v>9FLR2056-001</v>
          </cell>
        </row>
        <row r="200">
          <cell r="D200" t="str">
            <v>I621731</v>
          </cell>
          <cell r="H200" t="str">
            <v>9FLR2056-001</v>
          </cell>
        </row>
        <row r="201">
          <cell r="D201">
            <v>621732</v>
          </cell>
          <cell r="H201" t="str">
            <v>8FLR1571-001</v>
          </cell>
        </row>
        <row r="202">
          <cell r="D202">
            <v>621663</v>
          </cell>
          <cell r="H202" t="str">
            <v>9FLR1963-002</v>
          </cell>
        </row>
        <row r="203">
          <cell r="D203">
            <v>622695</v>
          </cell>
          <cell r="H203" t="str">
            <v>9FLR1963-002</v>
          </cell>
        </row>
        <row r="204">
          <cell r="D204" t="str">
            <v>E621663</v>
          </cell>
          <cell r="H204" t="str">
            <v>9FLR1963-002</v>
          </cell>
        </row>
        <row r="205">
          <cell r="D205">
            <v>621725</v>
          </cell>
          <cell r="H205" t="str">
            <v>9STR1618A-002</v>
          </cell>
        </row>
        <row r="206">
          <cell r="D206">
            <v>622696</v>
          </cell>
          <cell r="H206" t="str">
            <v>9STR1618A-002</v>
          </cell>
        </row>
        <row r="207">
          <cell r="D207">
            <v>621726</v>
          </cell>
          <cell r="H207" t="str">
            <v>9PRT1752A-002</v>
          </cell>
        </row>
        <row r="208">
          <cell r="D208">
            <v>623891</v>
          </cell>
          <cell r="H208" t="str">
            <v>9PRT1752A-002</v>
          </cell>
        </row>
        <row r="209">
          <cell r="D209" t="str">
            <v>E621726</v>
          </cell>
          <cell r="H209" t="str">
            <v>9PRT1752A-002</v>
          </cell>
        </row>
        <row r="210">
          <cell r="D210">
            <v>621727</v>
          </cell>
          <cell r="H210" t="str">
            <v>9FLR1986-002</v>
          </cell>
        </row>
        <row r="211">
          <cell r="D211">
            <v>623892</v>
          </cell>
          <cell r="H211" t="str">
            <v>9FLR1986-002</v>
          </cell>
        </row>
        <row r="212">
          <cell r="D212" t="str">
            <v>E621727</v>
          </cell>
          <cell r="H212" t="str">
            <v>9FLR1986-002</v>
          </cell>
        </row>
        <row r="213">
          <cell r="D213">
            <v>621728</v>
          </cell>
          <cell r="H213" t="str">
            <v>9FLR2038-002</v>
          </cell>
        </row>
        <row r="214">
          <cell r="D214">
            <v>623452</v>
          </cell>
          <cell r="H214" t="str">
            <v>9FLR2038-002</v>
          </cell>
        </row>
        <row r="215">
          <cell r="D215">
            <v>621741</v>
          </cell>
          <cell r="H215" t="str">
            <v>9GEO1657-001</v>
          </cell>
        </row>
        <row r="216">
          <cell r="D216">
            <v>621736</v>
          </cell>
          <cell r="H216" t="str">
            <v>PINOT NOIR -002</v>
          </cell>
        </row>
        <row r="217">
          <cell r="D217">
            <v>624320</v>
          </cell>
          <cell r="H217" t="str">
            <v>PINOT NOIR -002</v>
          </cell>
        </row>
        <row r="218">
          <cell r="D218">
            <v>621733</v>
          </cell>
          <cell r="H218" t="str">
            <v>BEETLE-002</v>
          </cell>
        </row>
        <row r="219">
          <cell r="D219">
            <v>623840</v>
          </cell>
          <cell r="H219" t="str">
            <v>BEETLE-002</v>
          </cell>
        </row>
        <row r="220">
          <cell r="D220">
            <v>622701</v>
          </cell>
          <cell r="H220" t="str">
            <v>BEETLE-002</v>
          </cell>
        </row>
        <row r="221">
          <cell r="D221">
            <v>621734</v>
          </cell>
          <cell r="H221" t="str">
            <v>9GEO1660-002</v>
          </cell>
        </row>
        <row r="222">
          <cell r="D222">
            <v>623842</v>
          </cell>
          <cell r="H222" t="str">
            <v>9GEO1660-002</v>
          </cell>
        </row>
        <row r="223">
          <cell r="D223" t="str">
            <v>E621734</v>
          </cell>
          <cell r="H223" t="str">
            <v>9GEO1660-002</v>
          </cell>
        </row>
        <row r="224">
          <cell r="D224">
            <v>621735</v>
          </cell>
          <cell r="H224" t="str">
            <v>COPEN BLUE-002</v>
          </cell>
        </row>
        <row r="225">
          <cell r="D225" t="str">
            <v>E621735</v>
          </cell>
          <cell r="H225" t="str">
            <v>COPEN BLUE-002</v>
          </cell>
        </row>
        <row r="226">
          <cell r="D226">
            <v>622465</v>
          </cell>
          <cell r="H226" t="str">
            <v>7FLR1716-001</v>
          </cell>
        </row>
        <row r="227">
          <cell r="D227" t="str">
            <v>I622465</v>
          </cell>
          <cell r="H227" t="str">
            <v>7FLR1716-001</v>
          </cell>
        </row>
        <row r="228">
          <cell r="D228">
            <v>622597</v>
          </cell>
          <cell r="H228" t="str">
            <v>7FLR1716-001</v>
          </cell>
        </row>
        <row r="229">
          <cell r="D229">
            <v>622596</v>
          </cell>
          <cell r="H229" t="str">
            <v>7FLR1716-001</v>
          </cell>
        </row>
        <row r="230">
          <cell r="D230">
            <v>622844</v>
          </cell>
          <cell r="H230" t="str">
            <v xml:space="preserve"> 9FLR1995-001</v>
          </cell>
        </row>
        <row r="231">
          <cell r="D231">
            <v>622434</v>
          </cell>
          <cell r="H231" t="str">
            <v xml:space="preserve"> 9FLR1995-001</v>
          </cell>
        </row>
        <row r="232">
          <cell r="D232">
            <v>622856</v>
          </cell>
          <cell r="H232" t="str">
            <v>9FLR1965A-001</v>
          </cell>
        </row>
        <row r="233">
          <cell r="D233" t="str">
            <v>I622856</v>
          </cell>
          <cell r="H233" t="str">
            <v>9FLR1965A-001</v>
          </cell>
        </row>
        <row r="234">
          <cell r="D234" t="str">
            <v>E622856</v>
          </cell>
          <cell r="H234" t="str">
            <v>9FLR1965A-001</v>
          </cell>
        </row>
        <row r="235">
          <cell r="D235">
            <v>622860</v>
          </cell>
          <cell r="H235" t="str">
            <v>9FLR1965A-001</v>
          </cell>
        </row>
        <row r="236">
          <cell r="D236">
            <v>622861</v>
          </cell>
          <cell r="H236" t="str">
            <v>9FLR1965A-001</v>
          </cell>
        </row>
        <row r="237">
          <cell r="D237">
            <v>623433</v>
          </cell>
          <cell r="H237" t="str">
            <v>9FLR1965A-001</v>
          </cell>
        </row>
        <row r="238">
          <cell r="D238">
            <v>622863</v>
          </cell>
          <cell r="H238" t="str">
            <v>9FLR2020-001</v>
          </cell>
        </row>
        <row r="239">
          <cell r="D239" t="str">
            <v>E622863</v>
          </cell>
          <cell r="H239" t="str">
            <v>9FLR2020-001</v>
          </cell>
        </row>
        <row r="240">
          <cell r="D240">
            <v>622538</v>
          </cell>
          <cell r="H240" t="str">
            <v>7FLR1716-002</v>
          </cell>
        </row>
        <row r="241">
          <cell r="D241">
            <v>623284</v>
          </cell>
          <cell r="H241" t="str">
            <v>9FLR1995-001</v>
          </cell>
        </row>
        <row r="242">
          <cell r="D242">
            <v>623441</v>
          </cell>
          <cell r="H242" t="str">
            <v>9FLR1995-001</v>
          </cell>
        </row>
        <row r="243">
          <cell r="D243">
            <v>623286</v>
          </cell>
          <cell r="H243" t="str">
            <v>9FLR2065-001</v>
          </cell>
        </row>
        <row r="244">
          <cell r="D244">
            <v>623442</v>
          </cell>
          <cell r="H244" t="str">
            <v>9FLR2065-001</v>
          </cell>
        </row>
        <row r="245">
          <cell r="D245">
            <v>623253</v>
          </cell>
          <cell r="H245" t="str">
            <v>9FLR1965 -001</v>
          </cell>
        </row>
        <row r="246">
          <cell r="D246">
            <v>623454</v>
          </cell>
          <cell r="H246" t="str">
            <v>9FLR1965 -001</v>
          </cell>
        </row>
        <row r="247">
          <cell r="D247">
            <v>623254</v>
          </cell>
          <cell r="H247" t="str">
            <v>PRIMARY NAVY-001</v>
          </cell>
        </row>
        <row r="248">
          <cell r="D248">
            <v>623456</v>
          </cell>
          <cell r="H248" t="str">
            <v>PRIMARY NAVY-001</v>
          </cell>
        </row>
        <row r="249">
          <cell r="D249">
            <v>623555</v>
          </cell>
          <cell r="H249" t="str">
            <v>CORE BLACK -002</v>
          </cell>
        </row>
        <row r="250">
          <cell r="D250">
            <v>623583</v>
          </cell>
          <cell r="H250" t="str">
            <v>CORE BLACK -002</v>
          </cell>
        </row>
        <row r="251">
          <cell r="D251">
            <v>623558</v>
          </cell>
          <cell r="H251" t="str">
            <v>EGRET -002</v>
          </cell>
        </row>
        <row r="252">
          <cell r="D252" t="str">
            <v>E623558</v>
          </cell>
          <cell r="H252" t="str">
            <v>EGRET -002</v>
          </cell>
        </row>
        <row r="253">
          <cell r="D253">
            <v>623553</v>
          </cell>
          <cell r="H253" t="str">
            <v>9GEO1625B-002</v>
          </cell>
        </row>
        <row r="254">
          <cell r="D254">
            <v>623582</v>
          </cell>
          <cell r="H254" t="str">
            <v>9GEO1625B-002</v>
          </cell>
        </row>
        <row r="255">
          <cell r="D255">
            <v>623058</v>
          </cell>
          <cell r="H255" t="str">
            <v>8FLR1571-001</v>
          </cell>
        </row>
        <row r="256">
          <cell r="D256">
            <v>624099</v>
          </cell>
          <cell r="H256" t="str">
            <v>8FLR1571-001</v>
          </cell>
        </row>
        <row r="257">
          <cell r="D257">
            <v>623886</v>
          </cell>
          <cell r="H257" t="str">
            <v>9FLR1876B-003</v>
          </cell>
        </row>
        <row r="258">
          <cell r="D258">
            <v>624136</v>
          </cell>
          <cell r="H258" t="str">
            <v>9FLR1876B-003</v>
          </cell>
        </row>
        <row r="259">
          <cell r="D259">
            <v>624191</v>
          </cell>
          <cell r="H259" t="str">
            <v>9FLR2078-001</v>
          </cell>
        </row>
        <row r="260">
          <cell r="D260">
            <v>624145</v>
          </cell>
          <cell r="H260" t="str">
            <v>9FLR2078-001</v>
          </cell>
        </row>
        <row r="261">
          <cell r="D261">
            <v>623899</v>
          </cell>
          <cell r="H261" t="str">
            <v>9PLD1673B-002</v>
          </cell>
        </row>
        <row r="262">
          <cell r="D262">
            <v>624193</v>
          </cell>
          <cell r="H262" t="str">
            <v>8FLR1567A-001</v>
          </cell>
        </row>
        <row r="263">
          <cell r="D263">
            <v>623827</v>
          </cell>
          <cell r="H263" t="str">
            <v>8FLR1567A-001</v>
          </cell>
        </row>
        <row r="264">
          <cell r="D264">
            <v>624195</v>
          </cell>
          <cell r="H264" t="str">
            <v>9PLD1637A-001</v>
          </cell>
        </row>
        <row r="265">
          <cell r="D265" t="str">
            <v>I624195</v>
          </cell>
          <cell r="H265" t="str">
            <v>9PLD1637A-001</v>
          </cell>
        </row>
        <row r="266">
          <cell r="D266">
            <v>623830</v>
          </cell>
          <cell r="H266" t="str">
            <v>9PLD1637A-001</v>
          </cell>
        </row>
        <row r="267">
          <cell r="D267">
            <v>625164</v>
          </cell>
          <cell r="H267" t="str">
            <v>7FLR1718-001</v>
          </cell>
        </row>
        <row r="268">
          <cell r="D268">
            <v>625004</v>
          </cell>
          <cell r="H268" t="str">
            <v>7FLR1718-001</v>
          </cell>
        </row>
        <row r="269">
          <cell r="D269">
            <v>625165</v>
          </cell>
          <cell r="H269" t="str">
            <v>7FLR1613B-002</v>
          </cell>
        </row>
        <row r="270">
          <cell r="D270" t="str">
            <v>E625165</v>
          </cell>
          <cell r="H270" t="str">
            <v>7FLR1613B-002</v>
          </cell>
        </row>
        <row r="271">
          <cell r="D271">
            <v>625014</v>
          </cell>
          <cell r="H271" t="str">
            <v>7FLR1613B-002</v>
          </cell>
        </row>
        <row r="272">
          <cell r="D272">
            <v>625166</v>
          </cell>
          <cell r="H272" t="str">
            <v>9BOR1581-003</v>
          </cell>
        </row>
        <row r="273">
          <cell r="D273">
            <v>625059</v>
          </cell>
          <cell r="H273" t="str">
            <v>9BOR1581-003</v>
          </cell>
        </row>
        <row r="274">
          <cell r="D274">
            <v>625169</v>
          </cell>
          <cell r="H274" t="str">
            <v>9DOT1677B-004</v>
          </cell>
        </row>
        <row r="275">
          <cell r="D275">
            <v>625168</v>
          </cell>
          <cell r="H275" t="str">
            <v>9DOT1677B-004</v>
          </cell>
        </row>
        <row r="276">
          <cell r="D276" t="str">
            <v>E625168</v>
          </cell>
          <cell r="H276" t="str">
            <v>9DOT1677B-004</v>
          </cell>
        </row>
        <row r="277">
          <cell r="D277" t="str">
            <v>I625168</v>
          </cell>
          <cell r="H277" t="str">
            <v>9DOT1677B-004</v>
          </cell>
        </row>
        <row r="278">
          <cell r="D278">
            <v>625016</v>
          </cell>
          <cell r="H278" t="str">
            <v>9DOT1677B-004</v>
          </cell>
        </row>
        <row r="279">
          <cell r="D279">
            <v>625171</v>
          </cell>
          <cell r="H279" t="str">
            <v>9FLR2014C-004</v>
          </cell>
        </row>
        <row r="280">
          <cell r="D280">
            <v>625170</v>
          </cell>
          <cell r="H280" t="str">
            <v>9FLR2014C-004</v>
          </cell>
        </row>
        <row r="281">
          <cell r="D281" t="str">
            <v>E625170</v>
          </cell>
          <cell r="H281" t="str">
            <v>9FLR2014C-004</v>
          </cell>
        </row>
        <row r="282">
          <cell r="D282">
            <v>625019</v>
          </cell>
          <cell r="H282" t="str">
            <v>9FLR2014C-004</v>
          </cell>
        </row>
        <row r="283">
          <cell r="D283">
            <v>625296</v>
          </cell>
          <cell r="H283" t="str">
            <v>7FLR1718-001</v>
          </cell>
        </row>
        <row r="284">
          <cell r="D284">
            <v>625112</v>
          </cell>
          <cell r="H284" t="str">
            <v>9DOT1556A-002</v>
          </cell>
        </row>
        <row r="285">
          <cell r="D285">
            <v>625111</v>
          </cell>
          <cell r="H285" t="str">
            <v>9FLR2028-002</v>
          </cell>
        </row>
        <row r="286">
          <cell r="D286">
            <v>625167</v>
          </cell>
          <cell r="H286" t="str">
            <v>9FLR2041-003</v>
          </cell>
        </row>
        <row r="287">
          <cell r="D287">
            <v>625037</v>
          </cell>
          <cell r="H287" t="str">
            <v>9FLR2041-003</v>
          </cell>
        </row>
        <row r="288">
          <cell r="D288">
            <v>625371</v>
          </cell>
          <cell r="H288" t="str">
            <v>9FLR2008-004</v>
          </cell>
        </row>
        <row r="289">
          <cell r="D289">
            <v>625044</v>
          </cell>
          <cell r="H289" t="str">
            <v>9FLR2008-004</v>
          </cell>
        </row>
        <row r="290">
          <cell r="D290">
            <v>625017</v>
          </cell>
          <cell r="H290" t="str">
            <v>7BOR1569A-005</v>
          </cell>
        </row>
        <row r="291">
          <cell r="D291">
            <v>625015</v>
          </cell>
          <cell r="H291" t="str">
            <v>7BOR1569A-005</v>
          </cell>
        </row>
        <row r="292">
          <cell r="D292">
            <v>625360</v>
          </cell>
          <cell r="H292" t="str">
            <v>9FLR2019A-006</v>
          </cell>
        </row>
        <row r="293">
          <cell r="D293">
            <v>625005</v>
          </cell>
          <cell r="H293" t="str">
            <v>9FLR2019A-006</v>
          </cell>
        </row>
        <row r="294">
          <cell r="D294">
            <v>625352</v>
          </cell>
          <cell r="H294" t="str">
            <v xml:space="preserve"> LAUREL WREATH 17-6009 TCX -001</v>
          </cell>
        </row>
        <row r="295">
          <cell r="D295">
            <v>625354</v>
          </cell>
          <cell r="H295" t="str">
            <v>SAPPHIRE CSI 0503431-001</v>
          </cell>
        </row>
        <row r="296">
          <cell r="D296">
            <v>625351</v>
          </cell>
          <cell r="H296" t="str">
            <v>9FLR1929B-001</v>
          </cell>
        </row>
        <row r="297">
          <cell r="D297" t="str">
            <v>E625351</v>
          </cell>
          <cell r="H297" t="str">
            <v>9FLR1929B-001</v>
          </cell>
        </row>
        <row r="298">
          <cell r="D298">
            <v>625003</v>
          </cell>
          <cell r="H298" t="str">
            <v>9FLR1929B-001</v>
          </cell>
        </row>
        <row r="299">
          <cell r="D299">
            <v>625361</v>
          </cell>
          <cell r="H299" t="str">
            <v>9DOT1619-001</v>
          </cell>
        </row>
        <row r="300">
          <cell r="D300" t="str">
            <v>I625361</v>
          </cell>
          <cell r="H300" t="str">
            <v>9DOT1619-001</v>
          </cell>
        </row>
        <row r="301">
          <cell r="D301">
            <v>625362</v>
          </cell>
          <cell r="H301" t="str">
            <v>9DOT1619-001</v>
          </cell>
        </row>
        <row r="302">
          <cell r="D302">
            <v>625363</v>
          </cell>
          <cell r="H302" t="str">
            <v>9DOT1619-001</v>
          </cell>
        </row>
        <row r="303">
          <cell r="D303">
            <v>625353</v>
          </cell>
          <cell r="H303" t="str">
            <v>9DOT1677-001</v>
          </cell>
        </row>
        <row r="304">
          <cell r="D304">
            <v>625350</v>
          </cell>
          <cell r="H304" t="str">
            <v>9BOR1579-001</v>
          </cell>
        </row>
        <row r="305">
          <cell r="D305" t="str">
            <v>E625350</v>
          </cell>
          <cell r="H305" t="str">
            <v>9BOR1579-001</v>
          </cell>
        </row>
        <row r="306">
          <cell r="D306">
            <v>625002</v>
          </cell>
          <cell r="H306" t="str">
            <v>9BOR1579-001</v>
          </cell>
        </row>
        <row r="307">
          <cell r="D307" t="str">
            <v>E625002</v>
          </cell>
          <cell r="H307" t="str">
            <v>9BOR1579-001</v>
          </cell>
        </row>
        <row r="308">
          <cell r="D308">
            <v>624999</v>
          </cell>
          <cell r="H308" t="str">
            <v>9DOT1628B-001</v>
          </cell>
        </row>
        <row r="309">
          <cell r="D309" t="str">
            <v>E624999</v>
          </cell>
          <cell r="H309" t="str">
            <v>9DOT1628B-001</v>
          </cell>
        </row>
        <row r="310">
          <cell r="D310">
            <v>625000</v>
          </cell>
          <cell r="H310" t="str">
            <v>9DOT1628B-001</v>
          </cell>
        </row>
        <row r="311">
          <cell r="D311">
            <v>625001</v>
          </cell>
          <cell r="H311" t="str">
            <v>9DOT1628B-001</v>
          </cell>
        </row>
        <row r="312">
          <cell r="D312">
            <v>625357</v>
          </cell>
          <cell r="H312" t="str">
            <v>9STR1614A-002</v>
          </cell>
        </row>
        <row r="313">
          <cell r="D313">
            <v>625358</v>
          </cell>
          <cell r="H313" t="str">
            <v>TEA ROSE 16-1620 TCX-002</v>
          </cell>
        </row>
        <row r="314">
          <cell r="D314">
            <v>625367</v>
          </cell>
          <cell r="H314" t="str">
            <v>BEETLE -002</v>
          </cell>
        </row>
        <row r="315">
          <cell r="D315">
            <v>625365</v>
          </cell>
          <cell r="H315" t="str">
            <v>9GEO1625B -002</v>
          </cell>
        </row>
        <row r="316">
          <cell r="D316">
            <v>625364</v>
          </cell>
          <cell r="H316" t="str">
            <v>9GEO1625B -002</v>
          </cell>
        </row>
        <row r="317">
          <cell r="D317" t="str">
            <v>E625364</v>
          </cell>
          <cell r="H317" t="str">
            <v>9GEO1625B -002</v>
          </cell>
        </row>
        <row r="318">
          <cell r="D318">
            <v>624992</v>
          </cell>
          <cell r="H318" t="str">
            <v>9GEO1625B -002</v>
          </cell>
        </row>
        <row r="319">
          <cell r="D319">
            <v>624991</v>
          </cell>
          <cell r="H319" t="str">
            <v>9GEO1625B -002</v>
          </cell>
        </row>
        <row r="320">
          <cell r="D320">
            <v>624990</v>
          </cell>
          <cell r="H320" t="str">
            <v>9GEO1625B -002</v>
          </cell>
        </row>
        <row r="321">
          <cell r="D321" t="str">
            <v>E624990</v>
          </cell>
          <cell r="H321" t="str">
            <v>9GEO1625B -002</v>
          </cell>
        </row>
        <row r="322">
          <cell r="D322">
            <v>625356</v>
          </cell>
          <cell r="H322" t="str">
            <v>9GEO1606A-002</v>
          </cell>
        </row>
        <row r="323">
          <cell r="D323">
            <v>624997</v>
          </cell>
          <cell r="H323" t="str">
            <v>9GEO1606A-002</v>
          </cell>
        </row>
        <row r="324">
          <cell r="D324">
            <v>624995</v>
          </cell>
          <cell r="H324" t="str">
            <v>EGRET -002</v>
          </cell>
        </row>
        <row r="325">
          <cell r="D325">
            <v>625294</v>
          </cell>
          <cell r="H325" t="str">
            <v>EGRET -001</v>
          </cell>
        </row>
        <row r="326">
          <cell r="D326">
            <v>625407</v>
          </cell>
          <cell r="H326" t="str">
            <v>EGRET -001</v>
          </cell>
        </row>
        <row r="327">
          <cell r="D327">
            <v>625295</v>
          </cell>
          <cell r="H327" t="str">
            <v>SILVER BLUE-001</v>
          </cell>
        </row>
        <row r="328">
          <cell r="D328">
            <v>625409</v>
          </cell>
          <cell r="H328" t="str">
            <v>SILVER BLUE-001</v>
          </cell>
        </row>
        <row r="329">
          <cell r="D329">
            <v>625345</v>
          </cell>
          <cell r="H329" t="str">
            <v>9PRT1777A-002</v>
          </cell>
        </row>
        <row r="330">
          <cell r="D330" t="str">
            <v>I625345</v>
          </cell>
          <cell r="H330" t="str">
            <v>9PRT1777A-002</v>
          </cell>
        </row>
        <row r="331">
          <cell r="D331">
            <v>624986</v>
          </cell>
          <cell r="H331" t="str">
            <v>9PRT1777A-002</v>
          </cell>
        </row>
        <row r="332">
          <cell r="D332">
            <v>625346</v>
          </cell>
          <cell r="H332" t="str">
            <v>9FLR2028-002</v>
          </cell>
        </row>
        <row r="333">
          <cell r="D333">
            <v>624987</v>
          </cell>
          <cell r="H333" t="str">
            <v>9FLR2028-002</v>
          </cell>
        </row>
        <row r="334">
          <cell r="D334">
            <v>625368</v>
          </cell>
          <cell r="H334" t="str">
            <v>9FLR1876B-002</v>
          </cell>
        </row>
        <row r="335">
          <cell r="D335">
            <v>625369</v>
          </cell>
          <cell r="H335" t="str">
            <v>9FLR1876B-002</v>
          </cell>
        </row>
        <row r="336">
          <cell r="D336">
            <v>624988</v>
          </cell>
          <cell r="H336" t="str">
            <v>9FLR1876B-002</v>
          </cell>
        </row>
        <row r="337">
          <cell r="D337">
            <v>625349</v>
          </cell>
          <cell r="H337" t="str">
            <v>9FLR1929C-002</v>
          </cell>
        </row>
        <row r="338">
          <cell r="D338">
            <v>625348</v>
          </cell>
          <cell r="H338" t="str">
            <v>SLATE ROSE -002</v>
          </cell>
        </row>
        <row r="339">
          <cell r="D339" t="str">
            <v>I625348</v>
          </cell>
          <cell r="H339" t="str">
            <v>SLATE ROSE -002</v>
          </cell>
        </row>
        <row r="340">
          <cell r="D340">
            <v>625347</v>
          </cell>
          <cell r="H340" t="str">
            <v>9GEO1652C-002</v>
          </cell>
        </row>
        <row r="341">
          <cell r="D341">
            <v>626584</v>
          </cell>
          <cell r="H341" t="str">
            <v>4FLR1604-001</v>
          </cell>
        </row>
        <row r="342">
          <cell r="D342">
            <v>626583</v>
          </cell>
          <cell r="H342" t="str">
            <v>4FLR1604-001</v>
          </cell>
        </row>
        <row r="343">
          <cell r="D343" t="str">
            <v>I626583</v>
          </cell>
          <cell r="H343" t="str">
            <v>4FLR1604-001</v>
          </cell>
        </row>
        <row r="344">
          <cell r="D344">
            <v>626732</v>
          </cell>
          <cell r="H344" t="str">
            <v>7FLR1613B-001</v>
          </cell>
        </row>
        <row r="345">
          <cell r="D345" t="str">
            <v>E626732</v>
          </cell>
          <cell r="H345" t="str">
            <v>7FLR1613B-001</v>
          </cell>
        </row>
        <row r="346">
          <cell r="D346">
            <v>626671</v>
          </cell>
          <cell r="H346" t="str">
            <v>7FLR1718-002</v>
          </cell>
        </row>
        <row r="347">
          <cell r="D347" t="str">
            <v>E626671</v>
          </cell>
          <cell r="H347" t="str">
            <v>7FLR1718-002</v>
          </cell>
        </row>
        <row r="348">
          <cell r="D348">
            <v>627079</v>
          </cell>
          <cell r="H348" t="str">
            <v>7FLR1718-002</v>
          </cell>
        </row>
        <row r="349">
          <cell r="D349">
            <v>627740</v>
          </cell>
          <cell r="H349" t="str">
            <v>9FLR1953A-001</v>
          </cell>
        </row>
        <row r="350">
          <cell r="D350">
            <v>627876</v>
          </cell>
          <cell r="H350" t="str">
            <v>9FLR1953A-001</v>
          </cell>
        </row>
        <row r="351">
          <cell r="D351">
            <v>629028</v>
          </cell>
          <cell r="H351" t="str">
            <v>9GEO1674-001</v>
          </cell>
        </row>
        <row r="352">
          <cell r="D352" t="str">
            <v>F629028</v>
          </cell>
          <cell r="H352" t="str">
            <v>9GEO1674-001</v>
          </cell>
        </row>
        <row r="353">
          <cell r="D353">
            <v>628864</v>
          </cell>
          <cell r="H353" t="str">
            <v>9GEO1674-001</v>
          </cell>
        </row>
        <row r="354">
          <cell r="D354">
            <v>629032</v>
          </cell>
          <cell r="H354" t="str">
            <v>9DOT1675-001</v>
          </cell>
        </row>
        <row r="355">
          <cell r="D355" t="str">
            <v>F629032</v>
          </cell>
          <cell r="H355" t="str">
            <v>9DOT1675-001</v>
          </cell>
        </row>
        <row r="356">
          <cell r="D356">
            <v>628862</v>
          </cell>
          <cell r="H356" t="str">
            <v>9DOT1675-001</v>
          </cell>
        </row>
        <row r="357">
          <cell r="D357">
            <v>629036</v>
          </cell>
          <cell r="H357" t="str">
            <v>9PRT1771A-001</v>
          </cell>
        </row>
        <row r="358">
          <cell r="D358">
            <v>629048</v>
          </cell>
          <cell r="H358" t="str">
            <v>9GEO1625B-001</v>
          </cell>
        </row>
        <row r="359">
          <cell r="D359">
            <v>628866</v>
          </cell>
          <cell r="H359" t="str">
            <v>9GEO1625B-001</v>
          </cell>
        </row>
        <row r="360">
          <cell r="D360">
            <v>629040</v>
          </cell>
          <cell r="H360" t="str">
            <v>WOODTHRUSH-001</v>
          </cell>
        </row>
        <row r="361">
          <cell r="D361">
            <v>629052</v>
          </cell>
          <cell r="H361" t="str">
            <v>BEETLE-001</v>
          </cell>
        </row>
        <row r="362">
          <cell r="D362">
            <v>629153</v>
          </cell>
          <cell r="H362" t="str">
            <v>9FLR2074A-002</v>
          </cell>
        </row>
        <row r="363">
          <cell r="D363">
            <v>628861</v>
          </cell>
          <cell r="H363" t="str">
            <v>9FLR2074A-002</v>
          </cell>
        </row>
        <row r="364">
          <cell r="D364">
            <v>629156</v>
          </cell>
          <cell r="H364" t="str">
            <v>9FLR2073-002</v>
          </cell>
        </row>
        <row r="365">
          <cell r="D365">
            <v>628859</v>
          </cell>
          <cell r="H365" t="str">
            <v>9FLR2073-002</v>
          </cell>
        </row>
        <row r="366">
          <cell r="D366">
            <v>628996</v>
          </cell>
          <cell r="H366" t="str">
            <v>9STR1614-003</v>
          </cell>
        </row>
        <row r="367">
          <cell r="D367">
            <v>628914</v>
          </cell>
          <cell r="H367" t="str">
            <v>9STR1614-003</v>
          </cell>
        </row>
        <row r="368">
          <cell r="D368">
            <v>628993</v>
          </cell>
          <cell r="H368" t="str">
            <v>BEETLE-001</v>
          </cell>
        </row>
        <row r="369">
          <cell r="D369">
            <v>628994</v>
          </cell>
          <cell r="H369" t="str">
            <v>BEETLE-001</v>
          </cell>
        </row>
        <row r="370">
          <cell r="D370">
            <v>628998</v>
          </cell>
          <cell r="H370" t="str">
            <v>BEETLE-001</v>
          </cell>
        </row>
        <row r="371">
          <cell r="D371">
            <v>628989</v>
          </cell>
          <cell r="H371" t="str">
            <v>SANGRIA-001</v>
          </cell>
        </row>
        <row r="372">
          <cell r="D372">
            <v>628990</v>
          </cell>
          <cell r="H372" t="str">
            <v>CORE BLACK-001</v>
          </cell>
        </row>
        <row r="373">
          <cell r="D373">
            <v>628991</v>
          </cell>
          <cell r="H373" t="str">
            <v>CORE BLACK-001</v>
          </cell>
        </row>
        <row r="374">
          <cell r="D374">
            <v>628992</v>
          </cell>
          <cell r="H374" t="str">
            <v>CORE BLACK-001</v>
          </cell>
        </row>
        <row r="375">
          <cell r="D375">
            <v>628997</v>
          </cell>
          <cell r="H375" t="str">
            <v>CORE BLACK-001</v>
          </cell>
        </row>
        <row r="376">
          <cell r="D376">
            <v>628988</v>
          </cell>
          <cell r="H376" t="str">
            <v xml:space="preserve"> 9FLR2071-001</v>
          </cell>
        </row>
        <row r="377">
          <cell r="D377">
            <v>629003</v>
          </cell>
          <cell r="H377" t="str">
            <v>9GEO1665A-002</v>
          </cell>
        </row>
        <row r="378">
          <cell r="D378" t="str">
            <v>F629003</v>
          </cell>
          <cell r="H378" t="str">
            <v>9GEO1665A-002</v>
          </cell>
        </row>
        <row r="379">
          <cell r="D379">
            <v>628871</v>
          </cell>
          <cell r="H379" t="str">
            <v>9GEO1665A-002</v>
          </cell>
        </row>
        <row r="380">
          <cell r="D380">
            <v>629008</v>
          </cell>
          <cell r="H380" t="str">
            <v>9DOT1680-002</v>
          </cell>
        </row>
        <row r="381">
          <cell r="D381">
            <v>628869</v>
          </cell>
          <cell r="H381" t="str">
            <v>9DOT1680-002</v>
          </cell>
        </row>
        <row r="382">
          <cell r="D382">
            <v>629010</v>
          </cell>
          <cell r="H382" t="str">
            <v>9FLR2118A-002</v>
          </cell>
        </row>
        <row r="383">
          <cell r="D383">
            <v>628868</v>
          </cell>
          <cell r="H383" t="str">
            <v>9FLR2118A-002</v>
          </cell>
        </row>
        <row r="384">
          <cell r="D384">
            <v>629045</v>
          </cell>
          <cell r="H384" t="str">
            <v>9FLR1876B-002</v>
          </cell>
        </row>
        <row r="385">
          <cell r="D385">
            <v>629046</v>
          </cell>
          <cell r="H385" t="str">
            <v>9FLR1876B-002</v>
          </cell>
        </row>
        <row r="386">
          <cell r="D386">
            <v>628874</v>
          </cell>
          <cell r="H386" t="str">
            <v>9FLR1876B-002</v>
          </cell>
        </row>
        <row r="387">
          <cell r="D387">
            <v>629502</v>
          </cell>
          <cell r="H387" t="str">
            <v>CORE BLACK-001</v>
          </cell>
        </row>
        <row r="388">
          <cell r="D388">
            <v>630253</v>
          </cell>
          <cell r="H388" t="str">
            <v>9FLR2071B-001</v>
          </cell>
        </row>
        <row r="389">
          <cell r="D389">
            <v>630252</v>
          </cell>
          <cell r="H389" t="str">
            <v>WINDSOR WINE-001</v>
          </cell>
        </row>
        <row r="390">
          <cell r="D390">
            <v>630102</v>
          </cell>
          <cell r="H390" t="str">
            <v>WINDSOR WINE-001</v>
          </cell>
        </row>
        <row r="391">
          <cell r="D391">
            <v>630251</v>
          </cell>
          <cell r="H391" t="str">
            <v>9PRT1816-001</v>
          </cell>
        </row>
        <row r="392">
          <cell r="D392">
            <v>630101</v>
          </cell>
          <cell r="H392" t="str">
            <v>9PRT1816-001</v>
          </cell>
        </row>
        <row r="393">
          <cell r="D393">
            <v>630250</v>
          </cell>
          <cell r="H393" t="str">
            <v xml:space="preserve"> 9GEO1665-001</v>
          </cell>
        </row>
        <row r="394">
          <cell r="D394">
            <v>630256</v>
          </cell>
          <cell r="H394" t="str">
            <v>MAJOLICA BLUE-002</v>
          </cell>
        </row>
        <row r="395">
          <cell r="D395">
            <v>630255</v>
          </cell>
          <cell r="H395" t="str">
            <v xml:space="preserve"> WINDSOR WINE-002</v>
          </cell>
        </row>
        <row r="396">
          <cell r="D396">
            <v>630315</v>
          </cell>
          <cell r="H396" t="str">
            <v>9FLR2071A-001</v>
          </cell>
        </row>
        <row r="397">
          <cell r="D397">
            <v>630314</v>
          </cell>
          <cell r="H397" t="str">
            <v>9DOT1675A-001</v>
          </cell>
        </row>
        <row r="398">
          <cell r="D398">
            <v>630746</v>
          </cell>
          <cell r="H398" t="str">
            <v>GARNET RED-001</v>
          </cell>
        </row>
        <row r="399">
          <cell r="D399">
            <v>630745</v>
          </cell>
          <cell r="H399" t="str">
            <v>1PRT1780-001</v>
          </cell>
        </row>
        <row r="400">
          <cell r="D400">
            <v>631250</v>
          </cell>
          <cell r="H400" t="str">
            <v>1FLR1978-001</v>
          </cell>
        </row>
        <row r="401">
          <cell r="D401">
            <v>633237</v>
          </cell>
          <cell r="H401" t="str">
            <v xml:space="preserve"> PEACH WHIP-001</v>
          </cell>
        </row>
        <row r="402">
          <cell r="D402">
            <v>633239</v>
          </cell>
          <cell r="H402" t="str">
            <v>CORE BLACK-001</v>
          </cell>
        </row>
        <row r="403">
          <cell r="D403">
            <v>633235</v>
          </cell>
          <cell r="H403" t="str">
            <v>1PRT1777-001</v>
          </cell>
        </row>
        <row r="404">
          <cell r="D404">
            <v>633929</v>
          </cell>
          <cell r="H404" t="str">
            <v>9DOT1680-002</v>
          </cell>
        </row>
        <row r="405">
          <cell r="D405">
            <v>633494</v>
          </cell>
          <cell r="H405" t="str">
            <v>9DOT 1619-003</v>
          </cell>
        </row>
        <row r="406">
          <cell r="D406">
            <v>633298</v>
          </cell>
          <cell r="H406" t="str">
            <v>9DOT 1619-003</v>
          </cell>
        </row>
        <row r="407">
          <cell r="D407">
            <v>633556</v>
          </cell>
          <cell r="H407" t="str">
            <v>CORE BLACK-001</v>
          </cell>
        </row>
        <row r="408">
          <cell r="D408">
            <v>633557</v>
          </cell>
          <cell r="H408" t="str">
            <v>CORE BLACK-001</v>
          </cell>
        </row>
        <row r="409">
          <cell r="D409">
            <v>633370</v>
          </cell>
          <cell r="H409" t="str">
            <v>CORE BLACK-001</v>
          </cell>
        </row>
        <row r="410">
          <cell r="D410">
            <v>633371</v>
          </cell>
          <cell r="H410" t="str">
            <v>CORE BLACK-001</v>
          </cell>
        </row>
        <row r="411">
          <cell r="D411">
            <v>633558</v>
          </cell>
          <cell r="H411" t="str">
            <v>BEETLE-001</v>
          </cell>
        </row>
        <row r="412">
          <cell r="D412" t="str">
            <v>I633558</v>
          </cell>
          <cell r="H412" t="str">
            <v>BEETLE-001</v>
          </cell>
        </row>
        <row r="413">
          <cell r="D413">
            <v>633372</v>
          </cell>
          <cell r="H413" t="str">
            <v>BEETLE-001</v>
          </cell>
        </row>
        <row r="414">
          <cell r="D414">
            <v>633373</v>
          </cell>
          <cell r="H414" t="str">
            <v>BEETLE-001</v>
          </cell>
        </row>
        <row r="415">
          <cell r="D415"/>
          <cell r="H415"/>
        </row>
        <row r="416">
          <cell r="D416"/>
          <cell r="H416"/>
        </row>
        <row r="417">
          <cell r="D417"/>
          <cell r="H417"/>
        </row>
        <row r="418">
          <cell r="D418"/>
          <cell r="H418"/>
        </row>
        <row r="419">
          <cell r="D419"/>
          <cell r="H419"/>
        </row>
        <row r="420">
          <cell r="D420"/>
          <cell r="H420"/>
        </row>
        <row r="421">
          <cell r="D421"/>
          <cell r="H421"/>
        </row>
        <row r="422">
          <cell r="D422"/>
          <cell r="H422"/>
        </row>
        <row r="423">
          <cell r="D423"/>
          <cell r="H423"/>
        </row>
        <row r="424">
          <cell r="D424"/>
          <cell r="H424"/>
        </row>
        <row r="425">
          <cell r="D425"/>
          <cell r="H425"/>
        </row>
        <row r="426">
          <cell r="D426"/>
          <cell r="H426"/>
        </row>
        <row r="427">
          <cell r="D427"/>
          <cell r="H427"/>
        </row>
        <row r="428">
          <cell r="D428"/>
          <cell r="H428"/>
        </row>
        <row r="429">
          <cell r="D429"/>
          <cell r="H429"/>
        </row>
        <row r="430">
          <cell r="D430"/>
          <cell r="H430"/>
        </row>
        <row r="431">
          <cell r="D431"/>
          <cell r="H431"/>
        </row>
        <row r="432">
          <cell r="D432"/>
          <cell r="H432"/>
        </row>
        <row r="433">
          <cell r="D433"/>
          <cell r="H433"/>
        </row>
        <row r="434">
          <cell r="D434"/>
          <cell r="H434"/>
        </row>
        <row r="435">
          <cell r="D435"/>
          <cell r="H435"/>
        </row>
        <row r="436">
          <cell r="D436"/>
          <cell r="H436"/>
        </row>
        <row r="437">
          <cell r="D437"/>
          <cell r="H437"/>
        </row>
        <row r="438">
          <cell r="D438"/>
          <cell r="H438"/>
        </row>
        <row r="439">
          <cell r="D439"/>
          <cell r="H439"/>
        </row>
        <row r="440">
          <cell r="D440"/>
          <cell r="H440"/>
        </row>
        <row r="441">
          <cell r="D441"/>
          <cell r="H441"/>
        </row>
        <row r="442">
          <cell r="D442"/>
          <cell r="H442"/>
        </row>
        <row r="443">
          <cell r="D443"/>
          <cell r="H443"/>
        </row>
        <row r="444">
          <cell r="D444"/>
          <cell r="H444"/>
        </row>
        <row r="445">
          <cell r="D445"/>
          <cell r="H445"/>
        </row>
        <row r="446">
          <cell r="D446"/>
          <cell r="H446"/>
        </row>
        <row r="447">
          <cell r="D447"/>
          <cell r="H447"/>
        </row>
        <row r="448">
          <cell r="D448"/>
          <cell r="H448"/>
        </row>
        <row r="449">
          <cell r="D449"/>
          <cell r="H449"/>
        </row>
        <row r="450">
          <cell r="D450"/>
          <cell r="H450"/>
        </row>
        <row r="451">
          <cell r="D451"/>
          <cell r="H451"/>
        </row>
        <row r="452">
          <cell r="D452"/>
          <cell r="H452"/>
        </row>
        <row r="453">
          <cell r="D453"/>
          <cell r="H453"/>
        </row>
        <row r="454">
          <cell r="D454"/>
          <cell r="H454"/>
        </row>
        <row r="455">
          <cell r="D455"/>
          <cell r="H455"/>
        </row>
        <row r="456">
          <cell r="D456"/>
          <cell r="H456"/>
        </row>
        <row r="457">
          <cell r="D457"/>
          <cell r="H457"/>
        </row>
        <row r="458">
          <cell r="D458"/>
          <cell r="H458"/>
        </row>
        <row r="459">
          <cell r="D459"/>
          <cell r="H459"/>
        </row>
        <row r="460">
          <cell r="D460"/>
          <cell r="H460"/>
        </row>
        <row r="461">
          <cell r="D461"/>
          <cell r="H461"/>
        </row>
        <row r="462">
          <cell r="D462"/>
          <cell r="H462"/>
        </row>
        <row r="463">
          <cell r="D463"/>
          <cell r="H463"/>
        </row>
        <row r="464">
          <cell r="D464"/>
          <cell r="H464"/>
        </row>
        <row r="465">
          <cell r="D465"/>
          <cell r="H465"/>
        </row>
        <row r="466">
          <cell r="D466"/>
          <cell r="H466"/>
        </row>
        <row r="467">
          <cell r="D467"/>
          <cell r="H467"/>
        </row>
        <row r="468">
          <cell r="D468"/>
          <cell r="H468"/>
        </row>
        <row r="469">
          <cell r="D469"/>
          <cell r="H469"/>
        </row>
        <row r="470">
          <cell r="D470"/>
          <cell r="H470"/>
        </row>
        <row r="471">
          <cell r="D471"/>
          <cell r="H471"/>
        </row>
        <row r="472">
          <cell r="D472"/>
          <cell r="H472"/>
        </row>
        <row r="473">
          <cell r="D473"/>
          <cell r="H473"/>
        </row>
        <row r="474">
          <cell r="D474"/>
          <cell r="H474"/>
        </row>
        <row r="475">
          <cell r="D475"/>
          <cell r="H475"/>
        </row>
        <row r="476">
          <cell r="D476"/>
          <cell r="H476"/>
        </row>
        <row r="477">
          <cell r="D477"/>
          <cell r="H477"/>
        </row>
        <row r="478">
          <cell r="D478"/>
          <cell r="H478"/>
        </row>
        <row r="479">
          <cell r="D479"/>
          <cell r="H479"/>
        </row>
        <row r="480">
          <cell r="D480"/>
          <cell r="H480"/>
        </row>
        <row r="481">
          <cell r="D481"/>
          <cell r="H481"/>
        </row>
        <row r="482">
          <cell r="D482"/>
          <cell r="H482"/>
        </row>
        <row r="483">
          <cell r="D483"/>
          <cell r="H483"/>
        </row>
        <row r="484">
          <cell r="D484"/>
          <cell r="H484"/>
        </row>
        <row r="485">
          <cell r="D485"/>
          <cell r="H485"/>
        </row>
        <row r="486">
          <cell r="D486"/>
          <cell r="H486"/>
        </row>
        <row r="487">
          <cell r="D487"/>
          <cell r="H487"/>
        </row>
        <row r="488">
          <cell r="D488"/>
          <cell r="H488"/>
        </row>
        <row r="489">
          <cell r="D489"/>
          <cell r="H489"/>
        </row>
        <row r="490">
          <cell r="D490"/>
          <cell r="H490"/>
        </row>
        <row r="491">
          <cell r="D491"/>
          <cell r="H491"/>
        </row>
        <row r="492">
          <cell r="D492"/>
          <cell r="H492"/>
        </row>
        <row r="493">
          <cell r="D493"/>
          <cell r="H493"/>
        </row>
        <row r="494">
          <cell r="D494"/>
          <cell r="H494"/>
        </row>
        <row r="495">
          <cell r="D495"/>
          <cell r="H495"/>
        </row>
        <row r="496">
          <cell r="D496"/>
          <cell r="H496"/>
        </row>
        <row r="497">
          <cell r="D497"/>
          <cell r="H497"/>
        </row>
        <row r="498">
          <cell r="D498"/>
          <cell r="H498"/>
        </row>
        <row r="499">
          <cell r="D499"/>
          <cell r="H499"/>
        </row>
        <row r="500">
          <cell r="D500"/>
          <cell r="H500"/>
        </row>
        <row r="501">
          <cell r="D501"/>
          <cell r="H501"/>
        </row>
        <row r="502">
          <cell r="D502"/>
          <cell r="H502"/>
        </row>
        <row r="503">
          <cell r="D503"/>
          <cell r="H503"/>
        </row>
        <row r="504">
          <cell r="D504"/>
          <cell r="H504"/>
        </row>
        <row r="505">
          <cell r="D505"/>
          <cell r="H505"/>
        </row>
        <row r="506">
          <cell r="D506"/>
          <cell r="H506"/>
        </row>
        <row r="507">
          <cell r="D507"/>
          <cell r="H507"/>
        </row>
        <row r="508">
          <cell r="D508"/>
          <cell r="H508"/>
        </row>
        <row r="509">
          <cell r="D509"/>
          <cell r="H509"/>
        </row>
        <row r="510">
          <cell r="D510"/>
          <cell r="H510"/>
        </row>
        <row r="511">
          <cell r="D511"/>
          <cell r="H511"/>
        </row>
        <row r="512">
          <cell r="D512"/>
          <cell r="H512"/>
        </row>
        <row r="513">
          <cell r="D513"/>
          <cell r="H513"/>
        </row>
        <row r="514">
          <cell r="D514"/>
          <cell r="H514"/>
        </row>
        <row r="515">
          <cell r="D515"/>
          <cell r="H515"/>
        </row>
        <row r="516">
          <cell r="D516"/>
          <cell r="H516"/>
        </row>
        <row r="517">
          <cell r="D517"/>
          <cell r="H517"/>
        </row>
        <row r="518">
          <cell r="D518"/>
          <cell r="H518"/>
        </row>
        <row r="519">
          <cell r="D519"/>
          <cell r="H519"/>
        </row>
        <row r="520">
          <cell r="D520"/>
          <cell r="H520"/>
        </row>
        <row r="521">
          <cell r="D521"/>
          <cell r="H521"/>
        </row>
        <row r="522">
          <cell r="D522"/>
          <cell r="H522"/>
        </row>
        <row r="523">
          <cell r="D523"/>
          <cell r="H523"/>
        </row>
        <row r="524">
          <cell r="D524"/>
          <cell r="H524"/>
        </row>
        <row r="525">
          <cell r="D525"/>
          <cell r="H525"/>
        </row>
        <row r="526">
          <cell r="D526"/>
          <cell r="H526"/>
        </row>
        <row r="527">
          <cell r="D527"/>
          <cell r="H527"/>
        </row>
        <row r="528">
          <cell r="D528"/>
          <cell r="H528"/>
        </row>
        <row r="529">
          <cell r="D529"/>
          <cell r="H529"/>
        </row>
        <row r="530">
          <cell r="D530"/>
          <cell r="H530"/>
        </row>
        <row r="531">
          <cell r="D531"/>
          <cell r="H531"/>
        </row>
        <row r="532">
          <cell r="D532"/>
          <cell r="H532"/>
        </row>
        <row r="533">
          <cell r="D533"/>
          <cell r="H533"/>
        </row>
        <row r="534">
          <cell r="D534"/>
          <cell r="H534"/>
        </row>
        <row r="535">
          <cell r="D535"/>
          <cell r="H535"/>
        </row>
        <row r="536">
          <cell r="D536"/>
          <cell r="H536"/>
        </row>
        <row r="537">
          <cell r="D537"/>
          <cell r="H537"/>
        </row>
        <row r="538">
          <cell r="D538"/>
          <cell r="H538"/>
        </row>
        <row r="539">
          <cell r="D539"/>
          <cell r="H539"/>
        </row>
        <row r="540">
          <cell r="D540"/>
          <cell r="H540"/>
        </row>
        <row r="541">
          <cell r="D541"/>
          <cell r="H541"/>
        </row>
        <row r="542">
          <cell r="D542"/>
          <cell r="H542"/>
        </row>
        <row r="543">
          <cell r="D543"/>
          <cell r="H543"/>
        </row>
        <row r="544">
          <cell r="D544"/>
          <cell r="H544"/>
        </row>
        <row r="545">
          <cell r="D545"/>
          <cell r="H545"/>
        </row>
        <row r="546">
          <cell r="D546"/>
          <cell r="H546"/>
        </row>
        <row r="547">
          <cell r="D547"/>
          <cell r="H547"/>
        </row>
        <row r="548">
          <cell r="D548"/>
          <cell r="H548"/>
        </row>
        <row r="549">
          <cell r="D549"/>
          <cell r="H549"/>
        </row>
        <row r="550">
          <cell r="D550"/>
          <cell r="H550"/>
        </row>
        <row r="551">
          <cell r="D551"/>
          <cell r="H551"/>
        </row>
        <row r="552">
          <cell r="D552"/>
          <cell r="H552"/>
        </row>
        <row r="553">
          <cell r="D553"/>
          <cell r="H553"/>
        </row>
        <row r="554">
          <cell r="D554"/>
          <cell r="H554"/>
        </row>
        <row r="555">
          <cell r="D555"/>
          <cell r="H555"/>
        </row>
        <row r="556">
          <cell r="D556"/>
          <cell r="H556"/>
        </row>
        <row r="557">
          <cell r="D557"/>
          <cell r="H557"/>
        </row>
        <row r="558">
          <cell r="D558"/>
          <cell r="H558"/>
        </row>
        <row r="559">
          <cell r="D559"/>
          <cell r="H559"/>
        </row>
        <row r="560">
          <cell r="D560"/>
          <cell r="H560"/>
        </row>
        <row r="561">
          <cell r="D561"/>
          <cell r="H561"/>
        </row>
        <row r="562">
          <cell r="D562"/>
          <cell r="H562"/>
        </row>
        <row r="563">
          <cell r="D563"/>
          <cell r="H563"/>
        </row>
        <row r="564">
          <cell r="D564"/>
          <cell r="H564"/>
        </row>
        <row r="565">
          <cell r="D565"/>
          <cell r="H565"/>
        </row>
        <row r="566">
          <cell r="D566"/>
          <cell r="H566"/>
        </row>
        <row r="567">
          <cell r="D567"/>
          <cell r="H567"/>
        </row>
        <row r="568">
          <cell r="D568"/>
          <cell r="H568"/>
        </row>
        <row r="569">
          <cell r="D569"/>
          <cell r="H569"/>
        </row>
        <row r="570">
          <cell r="D570"/>
          <cell r="H570"/>
        </row>
        <row r="571">
          <cell r="D571"/>
          <cell r="H571"/>
        </row>
      </sheetData>
      <sheetData sheetId="1"/>
      <sheetData sheetId="2"/>
      <sheetData sheetId="3"/>
      <sheetData sheetId="4"/>
      <sheetData sheetId="5"/>
      <sheetData sheetId="6"/>
      <sheetData sheetId="7"/>
      <sheetData sheetId="8" refreshError="1"/>
      <sheetData sheetId="9" refreshError="1"/>
    </sheetDataSet>
  </externalBook>
</externalLink>
</file>

<file path=xl/tables/table1.xml><?xml version="1.0" encoding="utf-8"?>
<table xmlns="http://schemas.openxmlformats.org/spreadsheetml/2006/main" id="5" name="Table36" displayName="Table36" ref="S2:W8" totalsRowShown="0" headerRowDxfId="28" headerRowBorderDxfId="27" tableBorderDxfId="26" totalsRowBorderDxfId="25">
  <autoFilter ref="S2:W8"/>
  <tableColumns count="5">
    <tableColumn id="1" name="Fusing Code" dataDxfId="24"/>
    <tableColumn id="2" name="Tồn Đầu Kỳ" dataDxfId="23"/>
    <tableColumn id="3" name="Tổng Nhập" dataDxfId="22">
      <calculatedColumnFormula>SUMIFS($M$3:$M$100000,$K$3:$K$100000,$S3,$J$3:$J$100000,"&gt;="&amp;$T$1,$J$3:$J$100000,"&lt;="&amp;$U$1)</calculatedColumnFormula>
    </tableColumn>
    <tableColumn id="4" name="Tổng Xuất " dataDxfId="21">
      <calculatedColumnFormula>SUMIFS($O$10:$O$100000,$K$3:$K$100000,$S3,$J$3:$J$100000,"&gt;="&amp;$T$1,$J$3:$J$100000,"&lt;="&amp;$U$1)</calculatedColumnFormula>
    </tableColumn>
    <tableColumn id="5" name="Tồn Cuối Kỳ" dataDxfId="20">
      <calculatedColumnFormula>Table36[[#This Row],[Tồn Đầu Kỳ]]+Table36[[#This Row],[Tổng Nhập]]-Table36[[#This Row],[Tổng Xuất ]]</calculatedColumnFormula>
    </tableColumn>
  </tableColumns>
  <tableStyleInfo name="TableStyleLight19" showFirstColumn="0" showLastColumn="0" showRowStripes="1" showColumnStripes="0"/>
</table>
</file>

<file path=xl/tables/table2.xml><?xml version="1.0" encoding="utf-8"?>
<table xmlns="http://schemas.openxmlformats.org/spreadsheetml/2006/main" id="3" name="Table44" displayName="Table44" ref="A2:I9" totalsRowShown="0" headerRowDxfId="19" tableBorderDxfId="18">
  <autoFilter ref="A2:I9"/>
  <tableColumns count="9">
    <tableColumn id="1" name="Date" dataDxfId="17">
      <calculatedColumnFormula>IFERROR(INDEX(#REF!,MATCH(Balance_Fusing!C3,#REF!,0)),"")</calculatedColumnFormula>
    </tableColumn>
    <tableColumn id="2" name="Fuse Code" dataDxfId="16">
      <calculatedColumnFormula>IFERROR(VLOOKUP(INDEX(#REF!,MATCH(Balance_Fusing!C3,#REF!,0)),Trim_sheet,4,0),"")</calculatedColumnFormula>
    </tableColumn>
    <tableColumn id="3" name="Full orders name" dataDxfId="15"/>
    <tableColumn id="4" name="Column1" dataDxfId="14"/>
    <tableColumn id="5" name="Order Quantity" dataDxfId="13">
      <calculatedColumnFormula>SUMIFS(#REF!,#REF!,C3)</calculatedColumnFormula>
    </tableColumn>
    <tableColumn id="6" name="Round up Qty Order (y)" dataDxfId="12">
      <calculatedColumnFormula>IFERROR(ROUNDUP(IF((E3/100-INT(E3/100))&lt;0.2,INT(E3/100),CEILING(E3/100,0.5)),0)*100,"")</calculatedColumnFormula>
    </tableColumn>
    <tableColumn id="7" name="Column2" dataDxfId="11"/>
    <tableColumn id="8" name="Bulk Quantity " dataDxfId="10">
      <calculatedColumnFormula>SUMIFS(#REF!,#REF!,Table44[[#This Row],[Full orders name]])</calculatedColumnFormula>
    </tableColumn>
    <tableColumn id="9" name="Balance" dataDxfId="9">
      <calculatedColumnFormula>+E3-H3</calculatedColumnFormula>
    </tableColumn>
  </tableColumns>
  <tableStyleInfo name="TableStyleLight20" showFirstColumn="0" showLastColumn="0" showRowStripes="1" showColumnStripes="0"/>
</table>
</file>

<file path=xl/tables/table3.xml><?xml version="1.0" encoding="utf-8"?>
<table xmlns="http://schemas.openxmlformats.org/spreadsheetml/2006/main" id="4" name="Table3" displayName="Table3" ref="L2:P8" totalsRowShown="0" headerRowDxfId="8" headerRowBorderDxfId="7" tableBorderDxfId="6" totalsRowBorderDxfId="5">
  <autoFilter ref="L2:P8"/>
  <tableColumns count="5">
    <tableColumn id="1" name="Fusing Code" dataDxfId="4"/>
    <tableColumn id="2" name="Tồn Đầu Kỳ" dataDxfId="3"/>
    <tableColumn id="3" name="Tổng Nhập" dataDxfId="2">
      <calculatedColumnFormula>SUMIFS($F$3:$F$100000,$B$3:$B$100000,$L3,$A$3:$A$100000,"&gt;="&amp;$M$1,$A$3:$A$100000,"&lt;="&amp;$N$1)</calculatedColumnFormula>
    </tableColumn>
    <tableColumn id="4" name="Tổng Xuất " dataDxfId="1">
      <calculatedColumnFormula>SUMIFS($H$3:$H$100000,$B$3:$B$100000,$L3,$A$3:$A$100000,"&gt;="&amp;$M$1,$A$3:$A$100000,"&lt;="&amp;$N$1)</calculatedColumnFormula>
    </tableColumn>
    <tableColumn id="5" name="Tồn Cuối Kỳ" dataDxfId="0">
      <calculatedColumnFormula>Table3[[#This Row],[Tồn Đầu Kỳ]]+Table3[[#This Row],[Tổng Nhập]]-Table3[[#This Row],[Tổng Xuất ]]</calculatedColumnFormula>
    </tableColumn>
  </tableColumns>
  <tableStyleInfo name="TableStyleLight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53"/>
  <sheetViews>
    <sheetView workbookViewId="0">
      <pane ySplit="2" topLeftCell="A3" activePane="bottomLeft" state="frozen"/>
      <selection pane="bottomLeft" activeCell="A3" sqref="A3"/>
    </sheetView>
  </sheetViews>
  <sheetFormatPr baseColWidth="10" defaultColWidth="9.140625" defaultRowHeight="15" x14ac:dyDescent="0.25"/>
  <cols>
    <col min="6" max="6" width="4.42578125" bestFit="1" customWidth="1"/>
    <col min="7" max="7" width="12.28515625" bestFit="1" customWidth="1"/>
    <col min="8" max="8" width="16.7109375" bestFit="1" customWidth="1"/>
    <col min="9" max="9" width="14.140625" style="16" bestFit="1" customWidth="1"/>
    <col min="10" max="10" width="8.85546875" style="16"/>
    <col min="11" max="11" width="9" style="16" bestFit="1" customWidth="1"/>
    <col min="12" max="17" width="8.85546875" style="16"/>
    <col min="19" max="19" width="13.28515625" customWidth="1"/>
    <col min="20" max="20" width="14.140625" bestFit="1" customWidth="1"/>
    <col min="21" max="22" width="11.7109375" customWidth="1"/>
    <col min="23" max="23" width="13" customWidth="1"/>
  </cols>
  <sheetData>
    <row r="1" spans="1:23" ht="15.75" thickBot="1" x14ac:dyDescent="0.3">
      <c r="J1" s="47"/>
      <c r="K1" s="46"/>
      <c r="M1" s="17"/>
      <c r="N1" s="17"/>
      <c r="O1" s="17"/>
      <c r="P1" s="17"/>
      <c r="Q1" s="17"/>
      <c r="S1" s="43"/>
      <c r="T1" s="45">
        <v>43595</v>
      </c>
      <c r="U1" s="44">
        <v>43617</v>
      </c>
      <c r="V1" s="43"/>
      <c r="W1" s="43"/>
    </row>
    <row r="2" spans="1:23" ht="51" x14ac:dyDescent="0.25">
      <c r="A2" s="50" t="s">
        <v>103</v>
      </c>
      <c r="B2" s="50" t="s">
        <v>104</v>
      </c>
      <c r="C2" s="50" t="s">
        <v>105</v>
      </c>
      <c r="D2" s="50" t="s">
        <v>106</v>
      </c>
      <c r="E2" s="50" t="s">
        <v>107</v>
      </c>
      <c r="F2" s="50" t="s">
        <v>97</v>
      </c>
      <c r="G2" s="48" t="s">
        <v>94</v>
      </c>
      <c r="H2" s="50" t="s">
        <v>101</v>
      </c>
      <c r="I2" s="50" t="s">
        <v>98</v>
      </c>
      <c r="J2" s="48" t="s">
        <v>102</v>
      </c>
      <c r="K2" s="49" t="s">
        <v>1</v>
      </c>
      <c r="L2" s="50" t="s">
        <v>3</v>
      </c>
      <c r="M2" s="50" t="s">
        <v>100</v>
      </c>
      <c r="N2" s="50" t="s">
        <v>99</v>
      </c>
      <c r="O2" s="50" t="s">
        <v>88</v>
      </c>
      <c r="P2" s="51"/>
      <c r="Q2" s="38"/>
      <c r="S2" s="37" t="s">
        <v>6</v>
      </c>
      <c r="T2" s="36" t="s">
        <v>7</v>
      </c>
      <c r="U2" s="35" t="s">
        <v>41</v>
      </c>
      <c r="V2" s="35" t="s">
        <v>42</v>
      </c>
      <c r="W2" s="34" t="s">
        <v>8</v>
      </c>
    </row>
    <row r="3" spans="1:23" x14ac:dyDescent="0.25">
      <c r="F3">
        <v>1</v>
      </c>
      <c r="H3" t="s">
        <v>90</v>
      </c>
      <c r="I3" s="54" t="s">
        <v>91</v>
      </c>
      <c r="J3" s="52">
        <v>43605</v>
      </c>
      <c r="K3" s="53" t="s">
        <v>75</v>
      </c>
      <c r="L3" s="55">
        <v>2381.889763779528</v>
      </c>
      <c r="M3" s="55">
        <v>2400</v>
      </c>
      <c r="N3" s="55"/>
      <c r="O3" s="54"/>
      <c r="P3" s="56"/>
      <c r="Q3" s="17"/>
      <c r="S3" s="33" t="s">
        <v>74</v>
      </c>
      <c r="T3" s="32"/>
      <c r="U3" s="31">
        <f t="shared" ref="U3:U8" si="0">SUMIFS($M$3:$M$100000,$K$3:$K$100000,$S3,$J$3:$J$100000,"&gt;="&amp;$T$1,$J$3:$J$100000,"&lt;="&amp;$U$1)</f>
        <v>1600</v>
      </c>
      <c r="V3" s="31" t="e">
        <f t="shared" ref="V3:V8" si="1">SUMIFS($O$10:$O$100000,$K$3:$K$100000,$S3,$J$3:$J$100000,"&gt;="&amp;$T$1,$J$3:$J$100000,"&lt;="&amp;$U$1)</f>
        <v>#VALUE!</v>
      </c>
      <c r="W3" s="30" t="e">
        <f>Table36[[#This Row],[Tồn Đầu Kỳ]]+Table36[[#This Row],[Tổng Nhập]]-Table36[[#This Row],[Tổng Xuất ]]</f>
        <v>#VALUE!</v>
      </c>
    </row>
    <row r="4" spans="1:23" x14ac:dyDescent="0.25">
      <c r="F4">
        <v>2</v>
      </c>
      <c r="H4" t="s">
        <v>90</v>
      </c>
      <c r="I4" s="26" t="s">
        <v>92</v>
      </c>
      <c r="J4" s="57">
        <v>43605</v>
      </c>
      <c r="K4" s="28" t="s">
        <v>74</v>
      </c>
      <c r="L4" s="27">
        <v>1544.6194225721783</v>
      </c>
      <c r="M4" s="27">
        <v>1600</v>
      </c>
      <c r="N4" s="26"/>
      <c r="O4" s="26"/>
      <c r="P4" s="58"/>
      <c r="Q4" s="17"/>
      <c r="S4" s="33" t="s">
        <v>9</v>
      </c>
      <c r="T4" s="32"/>
      <c r="U4" s="31">
        <f t="shared" si="0"/>
        <v>800</v>
      </c>
      <c r="V4" s="31" t="e">
        <f t="shared" si="1"/>
        <v>#VALUE!</v>
      </c>
      <c r="W4" s="30" t="e">
        <f>Table36[[#This Row],[Tồn Đầu Kỳ]]+Table36[[#This Row],[Tổng Nhập]]-Table36[[#This Row],[Tổng Xuất ]]</f>
        <v>#VALUE!</v>
      </c>
    </row>
    <row r="5" spans="1:23" x14ac:dyDescent="0.25">
      <c r="F5">
        <v>3</v>
      </c>
      <c r="H5" t="s">
        <v>90</v>
      </c>
      <c r="I5" s="54" t="s">
        <v>93</v>
      </c>
      <c r="J5" s="52">
        <v>43605</v>
      </c>
      <c r="K5" s="53" t="s">
        <v>9</v>
      </c>
      <c r="L5" s="55">
        <v>768.58048993875764</v>
      </c>
      <c r="M5" s="55">
        <v>800</v>
      </c>
      <c r="N5" s="54"/>
      <c r="O5" s="54"/>
      <c r="P5" s="56"/>
      <c r="S5" s="33" t="s">
        <v>75</v>
      </c>
      <c r="T5" s="32"/>
      <c r="U5" s="31">
        <f t="shared" si="0"/>
        <v>2400</v>
      </c>
      <c r="V5" s="31" t="e">
        <f t="shared" si="1"/>
        <v>#VALUE!</v>
      </c>
      <c r="W5" s="30" t="e">
        <f>Table36[[#This Row],[Tồn Đầu Kỳ]]+Table36[[#This Row],[Tổng Nhập]]-Table36[[#This Row],[Tổng Xuất ]]</f>
        <v>#VALUE!</v>
      </c>
    </row>
    <row r="6" spans="1:23" x14ac:dyDescent="0.25">
      <c r="F6" t="s">
        <v>85</v>
      </c>
      <c r="I6" s="26"/>
      <c r="J6" s="57"/>
      <c r="K6" s="28"/>
      <c r="L6" s="27"/>
      <c r="M6" s="27"/>
      <c r="N6" s="26"/>
      <c r="O6" s="26"/>
      <c r="P6" s="58"/>
      <c r="S6" s="33" t="s">
        <v>82</v>
      </c>
      <c r="T6" s="32"/>
      <c r="U6" s="31">
        <f t="shared" si="0"/>
        <v>0</v>
      </c>
      <c r="V6" s="31" t="e">
        <f t="shared" si="1"/>
        <v>#VALUE!</v>
      </c>
      <c r="W6" s="30" t="e">
        <f>Table36[[#This Row],[Tồn Đầu Kỳ]]+Table36[[#This Row],[Tổng Nhập]]-Table36[[#This Row],[Tổng Xuất ]]</f>
        <v>#VALUE!</v>
      </c>
    </row>
    <row r="7" spans="1:23" x14ac:dyDescent="0.25">
      <c r="F7" t="s">
        <v>85</v>
      </c>
      <c r="I7" s="54"/>
      <c r="J7" s="52"/>
      <c r="K7" s="53"/>
      <c r="L7" s="55"/>
      <c r="M7" s="55"/>
      <c r="N7" s="54"/>
      <c r="O7" s="54"/>
      <c r="P7" s="56"/>
      <c r="Q7"/>
      <c r="S7" s="33" t="s">
        <v>83</v>
      </c>
      <c r="T7" s="32"/>
      <c r="U7" s="31">
        <f t="shared" si="0"/>
        <v>0</v>
      </c>
      <c r="V7" s="31" t="e">
        <f t="shared" si="1"/>
        <v>#VALUE!</v>
      </c>
      <c r="W7" s="30" t="e">
        <f>Table36[[#This Row],[Tồn Đầu Kỳ]]+Table36[[#This Row],[Tổng Nhập]]-Table36[[#This Row],[Tổng Xuất ]]</f>
        <v>#VALUE!</v>
      </c>
    </row>
    <row r="8" spans="1:23" x14ac:dyDescent="0.25">
      <c r="F8" t="s">
        <v>85</v>
      </c>
      <c r="I8" s="26"/>
      <c r="J8" s="57"/>
      <c r="K8" s="28"/>
      <c r="L8" s="27"/>
      <c r="M8" s="27"/>
      <c r="N8" s="26"/>
      <c r="O8" s="26"/>
      <c r="P8" s="58"/>
      <c r="Q8"/>
      <c r="S8" s="33" t="s">
        <v>84</v>
      </c>
      <c r="T8" s="32"/>
      <c r="U8" s="31">
        <f t="shared" si="0"/>
        <v>0</v>
      </c>
      <c r="V8" s="31" t="e">
        <f t="shared" si="1"/>
        <v>#VALUE!</v>
      </c>
      <c r="W8" s="30" t="e">
        <f>Table36[[#This Row],[Tồn Đầu Kỳ]]+Table36[[#This Row],[Tổng Nhập]]-Table36[[#This Row],[Tổng Xuất ]]</f>
        <v>#VALUE!</v>
      </c>
    </row>
    <row r="9" spans="1:23" x14ac:dyDescent="0.25">
      <c r="F9" t="s">
        <v>85</v>
      </c>
      <c r="I9" s="61"/>
      <c r="J9" s="59"/>
      <c r="K9" s="60"/>
      <c r="L9" s="62"/>
      <c r="M9" s="62"/>
      <c r="N9" s="61"/>
      <c r="O9" s="61"/>
      <c r="P9" s="63"/>
      <c r="Q9"/>
    </row>
    <row r="10" spans="1:23" x14ac:dyDescent="0.25">
      <c r="F10" t="s">
        <v>85</v>
      </c>
      <c r="J10" s="19"/>
      <c r="K10" s="18"/>
      <c r="M10" s="17"/>
      <c r="N10" s="17"/>
      <c r="O10" s="17"/>
      <c r="P10" s="17"/>
      <c r="Q10"/>
    </row>
    <row r="11" spans="1:23" x14ac:dyDescent="0.25">
      <c r="F11" t="s">
        <v>85</v>
      </c>
      <c r="J11" s="19"/>
      <c r="K11" s="18"/>
      <c r="M11" s="17"/>
      <c r="N11" s="17"/>
      <c r="O11" s="17"/>
      <c r="P11" s="17"/>
      <c r="Q11"/>
    </row>
    <row r="12" spans="1:23" x14ac:dyDescent="0.25">
      <c r="F12" t="s">
        <v>85</v>
      </c>
      <c r="J12" s="19"/>
      <c r="K12" s="18"/>
      <c r="M12" s="17"/>
      <c r="N12" s="17"/>
      <c r="O12" s="17"/>
      <c r="P12" s="17"/>
      <c r="Q12"/>
    </row>
    <row r="13" spans="1:23" ht="15.75" x14ac:dyDescent="0.25">
      <c r="F13" s="80"/>
      <c r="G13" s="80"/>
      <c r="H13" s="80"/>
      <c r="I13" s="80"/>
      <c r="J13" s="80"/>
      <c r="K13" s="18"/>
      <c r="M13" s="17"/>
      <c r="N13" s="17"/>
      <c r="O13" s="17"/>
      <c r="P13" s="17"/>
      <c r="Q13"/>
    </row>
    <row r="14" spans="1:23" x14ac:dyDescent="0.25">
      <c r="J14" s="19"/>
      <c r="K14" s="18"/>
      <c r="M14" s="17"/>
      <c r="N14" s="17"/>
      <c r="O14" s="17"/>
      <c r="P14" s="17"/>
      <c r="Q14"/>
    </row>
    <row r="15" spans="1:23" x14ac:dyDescent="0.25">
      <c r="J15" s="19"/>
      <c r="K15" s="18"/>
      <c r="M15" s="17"/>
      <c r="N15" s="17"/>
      <c r="O15" s="17"/>
      <c r="P15" s="17"/>
      <c r="Q15"/>
    </row>
    <row r="16" spans="1:23" x14ac:dyDescent="0.25">
      <c r="J16" s="19"/>
      <c r="K16" s="18"/>
      <c r="M16" s="17"/>
      <c r="N16" s="17"/>
      <c r="O16" s="17"/>
      <c r="P16" s="17"/>
      <c r="Q16"/>
    </row>
    <row r="17" spans="10:17" x14ac:dyDescent="0.25">
      <c r="J17" s="19"/>
      <c r="K17" s="18"/>
      <c r="M17" s="17"/>
      <c r="N17" s="17"/>
      <c r="O17" s="17"/>
      <c r="P17" s="17"/>
      <c r="Q17"/>
    </row>
    <row r="18" spans="10:17" x14ac:dyDescent="0.25">
      <c r="Q18"/>
    </row>
    <row r="19" spans="10:17" x14ac:dyDescent="0.25">
      <c r="Q19"/>
    </row>
    <row r="20" spans="10:17" x14ac:dyDescent="0.25">
      <c r="Q20"/>
    </row>
    <row r="21" spans="10:17" x14ac:dyDescent="0.25">
      <c r="Q21"/>
    </row>
    <row r="22" spans="10:17" x14ac:dyDescent="0.25">
      <c r="Q22"/>
    </row>
    <row r="23" spans="10:17" x14ac:dyDescent="0.25">
      <c r="Q23"/>
    </row>
    <row r="24" spans="10:17" x14ac:dyDescent="0.25">
      <c r="Q24"/>
    </row>
    <row r="25" spans="10:17" x14ac:dyDescent="0.25">
      <c r="Q25"/>
    </row>
    <row r="26" spans="10:17" x14ac:dyDescent="0.25">
      <c r="Q26"/>
    </row>
    <row r="27" spans="10:17" x14ac:dyDescent="0.25">
      <c r="Q27"/>
    </row>
    <row r="28" spans="10:17" x14ac:dyDescent="0.25">
      <c r="Q28"/>
    </row>
    <row r="29" spans="10:17" x14ac:dyDescent="0.25">
      <c r="Q29"/>
    </row>
    <row r="30" spans="10:17" x14ac:dyDescent="0.25">
      <c r="Q30"/>
    </row>
    <row r="31" spans="10:17" x14ac:dyDescent="0.25">
      <c r="Q31"/>
    </row>
    <row r="32" spans="10:17" x14ac:dyDescent="0.25">
      <c r="Q32"/>
    </row>
    <row r="33" spans="17:17" x14ac:dyDescent="0.25">
      <c r="Q33"/>
    </row>
    <row r="34" spans="17:17" x14ac:dyDescent="0.25">
      <c r="Q34"/>
    </row>
    <row r="35" spans="17:17" x14ac:dyDescent="0.25">
      <c r="Q35"/>
    </row>
    <row r="36" spans="17:17" x14ac:dyDescent="0.25">
      <c r="Q36"/>
    </row>
    <row r="37" spans="17:17" x14ac:dyDescent="0.25">
      <c r="Q37"/>
    </row>
    <row r="38" spans="17:17" x14ac:dyDescent="0.25">
      <c r="Q38"/>
    </row>
    <row r="39" spans="17:17" x14ac:dyDescent="0.25">
      <c r="Q39"/>
    </row>
    <row r="40" spans="17:17" x14ac:dyDescent="0.25">
      <c r="Q40"/>
    </row>
    <row r="41" spans="17:17" x14ac:dyDescent="0.25">
      <c r="Q41"/>
    </row>
    <row r="42" spans="17:17" x14ac:dyDescent="0.25">
      <c r="Q42"/>
    </row>
    <row r="43" spans="17:17" x14ac:dyDescent="0.25">
      <c r="Q43"/>
    </row>
    <row r="44" spans="17:17" x14ac:dyDescent="0.25">
      <c r="Q44"/>
    </row>
    <row r="45" spans="17:17" x14ac:dyDescent="0.25">
      <c r="Q45"/>
    </row>
    <row r="46" spans="17:17" x14ac:dyDescent="0.25">
      <c r="Q46"/>
    </row>
    <row r="47" spans="17:17" x14ac:dyDescent="0.25">
      <c r="Q47"/>
    </row>
    <row r="48" spans="17:17" x14ac:dyDescent="0.25">
      <c r="Q48"/>
    </row>
    <row r="49" spans="17:17" x14ac:dyDescent="0.25">
      <c r="Q49"/>
    </row>
    <row r="50" spans="17:17" x14ac:dyDescent="0.25">
      <c r="Q50"/>
    </row>
    <row r="51" spans="17:17" x14ac:dyDescent="0.25">
      <c r="Q51"/>
    </row>
    <row r="52" spans="17:17" x14ac:dyDescent="0.25">
      <c r="Q52"/>
    </row>
    <row r="53" spans="17:17" x14ac:dyDescent="0.25">
      <c r="Q53"/>
    </row>
  </sheetData>
  <pageMargins left="0.7" right="0.7" top="0.75" bottom="0.75" header="0.3" footer="0.3"/>
  <pageSetup paperSize="9"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2:T222"/>
  <sheetViews>
    <sheetView tabSelected="1" zoomScale="80" zoomScaleNormal="80" workbookViewId="0">
      <pane ySplit="11" topLeftCell="A12" activePane="bottomLeft" state="frozen"/>
      <selection pane="bottomLeft" activeCell="P27" sqref="P27"/>
    </sheetView>
  </sheetViews>
  <sheetFormatPr baseColWidth="10" defaultColWidth="9.140625" defaultRowHeight="15" x14ac:dyDescent="0.25"/>
  <cols>
    <col min="1" max="1" width="5.5703125" bestFit="1" customWidth="1"/>
    <col min="2" max="2" width="22.5703125" customWidth="1"/>
    <col min="3" max="3" width="26" bestFit="1" customWidth="1"/>
    <col min="4" max="4" width="18.42578125" bestFit="1" customWidth="1"/>
    <col min="5" max="5" width="17.42578125" bestFit="1" customWidth="1"/>
    <col min="6" max="6" width="12.7109375" bestFit="1" customWidth="1"/>
    <col min="7" max="7" width="14.140625" style="16" customWidth="1"/>
    <col min="8" max="8" width="11.5703125" style="16" customWidth="1"/>
    <col min="9" max="9" width="14.7109375" style="16" customWidth="1"/>
    <col min="10" max="10" width="10.85546875" style="16" customWidth="1"/>
    <col min="15" max="15" width="24.140625" customWidth="1"/>
    <col min="16" max="16" width="24" customWidth="1"/>
  </cols>
  <sheetData>
    <row r="2" spans="1:15" ht="36" x14ac:dyDescent="0.55000000000000004">
      <c r="B2" s="87" t="s">
        <v>95</v>
      </c>
      <c r="C2" s="87"/>
      <c r="D2" s="87"/>
      <c r="E2" s="87"/>
      <c r="F2" s="87"/>
      <c r="G2" s="87"/>
      <c r="H2" s="87"/>
      <c r="I2" s="87"/>
      <c r="J2" s="87"/>
      <c r="K2" s="85"/>
      <c r="L2" s="85"/>
      <c r="M2" s="85"/>
      <c r="N2" s="85"/>
      <c r="O2" s="65"/>
    </row>
    <row r="3" spans="1:15" s="64" customFormat="1" ht="15.75" x14ac:dyDescent="0.25">
      <c r="C3" s="80" t="s">
        <v>103</v>
      </c>
      <c r="D3" s="82">
        <v>43631</v>
      </c>
      <c r="G3" s="65"/>
      <c r="H3" s="65"/>
      <c r="I3" s="65"/>
      <c r="J3" s="65"/>
      <c r="K3" s="86"/>
      <c r="L3" s="86"/>
      <c r="M3" s="86"/>
      <c r="N3" s="86"/>
      <c r="O3"/>
    </row>
    <row r="4" spans="1:15" s="64" customFormat="1" ht="15.75" x14ac:dyDescent="0.25">
      <c r="C4" s="80" t="s">
        <v>104</v>
      </c>
      <c r="D4" s="84" t="s">
        <v>109</v>
      </c>
      <c r="G4" s="65"/>
      <c r="H4" s="65"/>
      <c r="I4" s="65"/>
      <c r="J4" s="65"/>
      <c r="K4" s="86"/>
      <c r="L4" s="86"/>
      <c r="M4" s="86"/>
      <c r="N4" s="86"/>
      <c r="O4"/>
    </row>
    <row r="5" spans="1:15" s="64" customFormat="1" ht="15.75" x14ac:dyDescent="0.25">
      <c r="C5" s="80" t="s">
        <v>102</v>
      </c>
      <c r="D5" s="83" t="str">
        <f>IFERROR(INDEX(#REF!,MATCH($D$4,#REF!,0)),"")</f>
        <v/>
      </c>
      <c r="G5" s="65"/>
      <c r="H5" s="65"/>
      <c r="I5" s="65"/>
      <c r="J5" s="65"/>
      <c r="K5" s="86"/>
      <c r="L5" s="86"/>
      <c r="M5" s="86"/>
      <c r="N5" s="86"/>
      <c r="O5"/>
    </row>
    <row r="6" spans="1:15" s="64" customFormat="1" ht="15.75" x14ac:dyDescent="0.25">
      <c r="C6" s="80" t="s">
        <v>105</v>
      </c>
      <c r="D6" s="81" t="s">
        <v>96</v>
      </c>
      <c r="G6" s="65"/>
      <c r="H6" s="65"/>
      <c r="I6" s="65"/>
      <c r="J6" s="65"/>
      <c r="K6" s="86"/>
      <c r="L6" s="86"/>
      <c r="M6" s="86"/>
      <c r="N6" s="86"/>
      <c r="O6"/>
    </row>
    <row r="7" spans="1:15" s="64" customFormat="1" ht="15.75" x14ac:dyDescent="0.25">
      <c r="C7" s="80" t="s">
        <v>106</v>
      </c>
      <c r="D7" s="81"/>
      <c r="G7" s="65"/>
      <c r="H7" s="65"/>
      <c r="I7" s="65"/>
      <c r="J7" s="65"/>
      <c r="K7" s="86"/>
      <c r="L7" s="86"/>
      <c r="M7" s="86"/>
      <c r="N7" s="86"/>
      <c r="O7"/>
    </row>
    <row r="8" spans="1:15" s="64" customFormat="1" ht="15.75" x14ac:dyDescent="0.25">
      <c r="C8" s="80" t="s">
        <v>107</v>
      </c>
      <c r="D8" s="81" t="str">
        <f>"NK"&amp;DAY(D3)&amp;MONTH(D3)&amp;RIGHT(YEAR(D3),2)</f>
        <v>NK15619</v>
      </c>
      <c r="G8" s="65"/>
      <c r="H8" s="65"/>
      <c r="I8" s="65"/>
      <c r="J8" s="65"/>
      <c r="K8" s="86"/>
      <c r="L8" s="86"/>
      <c r="M8" s="86"/>
      <c r="N8" s="86"/>
      <c r="O8"/>
    </row>
    <row r="9" spans="1:15" s="64" customFormat="1" ht="15.75" x14ac:dyDescent="0.25">
      <c r="C9" s="80" t="s">
        <v>94</v>
      </c>
      <c r="G9" s="65"/>
      <c r="H9" s="65"/>
      <c r="I9" s="65"/>
      <c r="J9" s="65"/>
      <c r="K9" s="86"/>
      <c r="L9" s="86"/>
      <c r="M9" s="86"/>
      <c r="N9" s="86"/>
      <c r="O9"/>
    </row>
    <row r="10" spans="1:15" s="64" customFormat="1" ht="15.75" x14ac:dyDescent="0.25">
      <c r="G10" s="65"/>
      <c r="H10" s="66"/>
      <c r="I10" s="67"/>
      <c r="J10" s="65"/>
      <c r="K10" s="86"/>
      <c r="L10" s="86"/>
      <c r="M10" s="86"/>
      <c r="N10" s="86"/>
      <c r="O10"/>
    </row>
    <row r="11" spans="1:15" s="65" customFormat="1" ht="47.25" x14ac:dyDescent="0.25">
      <c r="A11" s="70" t="s">
        <v>97</v>
      </c>
      <c r="B11" s="71" t="s">
        <v>98</v>
      </c>
      <c r="C11" s="72" t="s">
        <v>1</v>
      </c>
      <c r="D11" s="71" t="s">
        <v>3</v>
      </c>
      <c r="E11" s="71" t="s">
        <v>100</v>
      </c>
      <c r="F11" s="71" t="s">
        <v>99</v>
      </c>
      <c r="G11" s="71" t="s">
        <v>108</v>
      </c>
      <c r="O11"/>
    </row>
    <row r="12" spans="1:15" s="65" customFormat="1" ht="15.75" x14ac:dyDescent="0.25">
      <c r="A12" s="68">
        <v>1</v>
      </c>
      <c r="B12" s="73" t="s">
        <v>76</v>
      </c>
      <c r="C12" s="74" t="str">
        <f>IFERROR(VLOOKUP(INDEX(#REF!,MATCH(FormNhap!B12,#REF!,0)),Trim_sheet,4,0),"")</f>
        <v/>
      </c>
      <c r="D12" s="75" t="e">
        <f>SUMIFS(#REF!,#REF!,B12)</f>
        <v>#REF!</v>
      </c>
      <c r="E12" s="75" t="str">
        <f t="shared" ref="E12:E14" si="0">IFERROR(ROUNDUP(IF((D12/100-INT(D12/100))&lt;0.2,INT(D12/100),CEILING(D12/100,0.5)),0)*100,"")</f>
        <v/>
      </c>
      <c r="F12" s="75"/>
      <c r="G12" s="73"/>
      <c r="O12" t="s">
        <v>76</v>
      </c>
    </row>
    <row r="13" spans="1:15" s="65" customFormat="1" ht="15.75" x14ac:dyDescent="0.25">
      <c r="A13" s="68">
        <f>IF(B13&lt;&gt;"",MAX(A12)+1,"")</f>
        <v>2</v>
      </c>
      <c r="B13" s="73" t="s">
        <v>77</v>
      </c>
      <c r="C13" s="74" t="str">
        <f>IFERROR(VLOOKUP(INDEX(#REF!,MATCH(FormNhap!B13,#REF!,0)),Trim_sheet,4,0),"")</f>
        <v/>
      </c>
      <c r="D13" s="75" t="e">
        <f>SUMIFS(#REF!,#REF!,B13)</f>
        <v>#REF!</v>
      </c>
      <c r="E13" s="75" t="str">
        <f t="shared" si="0"/>
        <v/>
      </c>
      <c r="F13" s="73"/>
      <c r="G13" s="73"/>
      <c r="O13" t="s">
        <v>77</v>
      </c>
    </row>
    <row r="14" spans="1:15" s="65" customFormat="1" ht="15.75" x14ac:dyDescent="0.25">
      <c r="A14" s="68">
        <f t="shared" ref="A14:A21" si="1">IF(B14&lt;&gt;"",MAX(A13)+1,"")</f>
        <v>3</v>
      </c>
      <c r="B14" s="73" t="s">
        <v>89</v>
      </c>
      <c r="C14" s="74" t="str">
        <f>IFERROR(VLOOKUP(INDEX(#REF!,MATCH(FormNhap!B14,#REF!,0)),Trim_sheet,4,0),"")</f>
        <v/>
      </c>
      <c r="D14" s="75" t="e">
        <f>SUMIFS(#REF!,#REF!,B14)</f>
        <v>#REF!</v>
      </c>
      <c r="E14" s="75" t="str">
        <f t="shared" si="0"/>
        <v/>
      </c>
      <c r="F14" s="73"/>
      <c r="G14" s="73"/>
      <c r="I14" s="16"/>
      <c r="O14" t="s">
        <v>78</v>
      </c>
    </row>
    <row r="15" spans="1:15" s="65" customFormat="1" ht="15.75" x14ac:dyDescent="0.25">
      <c r="A15" s="68">
        <f t="shared" si="1"/>
        <v>4</v>
      </c>
      <c r="B15" s="73" t="s">
        <v>89</v>
      </c>
      <c r="C15" s="74"/>
      <c r="D15" s="75"/>
      <c r="E15" s="75"/>
      <c r="F15" s="73"/>
      <c r="G15" s="73"/>
      <c r="I15"/>
      <c r="O15"/>
    </row>
    <row r="16" spans="1:15" s="65" customFormat="1" ht="15.75" x14ac:dyDescent="0.25">
      <c r="A16" s="68">
        <f t="shared" si="1"/>
        <v>5</v>
      </c>
      <c r="B16" s="73" t="s">
        <v>89</v>
      </c>
      <c r="C16" s="74"/>
      <c r="D16" s="75"/>
      <c r="E16" s="75"/>
      <c r="F16" s="73"/>
      <c r="G16" s="73"/>
      <c r="I16"/>
      <c r="O16"/>
    </row>
    <row r="17" spans="1:20" s="65" customFormat="1" ht="15.75" x14ac:dyDescent="0.25">
      <c r="A17" s="68">
        <f t="shared" si="1"/>
        <v>6</v>
      </c>
      <c r="B17" s="73" t="s">
        <v>89</v>
      </c>
      <c r="C17" s="74"/>
      <c r="D17" s="75"/>
      <c r="E17" s="75"/>
      <c r="F17" s="73"/>
      <c r="G17" s="73"/>
      <c r="I17"/>
      <c r="O17"/>
    </row>
    <row r="18" spans="1:20" s="65" customFormat="1" ht="15.75" x14ac:dyDescent="0.25">
      <c r="A18" s="68">
        <f t="shared" si="1"/>
        <v>7</v>
      </c>
      <c r="B18" s="73" t="s">
        <v>89</v>
      </c>
      <c r="C18" s="74"/>
      <c r="D18" s="75"/>
      <c r="E18" s="75"/>
      <c r="F18" s="73"/>
      <c r="G18" s="73"/>
      <c r="I18"/>
      <c r="O18"/>
    </row>
    <row r="19" spans="1:20" s="64" customFormat="1" ht="15.75" x14ac:dyDescent="0.25">
      <c r="A19" s="68">
        <f t="shared" si="1"/>
        <v>8</v>
      </c>
      <c r="B19" s="69" t="s">
        <v>89</v>
      </c>
      <c r="C19" s="69"/>
      <c r="D19" s="76"/>
      <c r="E19" s="77"/>
      <c r="F19" s="68"/>
      <c r="G19" s="68"/>
      <c r="I19"/>
      <c r="J19" s="86"/>
      <c r="K19" s="86"/>
      <c r="L19" s="86"/>
      <c r="M19" s="86"/>
      <c r="N19" s="86"/>
      <c r="O19"/>
      <c r="P19" s="86"/>
      <c r="Q19" s="86"/>
      <c r="R19" s="86"/>
      <c r="S19" s="86"/>
      <c r="T19" s="86"/>
    </row>
    <row r="20" spans="1:20" s="64" customFormat="1" ht="15.75" x14ac:dyDescent="0.25">
      <c r="A20" s="68">
        <f t="shared" si="1"/>
        <v>9</v>
      </c>
      <c r="B20" s="69" t="s">
        <v>89</v>
      </c>
      <c r="C20" s="69"/>
      <c r="D20" s="76"/>
      <c r="E20" s="77"/>
      <c r="F20" s="68"/>
      <c r="G20" s="68"/>
      <c r="I20"/>
      <c r="J20" s="86"/>
      <c r="K20" s="86"/>
      <c r="L20" s="86"/>
      <c r="M20" s="86"/>
      <c r="N20" s="86"/>
      <c r="O20"/>
      <c r="P20" s="86"/>
      <c r="Q20" s="86"/>
      <c r="R20" s="86"/>
      <c r="S20" s="86"/>
      <c r="T20" s="86"/>
    </row>
    <row r="21" spans="1:20" ht="15.75" x14ac:dyDescent="0.25">
      <c r="A21" s="68">
        <f t="shared" si="1"/>
        <v>10</v>
      </c>
      <c r="B21" s="15" t="s">
        <v>89</v>
      </c>
      <c r="C21" s="15"/>
      <c r="D21" s="78"/>
      <c r="E21" s="79"/>
      <c r="F21" s="32"/>
      <c r="G21" s="32"/>
      <c r="H21"/>
      <c r="I21"/>
      <c r="J21" s="85"/>
      <c r="K21" s="85"/>
      <c r="L21" s="85"/>
      <c r="M21" s="85"/>
      <c r="N21" s="85"/>
      <c r="P21" s="85"/>
      <c r="Q21" s="85"/>
      <c r="R21" s="85"/>
      <c r="S21" s="85"/>
      <c r="T21" s="85"/>
    </row>
    <row r="22" spans="1:20" x14ac:dyDescent="0.25">
      <c r="H22" s="19"/>
      <c r="I22" s="18"/>
      <c r="J22" s="85"/>
      <c r="K22" s="85"/>
      <c r="L22" s="85"/>
      <c r="M22" s="85"/>
      <c r="N22" s="85"/>
      <c r="P22" s="85"/>
      <c r="Q22" s="85"/>
      <c r="R22" s="85"/>
      <c r="S22" s="85"/>
      <c r="T22" s="85"/>
    </row>
    <row r="23" spans="1:20" x14ac:dyDescent="0.25">
      <c r="H23" s="19"/>
      <c r="I23" s="18"/>
      <c r="J23" s="85"/>
      <c r="K23" s="85"/>
      <c r="L23" s="85"/>
      <c r="M23" s="85"/>
      <c r="N23" s="85"/>
      <c r="P23" s="85"/>
      <c r="Q23" s="85"/>
      <c r="R23" s="85"/>
      <c r="S23" s="85"/>
      <c r="T23" s="85"/>
    </row>
    <row r="24" spans="1:20" x14ac:dyDescent="0.25">
      <c r="H24" s="19"/>
      <c r="I24" s="18"/>
      <c r="J24" s="85"/>
      <c r="K24" s="85"/>
      <c r="L24" s="85"/>
      <c r="M24" s="85"/>
      <c r="N24" s="85"/>
      <c r="P24" s="85"/>
      <c r="Q24" s="85"/>
      <c r="R24" s="85"/>
      <c r="S24" s="85"/>
      <c r="T24" s="85"/>
    </row>
    <row r="25" spans="1:20" x14ac:dyDescent="0.25">
      <c r="H25" s="19"/>
      <c r="I25" s="18"/>
      <c r="J25" s="85"/>
      <c r="K25" s="85"/>
      <c r="L25" s="85"/>
      <c r="M25" s="85"/>
      <c r="N25" s="85"/>
      <c r="P25" s="85"/>
      <c r="Q25" s="85"/>
      <c r="R25" s="85"/>
      <c r="S25" s="85"/>
      <c r="T25" s="85"/>
    </row>
    <row r="26" spans="1:20" x14ac:dyDescent="0.25">
      <c r="H26" s="19"/>
      <c r="I26" s="18"/>
      <c r="J26" s="85"/>
      <c r="K26" s="85"/>
      <c r="L26" s="85"/>
      <c r="M26" s="85"/>
      <c r="N26" s="85"/>
      <c r="P26" s="85"/>
      <c r="Q26" s="85"/>
      <c r="R26" s="85"/>
      <c r="S26" s="85"/>
      <c r="T26" s="85"/>
    </row>
    <row r="27" spans="1:20" x14ac:dyDescent="0.25">
      <c r="J27" s="85"/>
      <c r="K27" s="85"/>
      <c r="L27" s="85"/>
      <c r="M27" s="85"/>
      <c r="N27" s="85"/>
      <c r="P27" s="85"/>
      <c r="Q27" s="85"/>
      <c r="R27" s="85"/>
      <c r="S27" s="85"/>
      <c r="T27" s="85"/>
    </row>
    <row r="28" spans="1:20" x14ac:dyDescent="0.25">
      <c r="J28" s="85"/>
      <c r="K28" s="85"/>
      <c r="L28" s="85"/>
      <c r="M28" s="85"/>
      <c r="N28" s="85"/>
      <c r="P28" s="85"/>
      <c r="Q28" s="85"/>
      <c r="R28" s="85"/>
      <c r="S28" s="85"/>
      <c r="T28" s="85"/>
    </row>
    <row r="29" spans="1:20" x14ac:dyDescent="0.25">
      <c r="J29" s="85"/>
      <c r="K29" s="85"/>
      <c r="L29" s="85"/>
      <c r="M29" s="85"/>
      <c r="N29" s="85"/>
      <c r="P29" s="85"/>
      <c r="Q29" s="85"/>
      <c r="R29" s="85"/>
      <c r="S29" s="85"/>
      <c r="T29" s="85"/>
    </row>
    <row r="30" spans="1:20" x14ac:dyDescent="0.25">
      <c r="J30" s="85"/>
      <c r="K30" s="85"/>
      <c r="L30" s="85"/>
      <c r="M30" s="85"/>
      <c r="N30" s="85"/>
      <c r="P30" s="85"/>
      <c r="Q30" s="85"/>
      <c r="R30" s="85"/>
      <c r="S30" s="85"/>
      <c r="T30" s="85"/>
    </row>
    <row r="31" spans="1:20" x14ac:dyDescent="0.25">
      <c r="J31" s="85"/>
      <c r="K31" s="85"/>
      <c r="L31" s="85"/>
      <c r="M31" s="85"/>
      <c r="N31" s="85"/>
      <c r="P31" s="85"/>
      <c r="Q31" s="85"/>
      <c r="R31" s="85"/>
      <c r="S31" s="85"/>
      <c r="T31" s="85"/>
    </row>
    <row r="32" spans="1:20" x14ac:dyDescent="0.25">
      <c r="J32" s="85"/>
      <c r="K32" s="85"/>
      <c r="L32" s="85"/>
      <c r="M32" s="85"/>
      <c r="N32" s="85"/>
      <c r="P32" s="85"/>
      <c r="Q32" s="85"/>
      <c r="R32" s="85"/>
      <c r="S32" s="85"/>
      <c r="T32" s="85"/>
    </row>
    <row r="33" spans="10:20" x14ac:dyDescent="0.25">
      <c r="J33" s="85"/>
      <c r="K33" s="85"/>
      <c r="L33" s="85"/>
      <c r="M33" s="85"/>
      <c r="N33" s="85"/>
      <c r="P33" s="85"/>
      <c r="Q33" s="85"/>
      <c r="R33" s="85"/>
      <c r="S33" s="85"/>
      <c r="T33" s="85"/>
    </row>
    <row r="34" spans="10:20" x14ac:dyDescent="0.25">
      <c r="K34" s="85"/>
      <c r="L34" s="85"/>
      <c r="M34" s="85"/>
      <c r="N34" s="85"/>
      <c r="P34" s="85"/>
      <c r="Q34" s="85"/>
      <c r="R34" s="85"/>
      <c r="S34" s="85"/>
      <c r="T34" s="85"/>
    </row>
    <row r="35" spans="10:20" x14ac:dyDescent="0.25">
      <c r="K35" s="85"/>
      <c r="L35" s="85"/>
      <c r="M35" s="85"/>
      <c r="N35" s="85"/>
      <c r="P35" s="85"/>
      <c r="Q35" s="85"/>
      <c r="R35" s="85"/>
      <c r="S35" s="85"/>
      <c r="T35" s="85"/>
    </row>
    <row r="36" spans="10:20" x14ac:dyDescent="0.25">
      <c r="K36" s="85"/>
      <c r="L36" s="85"/>
      <c r="M36" s="85"/>
      <c r="N36" s="85"/>
      <c r="P36" s="85"/>
      <c r="Q36" s="85"/>
      <c r="R36" s="85"/>
      <c r="S36" s="85"/>
      <c r="T36" s="85"/>
    </row>
    <row r="37" spans="10:20" x14ac:dyDescent="0.25">
      <c r="K37" s="85"/>
      <c r="L37" s="85"/>
      <c r="M37" s="85"/>
      <c r="N37" s="85"/>
      <c r="P37" s="85"/>
      <c r="Q37" s="85"/>
      <c r="R37" s="85"/>
      <c r="S37" s="85"/>
      <c r="T37" s="85"/>
    </row>
    <row r="38" spans="10:20" x14ac:dyDescent="0.25">
      <c r="K38" s="85"/>
      <c r="L38" s="85"/>
      <c r="M38" s="85"/>
      <c r="N38" s="85"/>
      <c r="P38" s="85"/>
      <c r="Q38" s="85"/>
      <c r="R38" s="85"/>
      <c r="S38" s="85"/>
      <c r="T38" s="85"/>
    </row>
    <row r="39" spans="10:20" x14ac:dyDescent="0.25">
      <c r="K39" s="85"/>
      <c r="L39" s="85"/>
      <c r="M39" s="85"/>
      <c r="N39" s="85"/>
      <c r="P39" s="85"/>
      <c r="Q39" s="85"/>
      <c r="R39" s="85"/>
      <c r="S39" s="85"/>
      <c r="T39" s="85"/>
    </row>
    <row r="40" spans="10:20" x14ac:dyDescent="0.25">
      <c r="K40" s="85"/>
      <c r="L40" s="85"/>
      <c r="M40" s="85"/>
      <c r="N40" s="85"/>
      <c r="P40" s="85"/>
      <c r="Q40" s="85"/>
      <c r="R40" s="85"/>
      <c r="S40" s="85"/>
      <c r="T40" s="85"/>
    </row>
    <row r="41" spans="10:20" x14ac:dyDescent="0.25">
      <c r="K41" s="85"/>
      <c r="L41" s="85"/>
      <c r="M41" s="85"/>
      <c r="N41" s="85"/>
      <c r="P41" s="85"/>
      <c r="Q41" s="85"/>
      <c r="R41" s="85"/>
      <c r="S41" s="85"/>
      <c r="T41" s="85"/>
    </row>
    <row r="42" spans="10:20" x14ac:dyDescent="0.25">
      <c r="K42" s="85"/>
      <c r="L42" s="85"/>
      <c r="M42" s="85"/>
      <c r="N42" s="85"/>
      <c r="P42" s="85"/>
      <c r="Q42" s="85"/>
      <c r="R42" s="85"/>
      <c r="S42" s="85"/>
      <c r="T42" s="85"/>
    </row>
    <row r="43" spans="10:20" x14ac:dyDescent="0.25">
      <c r="K43" s="85"/>
      <c r="L43" s="85"/>
      <c r="M43" s="85"/>
      <c r="N43" s="85"/>
      <c r="P43" s="85"/>
      <c r="Q43" s="85"/>
      <c r="R43" s="85"/>
      <c r="S43" s="85"/>
      <c r="T43" s="85"/>
    </row>
    <row r="44" spans="10:20" x14ac:dyDescent="0.25">
      <c r="K44" s="85"/>
      <c r="L44" s="85"/>
      <c r="M44" s="85"/>
      <c r="N44" s="85"/>
      <c r="P44" s="85"/>
      <c r="Q44" s="85"/>
      <c r="R44" s="85"/>
      <c r="S44" s="85"/>
      <c r="T44" s="85"/>
    </row>
    <row r="45" spans="10:20" x14ac:dyDescent="0.25">
      <c r="K45" s="85"/>
      <c r="L45" s="85"/>
      <c r="M45" s="85"/>
      <c r="N45" s="85"/>
      <c r="P45" s="85"/>
      <c r="Q45" s="85"/>
      <c r="R45" s="85"/>
      <c r="S45" s="85"/>
      <c r="T45" s="85"/>
    </row>
    <row r="46" spans="10:20" x14ac:dyDescent="0.25">
      <c r="K46" s="85"/>
      <c r="L46" s="85"/>
      <c r="M46" s="85"/>
      <c r="N46" s="85"/>
      <c r="P46" s="85"/>
      <c r="Q46" s="85"/>
      <c r="R46" s="85"/>
      <c r="S46" s="85"/>
      <c r="T46" s="85"/>
    </row>
    <row r="47" spans="10:20" x14ac:dyDescent="0.25">
      <c r="K47" s="85"/>
      <c r="L47" s="85"/>
      <c r="M47" s="85"/>
      <c r="N47" s="85"/>
      <c r="P47" s="85"/>
      <c r="Q47" s="85"/>
      <c r="R47" s="85"/>
      <c r="S47" s="85"/>
      <c r="T47" s="85"/>
    </row>
    <row r="48" spans="10:20" x14ac:dyDescent="0.25">
      <c r="K48" s="85"/>
      <c r="L48" s="85"/>
      <c r="M48" s="85"/>
      <c r="N48" s="85"/>
      <c r="P48" s="85"/>
      <c r="Q48" s="85"/>
      <c r="R48" s="85"/>
      <c r="S48" s="85"/>
      <c r="T48" s="85"/>
    </row>
    <row r="49" spans="11:20" x14ac:dyDescent="0.25">
      <c r="K49" s="85"/>
      <c r="L49" s="85"/>
      <c r="M49" s="85"/>
      <c r="N49" s="85"/>
      <c r="P49" s="85"/>
      <c r="Q49" s="85"/>
      <c r="R49" s="85"/>
      <c r="S49" s="85"/>
      <c r="T49" s="85"/>
    </row>
    <row r="50" spans="11:20" x14ac:dyDescent="0.25">
      <c r="K50" s="85"/>
      <c r="L50" s="85"/>
      <c r="M50" s="85"/>
      <c r="N50" s="85"/>
      <c r="P50" s="85"/>
      <c r="Q50" s="85"/>
      <c r="R50" s="85"/>
      <c r="S50" s="85"/>
      <c r="T50" s="85"/>
    </row>
    <row r="51" spans="11:20" x14ac:dyDescent="0.25">
      <c r="K51" s="85"/>
      <c r="L51" s="85"/>
      <c r="M51" s="85"/>
      <c r="N51" s="85"/>
      <c r="P51" s="85"/>
      <c r="Q51" s="85"/>
      <c r="R51" s="85"/>
      <c r="S51" s="85"/>
      <c r="T51" s="85"/>
    </row>
    <row r="52" spans="11:20" x14ac:dyDescent="0.25">
      <c r="K52" s="85"/>
      <c r="L52" s="85"/>
      <c r="M52" s="85"/>
      <c r="N52" s="85"/>
      <c r="P52" s="85"/>
      <c r="Q52" s="85"/>
      <c r="R52" s="85"/>
      <c r="S52" s="85"/>
      <c r="T52" s="85"/>
    </row>
    <row r="53" spans="11:20" x14ac:dyDescent="0.25">
      <c r="K53" s="85"/>
      <c r="L53" s="85"/>
      <c r="M53" s="85"/>
      <c r="N53" s="85"/>
      <c r="P53" s="85"/>
      <c r="Q53" s="85"/>
      <c r="R53" s="85"/>
      <c r="S53" s="85"/>
      <c r="T53" s="85"/>
    </row>
    <row r="54" spans="11:20" x14ac:dyDescent="0.25">
      <c r="K54" s="85"/>
      <c r="L54" s="85"/>
      <c r="M54" s="85"/>
      <c r="N54" s="85"/>
      <c r="P54" s="85"/>
      <c r="Q54" s="85"/>
      <c r="R54" s="85"/>
      <c r="S54" s="85"/>
      <c r="T54" s="85"/>
    </row>
    <row r="55" spans="11:20" x14ac:dyDescent="0.25">
      <c r="K55" s="85"/>
      <c r="L55" s="85"/>
      <c r="M55" s="85"/>
      <c r="N55" s="85"/>
      <c r="P55" s="85"/>
      <c r="Q55" s="85"/>
      <c r="R55" s="85"/>
      <c r="S55" s="85"/>
      <c r="T55" s="85"/>
    </row>
    <row r="56" spans="11:20" x14ac:dyDescent="0.25">
      <c r="K56" s="85"/>
      <c r="L56" s="85"/>
      <c r="M56" s="85"/>
      <c r="N56" s="85"/>
      <c r="P56" s="85"/>
      <c r="Q56" s="85"/>
      <c r="R56" s="85"/>
      <c r="S56" s="85"/>
      <c r="T56" s="85"/>
    </row>
    <row r="57" spans="11:20" x14ac:dyDescent="0.25">
      <c r="K57" s="85"/>
      <c r="L57" s="85"/>
      <c r="M57" s="85"/>
      <c r="N57" s="85"/>
      <c r="P57" s="85"/>
      <c r="Q57" s="85"/>
      <c r="R57" s="85"/>
      <c r="S57" s="85"/>
      <c r="T57" s="85"/>
    </row>
    <row r="58" spans="11:20" x14ac:dyDescent="0.25">
      <c r="K58" s="85"/>
      <c r="L58" s="85"/>
      <c r="M58" s="85"/>
      <c r="N58" s="85"/>
      <c r="P58" s="85"/>
      <c r="Q58" s="85"/>
      <c r="R58" s="85"/>
      <c r="S58" s="85"/>
      <c r="T58" s="85"/>
    </row>
    <row r="59" spans="11:20" x14ac:dyDescent="0.25">
      <c r="K59" s="85"/>
      <c r="L59" s="85"/>
      <c r="M59" s="85"/>
      <c r="N59" s="85"/>
      <c r="P59" s="85"/>
      <c r="Q59" s="85"/>
      <c r="R59" s="85"/>
      <c r="S59" s="85"/>
      <c r="T59" s="85"/>
    </row>
    <row r="60" spans="11:20" x14ac:dyDescent="0.25">
      <c r="K60" s="85"/>
      <c r="L60" s="85"/>
      <c r="M60" s="85"/>
      <c r="N60" s="85"/>
      <c r="P60" s="85"/>
      <c r="Q60" s="85"/>
      <c r="R60" s="85"/>
      <c r="S60" s="85"/>
      <c r="T60" s="85"/>
    </row>
    <row r="61" spans="11:20" x14ac:dyDescent="0.25">
      <c r="K61" s="85"/>
      <c r="L61" s="85"/>
      <c r="M61" s="85"/>
      <c r="N61" s="85"/>
      <c r="P61" s="85"/>
      <c r="Q61" s="85"/>
      <c r="R61" s="85"/>
      <c r="S61" s="85"/>
      <c r="T61" s="85"/>
    </row>
    <row r="62" spans="11:20" x14ac:dyDescent="0.25">
      <c r="K62" s="85"/>
      <c r="L62" s="85"/>
      <c r="M62" s="85"/>
      <c r="N62" s="85"/>
      <c r="P62" s="85"/>
      <c r="Q62" s="85"/>
      <c r="R62" s="85"/>
      <c r="S62" s="85"/>
      <c r="T62" s="85"/>
    </row>
    <row r="63" spans="11:20" x14ac:dyDescent="0.25">
      <c r="K63" s="85"/>
      <c r="L63" s="85"/>
      <c r="M63" s="85"/>
      <c r="N63" s="85"/>
      <c r="P63" s="85"/>
      <c r="Q63" s="85"/>
      <c r="R63" s="85"/>
      <c r="S63" s="85"/>
      <c r="T63" s="85"/>
    </row>
    <row r="64" spans="11:20" x14ac:dyDescent="0.25">
      <c r="K64" s="85"/>
      <c r="L64" s="85"/>
      <c r="M64" s="85"/>
      <c r="N64" s="85"/>
      <c r="P64" s="85"/>
      <c r="Q64" s="85"/>
      <c r="R64" s="85"/>
      <c r="S64" s="85"/>
      <c r="T64" s="85"/>
    </row>
    <row r="65" spans="11:20" x14ac:dyDescent="0.25">
      <c r="K65" s="85"/>
      <c r="L65" s="85"/>
      <c r="M65" s="85"/>
      <c r="N65" s="85"/>
      <c r="P65" s="85"/>
      <c r="Q65" s="85"/>
      <c r="R65" s="85"/>
      <c r="S65" s="85"/>
      <c r="T65" s="85"/>
    </row>
    <row r="66" spans="11:20" x14ac:dyDescent="0.25">
      <c r="K66" s="85"/>
      <c r="L66" s="85"/>
      <c r="M66" s="85"/>
      <c r="N66" s="85"/>
      <c r="P66" s="85"/>
      <c r="Q66" s="85"/>
      <c r="R66" s="85"/>
      <c r="S66" s="85"/>
      <c r="T66" s="85"/>
    </row>
    <row r="67" spans="11:20" x14ac:dyDescent="0.25">
      <c r="K67" s="85"/>
      <c r="L67" s="85"/>
      <c r="M67" s="85"/>
      <c r="N67" s="85"/>
      <c r="P67" s="85"/>
      <c r="Q67" s="85"/>
      <c r="R67" s="85"/>
      <c r="S67" s="85"/>
      <c r="T67" s="85"/>
    </row>
    <row r="68" spans="11:20" x14ac:dyDescent="0.25">
      <c r="K68" s="85"/>
      <c r="L68" s="85"/>
      <c r="M68" s="85"/>
      <c r="N68" s="85"/>
      <c r="P68" s="85"/>
      <c r="Q68" s="85"/>
      <c r="R68" s="85"/>
      <c r="S68" s="85"/>
      <c r="T68" s="85"/>
    </row>
    <row r="69" spans="11:20" x14ac:dyDescent="0.25">
      <c r="K69" s="85"/>
      <c r="L69" s="85"/>
      <c r="M69" s="85"/>
      <c r="N69" s="85"/>
      <c r="P69" s="85"/>
      <c r="Q69" s="85"/>
      <c r="R69" s="85"/>
      <c r="S69" s="85"/>
      <c r="T69" s="85"/>
    </row>
    <row r="70" spans="11:20" x14ac:dyDescent="0.25">
      <c r="K70" s="85"/>
      <c r="L70" s="85"/>
      <c r="M70" s="85"/>
      <c r="N70" s="85"/>
      <c r="P70" s="85"/>
      <c r="Q70" s="85"/>
      <c r="R70" s="85"/>
      <c r="S70" s="85"/>
      <c r="T70" s="85"/>
    </row>
    <row r="71" spans="11:20" x14ac:dyDescent="0.25">
      <c r="K71" s="85"/>
      <c r="L71" s="85"/>
      <c r="M71" s="85"/>
      <c r="N71" s="85"/>
      <c r="P71" s="85"/>
      <c r="Q71" s="85"/>
      <c r="R71" s="85"/>
      <c r="S71" s="85"/>
      <c r="T71" s="85"/>
    </row>
    <row r="72" spans="11:20" x14ac:dyDescent="0.25">
      <c r="K72" s="85"/>
      <c r="L72" s="85"/>
      <c r="M72" s="85"/>
      <c r="N72" s="85"/>
      <c r="P72" s="85"/>
      <c r="Q72" s="85"/>
      <c r="R72" s="85"/>
      <c r="S72" s="85"/>
      <c r="T72" s="85"/>
    </row>
    <row r="73" spans="11:20" x14ac:dyDescent="0.25">
      <c r="K73" s="85"/>
      <c r="L73" s="85"/>
      <c r="M73" s="85"/>
      <c r="N73" s="85"/>
      <c r="P73" s="85"/>
      <c r="Q73" s="85"/>
      <c r="R73" s="85"/>
      <c r="S73" s="85"/>
      <c r="T73" s="85"/>
    </row>
    <row r="74" spans="11:20" x14ac:dyDescent="0.25">
      <c r="K74" s="85"/>
      <c r="L74" s="85"/>
      <c r="M74" s="85"/>
      <c r="N74" s="85"/>
      <c r="P74" s="85"/>
      <c r="Q74" s="85"/>
      <c r="R74" s="85"/>
      <c r="S74" s="85"/>
      <c r="T74" s="85"/>
    </row>
    <row r="75" spans="11:20" x14ac:dyDescent="0.25">
      <c r="K75" s="85"/>
      <c r="L75" s="85"/>
      <c r="M75" s="85"/>
      <c r="N75" s="85"/>
      <c r="P75" s="85"/>
      <c r="Q75" s="85"/>
      <c r="R75" s="85"/>
      <c r="S75" s="85"/>
      <c r="T75" s="85"/>
    </row>
    <row r="76" spans="11:20" x14ac:dyDescent="0.25">
      <c r="K76" s="85"/>
      <c r="L76" s="85"/>
      <c r="M76" s="85"/>
      <c r="N76" s="85"/>
      <c r="P76" s="85"/>
      <c r="Q76" s="85"/>
      <c r="R76" s="85"/>
      <c r="S76" s="85"/>
      <c r="T76" s="85"/>
    </row>
    <row r="77" spans="11:20" x14ac:dyDescent="0.25">
      <c r="K77" s="85"/>
      <c r="L77" s="85"/>
      <c r="M77" s="85"/>
      <c r="N77" s="85"/>
      <c r="P77" s="85"/>
      <c r="Q77" s="85"/>
      <c r="R77" s="85"/>
      <c r="S77" s="85"/>
      <c r="T77" s="85"/>
    </row>
    <row r="78" spans="11:20" x14ac:dyDescent="0.25">
      <c r="K78" s="85"/>
      <c r="L78" s="85"/>
      <c r="M78" s="85"/>
      <c r="N78" s="85"/>
      <c r="P78" s="85"/>
      <c r="Q78" s="85"/>
      <c r="R78" s="85"/>
      <c r="S78" s="85"/>
      <c r="T78" s="85"/>
    </row>
    <row r="79" spans="11:20" x14ac:dyDescent="0.25">
      <c r="K79" s="85"/>
      <c r="L79" s="85"/>
      <c r="M79" s="85"/>
      <c r="N79" s="85"/>
      <c r="P79" s="85"/>
      <c r="Q79" s="85"/>
      <c r="R79" s="85"/>
      <c r="S79" s="85"/>
      <c r="T79" s="85"/>
    </row>
    <row r="80" spans="11:20" x14ac:dyDescent="0.25">
      <c r="K80" s="85"/>
      <c r="L80" s="85"/>
      <c r="M80" s="85"/>
      <c r="N80" s="85"/>
      <c r="P80" s="85"/>
      <c r="Q80" s="85"/>
      <c r="R80" s="85"/>
      <c r="S80" s="85"/>
      <c r="T80" s="85"/>
    </row>
    <row r="81" spans="11:20" x14ac:dyDescent="0.25">
      <c r="K81" s="85"/>
      <c r="L81" s="85"/>
      <c r="M81" s="85"/>
      <c r="N81" s="85"/>
      <c r="P81" s="85"/>
      <c r="Q81" s="85"/>
      <c r="R81" s="85"/>
      <c r="S81" s="85"/>
      <c r="T81" s="85"/>
    </row>
    <row r="82" spans="11:20" x14ac:dyDescent="0.25">
      <c r="K82" s="85"/>
      <c r="L82" s="85"/>
      <c r="M82" s="85"/>
      <c r="N82" s="85"/>
      <c r="P82" s="85"/>
      <c r="Q82" s="85"/>
      <c r="R82" s="85"/>
      <c r="S82" s="85"/>
      <c r="T82" s="85"/>
    </row>
    <row r="83" spans="11:20" x14ac:dyDescent="0.25">
      <c r="K83" s="85"/>
      <c r="L83" s="85"/>
      <c r="M83" s="85"/>
      <c r="N83" s="85"/>
      <c r="P83" s="85"/>
      <c r="Q83" s="85"/>
      <c r="R83" s="85"/>
      <c r="S83" s="85"/>
      <c r="T83" s="85"/>
    </row>
    <row r="84" spans="11:20" x14ac:dyDescent="0.25">
      <c r="K84" s="85"/>
      <c r="L84" s="85"/>
      <c r="M84" s="85"/>
      <c r="N84" s="85"/>
      <c r="P84" s="85"/>
      <c r="Q84" s="85"/>
      <c r="R84" s="85"/>
      <c r="S84" s="85"/>
      <c r="T84" s="85"/>
    </row>
    <row r="85" spans="11:20" x14ac:dyDescent="0.25">
      <c r="K85" s="85"/>
      <c r="L85" s="85"/>
      <c r="M85" s="85"/>
      <c r="N85" s="85"/>
      <c r="P85" s="85"/>
      <c r="Q85" s="85"/>
      <c r="R85" s="85"/>
      <c r="S85" s="85"/>
      <c r="T85" s="85"/>
    </row>
    <row r="86" spans="11:20" x14ac:dyDescent="0.25">
      <c r="K86" s="85"/>
      <c r="L86" s="85"/>
      <c r="M86" s="85"/>
      <c r="N86" s="85"/>
      <c r="P86" s="85"/>
      <c r="Q86" s="85"/>
      <c r="R86" s="85"/>
      <c r="S86" s="85"/>
      <c r="T86" s="85"/>
    </row>
    <row r="87" spans="11:20" x14ac:dyDescent="0.25">
      <c r="K87" s="85"/>
      <c r="L87" s="85"/>
      <c r="M87" s="85"/>
      <c r="N87" s="85"/>
      <c r="P87" s="85"/>
      <c r="Q87" s="85"/>
      <c r="R87" s="85"/>
      <c r="S87" s="85"/>
      <c r="T87" s="85"/>
    </row>
    <row r="88" spans="11:20" x14ac:dyDescent="0.25">
      <c r="K88" s="85"/>
      <c r="L88" s="85"/>
      <c r="M88" s="85"/>
      <c r="N88" s="85"/>
      <c r="P88" s="85"/>
      <c r="Q88" s="85"/>
      <c r="R88" s="85"/>
      <c r="S88" s="85"/>
      <c r="T88" s="85"/>
    </row>
    <row r="89" spans="11:20" x14ac:dyDescent="0.25">
      <c r="K89" s="85"/>
      <c r="L89" s="85"/>
      <c r="M89" s="85"/>
      <c r="N89" s="85"/>
      <c r="P89" s="85"/>
      <c r="Q89" s="85"/>
      <c r="R89" s="85"/>
      <c r="S89" s="85"/>
      <c r="T89" s="85"/>
    </row>
    <row r="90" spans="11:20" x14ac:dyDescent="0.25">
      <c r="K90" s="85"/>
      <c r="L90" s="85"/>
      <c r="M90" s="85"/>
      <c r="N90" s="85"/>
      <c r="P90" s="85"/>
      <c r="Q90" s="85"/>
      <c r="R90" s="85"/>
      <c r="S90" s="85"/>
      <c r="T90" s="85"/>
    </row>
    <row r="91" spans="11:20" x14ac:dyDescent="0.25">
      <c r="K91" s="85"/>
      <c r="L91" s="85"/>
      <c r="M91" s="85"/>
      <c r="N91" s="85"/>
      <c r="P91" s="85"/>
      <c r="Q91" s="85"/>
      <c r="R91" s="85"/>
      <c r="S91" s="85"/>
      <c r="T91" s="85"/>
    </row>
    <row r="92" spans="11:20" x14ac:dyDescent="0.25">
      <c r="K92" s="85"/>
      <c r="L92" s="85"/>
      <c r="M92" s="85"/>
      <c r="N92" s="85"/>
      <c r="P92" s="85"/>
      <c r="Q92" s="85"/>
      <c r="R92" s="85"/>
      <c r="S92" s="85"/>
      <c r="T92" s="85"/>
    </row>
    <row r="93" spans="11:20" x14ac:dyDescent="0.25">
      <c r="K93" s="85"/>
      <c r="L93" s="85"/>
      <c r="M93" s="85"/>
      <c r="N93" s="85"/>
      <c r="P93" s="85"/>
      <c r="Q93" s="85"/>
      <c r="R93" s="85"/>
      <c r="S93" s="85"/>
      <c r="T93" s="85"/>
    </row>
    <row r="94" spans="11:20" x14ac:dyDescent="0.25">
      <c r="K94" s="85"/>
      <c r="L94" s="85"/>
      <c r="M94" s="85"/>
      <c r="N94" s="85"/>
      <c r="P94" s="85"/>
      <c r="Q94" s="85"/>
      <c r="R94" s="85"/>
      <c r="S94" s="85"/>
      <c r="T94" s="85"/>
    </row>
    <row r="95" spans="11:20" x14ac:dyDescent="0.25">
      <c r="K95" s="85"/>
      <c r="L95" s="85"/>
      <c r="M95" s="85"/>
      <c r="N95" s="85"/>
      <c r="P95" s="85"/>
      <c r="Q95" s="85"/>
      <c r="R95" s="85"/>
      <c r="S95" s="85"/>
      <c r="T95" s="85"/>
    </row>
    <row r="96" spans="11:20" x14ac:dyDescent="0.25">
      <c r="K96" s="85"/>
      <c r="L96" s="85"/>
      <c r="M96" s="85"/>
      <c r="N96" s="85"/>
      <c r="P96" s="85"/>
      <c r="Q96" s="85"/>
      <c r="R96" s="85"/>
      <c r="S96" s="85"/>
      <c r="T96" s="85"/>
    </row>
    <row r="97" spans="11:20" x14ac:dyDescent="0.25">
      <c r="K97" s="85"/>
      <c r="L97" s="85"/>
      <c r="M97" s="85"/>
      <c r="N97" s="85"/>
      <c r="P97" s="85"/>
      <c r="Q97" s="85"/>
      <c r="R97" s="85"/>
      <c r="S97" s="85"/>
      <c r="T97" s="85"/>
    </row>
    <row r="98" spans="11:20" x14ac:dyDescent="0.25">
      <c r="K98" s="85"/>
      <c r="L98" s="85"/>
      <c r="M98" s="85"/>
      <c r="N98" s="85"/>
    </row>
    <row r="99" spans="11:20" x14ac:dyDescent="0.25">
      <c r="K99" s="85"/>
      <c r="L99" s="85"/>
      <c r="M99" s="85"/>
      <c r="N99" s="85"/>
    </row>
    <row r="100" spans="11:20" x14ac:dyDescent="0.25">
      <c r="K100" s="85"/>
      <c r="L100" s="85"/>
      <c r="M100" s="85"/>
      <c r="N100" s="85"/>
    </row>
    <row r="101" spans="11:20" x14ac:dyDescent="0.25">
      <c r="K101" s="85"/>
      <c r="L101" s="85"/>
      <c r="M101" s="85"/>
      <c r="N101" s="85"/>
    </row>
    <row r="102" spans="11:20" x14ac:dyDescent="0.25">
      <c r="K102" s="85"/>
      <c r="L102" s="85"/>
      <c r="M102" s="85"/>
      <c r="N102" s="85"/>
    </row>
    <row r="103" spans="11:20" x14ac:dyDescent="0.25">
      <c r="K103" s="85"/>
      <c r="L103" s="85"/>
      <c r="M103" s="85"/>
      <c r="N103" s="85"/>
    </row>
    <row r="104" spans="11:20" x14ac:dyDescent="0.25">
      <c r="K104" s="85"/>
      <c r="L104" s="85"/>
      <c r="M104" s="85"/>
      <c r="N104" s="85"/>
    </row>
    <row r="105" spans="11:20" x14ac:dyDescent="0.25">
      <c r="K105" s="85"/>
      <c r="L105" s="85"/>
      <c r="M105" s="85"/>
      <c r="N105" s="85"/>
    </row>
    <row r="106" spans="11:20" x14ac:dyDescent="0.25">
      <c r="K106" s="85"/>
      <c r="L106" s="85"/>
      <c r="M106" s="85"/>
      <c r="N106" s="85"/>
    </row>
    <row r="107" spans="11:20" x14ac:dyDescent="0.25">
      <c r="K107" s="85"/>
      <c r="L107" s="85"/>
      <c r="M107" s="85"/>
      <c r="N107" s="85"/>
    </row>
    <row r="108" spans="11:20" x14ac:dyDescent="0.25">
      <c r="K108" s="85"/>
      <c r="L108" s="85"/>
      <c r="M108" s="85"/>
      <c r="N108" s="85"/>
    </row>
    <row r="109" spans="11:20" x14ac:dyDescent="0.25">
      <c r="K109" s="85"/>
      <c r="L109" s="85"/>
      <c r="M109" s="85"/>
      <c r="N109" s="85"/>
    </row>
    <row r="110" spans="11:20" x14ac:dyDescent="0.25">
      <c r="K110" s="85"/>
      <c r="L110" s="85"/>
      <c r="M110" s="85"/>
      <c r="N110" s="85"/>
    </row>
    <row r="111" spans="11:20" x14ac:dyDescent="0.25">
      <c r="K111" s="85"/>
      <c r="L111" s="85"/>
      <c r="M111" s="85"/>
      <c r="N111" s="85"/>
    </row>
    <row r="112" spans="11:20" x14ac:dyDescent="0.25">
      <c r="K112" s="85"/>
      <c r="L112" s="85"/>
      <c r="M112" s="85"/>
      <c r="N112" s="85"/>
    </row>
    <row r="113" spans="11:14" x14ac:dyDescent="0.25">
      <c r="K113" s="85"/>
      <c r="L113" s="85"/>
      <c r="M113" s="85"/>
      <c r="N113" s="85"/>
    </row>
    <row r="114" spans="11:14" x14ac:dyDescent="0.25">
      <c r="K114" s="85"/>
      <c r="L114" s="85"/>
      <c r="M114" s="85"/>
      <c r="N114" s="85"/>
    </row>
    <row r="115" spans="11:14" x14ac:dyDescent="0.25">
      <c r="K115" s="85"/>
      <c r="L115" s="85"/>
      <c r="M115" s="85"/>
      <c r="N115" s="85"/>
    </row>
    <row r="116" spans="11:14" x14ac:dyDescent="0.25">
      <c r="K116" s="85"/>
      <c r="L116" s="85"/>
      <c r="M116" s="85"/>
      <c r="N116" s="85"/>
    </row>
    <row r="117" spans="11:14" x14ac:dyDescent="0.25">
      <c r="K117" s="85"/>
      <c r="L117" s="85"/>
      <c r="M117" s="85"/>
      <c r="N117" s="85"/>
    </row>
    <row r="118" spans="11:14" x14ac:dyDescent="0.25">
      <c r="K118" s="85"/>
      <c r="L118" s="85"/>
      <c r="M118" s="85"/>
      <c r="N118" s="85"/>
    </row>
    <row r="119" spans="11:14" x14ac:dyDescent="0.25">
      <c r="K119" s="85"/>
      <c r="L119" s="85"/>
      <c r="M119" s="85"/>
      <c r="N119" s="85"/>
    </row>
    <row r="120" spans="11:14" x14ac:dyDescent="0.25">
      <c r="K120" s="85"/>
      <c r="L120" s="85"/>
      <c r="M120" s="85"/>
      <c r="N120" s="85"/>
    </row>
    <row r="121" spans="11:14" x14ac:dyDescent="0.25">
      <c r="K121" s="85"/>
      <c r="L121" s="85"/>
      <c r="M121" s="85"/>
      <c r="N121" s="85"/>
    </row>
    <row r="122" spans="11:14" x14ac:dyDescent="0.25">
      <c r="K122" s="85"/>
      <c r="L122" s="85"/>
      <c r="M122" s="85"/>
      <c r="N122" s="85"/>
    </row>
    <row r="123" spans="11:14" x14ac:dyDescent="0.25">
      <c r="K123" s="85"/>
      <c r="L123" s="85"/>
      <c r="M123" s="85"/>
      <c r="N123" s="85"/>
    </row>
    <row r="124" spans="11:14" x14ac:dyDescent="0.25">
      <c r="K124" s="85"/>
      <c r="L124" s="85"/>
      <c r="M124" s="85"/>
      <c r="N124" s="85"/>
    </row>
    <row r="125" spans="11:14" x14ac:dyDescent="0.25">
      <c r="K125" s="85"/>
      <c r="L125" s="85"/>
      <c r="M125" s="85"/>
      <c r="N125" s="85"/>
    </row>
    <row r="126" spans="11:14" x14ac:dyDescent="0.25">
      <c r="K126" s="85"/>
      <c r="L126" s="85"/>
      <c r="M126" s="85"/>
      <c r="N126" s="85"/>
    </row>
    <row r="127" spans="11:14" x14ac:dyDescent="0.25">
      <c r="K127" s="85"/>
      <c r="L127" s="85"/>
      <c r="M127" s="85"/>
      <c r="N127" s="85"/>
    </row>
    <row r="128" spans="11:14" x14ac:dyDescent="0.25">
      <c r="K128" s="85"/>
      <c r="L128" s="85"/>
      <c r="M128" s="85"/>
      <c r="N128" s="85"/>
    </row>
    <row r="129" spans="11:14" x14ac:dyDescent="0.25">
      <c r="K129" s="85"/>
      <c r="L129" s="85"/>
      <c r="M129" s="85"/>
      <c r="N129" s="85"/>
    </row>
    <row r="130" spans="11:14" x14ac:dyDescent="0.25">
      <c r="K130" s="85"/>
      <c r="L130" s="85"/>
      <c r="M130" s="85"/>
      <c r="N130" s="85"/>
    </row>
    <row r="131" spans="11:14" x14ac:dyDescent="0.25">
      <c r="K131" s="85"/>
      <c r="L131" s="85"/>
      <c r="M131" s="85"/>
      <c r="N131" s="85"/>
    </row>
    <row r="132" spans="11:14" x14ac:dyDescent="0.25">
      <c r="K132" s="85"/>
      <c r="L132" s="85"/>
      <c r="M132" s="85"/>
      <c r="N132" s="85"/>
    </row>
    <row r="133" spans="11:14" x14ac:dyDescent="0.25">
      <c r="K133" s="85"/>
      <c r="L133" s="85"/>
      <c r="M133" s="85"/>
      <c r="N133" s="85"/>
    </row>
    <row r="134" spans="11:14" x14ac:dyDescent="0.25">
      <c r="K134" s="85"/>
      <c r="L134" s="85"/>
      <c r="M134" s="85"/>
      <c r="N134" s="85"/>
    </row>
    <row r="135" spans="11:14" x14ac:dyDescent="0.25">
      <c r="K135" s="85"/>
      <c r="L135" s="85"/>
      <c r="M135" s="85"/>
      <c r="N135" s="85"/>
    </row>
    <row r="136" spans="11:14" x14ac:dyDescent="0.25">
      <c r="K136" s="85"/>
      <c r="L136" s="85"/>
      <c r="M136" s="85"/>
      <c r="N136" s="85"/>
    </row>
    <row r="137" spans="11:14" x14ac:dyDescent="0.25">
      <c r="K137" s="85"/>
      <c r="L137" s="85"/>
      <c r="M137" s="85"/>
      <c r="N137" s="85"/>
    </row>
    <row r="138" spans="11:14" x14ac:dyDescent="0.25">
      <c r="K138" s="85"/>
      <c r="L138" s="85"/>
      <c r="M138" s="85"/>
      <c r="N138" s="85"/>
    </row>
    <row r="139" spans="11:14" x14ac:dyDescent="0.25">
      <c r="K139" s="85"/>
      <c r="L139" s="85"/>
      <c r="M139" s="85"/>
      <c r="N139" s="85"/>
    </row>
    <row r="140" spans="11:14" x14ac:dyDescent="0.25">
      <c r="K140" s="85"/>
      <c r="L140" s="85"/>
      <c r="M140" s="85"/>
      <c r="N140" s="85"/>
    </row>
    <row r="141" spans="11:14" x14ac:dyDescent="0.25">
      <c r="K141" s="85"/>
      <c r="L141" s="85"/>
      <c r="M141" s="85"/>
      <c r="N141" s="85"/>
    </row>
    <row r="142" spans="11:14" x14ac:dyDescent="0.25">
      <c r="K142" s="85"/>
      <c r="L142" s="85"/>
      <c r="M142" s="85"/>
      <c r="N142" s="85"/>
    </row>
    <row r="143" spans="11:14" x14ac:dyDescent="0.25">
      <c r="K143" s="85"/>
      <c r="L143" s="85"/>
      <c r="M143" s="85"/>
      <c r="N143" s="85"/>
    </row>
    <row r="144" spans="11:14" x14ac:dyDescent="0.25">
      <c r="K144" s="85"/>
      <c r="L144" s="85"/>
      <c r="M144" s="85"/>
      <c r="N144" s="85"/>
    </row>
    <row r="145" spans="11:14" x14ac:dyDescent="0.25">
      <c r="K145" s="85"/>
      <c r="L145" s="85"/>
      <c r="M145" s="85"/>
      <c r="N145" s="85"/>
    </row>
    <row r="146" spans="11:14" x14ac:dyDescent="0.25">
      <c r="K146" s="85"/>
      <c r="L146" s="85"/>
      <c r="M146" s="85"/>
      <c r="N146" s="85"/>
    </row>
    <row r="147" spans="11:14" x14ac:dyDescent="0.25">
      <c r="K147" s="85"/>
      <c r="L147" s="85"/>
      <c r="M147" s="85"/>
      <c r="N147" s="85"/>
    </row>
    <row r="148" spans="11:14" x14ac:dyDescent="0.25">
      <c r="K148" s="85"/>
      <c r="L148" s="85"/>
      <c r="M148" s="85"/>
      <c r="N148" s="85"/>
    </row>
    <row r="149" spans="11:14" x14ac:dyDescent="0.25">
      <c r="K149" s="85"/>
      <c r="L149" s="85"/>
      <c r="M149" s="85"/>
      <c r="N149" s="85"/>
    </row>
    <row r="150" spans="11:14" x14ac:dyDescent="0.25">
      <c r="K150" s="85"/>
      <c r="L150" s="85"/>
      <c r="M150" s="85"/>
      <c r="N150" s="85"/>
    </row>
    <row r="151" spans="11:14" x14ac:dyDescent="0.25">
      <c r="K151" s="85"/>
      <c r="L151" s="85"/>
      <c r="M151" s="85"/>
      <c r="N151" s="85"/>
    </row>
    <row r="152" spans="11:14" x14ac:dyDescent="0.25">
      <c r="K152" s="85"/>
      <c r="L152" s="85"/>
      <c r="M152" s="85"/>
      <c r="N152" s="85"/>
    </row>
    <row r="153" spans="11:14" x14ac:dyDescent="0.25">
      <c r="K153" s="85"/>
      <c r="L153" s="85"/>
      <c r="M153" s="85"/>
      <c r="N153" s="85"/>
    </row>
    <row r="154" spans="11:14" x14ac:dyDescent="0.25">
      <c r="K154" s="85"/>
      <c r="L154" s="85"/>
      <c r="M154" s="85"/>
      <c r="N154" s="85"/>
    </row>
    <row r="155" spans="11:14" x14ac:dyDescent="0.25">
      <c r="K155" s="85"/>
      <c r="L155" s="85"/>
      <c r="M155" s="85"/>
      <c r="N155" s="85"/>
    </row>
    <row r="156" spans="11:14" x14ac:dyDescent="0.25">
      <c r="K156" s="85"/>
      <c r="L156" s="85"/>
      <c r="M156" s="85"/>
      <c r="N156" s="85"/>
    </row>
    <row r="157" spans="11:14" x14ac:dyDescent="0.25">
      <c r="K157" s="85"/>
      <c r="L157" s="85"/>
      <c r="M157" s="85"/>
      <c r="N157" s="85"/>
    </row>
    <row r="158" spans="11:14" x14ac:dyDescent="0.25">
      <c r="K158" s="85"/>
      <c r="L158" s="85"/>
      <c r="M158" s="85"/>
      <c r="N158" s="85"/>
    </row>
    <row r="159" spans="11:14" x14ac:dyDescent="0.25">
      <c r="K159" s="85"/>
      <c r="L159" s="85"/>
      <c r="M159" s="85"/>
      <c r="N159" s="85"/>
    </row>
    <row r="160" spans="11:14" x14ac:dyDescent="0.25">
      <c r="K160" s="85"/>
      <c r="L160" s="85"/>
      <c r="M160" s="85"/>
      <c r="N160" s="85"/>
    </row>
    <row r="161" spans="11:14" x14ac:dyDescent="0.25">
      <c r="K161" s="85"/>
      <c r="L161" s="85"/>
      <c r="M161" s="85"/>
      <c r="N161" s="85"/>
    </row>
    <row r="162" spans="11:14" x14ac:dyDescent="0.25">
      <c r="K162" s="85"/>
      <c r="L162" s="85"/>
      <c r="M162" s="85"/>
      <c r="N162" s="85"/>
    </row>
    <row r="163" spans="11:14" x14ac:dyDescent="0.25">
      <c r="K163" s="85"/>
      <c r="L163" s="85"/>
      <c r="M163" s="85"/>
      <c r="N163" s="85"/>
    </row>
    <row r="164" spans="11:14" x14ac:dyDescent="0.25">
      <c r="K164" s="85"/>
      <c r="L164" s="85"/>
      <c r="M164" s="85"/>
      <c r="N164" s="85"/>
    </row>
    <row r="165" spans="11:14" x14ac:dyDescent="0.25">
      <c r="K165" s="85"/>
      <c r="L165" s="85"/>
      <c r="M165" s="85"/>
      <c r="N165" s="85"/>
    </row>
    <row r="166" spans="11:14" x14ac:dyDescent="0.25">
      <c r="K166" s="85"/>
      <c r="L166" s="85"/>
      <c r="M166" s="85"/>
      <c r="N166" s="85"/>
    </row>
    <row r="167" spans="11:14" x14ac:dyDescent="0.25">
      <c r="K167" s="85"/>
      <c r="L167" s="85"/>
      <c r="M167" s="85"/>
      <c r="N167" s="85"/>
    </row>
    <row r="168" spans="11:14" x14ac:dyDescent="0.25">
      <c r="K168" s="85"/>
      <c r="L168" s="85"/>
      <c r="M168" s="85"/>
      <c r="N168" s="85"/>
    </row>
    <row r="169" spans="11:14" x14ac:dyDescent="0.25">
      <c r="K169" s="85"/>
      <c r="L169" s="85"/>
      <c r="M169" s="85"/>
      <c r="N169" s="85"/>
    </row>
    <row r="170" spans="11:14" x14ac:dyDescent="0.25">
      <c r="K170" s="85"/>
      <c r="L170" s="85"/>
      <c r="M170" s="85"/>
      <c r="N170" s="85"/>
    </row>
    <row r="171" spans="11:14" x14ac:dyDescent="0.25">
      <c r="K171" s="85"/>
      <c r="L171" s="85"/>
      <c r="M171" s="85"/>
      <c r="N171" s="85"/>
    </row>
    <row r="172" spans="11:14" x14ac:dyDescent="0.25">
      <c r="K172" s="85"/>
      <c r="L172" s="85"/>
      <c r="M172" s="85"/>
      <c r="N172" s="85"/>
    </row>
    <row r="173" spans="11:14" x14ac:dyDescent="0.25">
      <c r="K173" s="85"/>
      <c r="L173" s="85"/>
      <c r="M173" s="85"/>
      <c r="N173" s="85"/>
    </row>
    <row r="174" spans="11:14" x14ac:dyDescent="0.25">
      <c r="K174" s="85"/>
      <c r="L174" s="85"/>
      <c r="M174" s="85"/>
      <c r="N174" s="85"/>
    </row>
    <row r="175" spans="11:14" x14ac:dyDescent="0.25">
      <c r="K175" s="85"/>
      <c r="L175" s="85"/>
      <c r="M175" s="85"/>
      <c r="N175" s="85"/>
    </row>
    <row r="176" spans="11:14" x14ac:dyDescent="0.25">
      <c r="K176" s="85"/>
      <c r="L176" s="85"/>
      <c r="M176" s="85"/>
      <c r="N176" s="85"/>
    </row>
    <row r="177" spans="11:14" x14ac:dyDescent="0.25">
      <c r="K177" s="85"/>
      <c r="L177" s="85"/>
      <c r="M177" s="85"/>
      <c r="N177" s="85"/>
    </row>
    <row r="178" spans="11:14" x14ac:dyDescent="0.25">
      <c r="K178" s="85"/>
      <c r="L178" s="85"/>
      <c r="M178" s="85"/>
      <c r="N178" s="85"/>
    </row>
    <row r="179" spans="11:14" x14ac:dyDescent="0.25">
      <c r="K179" s="85"/>
      <c r="L179" s="85"/>
      <c r="M179" s="85"/>
      <c r="N179" s="85"/>
    </row>
    <row r="180" spans="11:14" x14ac:dyDescent="0.25">
      <c r="K180" s="85"/>
      <c r="L180" s="85"/>
      <c r="M180" s="85"/>
      <c r="N180" s="85"/>
    </row>
    <row r="181" spans="11:14" x14ac:dyDescent="0.25">
      <c r="K181" s="85"/>
      <c r="L181" s="85"/>
      <c r="M181" s="85"/>
      <c r="N181" s="85"/>
    </row>
    <row r="182" spans="11:14" x14ac:dyDescent="0.25">
      <c r="K182" s="85"/>
      <c r="L182" s="85"/>
      <c r="M182" s="85"/>
      <c r="N182" s="85"/>
    </row>
    <row r="183" spans="11:14" x14ac:dyDescent="0.25">
      <c r="K183" s="85"/>
      <c r="L183" s="85"/>
      <c r="M183" s="85"/>
      <c r="N183" s="85"/>
    </row>
    <row r="184" spans="11:14" x14ac:dyDescent="0.25">
      <c r="K184" s="85"/>
      <c r="L184" s="85"/>
      <c r="M184" s="85"/>
      <c r="N184" s="85"/>
    </row>
    <row r="185" spans="11:14" x14ac:dyDescent="0.25">
      <c r="K185" s="85"/>
      <c r="L185" s="85"/>
      <c r="M185" s="85"/>
      <c r="N185" s="85"/>
    </row>
    <row r="186" spans="11:14" x14ac:dyDescent="0.25">
      <c r="K186" s="85"/>
      <c r="L186" s="85"/>
      <c r="M186" s="85"/>
      <c r="N186" s="85"/>
    </row>
    <row r="187" spans="11:14" x14ac:dyDescent="0.25">
      <c r="K187" s="85"/>
      <c r="L187" s="85"/>
      <c r="M187" s="85"/>
      <c r="N187" s="85"/>
    </row>
    <row r="188" spans="11:14" x14ac:dyDescent="0.25">
      <c r="K188" s="85"/>
      <c r="L188" s="85"/>
      <c r="M188" s="85"/>
      <c r="N188" s="85"/>
    </row>
    <row r="189" spans="11:14" x14ac:dyDescent="0.25">
      <c r="K189" s="85"/>
      <c r="L189" s="85"/>
      <c r="M189" s="85"/>
      <c r="N189" s="85"/>
    </row>
    <row r="190" spans="11:14" x14ac:dyDescent="0.25">
      <c r="K190" s="85"/>
      <c r="L190" s="85"/>
      <c r="M190" s="85"/>
      <c r="N190" s="85"/>
    </row>
    <row r="191" spans="11:14" x14ac:dyDescent="0.25">
      <c r="K191" s="85"/>
      <c r="L191" s="85"/>
      <c r="M191" s="85"/>
      <c r="N191" s="85"/>
    </row>
    <row r="192" spans="11:14" x14ac:dyDescent="0.25">
      <c r="K192" s="85"/>
      <c r="L192" s="85"/>
      <c r="M192" s="85"/>
      <c r="N192" s="85"/>
    </row>
    <row r="193" spans="11:14" x14ac:dyDescent="0.25">
      <c r="K193" s="85"/>
      <c r="L193" s="85"/>
      <c r="M193" s="85"/>
      <c r="N193" s="85"/>
    </row>
    <row r="194" spans="11:14" x14ac:dyDescent="0.25">
      <c r="K194" s="85"/>
      <c r="L194" s="85"/>
      <c r="M194" s="85"/>
      <c r="N194" s="85"/>
    </row>
    <row r="195" spans="11:14" x14ac:dyDescent="0.25">
      <c r="K195" s="85"/>
      <c r="L195" s="85"/>
      <c r="M195" s="85"/>
      <c r="N195" s="85"/>
    </row>
    <row r="196" spans="11:14" x14ac:dyDescent="0.25">
      <c r="K196" s="85"/>
      <c r="L196" s="85"/>
      <c r="M196" s="85"/>
      <c r="N196" s="85"/>
    </row>
    <row r="197" spans="11:14" x14ac:dyDescent="0.25">
      <c r="K197" s="85"/>
      <c r="L197" s="85"/>
      <c r="M197" s="85"/>
      <c r="N197" s="85"/>
    </row>
    <row r="198" spans="11:14" x14ac:dyDescent="0.25">
      <c r="K198" s="85"/>
      <c r="L198" s="85"/>
      <c r="M198" s="85"/>
      <c r="N198" s="85"/>
    </row>
    <row r="199" spans="11:14" x14ac:dyDescent="0.25">
      <c r="K199" s="85"/>
      <c r="L199" s="85"/>
      <c r="M199" s="85"/>
      <c r="N199" s="85"/>
    </row>
    <row r="200" spans="11:14" x14ac:dyDescent="0.25">
      <c r="K200" s="85"/>
      <c r="L200" s="85"/>
      <c r="M200" s="85"/>
      <c r="N200" s="85"/>
    </row>
    <row r="201" spans="11:14" x14ac:dyDescent="0.25">
      <c r="K201" s="85"/>
      <c r="L201" s="85"/>
      <c r="M201" s="85"/>
      <c r="N201" s="85"/>
    </row>
    <row r="202" spans="11:14" x14ac:dyDescent="0.25">
      <c r="K202" s="85"/>
      <c r="L202" s="85"/>
      <c r="M202" s="85"/>
      <c r="N202" s="85"/>
    </row>
    <row r="203" spans="11:14" x14ac:dyDescent="0.25">
      <c r="K203" s="85"/>
      <c r="L203" s="85"/>
      <c r="M203" s="85"/>
      <c r="N203" s="85"/>
    </row>
    <row r="204" spans="11:14" x14ac:dyDescent="0.25">
      <c r="K204" s="85"/>
      <c r="L204" s="85"/>
      <c r="M204" s="85"/>
      <c r="N204" s="85"/>
    </row>
    <row r="205" spans="11:14" x14ac:dyDescent="0.25">
      <c r="K205" s="85"/>
      <c r="L205" s="85"/>
      <c r="M205" s="85"/>
      <c r="N205" s="85"/>
    </row>
    <row r="206" spans="11:14" x14ac:dyDescent="0.25">
      <c r="K206" s="85"/>
      <c r="L206" s="85"/>
      <c r="M206" s="85"/>
      <c r="N206" s="85"/>
    </row>
    <row r="207" spans="11:14" x14ac:dyDescent="0.25">
      <c r="K207" s="85"/>
      <c r="L207" s="85"/>
      <c r="M207" s="85"/>
      <c r="N207" s="85"/>
    </row>
    <row r="208" spans="11:14" x14ac:dyDescent="0.25">
      <c r="K208" s="85"/>
      <c r="L208" s="85"/>
      <c r="M208" s="85"/>
      <c r="N208" s="85"/>
    </row>
    <row r="209" spans="11:14" x14ac:dyDescent="0.25">
      <c r="K209" s="85"/>
      <c r="L209" s="85"/>
      <c r="M209" s="85"/>
      <c r="N209" s="85"/>
    </row>
    <row r="210" spans="11:14" x14ac:dyDescent="0.25">
      <c r="K210" s="85"/>
      <c r="L210" s="85"/>
      <c r="M210" s="85"/>
      <c r="N210" s="85"/>
    </row>
    <row r="211" spans="11:14" x14ac:dyDescent="0.25">
      <c r="K211" s="85"/>
      <c r="L211" s="85"/>
      <c r="M211" s="85"/>
      <c r="N211" s="85"/>
    </row>
    <row r="212" spans="11:14" x14ac:dyDescent="0.25">
      <c r="K212" s="85"/>
      <c r="L212" s="85"/>
      <c r="M212" s="85"/>
      <c r="N212" s="85"/>
    </row>
    <row r="213" spans="11:14" x14ac:dyDescent="0.25">
      <c r="K213" s="85"/>
      <c r="L213" s="85"/>
      <c r="M213" s="85"/>
      <c r="N213" s="85"/>
    </row>
    <row r="214" spans="11:14" x14ac:dyDescent="0.25">
      <c r="K214" s="85"/>
      <c r="L214" s="85"/>
      <c r="M214" s="85"/>
      <c r="N214" s="85"/>
    </row>
    <row r="215" spans="11:14" x14ac:dyDescent="0.25">
      <c r="K215" s="85"/>
      <c r="L215" s="85"/>
      <c r="M215" s="85"/>
      <c r="N215" s="85"/>
    </row>
    <row r="216" spans="11:14" x14ac:dyDescent="0.25">
      <c r="K216" s="85"/>
      <c r="L216" s="85"/>
      <c r="M216" s="85"/>
      <c r="N216" s="85"/>
    </row>
    <row r="217" spans="11:14" x14ac:dyDescent="0.25">
      <c r="K217" s="85"/>
      <c r="L217" s="85"/>
      <c r="M217" s="85"/>
      <c r="N217" s="85"/>
    </row>
    <row r="218" spans="11:14" x14ac:dyDescent="0.25">
      <c r="K218" s="85"/>
      <c r="L218" s="85"/>
      <c r="M218" s="85"/>
      <c r="N218" s="85"/>
    </row>
    <row r="219" spans="11:14" x14ac:dyDescent="0.25">
      <c r="K219" s="85"/>
      <c r="L219" s="85"/>
      <c r="M219" s="85"/>
      <c r="N219" s="85"/>
    </row>
    <row r="220" spans="11:14" x14ac:dyDescent="0.25">
      <c r="K220" s="85"/>
      <c r="L220" s="85"/>
      <c r="M220" s="85"/>
      <c r="N220" s="85"/>
    </row>
    <row r="221" spans="11:14" x14ac:dyDescent="0.25">
      <c r="K221" s="85"/>
      <c r="L221" s="85"/>
      <c r="M221" s="85"/>
      <c r="N221" s="85"/>
    </row>
    <row r="222" spans="11:14" x14ac:dyDescent="0.25">
      <c r="K222" s="85"/>
      <c r="L222" s="85"/>
      <c r="M222" s="85"/>
      <c r="N222" s="85"/>
    </row>
  </sheetData>
  <mergeCells count="1">
    <mergeCell ref="B2:J2"/>
  </mergeCells>
  <pageMargins left="0.7" right="0.7" top="0.75" bottom="0.75" header="0.3" footer="0.3"/>
  <pageSetup paperSize="11" scale="67"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9"/>
  <sheetViews>
    <sheetView workbookViewId="0">
      <pane ySplit="2" topLeftCell="A3" activePane="bottomLeft" state="frozen"/>
      <selection pane="bottomLeft" activeCell="F25" sqref="F25"/>
    </sheetView>
  </sheetViews>
  <sheetFormatPr baseColWidth="10" defaultColWidth="9.140625" defaultRowHeight="15" x14ac:dyDescent="0.25"/>
  <cols>
    <col min="1" max="1" width="8.85546875" style="16"/>
    <col min="2" max="2" width="9" style="16" bestFit="1" customWidth="1"/>
    <col min="3" max="3" width="14.140625" style="16" bestFit="1" customWidth="1"/>
    <col min="4" max="10" width="8.85546875" style="16"/>
    <col min="12" max="12" width="13.28515625" customWidth="1"/>
    <col min="13" max="13" width="14.140625" bestFit="1" customWidth="1"/>
    <col min="14" max="15" width="11.7109375" customWidth="1"/>
    <col min="16" max="16" width="13" customWidth="1"/>
  </cols>
  <sheetData>
    <row r="1" spans="1:16" x14ac:dyDescent="0.25">
      <c r="A1" s="47"/>
      <c r="B1" s="46"/>
      <c r="F1" s="17"/>
      <c r="G1" s="17"/>
      <c r="H1" s="17"/>
      <c r="I1" s="17"/>
      <c r="J1" s="17"/>
      <c r="L1" s="43"/>
      <c r="M1" s="45">
        <v>43595</v>
      </c>
      <c r="N1" s="44">
        <v>43617</v>
      </c>
      <c r="O1" s="43"/>
      <c r="P1" s="43"/>
    </row>
    <row r="2" spans="1:16" ht="38.25" x14ac:dyDescent="0.25">
      <c r="A2" s="42" t="s">
        <v>0</v>
      </c>
      <c r="B2" s="41" t="s">
        <v>1</v>
      </c>
      <c r="C2" s="40" t="s">
        <v>2</v>
      </c>
      <c r="D2" s="40" t="s">
        <v>88</v>
      </c>
      <c r="E2" s="40" t="s">
        <v>3</v>
      </c>
      <c r="F2" s="40" t="s">
        <v>87</v>
      </c>
      <c r="G2" s="40" t="s">
        <v>86</v>
      </c>
      <c r="H2" s="39" t="s">
        <v>4</v>
      </c>
      <c r="I2" s="39" t="s">
        <v>5</v>
      </c>
      <c r="J2" s="38"/>
      <c r="L2" s="37" t="s">
        <v>6</v>
      </c>
      <c r="M2" s="36" t="s">
        <v>7</v>
      </c>
      <c r="N2" s="35" t="s">
        <v>41</v>
      </c>
      <c r="O2" s="35" t="s">
        <v>42</v>
      </c>
      <c r="P2" s="34" t="s">
        <v>8</v>
      </c>
    </row>
    <row r="3" spans="1:16" x14ac:dyDescent="0.25">
      <c r="A3" s="24" t="str">
        <f>IFERROR(INDEX(#REF!,MATCH(Balance_Fusing!C3,#REF!,0)),"")</f>
        <v/>
      </c>
      <c r="B3" s="23" t="str">
        <f>IFERROR(VLOOKUP(INDEX(#REF!,MATCH(Balance_Fusing!C3,#REF!,0)),Trim_sheet,4,0),"")</f>
        <v/>
      </c>
      <c r="C3" s="21" t="s">
        <v>89</v>
      </c>
      <c r="D3" s="21"/>
      <c r="E3" s="22" t="e">
        <f>SUMIFS(#REF!,#REF!,C3)</f>
        <v>#REF!</v>
      </c>
      <c r="F3" s="22" t="str">
        <f t="shared" ref="F3:F9" si="0">IFERROR(ROUNDUP(IF((E3/100-INT(E3/100))&lt;0.2,INT(E3/100),CEILING(E3/100,0.5)),0)*100,"")</f>
        <v/>
      </c>
      <c r="G3" s="22"/>
      <c r="H3" s="20" t="e">
        <f>SUMIFS(#REF!,#REF!,Table44[[#This Row],[Full orders name]])</f>
        <v>#REF!</v>
      </c>
      <c r="I3" s="20" t="e">
        <f t="shared" ref="I3:I9" si="1">+E3-H3</f>
        <v>#REF!</v>
      </c>
      <c r="J3" s="17"/>
      <c r="L3" s="33" t="s">
        <v>74</v>
      </c>
      <c r="M3" s="32"/>
      <c r="N3" s="31">
        <f t="shared" ref="N3:N8" si="2">SUMIFS($F$3:$F$100000,$B$3:$B$100000,$L3,$A$3:$A$100000,"&gt;="&amp;$M$1,$A$3:$A$100000,"&lt;="&amp;$N$1)</f>
        <v>0</v>
      </c>
      <c r="O3" s="31">
        <f t="shared" ref="O3:O8" si="3">SUMIFS($H$3:$H$100000,$B$3:$B$100000,$L3,$A$3:$A$100000,"&gt;="&amp;$M$1,$A$3:$A$100000,"&lt;="&amp;$N$1)</f>
        <v>0</v>
      </c>
      <c r="P3" s="30">
        <f>Table3[[#This Row],[Tồn Đầu Kỳ]]+Table3[[#This Row],[Tổng Nhập]]-Table3[[#This Row],[Tổng Xuất ]]</f>
        <v>0</v>
      </c>
    </row>
    <row r="4" spans="1:16" x14ac:dyDescent="0.25">
      <c r="A4" s="29" t="str">
        <f>IFERROR(INDEX(#REF!,MATCH(Balance_Fusing!C4,#REF!,0)),"")</f>
        <v/>
      </c>
      <c r="B4" s="28" t="str">
        <f>IFERROR(VLOOKUP(INDEX(#REF!,MATCH(Balance_Fusing!C4,#REF!,0)),Trim_sheet,4,0),"")</f>
        <v/>
      </c>
      <c r="C4" s="26" t="s">
        <v>76</v>
      </c>
      <c r="D4" s="26"/>
      <c r="E4" s="27" t="e">
        <f>SUMIFS(#REF!,#REF!,C4)</f>
        <v>#REF!</v>
      </c>
      <c r="F4" s="27" t="str">
        <f t="shared" si="0"/>
        <v/>
      </c>
      <c r="G4" s="26"/>
      <c r="H4" s="25" t="e">
        <f>SUMIFS(#REF!,#REF!,Table44[[#This Row],[Full orders name]])</f>
        <v>#REF!</v>
      </c>
      <c r="I4" s="25" t="e">
        <f t="shared" si="1"/>
        <v>#REF!</v>
      </c>
      <c r="J4" s="17"/>
      <c r="L4" s="33" t="s">
        <v>9</v>
      </c>
      <c r="M4" s="32"/>
      <c r="N4" s="31">
        <f t="shared" si="2"/>
        <v>0</v>
      </c>
      <c r="O4" s="31">
        <f t="shared" si="3"/>
        <v>0</v>
      </c>
      <c r="P4" s="30">
        <f>Table3[[#This Row],[Tồn Đầu Kỳ]]+Table3[[#This Row],[Tổng Nhập]]-Table3[[#This Row],[Tổng Xuất ]]</f>
        <v>0</v>
      </c>
    </row>
    <row r="5" spans="1:16" x14ac:dyDescent="0.25">
      <c r="A5" s="24" t="str">
        <f>IFERROR(INDEX(#REF!,MATCH(Balance_Fusing!C5,#REF!,0)),"")</f>
        <v/>
      </c>
      <c r="B5" s="23" t="str">
        <f>IFERROR(VLOOKUP(INDEX(#REF!,MATCH(Balance_Fusing!C5,#REF!,0)),Trim_sheet,4,0),"")</f>
        <v/>
      </c>
      <c r="C5" s="21" t="s">
        <v>77</v>
      </c>
      <c r="D5" s="21"/>
      <c r="E5" s="22" t="e">
        <f>SUMIFS(#REF!,#REF!,C5)</f>
        <v>#REF!</v>
      </c>
      <c r="F5" s="22" t="str">
        <f t="shared" si="0"/>
        <v/>
      </c>
      <c r="G5" s="21"/>
      <c r="H5" s="20" t="e">
        <f>SUMIFS(#REF!,#REF!,Table44[[#This Row],[Full orders name]])</f>
        <v>#REF!</v>
      </c>
      <c r="I5" s="20" t="e">
        <f t="shared" si="1"/>
        <v>#REF!</v>
      </c>
      <c r="J5" s="17"/>
      <c r="L5" s="33" t="s">
        <v>75</v>
      </c>
      <c r="M5" s="32"/>
      <c r="N5" s="31">
        <f t="shared" si="2"/>
        <v>0</v>
      </c>
      <c r="O5" s="31">
        <f t="shared" si="3"/>
        <v>0</v>
      </c>
      <c r="P5" s="30">
        <f>Table3[[#This Row],[Tồn Đầu Kỳ]]+Table3[[#This Row],[Tổng Nhập]]-Table3[[#This Row],[Tổng Xuất ]]</f>
        <v>0</v>
      </c>
    </row>
    <row r="6" spans="1:16" x14ac:dyDescent="0.25">
      <c r="A6" s="29" t="str">
        <f>IFERROR(INDEX(#REF!,MATCH(Balance_Fusing!C6,#REF!,0)),"")</f>
        <v/>
      </c>
      <c r="B6" s="28" t="str">
        <f>IFERROR(VLOOKUP(INDEX(#REF!,MATCH(Balance_Fusing!C6,#REF!,0)),Trim_sheet,4,0),"")</f>
        <v/>
      </c>
      <c r="C6" s="26" t="s">
        <v>78</v>
      </c>
      <c r="D6" s="26"/>
      <c r="E6" s="27" t="e">
        <f>SUMIFS(#REF!,#REF!,C6)</f>
        <v>#REF!</v>
      </c>
      <c r="F6" s="27" t="str">
        <f t="shared" si="0"/>
        <v/>
      </c>
      <c r="G6" s="26"/>
      <c r="H6" s="25" t="e">
        <f>SUMIFS(#REF!,#REF!,Table44[[#This Row],[Full orders name]])</f>
        <v>#REF!</v>
      </c>
      <c r="I6" s="25" t="e">
        <f t="shared" si="1"/>
        <v>#REF!</v>
      </c>
      <c r="J6" s="17"/>
      <c r="L6" s="33" t="s">
        <v>82</v>
      </c>
      <c r="M6" s="32"/>
      <c r="N6" s="31">
        <f t="shared" si="2"/>
        <v>0</v>
      </c>
      <c r="O6" s="31">
        <f t="shared" si="3"/>
        <v>0</v>
      </c>
      <c r="P6" s="30">
        <f>Table3[[#This Row],[Tồn Đầu Kỳ]]+Table3[[#This Row],[Tổng Nhập]]-Table3[[#This Row],[Tổng Xuất ]]</f>
        <v>0</v>
      </c>
    </row>
    <row r="7" spans="1:16" x14ac:dyDescent="0.25">
      <c r="A7" s="24" t="str">
        <f>IFERROR(INDEX(#REF!,MATCH(Balance_Fusing!C7,#REF!,0)),"")</f>
        <v/>
      </c>
      <c r="B7" s="23" t="str">
        <f>IFERROR(VLOOKUP(INDEX(#REF!,MATCH(Balance_Fusing!C7,#REF!,0)),Trim_sheet,4,0),"")</f>
        <v/>
      </c>
      <c r="C7" s="21" t="s">
        <v>79</v>
      </c>
      <c r="D7" s="21"/>
      <c r="E7" s="22" t="e">
        <f>SUMIFS(#REF!,#REF!,C7)</f>
        <v>#REF!</v>
      </c>
      <c r="F7" s="22" t="str">
        <f t="shared" si="0"/>
        <v/>
      </c>
      <c r="G7" s="21"/>
      <c r="H7" s="20" t="e">
        <f>SUMIFS(#REF!,#REF!,Table44[[#This Row],[Full orders name]])</f>
        <v>#REF!</v>
      </c>
      <c r="I7" s="20" t="e">
        <f t="shared" si="1"/>
        <v>#REF!</v>
      </c>
      <c r="J7" s="17"/>
      <c r="L7" s="33" t="s">
        <v>83</v>
      </c>
      <c r="M7" s="32"/>
      <c r="N7" s="31">
        <f t="shared" si="2"/>
        <v>0</v>
      </c>
      <c r="O7" s="31">
        <f t="shared" si="3"/>
        <v>0</v>
      </c>
      <c r="P7" s="30">
        <f>Table3[[#This Row],[Tồn Đầu Kỳ]]+Table3[[#This Row],[Tổng Nhập]]-Table3[[#This Row],[Tổng Xuất ]]</f>
        <v>0</v>
      </c>
    </row>
    <row r="8" spans="1:16" x14ac:dyDescent="0.25">
      <c r="A8" s="29" t="str">
        <f>IFERROR(INDEX(#REF!,MATCH(Balance_Fusing!C8,#REF!,0)),"")</f>
        <v/>
      </c>
      <c r="B8" s="28" t="str">
        <f>IFERROR(VLOOKUP(INDEX(#REF!,MATCH(Balance_Fusing!C8,#REF!,0)),Trim_sheet,4,0),"")</f>
        <v/>
      </c>
      <c r="C8" s="26" t="s">
        <v>80</v>
      </c>
      <c r="D8" s="26"/>
      <c r="E8" s="27" t="e">
        <f>SUMIFS(#REF!,#REF!,C8)</f>
        <v>#REF!</v>
      </c>
      <c r="F8" s="27" t="str">
        <f t="shared" si="0"/>
        <v/>
      </c>
      <c r="G8" s="26"/>
      <c r="H8" s="25" t="e">
        <f>SUMIFS(#REF!,#REF!,Table44[[#This Row],[Full orders name]])</f>
        <v>#REF!</v>
      </c>
      <c r="I8" s="25" t="e">
        <f t="shared" si="1"/>
        <v>#REF!</v>
      </c>
      <c r="J8" s="17"/>
      <c r="L8" s="33" t="s">
        <v>84</v>
      </c>
      <c r="M8" s="32"/>
      <c r="N8" s="31">
        <f t="shared" si="2"/>
        <v>0</v>
      </c>
      <c r="O8" s="31">
        <f t="shared" si="3"/>
        <v>0</v>
      </c>
      <c r="P8" s="30">
        <f>Table3[[#This Row],[Tồn Đầu Kỳ]]+Table3[[#This Row],[Tổng Nhập]]-Table3[[#This Row],[Tổng Xuất ]]</f>
        <v>0</v>
      </c>
    </row>
    <row r="9" spans="1:16" x14ac:dyDescent="0.25">
      <c r="A9" s="24" t="str">
        <f>IFERROR(INDEX(#REF!,MATCH(Balance_Fusing!C9,#REF!,0)),"")</f>
        <v/>
      </c>
      <c r="B9" s="23" t="str">
        <f>IFERROR(VLOOKUP(INDEX(#REF!,MATCH(Balance_Fusing!C9,#REF!,0)),Trim_sheet,4,0),"")</f>
        <v/>
      </c>
      <c r="C9" s="21" t="s">
        <v>81</v>
      </c>
      <c r="D9" s="21"/>
      <c r="E9" s="22" t="e">
        <f>SUMIFS(#REF!,#REF!,C9)</f>
        <v>#REF!</v>
      </c>
      <c r="F9" s="22" t="str">
        <f t="shared" si="0"/>
        <v/>
      </c>
      <c r="G9" s="21"/>
      <c r="H9" s="20" t="e">
        <f>SUMIFS(#REF!,#REF!,Table44[[#This Row],[Full orders name]])</f>
        <v>#REF!</v>
      </c>
      <c r="I9" s="20" t="e">
        <f t="shared" si="1"/>
        <v>#REF!</v>
      </c>
      <c r="J9" s="17"/>
    </row>
    <row r="10" spans="1:16" x14ac:dyDescent="0.25">
      <c r="A10" s="19"/>
      <c r="B10" s="18"/>
      <c r="F10" s="17"/>
      <c r="G10" s="17"/>
      <c r="H10" s="17"/>
      <c r="I10" s="17"/>
      <c r="J10" s="17"/>
    </row>
    <row r="11" spans="1:16" x14ac:dyDescent="0.25">
      <c r="A11" s="19"/>
      <c r="B11" s="18"/>
      <c r="F11" s="17"/>
      <c r="G11" s="17"/>
      <c r="H11" s="17"/>
      <c r="I11" s="17"/>
      <c r="J11" s="17"/>
    </row>
    <row r="12" spans="1:16" x14ac:dyDescent="0.25">
      <c r="A12" s="19"/>
      <c r="B12" s="18"/>
      <c r="F12" s="17"/>
      <c r="G12" s="17"/>
      <c r="H12" s="17"/>
      <c r="I12" s="17"/>
      <c r="J12" s="17"/>
    </row>
    <row r="13" spans="1:16" x14ac:dyDescent="0.25">
      <c r="A13" s="19"/>
      <c r="B13" s="18"/>
      <c r="F13" s="17"/>
      <c r="G13" s="17"/>
      <c r="H13" s="17"/>
      <c r="I13" s="17"/>
      <c r="J13" s="17"/>
    </row>
    <row r="14" spans="1:16" x14ac:dyDescent="0.25">
      <c r="A14" s="19"/>
      <c r="B14" s="18"/>
      <c r="F14" s="17"/>
      <c r="G14" s="17"/>
      <c r="H14" s="17"/>
      <c r="I14" s="17"/>
      <c r="J14" s="17"/>
    </row>
    <row r="15" spans="1:16" x14ac:dyDescent="0.25">
      <c r="A15" s="19"/>
      <c r="B15" s="18"/>
      <c r="F15" s="17"/>
      <c r="G15" s="17"/>
      <c r="H15" s="17"/>
      <c r="I15" s="17"/>
      <c r="J15" s="17"/>
    </row>
    <row r="16" spans="1:16" x14ac:dyDescent="0.25">
      <c r="A16" s="19"/>
      <c r="B16" s="18"/>
      <c r="F16" s="17"/>
      <c r="G16" s="17"/>
      <c r="H16" s="17"/>
      <c r="I16" s="17"/>
      <c r="J16" s="17"/>
    </row>
    <row r="17" spans="1:10" x14ac:dyDescent="0.25">
      <c r="A17" s="19"/>
      <c r="B17" s="18"/>
      <c r="F17" s="17"/>
      <c r="G17" s="17"/>
      <c r="H17" s="17"/>
      <c r="I17" s="17"/>
      <c r="J17" s="17"/>
    </row>
    <row r="18" spans="1:10" x14ac:dyDescent="0.25">
      <c r="J18" s="17"/>
    </row>
    <row r="19" spans="1:10" x14ac:dyDescent="0.25">
      <c r="J19" s="17"/>
    </row>
  </sheetData>
  <pageMargins left="0.7" right="0.7" top="0.75" bottom="0.75" header="0.3" footer="0.3"/>
  <pageSetup paperSize="9" orientation="portrait" verticalDpi="0" r:id="rId1"/>
  <legacy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C3"/>
  <sheetViews>
    <sheetView workbookViewId="0">
      <selection sqref="A1:XFD1048576"/>
    </sheetView>
  </sheetViews>
  <sheetFormatPr baseColWidth="10" defaultColWidth="8.85546875" defaultRowHeight="15" x14ac:dyDescent="0.25"/>
  <cols>
    <col min="1" max="2" width="8.85546875" style="3"/>
    <col min="3" max="3" width="14.5703125" style="3" bestFit="1" customWidth="1"/>
    <col min="4" max="18" width="0" style="3" hidden="1" customWidth="1"/>
    <col min="19" max="26" width="8.85546875" style="3"/>
    <col min="27" max="27" width="14.28515625" style="3" bestFit="1" customWidth="1"/>
    <col min="28" max="28" width="16" style="3" bestFit="1" customWidth="1"/>
    <col min="29" max="29" width="11.5703125" style="3" customWidth="1"/>
    <col min="30" max="16384" width="8.85546875" style="3"/>
  </cols>
  <sheetData>
    <row r="1" spans="1:29"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W1" s="3">
        <v>21</v>
      </c>
      <c r="Z1" s="3">
        <v>22</v>
      </c>
      <c r="AA1" s="3">
        <v>23</v>
      </c>
    </row>
    <row r="2" spans="1:29" ht="38.25" x14ac:dyDescent="0.25">
      <c r="A2" s="1" t="s">
        <v>11</v>
      </c>
      <c r="B2" s="1" t="s">
        <v>12</v>
      </c>
      <c r="C2" s="1" t="s">
        <v>13</v>
      </c>
      <c r="D2" s="1" t="s">
        <v>14</v>
      </c>
      <c r="E2" s="1" t="s">
        <v>15</v>
      </c>
      <c r="F2" s="1" t="s">
        <v>16</v>
      </c>
      <c r="G2" s="1" t="s">
        <v>17</v>
      </c>
      <c r="H2" s="1" t="s">
        <v>18</v>
      </c>
      <c r="I2" s="1" t="s">
        <v>19</v>
      </c>
      <c r="J2" s="1" t="s">
        <v>20</v>
      </c>
      <c r="K2" s="1" t="s">
        <v>21</v>
      </c>
      <c r="L2" s="1" t="s">
        <v>22</v>
      </c>
      <c r="M2" s="1" t="s">
        <v>23</v>
      </c>
      <c r="N2" s="1" t="s">
        <v>24</v>
      </c>
      <c r="O2" s="1" t="s">
        <v>25</v>
      </c>
      <c r="P2" s="1" t="s">
        <v>26</v>
      </c>
      <c r="Q2" s="1" t="s">
        <v>25</v>
      </c>
      <c r="R2" s="1" t="s">
        <v>26</v>
      </c>
      <c r="S2" s="1" t="s">
        <v>27</v>
      </c>
      <c r="T2" s="1" t="s">
        <v>28</v>
      </c>
      <c r="U2" s="1" t="s">
        <v>29</v>
      </c>
      <c r="V2" s="1" t="s">
        <v>30</v>
      </c>
      <c r="W2" s="1" t="s">
        <v>31</v>
      </c>
      <c r="X2" s="1" t="s">
        <v>32</v>
      </c>
      <c r="Y2" s="1" t="s">
        <v>33</v>
      </c>
      <c r="Z2" s="1" t="s">
        <v>34</v>
      </c>
      <c r="AA2" s="1" t="s">
        <v>35</v>
      </c>
      <c r="AB2" s="1" t="s">
        <v>37</v>
      </c>
      <c r="AC2" s="1" t="s">
        <v>38</v>
      </c>
    </row>
    <row r="3" spans="1:29" x14ac:dyDescent="0.25">
      <c r="A3" s="3">
        <v>624136</v>
      </c>
      <c r="B3" s="3" t="str">
        <f>IFERROR(INDEX([3]Input!$B:$B,MATCH($A3,[3]Input!$A:$A,0)),"")</f>
        <v>1-95648-07</v>
      </c>
      <c r="C3" s="3" t="str">
        <f>IFERROR(INDEX([3]Input!$C:$C,MATCH($A3,[3]Input!$A:$A,0)),"")</f>
        <v>MH57SP19051D</v>
      </c>
      <c r="D3" s="3">
        <f>IFERROR(INDEX([3]Input!$D:$D,MATCH($A3,[3]Input!$A:$A,0)),"")</f>
        <v>0</v>
      </c>
      <c r="E3" s="3">
        <f>IFERROR(INDEX([3]Input!$E:$E,MATCH($A3,[3]Input!$A:$A,0)),"")</f>
        <v>0</v>
      </c>
      <c r="F3" s="3">
        <f>IFERROR(INDEX([3]Input!$F:$F,MATCH($A3,[3]Input!$A:$A,0)),"")</f>
        <v>0</v>
      </c>
      <c r="G3" s="3">
        <f>IFERROR(INDEX([3]Input!$G:$G,MATCH($A3,[3]Input!$A:$A,0)),"")</f>
        <v>0</v>
      </c>
      <c r="H3" s="3">
        <f>IFERROR(INDEX([3]Input!$H:$H,MATCH($A3,[3]Input!$A:$A,0)),"")</f>
        <v>0</v>
      </c>
      <c r="I3" s="3">
        <f>IFERROR(INDEX([3]Input!$I:$I,MATCH($A3,[3]Input!$A:$A,0)),"")</f>
        <v>65</v>
      </c>
      <c r="J3" s="3">
        <f>IFERROR(INDEX([3]Input!$J:$J,MATCH($A3,[3]Input!$A:$A,0)),"")</f>
        <v>65</v>
      </c>
      <c r="K3" s="3">
        <f>IFERROR(INDEX([3]Input!$K:$K,MATCH($A3,[3]Input!$A:$A,0)),"")</f>
        <v>33</v>
      </c>
      <c r="L3" s="3">
        <f>IFERROR(INDEX([3]Input!$L:$L,MATCH($A3,[3]Input!$A:$A,0)),"")</f>
        <v>0</v>
      </c>
      <c r="M3" s="3">
        <f>IFERROR(INDEX([3]Input!$M:$M,MATCH($A3,[3]Input!$A:$A,0)),"")</f>
        <v>0</v>
      </c>
      <c r="N3" s="3">
        <f>IFERROR(INDEX([3]Input!$N:$N,MATCH($A3,[3]Input!$A:$A,0)),"")</f>
        <v>0</v>
      </c>
      <c r="S3" s="3">
        <f t="shared" ref="S3" si="0">IFERROR(SUM(D3:N3),"")</f>
        <v>163</v>
      </c>
      <c r="T3" s="3">
        <v>32</v>
      </c>
      <c r="U3" s="3">
        <v>0.1</v>
      </c>
      <c r="V3" s="3">
        <f t="shared" ref="V3" si="1">+(U3*S3)/0.9144</f>
        <v>17.825896762904637</v>
      </c>
      <c r="W3" s="3" t="str">
        <f t="shared" ref="W3" si="2">IFERROR(IF(VLOOKUP(T3,TrimSheet_Data,12,0)&lt;&gt;0,VLOOKUP(T3,TrimSheet_Data,12,0),VLOOKUP(T3,TrimSheet_Data,13,0)),"")</f>
        <v/>
      </c>
      <c r="X3" s="5" t="str">
        <f>IFERROR(LEFT(INDEX([4]Master!$H:$H,MATCH($A3,[4]Master!$D:$D,0)),LEN(INDEX([4]Master!$H:$H,MATCH($A3,[4]Master!$D:$D,0)))-4),"")</f>
        <v>9FLR1876B</v>
      </c>
      <c r="Y3" s="6" t="s">
        <v>36</v>
      </c>
      <c r="Z3" s="8">
        <v>43401</v>
      </c>
      <c r="AA3" s="3" t="str">
        <f t="shared" ref="AA3" si="3">IFERROR(VLOOKUP($T3,TrimSheet_Data,5,0)&amp;"-"&amp;MID(RIGHT($C3,6),4,2)&amp;"-"&amp;DAY($Z3)&amp;MONTH($Z3)&amp;RIGHT(YEAR($Z3),2),"")</f>
        <v/>
      </c>
      <c r="AB3" s="3" t="str">
        <f>IFERROR("S-"&amp;VLOOKUP($T3,TrimSheet_Data,5,0)&amp;"-"&amp;RIGHT(Y3,2)&amp;"-"&amp;DAY($Z3)&amp;MONTH($Z3)&amp;RIGHT(YEAR($Z3),2),"")</f>
        <v/>
      </c>
      <c r="AC3" s="3" t="e">
        <f>VLOOKUP(T3,TrimSheet_Data,4,0)</f>
        <v>#NAME?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0"/>
  <sheetViews>
    <sheetView workbookViewId="0">
      <selection sqref="A1:XFD1048576"/>
    </sheetView>
  </sheetViews>
  <sheetFormatPr baseColWidth="10" defaultColWidth="8.85546875" defaultRowHeight="15" x14ac:dyDescent="0.25"/>
  <cols>
    <col min="1" max="2" width="8.85546875" style="3"/>
    <col min="3" max="3" width="12.140625" style="3" customWidth="1"/>
    <col min="4" max="16384" width="8.85546875" style="3"/>
  </cols>
  <sheetData>
    <row r="1" spans="1:4" x14ac:dyDescent="0.25">
      <c r="A1" s="7"/>
      <c r="B1" s="9"/>
      <c r="C1" s="10"/>
    </row>
    <row r="2" spans="1:4" ht="63.75" x14ac:dyDescent="0.25">
      <c r="A2" s="2" t="s">
        <v>0</v>
      </c>
      <c r="B2" s="11" t="s">
        <v>1</v>
      </c>
      <c r="C2" s="12" t="s">
        <v>39</v>
      </c>
      <c r="D2" s="1" t="s">
        <v>40</v>
      </c>
    </row>
    <row r="3" spans="1:4" x14ac:dyDescent="0.25">
      <c r="A3" s="13">
        <v>43401</v>
      </c>
      <c r="B3" s="14" t="s">
        <v>9</v>
      </c>
      <c r="C3" s="10">
        <v>50</v>
      </c>
      <c r="D3" s="4">
        <v>0</v>
      </c>
    </row>
    <row r="4" spans="1:4" x14ac:dyDescent="0.25">
      <c r="A4" s="13">
        <v>43402</v>
      </c>
      <c r="B4" s="14" t="s">
        <v>9</v>
      </c>
      <c r="C4" s="10">
        <v>25</v>
      </c>
      <c r="D4" s="4">
        <v>0</v>
      </c>
    </row>
    <row r="5" spans="1:4" x14ac:dyDescent="0.25">
      <c r="A5" s="7">
        <v>43404</v>
      </c>
      <c r="B5" s="9" t="s">
        <v>10</v>
      </c>
      <c r="C5" s="10">
        <v>25</v>
      </c>
    </row>
    <row r="6" spans="1:4" x14ac:dyDescent="0.25">
      <c r="A6" s="7"/>
      <c r="B6" s="9"/>
      <c r="C6" s="10"/>
    </row>
    <row r="7" spans="1:4" x14ac:dyDescent="0.25">
      <c r="A7" s="7"/>
      <c r="B7" s="9"/>
      <c r="C7" s="10"/>
    </row>
    <row r="8" spans="1:4" x14ac:dyDescent="0.25">
      <c r="A8" s="7"/>
      <c r="B8" s="9"/>
      <c r="C8" s="10"/>
    </row>
    <row r="9" spans="1:4" x14ac:dyDescent="0.25">
      <c r="A9" s="7"/>
      <c r="B9" s="9"/>
      <c r="C9" s="10"/>
    </row>
    <row r="10" spans="1:4" x14ac:dyDescent="0.25">
      <c r="A10" s="7"/>
      <c r="B10" s="9"/>
      <c r="C10" s="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12"/>
  <sheetViews>
    <sheetView workbookViewId="0">
      <selection activeCell="H13" sqref="H13"/>
    </sheetView>
  </sheetViews>
  <sheetFormatPr baseColWidth="10" defaultColWidth="9.140625" defaultRowHeight="15" x14ac:dyDescent="0.25"/>
  <cols>
    <col min="2" max="2" width="21" bestFit="1" customWidth="1"/>
    <col min="3" max="3" width="13.140625" bestFit="1" customWidth="1"/>
    <col min="4" max="4" width="14" bestFit="1" customWidth="1"/>
  </cols>
  <sheetData>
    <row r="1" spans="2:4" x14ac:dyDescent="0.25">
      <c r="B1" t="s">
        <v>43</v>
      </c>
      <c r="C1" t="s">
        <v>44</v>
      </c>
    </row>
    <row r="2" spans="2:4" x14ac:dyDescent="0.25">
      <c r="B2" t="s">
        <v>45</v>
      </c>
      <c r="C2" t="s">
        <v>46</v>
      </c>
      <c r="D2" t="s">
        <v>47</v>
      </c>
    </row>
    <row r="3" spans="2:4" x14ac:dyDescent="0.25">
      <c r="B3" t="s">
        <v>48</v>
      </c>
      <c r="C3" t="s">
        <v>49</v>
      </c>
      <c r="D3" t="s">
        <v>50</v>
      </c>
    </row>
    <row r="4" spans="2:4" x14ac:dyDescent="0.25">
      <c r="B4" t="s">
        <v>51</v>
      </c>
      <c r="C4" t="s">
        <v>52</v>
      </c>
      <c r="D4" t="s">
        <v>53</v>
      </c>
    </row>
    <row r="5" spans="2:4" x14ac:dyDescent="0.25">
      <c r="B5" t="s">
        <v>54</v>
      </c>
      <c r="C5" t="s">
        <v>55</v>
      </c>
      <c r="D5" t="s">
        <v>56</v>
      </c>
    </row>
    <row r="6" spans="2:4" x14ac:dyDescent="0.25">
      <c r="B6" t="s">
        <v>57</v>
      </c>
      <c r="C6" t="s">
        <v>58</v>
      </c>
      <c r="D6" t="s">
        <v>59</v>
      </c>
    </row>
    <row r="7" spans="2:4" x14ac:dyDescent="0.25">
      <c r="B7" t="s">
        <v>60</v>
      </c>
      <c r="C7" t="s">
        <v>61</v>
      </c>
      <c r="D7" t="s">
        <v>62</v>
      </c>
    </row>
    <row r="8" spans="2:4" x14ac:dyDescent="0.25">
      <c r="B8" t="s">
        <v>63</v>
      </c>
      <c r="C8" t="s">
        <v>64</v>
      </c>
      <c r="D8" t="s">
        <v>65</v>
      </c>
    </row>
    <row r="9" spans="2:4" x14ac:dyDescent="0.25">
      <c r="B9" t="s">
        <v>66</v>
      </c>
      <c r="C9" t="s">
        <v>67</v>
      </c>
    </row>
    <row r="10" spans="2:4" x14ac:dyDescent="0.25">
      <c r="B10" t="s">
        <v>68</v>
      </c>
      <c r="C10" t="s">
        <v>69</v>
      </c>
    </row>
    <row r="11" spans="2:4" x14ac:dyDescent="0.25">
      <c r="B11" t="s">
        <v>70</v>
      </c>
      <c r="C11" t="s">
        <v>71</v>
      </c>
    </row>
    <row r="12" spans="2:4" x14ac:dyDescent="0.25">
      <c r="B12" t="s">
        <v>72</v>
      </c>
      <c r="C12" t="s">
        <v>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5</vt:i4>
      </vt:variant>
    </vt:vector>
  </HeadingPairs>
  <TitlesOfParts>
    <vt:vector size="11" baseType="lpstr">
      <vt:lpstr>GHISO</vt:lpstr>
      <vt:lpstr>FormNhap</vt:lpstr>
      <vt:lpstr>Balance_Fusing</vt:lpstr>
      <vt:lpstr>Use_Up_Stock</vt:lpstr>
      <vt:lpstr>Sample_room</vt:lpstr>
      <vt:lpstr>Release_code</vt:lpstr>
      <vt:lpstr>Date_sample_room</vt:lpstr>
      <vt:lpstr>Date_stock</vt:lpstr>
      <vt:lpstr>Fuse_code_sample</vt:lpstr>
      <vt:lpstr>Use_Stock</vt:lpstr>
      <vt:lpstr>Xuất_Sample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Thanh Doan</dc:creator>
  <cp:lastModifiedBy>NGUYEN Tien-duy</cp:lastModifiedBy>
  <cp:lastPrinted>2019-06-15T04:11:53Z</cp:lastPrinted>
  <dcterms:created xsi:type="dcterms:W3CDTF">2018-11-02T04:33:16Z</dcterms:created>
  <dcterms:modified xsi:type="dcterms:W3CDTF">2019-06-20T16:18:00Z</dcterms:modified>
</cp:coreProperties>
</file>