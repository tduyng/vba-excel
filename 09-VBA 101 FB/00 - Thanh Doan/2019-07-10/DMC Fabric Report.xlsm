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V:\Customs file\DMC\"/>
    </mc:Choice>
  </mc:AlternateContent>
  <bookViews>
    <workbookView xWindow="0" yWindow="0" windowWidth="20736" windowHeight="8808"/>
  </bookViews>
  <sheets>
    <sheet name="Fabric_Order" sheetId="1" r:id="rId1"/>
    <sheet name="Main" sheetId="2" r:id="rId2"/>
    <sheet name="COMB" sheetId="7" r:id="rId3"/>
    <sheet name="Data" sheetId="6" r:id="rId4"/>
    <sheet name="Lining" sheetId="5" r:id="rId5"/>
  </sheets>
  <functionGroups builtInGroupCount="18"/>
  <externalReferences>
    <externalReference r:id="rId6"/>
    <externalReference r:id="rId7"/>
    <externalReference r:id="rId8"/>
  </externalReferences>
  <definedNames>
    <definedName name="_xlnm._FilterDatabase" localSheetId="2" hidden="1">COMB!$A$6:$H$15</definedName>
    <definedName name="_xlnm._FilterDatabase" localSheetId="0" hidden="1">Fabric_Order!$A$2:$C$50</definedName>
    <definedName name="_xlnm._FilterDatabase" localSheetId="4" hidden="1">Lining!$A$6:$H$12</definedName>
    <definedName name="_xlnm._FilterDatabase" localSheetId="1" hidden="1">Main!$A$6:$H$15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7" l="1"/>
  <c r="H9" i="7"/>
  <c r="H10" i="7"/>
  <c r="H11" i="7"/>
  <c r="H12" i="7"/>
  <c r="H13" i="7"/>
  <c r="H14" i="7"/>
  <c r="H15" i="7"/>
  <c r="H7" i="7"/>
  <c r="G8" i="7" l="1"/>
  <c r="G9" i="7"/>
  <c r="G10" i="7"/>
  <c r="G11" i="7"/>
  <c r="G12" i="7"/>
  <c r="G13" i="7"/>
  <c r="G14" i="7"/>
  <c r="G15" i="7"/>
  <c r="G7" i="7"/>
  <c r="A15" i="7" l="1"/>
  <c r="A14" i="7"/>
  <c r="A13" i="7"/>
  <c r="A12" i="7"/>
  <c r="A11" i="7"/>
  <c r="A10" i="7"/>
  <c r="A9" i="7"/>
  <c r="A8" i="7"/>
  <c r="A7" i="7"/>
  <c r="F15" i="7"/>
  <c r="E15" i="7"/>
  <c r="D15" i="7"/>
  <c r="I15" i="7" s="1"/>
  <c r="C15" i="7"/>
  <c r="F14" i="7"/>
  <c r="E14" i="7"/>
  <c r="D14" i="7"/>
  <c r="I14" i="7" s="1"/>
  <c r="C14" i="7"/>
  <c r="F13" i="7"/>
  <c r="E13" i="7"/>
  <c r="D13" i="7"/>
  <c r="C13" i="7"/>
  <c r="F12" i="7"/>
  <c r="E12" i="7"/>
  <c r="D12" i="7"/>
  <c r="C12" i="7"/>
  <c r="F11" i="7"/>
  <c r="E11" i="7"/>
  <c r="D11" i="7"/>
  <c r="C11" i="7"/>
  <c r="F10" i="7"/>
  <c r="E10" i="7"/>
  <c r="D10" i="7"/>
  <c r="C10" i="7"/>
  <c r="F9" i="7"/>
  <c r="E9" i="7"/>
  <c r="D9" i="7"/>
  <c r="C9" i="7"/>
  <c r="F8" i="7"/>
  <c r="E8" i="7"/>
  <c r="D8" i="7"/>
  <c r="C8" i="7"/>
  <c r="F7" i="7"/>
  <c r="E7" i="7"/>
  <c r="D7" i="7"/>
  <c r="C7" i="7"/>
  <c r="J15" i="7" l="1"/>
  <c r="J14" i="7"/>
  <c r="D4" i="7"/>
  <c r="D3" i="7"/>
  <c r="A15" i="2"/>
  <c r="A14" i="2"/>
  <c r="A13" i="2"/>
  <c r="A12" i="2"/>
  <c r="A11" i="2"/>
  <c r="A10" i="2"/>
  <c r="A9" i="2"/>
  <c r="A8" i="2"/>
  <c r="A7" i="2"/>
  <c r="D5" i="7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4" i="1"/>
  <c r="I13" i="7" l="1"/>
  <c r="J13" i="7" s="1"/>
  <c r="I12" i="7"/>
  <c r="J12" i="7" s="1"/>
  <c r="I11" i="7"/>
  <c r="J11" i="7" s="1"/>
  <c r="I10" i="7"/>
  <c r="J10" i="7" s="1"/>
  <c r="I9" i="7"/>
  <c r="J9" i="7" s="1"/>
  <c r="I7" i="7"/>
  <c r="J7" i="7" s="1"/>
  <c r="I8" i="7"/>
  <c r="J8" i="7" s="1"/>
  <c r="H8" i="2"/>
  <c r="H9" i="2"/>
  <c r="H10" i="2"/>
  <c r="H11" i="2"/>
  <c r="H12" i="2"/>
  <c r="H13" i="2"/>
  <c r="H14" i="2"/>
  <c r="H15" i="2"/>
  <c r="H7" i="2"/>
  <c r="G8" i="2"/>
  <c r="G9" i="2"/>
  <c r="G10" i="2"/>
  <c r="G11" i="2"/>
  <c r="G12" i="2"/>
  <c r="G13" i="2"/>
  <c r="G14" i="2"/>
  <c r="G15" i="2"/>
  <c r="G7" i="2"/>
  <c r="F8" i="2"/>
  <c r="F9" i="2"/>
  <c r="F10" i="2"/>
  <c r="F11" i="2"/>
  <c r="F12" i="2"/>
  <c r="F13" i="2"/>
  <c r="F14" i="2"/>
  <c r="F15" i="2"/>
  <c r="F7" i="2"/>
  <c r="D8" i="2"/>
  <c r="D9" i="2"/>
  <c r="D10" i="2"/>
  <c r="D11" i="2"/>
  <c r="D12" i="2"/>
  <c r="D13" i="2"/>
  <c r="D14" i="2"/>
  <c r="D15" i="2"/>
  <c r="D7" i="2"/>
  <c r="C15" i="2"/>
  <c r="C14" i="2"/>
  <c r="C13" i="2"/>
  <c r="C12" i="2"/>
  <c r="C11" i="2"/>
  <c r="C10" i="2"/>
  <c r="C9" i="2"/>
  <c r="C8" i="2"/>
  <c r="C7" i="2"/>
  <c r="C7" i="5" l="1"/>
  <c r="D7" i="5"/>
  <c r="E7" i="5"/>
  <c r="F7" i="5"/>
  <c r="G7" i="5"/>
  <c r="H7" i="5"/>
  <c r="C8" i="5"/>
  <c r="D8" i="5"/>
  <c r="E8" i="5"/>
  <c r="F8" i="5"/>
  <c r="G8" i="5"/>
  <c r="H8" i="5"/>
  <c r="C9" i="5"/>
  <c r="D9" i="5"/>
  <c r="E9" i="5"/>
  <c r="F9" i="5"/>
  <c r="G9" i="5"/>
  <c r="H9" i="5"/>
  <c r="C10" i="5"/>
  <c r="D10" i="5"/>
  <c r="E10" i="5"/>
  <c r="F10" i="5"/>
  <c r="G10" i="5"/>
  <c r="H10" i="5"/>
  <c r="C11" i="5"/>
  <c r="D11" i="5"/>
  <c r="E11" i="5"/>
  <c r="F11" i="5"/>
  <c r="G11" i="5"/>
  <c r="H11" i="5"/>
  <c r="C12" i="5"/>
  <c r="D12" i="5"/>
  <c r="E12" i="5"/>
  <c r="F12" i="5"/>
  <c r="G12" i="5"/>
  <c r="H12" i="5"/>
  <c r="I15" i="2" l="1"/>
  <c r="H13" i="5"/>
  <c r="I14" i="2" l="1"/>
  <c r="E15" i="2"/>
  <c r="E14" i="2"/>
  <c r="E13" i="2"/>
  <c r="E12" i="2"/>
  <c r="E11" i="2"/>
  <c r="E10" i="2"/>
  <c r="E9" i="2"/>
  <c r="E8" i="2"/>
  <c r="E7" i="2"/>
  <c r="D4" i="5" l="1"/>
  <c r="E4" i="5"/>
  <c r="D4" i="2" l="1"/>
  <c r="E3" i="5" l="1"/>
  <c r="E5" i="5" s="1"/>
  <c r="I9" i="5" l="1"/>
  <c r="J9" i="5" s="1"/>
  <c r="I11" i="5"/>
  <c r="J11" i="5" s="1"/>
  <c r="D3" i="5"/>
  <c r="D5" i="5" s="1"/>
  <c r="D3" i="2"/>
  <c r="D5" i="2" s="1"/>
  <c r="I13" i="2" l="1"/>
  <c r="J13" i="2" s="1"/>
  <c r="I10" i="2"/>
  <c r="J10" i="2" s="1"/>
  <c r="I7" i="2"/>
  <c r="J7" i="2" s="1"/>
  <c r="I12" i="2"/>
  <c r="J12" i="2" s="1"/>
  <c r="I11" i="2"/>
  <c r="J11" i="2" s="1"/>
  <c r="I8" i="2"/>
  <c r="J8" i="2" s="1"/>
  <c r="I9" i="2"/>
  <c r="J9" i="2" s="1"/>
  <c r="J15" i="2"/>
  <c r="J14" i="2"/>
  <c r="I12" i="5"/>
  <c r="J12" i="5" s="1"/>
  <c r="I8" i="5"/>
  <c r="J8" i="5" s="1"/>
  <c r="I10" i="5"/>
  <c r="J10" i="5" s="1"/>
  <c r="I7" i="5"/>
  <c r="J7" i="5" s="1"/>
  <c r="J13" i="5" l="1"/>
</calcChain>
</file>

<file path=xl/sharedStrings.xml><?xml version="1.0" encoding="utf-8"?>
<sst xmlns="http://schemas.openxmlformats.org/spreadsheetml/2006/main" count="92" uniqueCount="37">
  <si>
    <t>Fabric Order No</t>
  </si>
  <si>
    <t>DMC15319-001</t>
  </si>
  <si>
    <t>DMC #PO</t>
  </si>
  <si>
    <t>Style</t>
  </si>
  <si>
    <t>Concepte</t>
  </si>
  <si>
    <t>Customs Qty (pcs)</t>
  </si>
  <si>
    <t>S/doc Q.ty
( -/+3% ) (m)</t>
  </si>
  <si>
    <t>Declare Customs consumption (m)</t>
  </si>
  <si>
    <t>Shipped Need Q.ty
 (pcs)</t>
  </si>
  <si>
    <t>MH45F117013D</t>
  </si>
  <si>
    <t>Total shipped pcs</t>
  </si>
  <si>
    <t>Total fabric (m)</t>
  </si>
  <si>
    <t>Clear Fabric (m)</t>
  </si>
  <si>
    <t>Avarage Cont (m)</t>
  </si>
  <si>
    <t>MH43F118040D</t>
  </si>
  <si>
    <t>MH57F119082D</t>
  </si>
  <si>
    <t>Colour Main</t>
  </si>
  <si>
    <t>Quarter</t>
  </si>
  <si>
    <t>Q3-2019</t>
  </si>
  <si>
    <t>PO Number</t>
  </si>
  <si>
    <t>List style</t>
  </si>
  <si>
    <t>MH43SP18022D</t>
  </si>
  <si>
    <t>MH43SM16016D</t>
  </si>
  <si>
    <t>MH57SP18050D</t>
  </si>
  <si>
    <t>MH43SM19014D</t>
  </si>
  <si>
    <t>MH57SM19076D</t>
  </si>
  <si>
    <t>MH45F118030D</t>
  </si>
  <si>
    <t>MH57F118060D</t>
  </si>
  <si>
    <t>MH57F119039D</t>
  </si>
  <si>
    <t>MH57SP19051D</t>
  </si>
  <si>
    <t>MH43F217007D</t>
  </si>
  <si>
    <t>MH43SM19026D</t>
  </si>
  <si>
    <t>PE43F119003D</t>
  </si>
  <si>
    <t>PE76F219008D</t>
  </si>
  <si>
    <t>Type of Fabric</t>
  </si>
  <si>
    <t>Colour Comb</t>
  </si>
  <si>
    <t>AMW261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</si>
</sst>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[$-409]d\-mmm\-yy;@"/>
    <numFmt numFmtId="165" formatCode="0.000"/>
    <numFmt numFmtId="166" formatCode="_(* #,##0_);_(* \(#,##0\);_(* &quot;-&quot;??_);_(@_)"/>
    <numFmt numFmtId="167" formatCode="_(* #,##0.0000_);_(* \(#,##0.0000\);_(* &quot;-&quot;??_);_(@_)"/>
    <numFmt numFmtId="168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4" tint="0.39997558519241921"/>
      </top>
      <bottom style="thick">
        <color theme="0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4">
    <xf numFmtId="0" fontId="0" fillId="0" borderId="0" xfId="0"/>
    <xf numFmtId="2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Border="1"/>
    <xf numFmtId="0" fontId="2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165" fontId="0" fillId="0" borderId="1" xfId="0" applyNumberFormat="1" applyBorder="1"/>
    <xf numFmtId="43" fontId="0" fillId="0" borderId="0" xfId="1" applyNumberFormat="1" applyFont="1"/>
    <xf numFmtId="166" fontId="0" fillId="0" borderId="0" xfId="1" applyNumberFormat="1" applyFont="1"/>
    <xf numFmtId="167" fontId="0" fillId="0" borderId="0" xfId="1" applyNumberFormat="1" applyFont="1"/>
    <xf numFmtId="0" fontId="2" fillId="2" borderId="3" xfId="0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0" borderId="0" xfId="0" applyNumberFormat="1" applyBorder="1"/>
    <xf numFmtId="1" fontId="0" fillId="0" borderId="0" xfId="0" applyNumberFormat="1"/>
    <xf numFmtId="1" fontId="0" fillId="0" borderId="1" xfId="0" applyNumberFormat="1" applyBorder="1"/>
    <xf numFmtId="168" fontId="0" fillId="0" borderId="1" xfId="0" applyNumberFormat="1" applyBorder="1"/>
    <xf numFmtId="0" fontId="2" fillId="3" borderId="3" xfId="0" applyFont="1" applyFill="1" applyBorder="1" applyAlignment="1">
      <alignment horizontal="center" vertical="center" wrapText="1"/>
    </xf>
    <xf numFmtId="164" fontId="2" fillId="3" borderId="3" xfId="0" applyNumberFormat="1" applyFont="1" applyFill="1" applyBorder="1" applyAlignment="1">
      <alignment horizontal="center" vertical="center" wrapText="1"/>
    </xf>
    <xf numFmtId="2" fontId="2" fillId="3" borderId="3" xfId="0" applyNumberFormat="1" applyFont="1" applyFill="1" applyBorder="1" applyAlignment="1">
      <alignment horizontal="center" vertical="center" wrapText="1"/>
    </xf>
    <xf numFmtId="164" fontId="2" fillId="3" borderId="2" xfId="0" applyNumberFormat="1" applyFont="1" applyFill="1" applyBorder="1" applyAlignment="1">
      <alignment horizontal="center" vertical="center" wrapText="1"/>
    </xf>
    <xf numFmtId="1" fontId="2" fillId="2" borderId="4" xfId="0" applyNumberFormat="1" applyFont="1" applyFill="1" applyBorder="1" applyAlignment="1">
      <alignment horizontal="center" vertical="center" wrapText="1"/>
    </xf>
    <xf numFmtId="1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164" fontId="2" fillId="0" borderId="2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2" fillId="3" borderId="0" xfId="0" applyFont="1" applyFill="1" applyBorder="1" applyAlignment="1">
      <alignment horizontal="center" vertical="center" wrapText="1"/>
    </xf>
    <xf numFmtId="164" fontId="2" fillId="3" borderId="0" xfId="0" applyNumberFormat="1" applyFont="1" applyFill="1" applyBorder="1" applyAlignment="1">
      <alignment horizontal="center" vertical="center" wrapText="1"/>
    </xf>
    <xf numFmtId="2" fontId="2" fillId="3" borderId="0" xfId="0" applyNumberFormat="1" applyFont="1" applyFill="1" applyBorder="1" applyAlignment="1">
      <alignment horizontal="center" vertical="center" wrapText="1"/>
    </xf>
    <xf numFmtId="1" fontId="0" fillId="0" borderId="0" xfId="0" applyNumberFormat="1" applyBorder="1"/>
    <xf numFmtId="165" fontId="0" fillId="0" borderId="0" xfId="0" applyNumberFormat="1" applyBorder="1"/>
    <xf numFmtId="168" fontId="0" fillId="0" borderId="0" xfId="0" applyNumberFormat="1" applyBorder="1"/>
    <xf numFmtId="164" fontId="0" fillId="0" borderId="0" xfId="0" applyNumberFormat="1"/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1</xdr:row>
      <xdr:rowOff>6350</xdr:rowOff>
    </xdr:from>
    <xdr:to>
      <xdr:col>4</xdr:col>
      <xdr:colOff>317500</xdr:colOff>
      <xdr:row>3</xdr:row>
      <xdr:rowOff>6350</xdr:rowOff>
    </xdr:to>
    <xdr:sp macro="[0]!Sort_out_PO" textlink="">
      <xdr:nvSpPr>
        <xdr:cNvPr id="2" name="Rounded Rectangle 1"/>
        <xdr:cNvSpPr/>
      </xdr:nvSpPr>
      <xdr:spPr>
        <a:xfrm>
          <a:off x="3092450" y="190500"/>
          <a:ext cx="603250" cy="3746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187570</xdr:colOff>
      <xdr:row>1</xdr:row>
      <xdr:rowOff>128954</xdr:rowOff>
    </xdr:from>
    <xdr:to>
      <xdr:col>1</xdr:col>
      <xdr:colOff>199293</xdr:colOff>
      <xdr:row>3</xdr:row>
      <xdr:rowOff>117231</xdr:rowOff>
    </xdr:to>
    <xdr:sp macro="[0]!Module1.sort_out_Main_fabric" textlink="">
      <xdr:nvSpPr>
        <xdr:cNvPr id="3" name="Oval 2"/>
        <xdr:cNvSpPr/>
      </xdr:nvSpPr>
      <xdr:spPr>
        <a:xfrm>
          <a:off x="187570" y="310662"/>
          <a:ext cx="627185" cy="351692"/>
        </a:xfrm>
        <a:prstGeom prst="ellipse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Sort</a:t>
          </a:r>
        </a:p>
      </xdr:txBody>
    </xdr:sp>
    <xdr:clientData/>
  </xdr:twoCellAnchor>
  <xdr:twoCellAnchor>
    <xdr:from>
      <xdr:col>9</xdr:col>
      <xdr:colOff>35168</xdr:colOff>
      <xdr:row>0</xdr:row>
      <xdr:rowOff>23446</xdr:rowOff>
    </xdr:from>
    <xdr:to>
      <xdr:col>10</xdr:col>
      <xdr:colOff>70337</xdr:colOff>
      <xdr:row>1</xdr:row>
      <xdr:rowOff>175846</xdr:rowOff>
    </xdr:to>
    <xdr:sp macro="[0]!Copy_COMB" textlink="">
      <xdr:nvSpPr>
        <xdr:cNvPr id="2" name="Rounded Rectangle 1"/>
        <xdr:cNvSpPr/>
      </xdr:nvSpPr>
      <xdr:spPr>
        <a:xfrm>
          <a:off x="7227276" y="23446"/>
          <a:ext cx="644769" cy="33410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COMB</a:t>
          </a:r>
        </a:p>
      </xdr:txBody>
    </xdr:sp>
    <xdr:clientData/>
  </xdr:twoCellAnchor>
  <xdr:twoCellAnchor>
    <xdr:from>
      <xdr:col>5</xdr:col>
      <xdr:colOff>422030</xdr:colOff>
      <xdr:row>0</xdr:row>
      <xdr:rowOff>111369</xdr:rowOff>
    </xdr:from>
    <xdr:to>
      <xdr:col>6</xdr:col>
      <xdr:colOff>879231</xdr:colOff>
      <xdr:row>2</xdr:row>
      <xdr:rowOff>140677</xdr:rowOff>
    </xdr:to>
    <xdr:sp macro="[0]!Update_Data_Main" textlink="">
      <xdr:nvSpPr>
        <xdr:cNvPr id="5" name="Right Arrow 4"/>
        <xdr:cNvSpPr/>
      </xdr:nvSpPr>
      <xdr:spPr>
        <a:xfrm>
          <a:off x="4630615" y="111369"/>
          <a:ext cx="1248508" cy="392723"/>
        </a:xfrm>
        <a:prstGeom prst="righ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193430</xdr:colOff>
      <xdr:row>0</xdr:row>
      <xdr:rowOff>99646</xdr:rowOff>
    </xdr:from>
    <xdr:to>
      <xdr:col>6</xdr:col>
      <xdr:colOff>422031</xdr:colOff>
      <xdr:row>2</xdr:row>
      <xdr:rowOff>111370</xdr:rowOff>
    </xdr:to>
    <xdr:sp macro="[0]!Update_Data_COMB" textlink="">
      <xdr:nvSpPr>
        <xdr:cNvPr id="2" name="Right Arrow 1"/>
        <xdr:cNvSpPr/>
      </xdr:nvSpPr>
      <xdr:spPr>
        <a:xfrm>
          <a:off x="4402015" y="99646"/>
          <a:ext cx="1019908" cy="375139"/>
        </a:xfrm>
        <a:prstGeom prst="right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Data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:\Order%20Fabric%20Controll%20File\Destination%20-%20Fabric%20order%20formula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HIPPING%20REPPORT/2019/FOB/Shipping%20report%20DMC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Fabric%20Balance%20Sheet\Destination%20Maternity\Fabric%20Balance%20Sheet%20FOB%20-%20DM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F-Main"/>
      <sheetName val="F-Main-Lin"/>
      <sheetName val="F-Main-COM"/>
      <sheetName val="F-Lin-Lin"/>
      <sheetName val="F-COM-COM"/>
      <sheetName val="Contrast-Con"/>
      <sheetName val="Status"/>
    </sheetNames>
    <sheetDataSet>
      <sheetData sheetId="0">
        <row r="1">
          <cell r="B1" t="str">
            <v>Style</v>
          </cell>
          <cell r="C1" t="str">
            <v>Concepte</v>
          </cell>
          <cell r="D1" t="str">
            <v>PO Number</v>
          </cell>
          <cell r="H1" t="str">
            <v>Colour M</v>
          </cell>
          <cell r="V1" t="str">
            <v>Colour COM</v>
          </cell>
        </row>
        <row r="2">
          <cell r="B2">
            <v>2</v>
          </cell>
          <cell r="C2">
            <v>3</v>
          </cell>
          <cell r="D2">
            <v>4</v>
          </cell>
          <cell r="H2">
            <v>8</v>
          </cell>
          <cell r="V2">
            <v>22</v>
          </cell>
        </row>
        <row r="3">
          <cell r="B3" t="str">
            <v>1-93791-44</v>
          </cell>
          <cell r="C3" t="str">
            <v>MH17SM18005D</v>
          </cell>
          <cell r="D3">
            <v>612128</v>
          </cell>
          <cell r="H3" t="str">
            <v>FEDERAL BLUE 18 4029TCX-002</v>
          </cell>
        </row>
        <row r="4">
          <cell r="B4" t="str">
            <v>1-93791-44I</v>
          </cell>
          <cell r="C4" t="str">
            <v>MH17SM18005D</v>
          </cell>
          <cell r="D4" t="str">
            <v>I612128</v>
          </cell>
          <cell r="H4" t="str">
            <v>FEDERAL BLUE 18 4029TCX-002</v>
          </cell>
        </row>
        <row r="5">
          <cell r="B5" t="str">
            <v>1-93791-12</v>
          </cell>
          <cell r="C5" t="str">
            <v>MH17SM18005D</v>
          </cell>
          <cell r="D5">
            <v>612126</v>
          </cell>
          <cell r="H5" t="str">
            <v>SOFT WHITE-002</v>
          </cell>
        </row>
        <row r="6">
          <cell r="B6" t="str">
            <v>1-93791-12I</v>
          </cell>
          <cell r="C6" t="str">
            <v>MH17SM18005D</v>
          </cell>
          <cell r="D6" t="str">
            <v>I612126</v>
          </cell>
          <cell r="H6" t="str">
            <v>SOFT WHITE-002</v>
          </cell>
        </row>
        <row r="7">
          <cell r="B7" t="str">
            <v>1-93793-58</v>
          </cell>
          <cell r="C7" t="str">
            <v>MH17SM18002D</v>
          </cell>
          <cell r="D7">
            <v>612131</v>
          </cell>
          <cell r="H7" t="str">
            <v>THYME ( 19-0309 TCX)-003</v>
          </cell>
        </row>
        <row r="8">
          <cell r="B8" t="str">
            <v>1-93793-58I</v>
          </cell>
          <cell r="C8" t="str">
            <v>MH17SM18002D</v>
          </cell>
          <cell r="D8" t="str">
            <v>I612131</v>
          </cell>
          <cell r="H8" t="str">
            <v>THYME ( 19-0309 TCX)-003</v>
          </cell>
        </row>
        <row r="9">
          <cell r="B9" t="str">
            <v>1-93792-76</v>
          </cell>
          <cell r="C9" t="str">
            <v>MH17SM18006D</v>
          </cell>
          <cell r="D9">
            <v>612130</v>
          </cell>
          <cell r="H9" t="str">
            <v>8GEO1550-004</v>
          </cell>
        </row>
        <row r="10">
          <cell r="B10" t="str">
            <v>1-93809-76</v>
          </cell>
          <cell r="C10" t="str">
            <v>MH17SM18008D</v>
          </cell>
          <cell r="D10">
            <v>612135</v>
          </cell>
          <cell r="H10" t="str">
            <v>8GEO1550-004</v>
          </cell>
        </row>
        <row r="11">
          <cell r="B11" t="str">
            <v xml:space="preserve">1-93980-58 </v>
          </cell>
          <cell r="C11" t="str">
            <v>MH45SM18036D</v>
          </cell>
          <cell r="D11">
            <v>612070</v>
          </cell>
          <cell r="H11" t="str">
            <v>9PRT1714-005</v>
          </cell>
        </row>
        <row r="12">
          <cell r="B12" t="str">
            <v>1-93980-58I</v>
          </cell>
          <cell r="C12" t="str">
            <v>MH45SM18036D</v>
          </cell>
          <cell r="D12" t="str">
            <v>I612070</v>
          </cell>
          <cell r="H12" t="str">
            <v>9PRT1714-005</v>
          </cell>
        </row>
        <row r="13">
          <cell r="B13" t="str">
            <v>1-93208-01-44</v>
          </cell>
          <cell r="C13" t="str">
            <v>MH43SP18036D</v>
          </cell>
          <cell r="D13">
            <v>611444</v>
          </cell>
          <cell r="H13" t="str">
            <v>CORE BLACK CSI# 1000175-006</v>
          </cell>
        </row>
        <row r="14">
          <cell r="B14" t="str">
            <v>1-93208-01-44I</v>
          </cell>
          <cell r="C14" t="str">
            <v>MH43SP18036D</v>
          </cell>
          <cell r="D14" t="str">
            <v>I611444</v>
          </cell>
          <cell r="H14" t="str">
            <v>CORE BLACK CSI# 1000175-006</v>
          </cell>
        </row>
        <row r="15">
          <cell r="B15" t="str">
            <v>1-93208-01-45</v>
          </cell>
          <cell r="C15" t="str">
            <v>MH43SP18036D</v>
          </cell>
          <cell r="D15">
            <v>611445</v>
          </cell>
          <cell r="H15" t="str">
            <v>CORE BLACK CSI# 1000175-006</v>
          </cell>
        </row>
        <row r="16">
          <cell r="B16" t="str">
            <v>1-93208-01-46</v>
          </cell>
          <cell r="C16" t="str">
            <v>MH43SP18036D</v>
          </cell>
          <cell r="D16">
            <v>611446</v>
          </cell>
          <cell r="H16" t="str">
            <v>CORE BLACK CSI# 1000175-006</v>
          </cell>
        </row>
        <row r="17">
          <cell r="B17" t="str">
            <v>1-93771-01</v>
          </cell>
          <cell r="C17" t="str">
            <v>MH48SM18015D</v>
          </cell>
          <cell r="D17">
            <v>612287</v>
          </cell>
          <cell r="H17" t="str">
            <v>CORE BLACK CSI# 1000175</v>
          </cell>
        </row>
        <row r="18">
          <cell r="B18" t="str">
            <v xml:space="preserve">1-93984-01 </v>
          </cell>
          <cell r="C18" t="str">
            <v>MH45SM18046D</v>
          </cell>
          <cell r="D18">
            <v>612071</v>
          </cell>
          <cell r="H18" t="str">
            <v>9FLR1865-005</v>
          </cell>
        </row>
        <row r="19">
          <cell r="B19" t="str">
            <v>1-93984-01I</v>
          </cell>
          <cell r="C19" t="str">
            <v>MH45SM18046D</v>
          </cell>
          <cell r="D19" t="str">
            <v>I612071</v>
          </cell>
          <cell r="H19" t="str">
            <v>9FLR1865-005</v>
          </cell>
        </row>
        <row r="20">
          <cell r="B20" t="str">
            <v xml:space="preserve">1-94047-44 </v>
          </cell>
          <cell r="C20" t="str">
            <v>MH43SM18028D</v>
          </cell>
          <cell r="D20">
            <v>612494</v>
          </cell>
          <cell r="H20" t="str">
            <v>DRAGONFLY (PT: 19-4826 TCX)</v>
          </cell>
        </row>
        <row r="21">
          <cell r="B21" t="str">
            <v xml:space="preserve">1-94047-86 </v>
          </cell>
          <cell r="C21" t="str">
            <v>MH43SM18028D</v>
          </cell>
          <cell r="D21">
            <v>612495</v>
          </cell>
          <cell r="H21" t="str">
            <v>LT. MAHOGANY</v>
          </cell>
        </row>
        <row r="22">
          <cell r="B22" t="str">
            <v xml:space="preserve">1-93208-86 </v>
          </cell>
          <cell r="C22" t="str">
            <v>MH43SP18036D</v>
          </cell>
          <cell r="D22">
            <v>613075</v>
          </cell>
          <cell r="H22" t="str">
            <v>Lotus Pink</v>
          </cell>
        </row>
        <row r="23">
          <cell r="B23" t="str">
            <v>1-94047-02</v>
          </cell>
          <cell r="C23" t="str">
            <v>MH43SM18028D</v>
          </cell>
          <cell r="D23">
            <v>613125</v>
          </cell>
          <cell r="H23" t="str">
            <v>9PLD1657</v>
          </cell>
        </row>
        <row r="24">
          <cell r="B24" t="str">
            <v>1-92041-13</v>
          </cell>
          <cell r="C24" t="str">
            <v>MH45F117014D</v>
          </cell>
          <cell r="D24">
            <v>612981</v>
          </cell>
          <cell r="H24" t="str">
            <v>9FLR1672A-001</v>
          </cell>
        </row>
        <row r="25">
          <cell r="B25" t="str">
            <v>1-90798-01</v>
          </cell>
          <cell r="C25" t="str">
            <v>MH45SP17038D</v>
          </cell>
          <cell r="D25">
            <v>612979</v>
          </cell>
          <cell r="H25" t="str">
            <v>9FLR1953-002</v>
          </cell>
        </row>
        <row r="26">
          <cell r="B26" t="str">
            <v xml:space="preserve">1-92986-01 </v>
          </cell>
          <cell r="C26" t="str">
            <v>MH45SP18003D</v>
          </cell>
          <cell r="D26">
            <v>613284</v>
          </cell>
          <cell r="H26" t="str">
            <v>7BOR1564-003</v>
          </cell>
        </row>
        <row r="27">
          <cell r="B27" t="str">
            <v xml:space="preserve">1-92986-01 </v>
          </cell>
          <cell r="C27" t="str">
            <v>MH45SP18003D</v>
          </cell>
          <cell r="D27">
            <v>613284</v>
          </cell>
          <cell r="H27" t="str">
            <v>7BOR1564-001</v>
          </cell>
        </row>
        <row r="28">
          <cell r="B28" t="str">
            <v>1-93208-01</v>
          </cell>
          <cell r="C28" t="str">
            <v>MH43SP18036D</v>
          </cell>
          <cell r="D28">
            <v>613629</v>
          </cell>
          <cell r="H28" t="str">
            <v>CORE BLACK</v>
          </cell>
        </row>
        <row r="29">
          <cell r="B29" t="str">
            <v xml:space="preserve">1-93208-01 </v>
          </cell>
          <cell r="C29" t="str">
            <v>MH43SP18036D</v>
          </cell>
          <cell r="D29">
            <v>613630</v>
          </cell>
          <cell r="H29" t="str">
            <v>CORE BLACK</v>
          </cell>
        </row>
        <row r="30">
          <cell r="B30" t="str">
            <v xml:space="preserve">1-93208-45 </v>
          </cell>
          <cell r="C30" t="str">
            <v>MH43SP18036D</v>
          </cell>
          <cell r="D30">
            <v>613632</v>
          </cell>
          <cell r="H30" t="str">
            <v>Aqua sea</v>
          </cell>
        </row>
        <row r="31">
          <cell r="B31" t="str">
            <v xml:space="preserve">1-93208-01 </v>
          </cell>
          <cell r="C31" t="str">
            <v>MH43SP18036D</v>
          </cell>
          <cell r="D31">
            <v>613635</v>
          </cell>
          <cell r="H31" t="str">
            <v>CORE BLACK</v>
          </cell>
        </row>
        <row r="32">
          <cell r="B32" t="str">
            <v xml:space="preserve">1-70370-58 </v>
          </cell>
          <cell r="C32" t="str">
            <v>PE49F118008D</v>
          </cell>
          <cell r="D32">
            <v>614077</v>
          </cell>
          <cell r="H32" t="str">
            <v>OLIVE NIGHT 19-0515</v>
          </cell>
        </row>
        <row r="33">
          <cell r="B33" t="str">
            <v xml:space="preserve">1-70370-58 </v>
          </cell>
          <cell r="C33" t="str">
            <v>PE49F118008D</v>
          </cell>
          <cell r="D33">
            <v>614077</v>
          </cell>
          <cell r="H33" t="str">
            <v>OLIVE NIGHT 19-0515</v>
          </cell>
        </row>
        <row r="34">
          <cell r="B34" t="str">
            <v>1-70370-65</v>
          </cell>
          <cell r="C34" t="str">
            <v>PE49F118008D</v>
          </cell>
          <cell r="D34">
            <v>614351</v>
          </cell>
          <cell r="H34" t="str">
            <v>SMOKED PAPRIKA</v>
          </cell>
        </row>
        <row r="35">
          <cell r="B35" t="str">
            <v>1-93121-44</v>
          </cell>
          <cell r="C35" t="str">
            <v>MH43SP18022D</v>
          </cell>
          <cell r="D35">
            <v>614173</v>
          </cell>
          <cell r="H35" t="str">
            <v>9FLR1797A-001</v>
          </cell>
          <cell r="V35" t="str">
            <v>Sea Fog</v>
          </cell>
        </row>
        <row r="36">
          <cell r="B36" t="str">
            <v xml:space="preserve">1-93121-86 </v>
          </cell>
          <cell r="C36" t="str">
            <v>MH43SP18022D</v>
          </cell>
          <cell r="D36">
            <v>614063</v>
          </cell>
          <cell r="H36" t="str">
            <v>SLATE ROSE-002</v>
          </cell>
        </row>
        <row r="37">
          <cell r="B37" t="str">
            <v>1-94216-03</v>
          </cell>
          <cell r="C37" t="str">
            <v>MH74F118005D</v>
          </cell>
          <cell r="D37">
            <v>614227</v>
          </cell>
          <cell r="H37" t="str">
            <v>4FLR1555A-003</v>
          </cell>
          <cell r="V37" t="str">
            <v>4FLR1577</v>
          </cell>
        </row>
        <row r="38">
          <cell r="B38" t="str">
            <v>1-94219-03</v>
          </cell>
          <cell r="C38" t="str">
            <v>MH74F118007D</v>
          </cell>
          <cell r="D38">
            <v>614228</v>
          </cell>
          <cell r="H38" t="str">
            <v>4FLR1577-003</v>
          </cell>
        </row>
        <row r="39">
          <cell r="B39" t="str">
            <v xml:space="preserve">1-82802-44 </v>
          </cell>
          <cell r="C39" t="str">
            <v>PE74F118004D</v>
          </cell>
          <cell r="D39">
            <v>613724</v>
          </cell>
          <cell r="H39" t="str">
            <v>4FLR1558-001</v>
          </cell>
          <cell r="V39" t="str">
            <v>Gray Down-004</v>
          </cell>
        </row>
        <row r="40">
          <cell r="B40" t="str">
            <v xml:space="preserve">1-82802-44 </v>
          </cell>
          <cell r="C40" t="str">
            <v>PE74F118004D</v>
          </cell>
          <cell r="D40" t="str">
            <v>I613724</v>
          </cell>
          <cell r="H40" t="str">
            <v>4FLR1558-001</v>
          </cell>
          <cell r="V40" t="str">
            <v>Gray Down-004</v>
          </cell>
        </row>
        <row r="41">
          <cell r="B41" t="str">
            <v xml:space="preserve">1-82801-44 </v>
          </cell>
          <cell r="C41" t="str">
            <v>PE74F118003D</v>
          </cell>
          <cell r="D41">
            <v>613723</v>
          </cell>
          <cell r="H41" t="str">
            <v>4FLR1558-001</v>
          </cell>
        </row>
        <row r="42">
          <cell r="B42" t="str">
            <v xml:space="preserve">1-82803-44 </v>
          </cell>
          <cell r="C42" t="str">
            <v>PE74F118008D</v>
          </cell>
          <cell r="D42">
            <v>613725</v>
          </cell>
          <cell r="H42" t="str">
            <v>4FLR1559-002</v>
          </cell>
          <cell r="V42" t="str">
            <v>Gray Down-004</v>
          </cell>
        </row>
        <row r="43">
          <cell r="B43" t="str">
            <v>1-97710-58</v>
          </cell>
          <cell r="C43" t="str">
            <v>MH43SM16016D</v>
          </cell>
          <cell r="D43">
            <v>614825</v>
          </cell>
          <cell r="H43" t="str">
            <v>Beetle-001</v>
          </cell>
        </row>
        <row r="44">
          <cell r="B44" t="str">
            <v>1-97710-58</v>
          </cell>
          <cell r="C44" t="str">
            <v>MH43SM16016D</v>
          </cell>
          <cell r="D44">
            <v>615885</v>
          </cell>
          <cell r="H44" t="str">
            <v>Beetle-001</v>
          </cell>
        </row>
        <row r="45">
          <cell r="B45" t="str">
            <v>1-97710-03</v>
          </cell>
          <cell r="C45" t="str">
            <v>MH43SM16016D</v>
          </cell>
          <cell r="D45">
            <v>614822</v>
          </cell>
          <cell r="H45" t="str">
            <v>9PRT1507A-002</v>
          </cell>
        </row>
        <row r="46">
          <cell r="B46" t="str">
            <v>1-97710-03</v>
          </cell>
          <cell r="C46" t="str">
            <v>MH43SM16016D</v>
          </cell>
          <cell r="D46">
            <v>614821</v>
          </cell>
          <cell r="H46" t="str">
            <v>9PRT1507A-002</v>
          </cell>
        </row>
        <row r="47">
          <cell r="B47" t="str">
            <v xml:space="preserve">1-92253-58 </v>
          </cell>
          <cell r="C47" t="str">
            <v xml:space="preserve">MH45F117013D </v>
          </cell>
          <cell r="D47">
            <v>614598</v>
          </cell>
          <cell r="H47" t="str">
            <v>BEETLE (19-0312TCX)-003</v>
          </cell>
        </row>
        <row r="48">
          <cell r="B48" t="str">
            <v xml:space="preserve">1-92253-58 </v>
          </cell>
          <cell r="C48" t="str">
            <v xml:space="preserve">MH45F117013D </v>
          </cell>
          <cell r="D48" t="str">
            <v>I614597</v>
          </cell>
          <cell r="H48" t="str">
            <v>BEETLE (19-0312TCX)-003</v>
          </cell>
        </row>
        <row r="49">
          <cell r="B49" t="str">
            <v xml:space="preserve">1-92253-58 </v>
          </cell>
          <cell r="C49" t="str">
            <v xml:space="preserve">MH45F117013D </v>
          </cell>
          <cell r="D49">
            <v>614597</v>
          </cell>
          <cell r="H49" t="str">
            <v>BEETLE (19-0312TCX)-003</v>
          </cell>
        </row>
        <row r="50">
          <cell r="B50" t="str">
            <v xml:space="preserve">1-92253-58E </v>
          </cell>
          <cell r="C50" t="str">
            <v xml:space="preserve">MH45F117013D </v>
          </cell>
          <cell r="D50" t="str">
            <v>E614597</v>
          </cell>
          <cell r="H50" t="str">
            <v>BEETLE (19-0312TCX)-003</v>
          </cell>
        </row>
        <row r="51">
          <cell r="B51" t="str">
            <v xml:space="preserve">1-92253-65 </v>
          </cell>
          <cell r="C51" t="str">
            <v>MH45F117013D</v>
          </cell>
          <cell r="D51">
            <v>614711</v>
          </cell>
          <cell r="H51" t="str">
            <v>Pomegrante-004</v>
          </cell>
        </row>
        <row r="52">
          <cell r="B52" t="str">
            <v xml:space="preserve">1-92253-65E </v>
          </cell>
          <cell r="C52" t="str">
            <v>MH45F117013D</v>
          </cell>
          <cell r="D52" t="str">
            <v>E614711</v>
          </cell>
          <cell r="H52" t="str">
            <v>Pomegrante-004</v>
          </cell>
        </row>
        <row r="53">
          <cell r="B53" t="str">
            <v xml:space="preserve">1-92253-65 </v>
          </cell>
          <cell r="C53" t="str">
            <v>MH45F117013D</v>
          </cell>
          <cell r="D53" t="str">
            <v>I614711</v>
          </cell>
          <cell r="H53" t="str">
            <v>Pomegrante-004</v>
          </cell>
        </row>
        <row r="54">
          <cell r="B54" t="str">
            <v xml:space="preserve">1-92253-01 </v>
          </cell>
          <cell r="C54" t="str">
            <v xml:space="preserve">MH45F117013D </v>
          </cell>
          <cell r="D54">
            <v>614594</v>
          </cell>
          <cell r="H54" t="str">
            <v>CORE BLACK (CSI: 04CW1000175CK)-005</v>
          </cell>
        </row>
        <row r="55">
          <cell r="B55" t="str">
            <v xml:space="preserve">1-92253-01E </v>
          </cell>
          <cell r="C55" t="str">
            <v xml:space="preserve">MH45F117013D </v>
          </cell>
          <cell r="D55" t="str">
            <v>E614594</v>
          </cell>
          <cell r="H55" t="str">
            <v>CORE BLACK (CSI: 04CW1000175CK)-005</v>
          </cell>
        </row>
        <row r="56">
          <cell r="B56" t="str">
            <v xml:space="preserve">1-92253-01 </v>
          </cell>
          <cell r="C56" t="str">
            <v xml:space="preserve">MH45F117013D </v>
          </cell>
          <cell r="D56" t="str">
            <v>I614594</v>
          </cell>
          <cell r="H56" t="str">
            <v>CORE BLACK (CSI: 04CW1000175CK)-005</v>
          </cell>
        </row>
        <row r="57">
          <cell r="B57" t="str">
            <v xml:space="preserve">1-92253-01 </v>
          </cell>
          <cell r="C57" t="str">
            <v xml:space="preserve">MH45F117013D </v>
          </cell>
          <cell r="D57">
            <v>614595</v>
          </cell>
          <cell r="H57" t="str">
            <v>CORE BLACK (CSI: 04CW1000175CK)-005</v>
          </cell>
        </row>
        <row r="58">
          <cell r="B58" t="str">
            <v xml:space="preserve">1-92253-01 </v>
          </cell>
          <cell r="C58" t="str">
            <v xml:space="preserve">MH45F117013D </v>
          </cell>
          <cell r="D58">
            <v>614596</v>
          </cell>
          <cell r="H58" t="str">
            <v>CORE BLACK (CSI: 04CW1000175CK)-005</v>
          </cell>
        </row>
        <row r="59">
          <cell r="B59" t="str">
            <v xml:space="preserve">1-93208-76 </v>
          </cell>
          <cell r="C59" t="str">
            <v>MH43SP18036D</v>
          </cell>
          <cell r="D59">
            <v>614872</v>
          </cell>
          <cell r="H59" t="str">
            <v>9FLR1913-006</v>
          </cell>
        </row>
        <row r="60">
          <cell r="B60" t="str">
            <v xml:space="preserve">1-93208-76 </v>
          </cell>
          <cell r="C60" t="str">
            <v>MH43SP18036D</v>
          </cell>
          <cell r="D60" t="str">
            <v>I614872</v>
          </cell>
          <cell r="H60" t="str">
            <v>9FLR1913-006</v>
          </cell>
        </row>
        <row r="61">
          <cell r="B61" t="str">
            <v>1-93121-45</v>
          </cell>
          <cell r="C61" t="str">
            <v>MH43SP18022D</v>
          </cell>
          <cell r="D61">
            <v>614819</v>
          </cell>
          <cell r="H61" t="str">
            <v>9FLR1623A-007</v>
          </cell>
          <cell r="V61" t="str">
            <v>Primary Navy-007</v>
          </cell>
        </row>
        <row r="62">
          <cell r="B62" t="str">
            <v xml:space="preserve">1-97710-66 </v>
          </cell>
          <cell r="C62" t="str">
            <v>MH43SM16016D</v>
          </cell>
          <cell r="D62">
            <v>614824</v>
          </cell>
          <cell r="H62" t="str">
            <v>9DOT1503H-008</v>
          </cell>
        </row>
        <row r="63">
          <cell r="B63" t="str">
            <v>1-97710-47</v>
          </cell>
          <cell r="C63" t="str">
            <v>MH43SM16016D</v>
          </cell>
          <cell r="D63">
            <v>614823</v>
          </cell>
          <cell r="H63" t="str">
            <v>ALLURE (16-4021 TCX)-009</v>
          </cell>
        </row>
        <row r="64">
          <cell r="B64" t="str">
            <v>1-97710-47</v>
          </cell>
          <cell r="C64" t="str">
            <v>MH43SM16016D</v>
          </cell>
          <cell r="D64" t="str">
            <v>I614823</v>
          </cell>
          <cell r="H64" t="str">
            <v>ALLURE (16-4021 TCX)-009</v>
          </cell>
        </row>
        <row r="65">
          <cell r="B65" t="str">
            <v>1-91508-44</v>
          </cell>
          <cell r="C65" t="str">
            <v>MH45SM17023D</v>
          </cell>
          <cell r="D65">
            <v>614712</v>
          </cell>
          <cell r="H65" t="str">
            <v>9FLR1901A-010</v>
          </cell>
          <cell r="V65" t="str">
            <v>9FLR1902A-010</v>
          </cell>
        </row>
        <row r="66">
          <cell r="B66" t="str">
            <v>1-91508-44E</v>
          </cell>
          <cell r="C66" t="str">
            <v>MH45SM17023D</v>
          </cell>
          <cell r="D66" t="str">
            <v>E614712</v>
          </cell>
          <cell r="H66" t="str">
            <v>9FLR1901A-010</v>
          </cell>
          <cell r="V66" t="str">
            <v>9FLR1902A-010</v>
          </cell>
        </row>
        <row r="67">
          <cell r="B67" t="str">
            <v>1-91508-44</v>
          </cell>
          <cell r="C67" t="str">
            <v>MH45SM17023D</v>
          </cell>
          <cell r="D67" t="str">
            <v>I614712</v>
          </cell>
          <cell r="H67" t="str">
            <v>9FLR1901A-010</v>
          </cell>
          <cell r="V67" t="str">
            <v>9FLR1902A-010</v>
          </cell>
        </row>
        <row r="68">
          <cell r="B68" t="str">
            <v>1-92515-66</v>
          </cell>
          <cell r="C68" t="str">
            <v>MH43F217007D</v>
          </cell>
          <cell r="D68">
            <v>614820</v>
          </cell>
          <cell r="H68" t="str">
            <v>WINETASTING-011</v>
          </cell>
        </row>
        <row r="69">
          <cell r="B69" t="str">
            <v xml:space="preserve">1-13967-71 </v>
          </cell>
          <cell r="C69" t="str">
            <v>PE43F218006D</v>
          </cell>
          <cell r="D69">
            <v>614708</v>
          </cell>
          <cell r="H69" t="str">
            <v>TAWNY OLIVE-003</v>
          </cell>
        </row>
        <row r="70">
          <cell r="B70" t="str">
            <v xml:space="preserve">1-93896-03 </v>
          </cell>
          <cell r="C70" t="str">
            <v>MH57SP18050D</v>
          </cell>
          <cell r="D70">
            <v>614987</v>
          </cell>
          <cell r="H70" t="str">
            <v>9PRT1507A-003</v>
          </cell>
        </row>
        <row r="71">
          <cell r="B71" t="str">
            <v xml:space="preserve">1-93896-03E </v>
          </cell>
          <cell r="C71" t="str">
            <v>MH57SP18050D</v>
          </cell>
          <cell r="D71" t="str">
            <v>E614987</v>
          </cell>
          <cell r="H71" t="str">
            <v>9PRT1507A-003</v>
          </cell>
        </row>
        <row r="72">
          <cell r="B72" t="str">
            <v xml:space="preserve">1-93119-02 </v>
          </cell>
          <cell r="C72" t="str">
            <v>MH43SP18015D</v>
          </cell>
          <cell r="D72">
            <v>614954</v>
          </cell>
          <cell r="H72" t="str">
            <v>9FLR1942-014</v>
          </cell>
        </row>
        <row r="73">
          <cell r="B73" t="str">
            <v xml:space="preserve">1-93119-02 </v>
          </cell>
          <cell r="C73" t="str">
            <v>MH43SP18015D</v>
          </cell>
          <cell r="D73" t="str">
            <v>I614954</v>
          </cell>
          <cell r="H73" t="str">
            <v>9FLR1942-014</v>
          </cell>
        </row>
        <row r="74">
          <cell r="B74" t="str">
            <v xml:space="preserve">1-93119-02 </v>
          </cell>
          <cell r="C74" t="str">
            <v>MH43SP18015D</v>
          </cell>
          <cell r="D74" t="str">
            <v>E614954</v>
          </cell>
          <cell r="H74" t="str">
            <v>9FLR1942-014</v>
          </cell>
        </row>
        <row r="75">
          <cell r="B75" t="str">
            <v>1-93119-46</v>
          </cell>
          <cell r="C75" t="str">
            <v>MH43SP18015D</v>
          </cell>
          <cell r="D75">
            <v>614953</v>
          </cell>
          <cell r="H75" t="str">
            <v>9FLR1901-015</v>
          </cell>
          <cell r="V75" t="str">
            <v>9FLR1902D-015</v>
          </cell>
        </row>
        <row r="76">
          <cell r="B76" t="str">
            <v>1-93119-46</v>
          </cell>
          <cell r="C76" t="str">
            <v>MH43SP18015D</v>
          </cell>
          <cell r="D76" t="str">
            <v>I614953</v>
          </cell>
          <cell r="H76" t="str">
            <v>9FLR1901-015</v>
          </cell>
          <cell r="V76" t="str">
            <v>9FLR1902D-015</v>
          </cell>
        </row>
        <row r="77">
          <cell r="B77" t="str">
            <v>1-93119-46</v>
          </cell>
          <cell r="C77" t="str">
            <v>MH43SP18015D</v>
          </cell>
          <cell r="D77" t="str">
            <v>E614953</v>
          </cell>
          <cell r="H77" t="str">
            <v>9FLR1901-015</v>
          </cell>
          <cell r="V77" t="str">
            <v>9FLR1902D-015</v>
          </cell>
        </row>
        <row r="78">
          <cell r="B78" t="str">
            <v xml:space="preserve">1-93121-13 </v>
          </cell>
          <cell r="C78" t="str">
            <v>MH43SP18022D</v>
          </cell>
          <cell r="D78">
            <v>614817</v>
          </cell>
          <cell r="H78" t="str">
            <v>9FLR1945-016</v>
          </cell>
          <cell r="V78" t="str">
            <v>CORE BLACK-016</v>
          </cell>
        </row>
        <row r="79">
          <cell r="B79" t="str">
            <v xml:space="preserve">1-93121-13 </v>
          </cell>
          <cell r="C79" t="str">
            <v>MH43SP18022D</v>
          </cell>
          <cell r="D79" t="str">
            <v>I614817</v>
          </cell>
          <cell r="H79" t="str">
            <v>9FLR1945-016</v>
          </cell>
          <cell r="V79" t="str">
            <v>CORE BLACK-016</v>
          </cell>
        </row>
        <row r="80">
          <cell r="B80" t="str">
            <v xml:space="preserve">1-93121-13 </v>
          </cell>
          <cell r="C80" t="str">
            <v>MH43SP18022D</v>
          </cell>
          <cell r="D80">
            <v>614818</v>
          </cell>
          <cell r="H80" t="str">
            <v>9FLR1945-016</v>
          </cell>
          <cell r="V80" t="str">
            <v>CORE BLACK-016</v>
          </cell>
        </row>
        <row r="81">
          <cell r="B81" t="str">
            <v>1-13921-45</v>
          </cell>
          <cell r="C81" t="str">
            <v>PE43F118003D</v>
          </cell>
          <cell r="D81">
            <v>614706</v>
          </cell>
          <cell r="H81" t="str">
            <v>1FLR1871-017</v>
          </cell>
        </row>
        <row r="82">
          <cell r="B82" t="str">
            <v>1-94527-44</v>
          </cell>
          <cell r="C82" t="str">
            <v>MH43F118018D</v>
          </cell>
          <cell r="D82">
            <v>614870</v>
          </cell>
          <cell r="H82" t="str">
            <v>PRIMARY NAVY -018</v>
          </cell>
        </row>
        <row r="83">
          <cell r="B83" t="str">
            <v>1-94527-44</v>
          </cell>
          <cell r="C83" t="str">
            <v>MH43F118018D</v>
          </cell>
          <cell r="D83" t="str">
            <v>I614870</v>
          </cell>
          <cell r="H83" t="str">
            <v>PRIMARY NAVY -018</v>
          </cell>
        </row>
        <row r="84">
          <cell r="B84" t="str">
            <v xml:space="preserve">1-94527-76 </v>
          </cell>
          <cell r="C84" t="str">
            <v>MH43F118018D</v>
          </cell>
          <cell r="D84">
            <v>614871</v>
          </cell>
          <cell r="H84" t="str">
            <v>SUDAN BROWN  # 18-1160 TCX-019</v>
          </cell>
        </row>
        <row r="85">
          <cell r="B85" t="str">
            <v xml:space="preserve">1-94527-76 </v>
          </cell>
          <cell r="C85" t="str">
            <v>MH43F118018D</v>
          </cell>
          <cell r="D85" t="str">
            <v>E614871</v>
          </cell>
          <cell r="H85" t="str">
            <v>SUDAN BROWN  # 18-1160 TCX-019</v>
          </cell>
        </row>
        <row r="86">
          <cell r="B86" t="str">
            <v>1-94576-58</v>
          </cell>
          <cell r="C86" t="str">
            <v>MH57F118037D</v>
          </cell>
          <cell r="D86">
            <v>614990</v>
          </cell>
          <cell r="H86" t="str">
            <v>9FLR1893-003</v>
          </cell>
        </row>
        <row r="87">
          <cell r="B87" t="str">
            <v>1-94576-58E</v>
          </cell>
          <cell r="C87" t="str">
            <v>MH57F118037D</v>
          </cell>
          <cell r="D87" t="str">
            <v>E614990</v>
          </cell>
          <cell r="H87" t="str">
            <v>9FLR1893-003</v>
          </cell>
        </row>
        <row r="88">
          <cell r="B88" t="str">
            <v xml:space="preserve">1-13882-61 </v>
          </cell>
          <cell r="C88" t="str">
            <v>PE45F118017D</v>
          </cell>
          <cell r="D88">
            <v>614781</v>
          </cell>
          <cell r="H88" t="str">
            <v>WINETATSING (PT: 19-2118 TCX)-001</v>
          </cell>
        </row>
        <row r="89">
          <cell r="B89" t="str">
            <v xml:space="preserve">1-13882-61 </v>
          </cell>
          <cell r="C89" t="str">
            <v>PE45F118017D</v>
          </cell>
          <cell r="D89" t="str">
            <v>I614781</v>
          </cell>
          <cell r="H89" t="str">
            <v>WINETATSING (PT: 19-2118 TCX)-001</v>
          </cell>
        </row>
        <row r="90">
          <cell r="B90" t="str">
            <v xml:space="preserve">1-13880-45 </v>
          </cell>
          <cell r="C90" t="str">
            <v>PE45F118034D</v>
          </cell>
          <cell r="D90">
            <v>614780</v>
          </cell>
          <cell r="H90" t="str">
            <v>1FLR1809B-002</v>
          </cell>
        </row>
        <row r="91">
          <cell r="B91" t="str">
            <v xml:space="preserve">1-13880-45 </v>
          </cell>
          <cell r="C91" t="str">
            <v>PE45F118034D</v>
          </cell>
          <cell r="D91">
            <v>614780</v>
          </cell>
          <cell r="H91" t="str">
            <v>1FLR1809B-001</v>
          </cell>
        </row>
        <row r="92">
          <cell r="B92" t="str">
            <v xml:space="preserve">1-60918-45 </v>
          </cell>
          <cell r="C92" t="str">
            <v>PE45F118016D</v>
          </cell>
          <cell r="D92">
            <v>614782</v>
          </cell>
          <cell r="H92" t="str">
            <v>1FLR1843-004</v>
          </cell>
        </row>
        <row r="93">
          <cell r="B93" t="str">
            <v xml:space="preserve">1-60918-45 </v>
          </cell>
          <cell r="C93" t="str">
            <v>PE45F118016D</v>
          </cell>
          <cell r="D93">
            <v>614782</v>
          </cell>
          <cell r="H93" t="str">
            <v>1FLR1843-005</v>
          </cell>
        </row>
        <row r="94">
          <cell r="B94" t="str">
            <v xml:space="preserve">1-60918-45 </v>
          </cell>
          <cell r="C94" t="str">
            <v>PE45F118016D</v>
          </cell>
          <cell r="D94" t="str">
            <v>I614782</v>
          </cell>
          <cell r="H94" t="str">
            <v>1FLR1843-004</v>
          </cell>
        </row>
        <row r="95">
          <cell r="B95" t="str">
            <v xml:space="preserve">1-60918-45 </v>
          </cell>
          <cell r="C95" t="str">
            <v>PE45F118016D</v>
          </cell>
          <cell r="D95" t="str">
            <v>I614782</v>
          </cell>
          <cell r="H95" t="str">
            <v>1FLR1843-005</v>
          </cell>
        </row>
        <row r="96">
          <cell r="B96" t="str">
            <v xml:space="preserve">1-90760-44 </v>
          </cell>
          <cell r="C96" t="str">
            <v>MH45SP17036D</v>
          </cell>
          <cell r="D96">
            <v>615383</v>
          </cell>
          <cell r="H96" t="str">
            <v>9FLR1828C-001</v>
          </cell>
        </row>
        <row r="97">
          <cell r="B97" t="str">
            <v>1-90760-44 E</v>
          </cell>
          <cell r="C97" t="str">
            <v>MH45SP17036D</v>
          </cell>
          <cell r="D97" t="str">
            <v>E615383</v>
          </cell>
          <cell r="H97" t="str">
            <v>9FLR1828C-001</v>
          </cell>
        </row>
        <row r="98">
          <cell r="B98" t="str">
            <v>1-13924-61</v>
          </cell>
          <cell r="C98" t="str">
            <v>PE43F118016D</v>
          </cell>
          <cell r="D98">
            <v>615642</v>
          </cell>
          <cell r="H98" t="str">
            <v>1FLR1856A-003</v>
          </cell>
        </row>
        <row r="99">
          <cell r="B99" t="str">
            <v xml:space="preserve">1-94534-86 </v>
          </cell>
          <cell r="C99" t="str">
            <v>MH43F118034D</v>
          </cell>
          <cell r="D99">
            <v>615898</v>
          </cell>
          <cell r="H99" t="str">
            <v>9GEO1654-003</v>
          </cell>
        </row>
        <row r="100">
          <cell r="B100" t="str">
            <v xml:space="preserve">1-94534-86E </v>
          </cell>
          <cell r="C100" t="str">
            <v>MH43F118034D</v>
          </cell>
          <cell r="D100" t="str">
            <v>E615898</v>
          </cell>
          <cell r="H100" t="str">
            <v>9GEO1654-003</v>
          </cell>
        </row>
        <row r="101">
          <cell r="B101" t="str">
            <v xml:space="preserve">1-94540-02 </v>
          </cell>
          <cell r="C101" t="str">
            <v>MH43F118012D</v>
          </cell>
          <cell r="D101">
            <v>615895</v>
          </cell>
          <cell r="H101" t="str">
            <v>9FLR1896-003</v>
          </cell>
        </row>
        <row r="102">
          <cell r="B102" t="str">
            <v xml:space="preserve">1-94540-02E </v>
          </cell>
          <cell r="C102" t="str">
            <v>MH43F118012D</v>
          </cell>
          <cell r="D102" t="str">
            <v>E615895</v>
          </cell>
          <cell r="H102" t="str">
            <v>9FLR1896-003</v>
          </cell>
        </row>
        <row r="103">
          <cell r="B103" t="str">
            <v xml:space="preserve">1-94540-58 </v>
          </cell>
          <cell r="C103" t="str">
            <v>MH43F118012D</v>
          </cell>
          <cell r="D103">
            <v>615897</v>
          </cell>
          <cell r="H103" t="str">
            <v>9FLR1893-002</v>
          </cell>
        </row>
        <row r="104">
          <cell r="B104" t="str">
            <v xml:space="preserve">1-94540-58 </v>
          </cell>
          <cell r="C104" t="str">
            <v>MH43F118012D</v>
          </cell>
          <cell r="D104" t="str">
            <v>I615897</v>
          </cell>
          <cell r="H104" t="str">
            <v>9FLR1893-002</v>
          </cell>
        </row>
        <row r="105">
          <cell r="B105" t="str">
            <v xml:space="preserve">1-94540-58E </v>
          </cell>
          <cell r="C105" t="str">
            <v>MH43F118012D</v>
          </cell>
          <cell r="D105" t="str">
            <v>E615897</v>
          </cell>
          <cell r="H105" t="str">
            <v>9FLR1893-002</v>
          </cell>
        </row>
        <row r="106">
          <cell r="B106" t="str">
            <v>1-94540-65</v>
          </cell>
          <cell r="C106" t="str">
            <v>MH43F118012D</v>
          </cell>
          <cell r="D106">
            <v>615896</v>
          </cell>
          <cell r="H106" t="str">
            <v>MARS RED: 18-1655 TCX-003</v>
          </cell>
        </row>
        <row r="107">
          <cell r="B107" t="str">
            <v>1-94540-65E</v>
          </cell>
          <cell r="C107" t="str">
            <v>MH43F118012D</v>
          </cell>
          <cell r="D107" t="str">
            <v>E615896</v>
          </cell>
          <cell r="H107" t="str">
            <v>MARS RED: 18-1655 TCX-003</v>
          </cell>
        </row>
        <row r="108">
          <cell r="B108" t="str">
            <v>1-94540-65I</v>
          </cell>
          <cell r="C108" t="str">
            <v>MH43F118012D</v>
          </cell>
          <cell r="D108" t="str">
            <v>I615896</v>
          </cell>
          <cell r="H108" t="str">
            <v>MARS RED: 18-1655 TCX-003</v>
          </cell>
        </row>
        <row r="109">
          <cell r="B109" t="str">
            <v xml:space="preserve">1-93402-44 </v>
          </cell>
          <cell r="C109" t="str">
            <v>MH57SP18031D</v>
          </cell>
          <cell r="D109">
            <v>616011</v>
          </cell>
          <cell r="H109" t="str">
            <v>9FLR1828C-002</v>
          </cell>
        </row>
        <row r="110">
          <cell r="B110" t="str">
            <v xml:space="preserve">1-93358-45 </v>
          </cell>
          <cell r="C110" t="str">
            <v>MH43SP18021D</v>
          </cell>
          <cell r="D110">
            <v>615899</v>
          </cell>
          <cell r="H110" t="str">
            <v>9FLR1828C-002</v>
          </cell>
        </row>
        <row r="111">
          <cell r="B111" t="str">
            <v xml:space="preserve">1-93358-45I </v>
          </cell>
          <cell r="C111" t="str">
            <v>MH43SP18021D</v>
          </cell>
          <cell r="D111" t="str">
            <v>I615899</v>
          </cell>
          <cell r="H111" t="str">
            <v>9FLR1828C-002</v>
          </cell>
        </row>
        <row r="112">
          <cell r="B112" t="str">
            <v>1-13967-45</v>
          </cell>
          <cell r="C112" t="str">
            <v>PE43F218006D</v>
          </cell>
          <cell r="D112">
            <v>616059</v>
          </cell>
          <cell r="H112" t="str">
            <v>1FLR1843-001</v>
          </cell>
        </row>
        <row r="113">
          <cell r="B113" t="str">
            <v>1-13967-45</v>
          </cell>
          <cell r="C113" t="str">
            <v>PE43F218006D</v>
          </cell>
          <cell r="D113" t="str">
            <v>I616059</v>
          </cell>
          <cell r="H113" t="str">
            <v>1FLR1843-001</v>
          </cell>
        </row>
        <row r="114">
          <cell r="B114" t="str">
            <v xml:space="preserve">1-13967-12 </v>
          </cell>
          <cell r="C114" t="str">
            <v>PE43F218006D</v>
          </cell>
          <cell r="D114">
            <v>616060</v>
          </cell>
          <cell r="H114" t="str">
            <v>1PRT1729-001</v>
          </cell>
        </row>
        <row r="115">
          <cell r="B115" t="str">
            <v xml:space="preserve">1-94237-44 </v>
          </cell>
          <cell r="C115" t="str">
            <v>MH45F118030D</v>
          </cell>
          <cell r="D115">
            <v>615833</v>
          </cell>
          <cell r="H115" t="str">
            <v>9STR1614-002</v>
          </cell>
        </row>
        <row r="116">
          <cell r="B116" t="str">
            <v xml:space="preserve">1-94237-44E </v>
          </cell>
          <cell r="C116" t="str">
            <v>MH45F118030D</v>
          </cell>
          <cell r="D116" t="str">
            <v>E615833</v>
          </cell>
          <cell r="H116" t="str">
            <v>9STR1614-002</v>
          </cell>
        </row>
        <row r="117">
          <cell r="B117" t="str">
            <v xml:space="preserve">1-94237-44I </v>
          </cell>
          <cell r="C117" t="str">
            <v>MH45F118030D</v>
          </cell>
          <cell r="D117" t="str">
            <v>I615833</v>
          </cell>
          <cell r="H117" t="str">
            <v>9STR1614-002</v>
          </cell>
        </row>
        <row r="118">
          <cell r="B118" t="str">
            <v xml:space="preserve">1-70408-38 </v>
          </cell>
          <cell r="C118" t="str">
            <v>PE43F118009D</v>
          </cell>
          <cell r="D118">
            <v>615631</v>
          </cell>
          <cell r="H118" t="str">
            <v>SMOCKED PAPRIKA (19-1429TCX)-001</v>
          </cell>
        </row>
        <row r="119">
          <cell r="B119" t="str">
            <v xml:space="preserve">1-70408-38I </v>
          </cell>
          <cell r="C119" t="str">
            <v>PE43F118009D</v>
          </cell>
          <cell r="D119" t="str">
            <v>I615631</v>
          </cell>
          <cell r="H119" t="str">
            <v>SMOCKED PAPRIKA (19-1429TCX)-001</v>
          </cell>
        </row>
        <row r="120">
          <cell r="B120" t="str">
            <v xml:space="preserve">1-60951-54 </v>
          </cell>
          <cell r="C120" t="str">
            <v>PE43F118012D</v>
          </cell>
          <cell r="D120">
            <v>616069</v>
          </cell>
          <cell r="H120" t="str">
            <v>1PRT1722-001</v>
          </cell>
        </row>
        <row r="121">
          <cell r="B121" t="str">
            <v xml:space="preserve">1-60951-54I </v>
          </cell>
          <cell r="C121" t="str">
            <v>PE43F118012D</v>
          </cell>
          <cell r="D121" t="str">
            <v>I616069</v>
          </cell>
          <cell r="H121" t="str">
            <v>1PRT1722-001</v>
          </cell>
        </row>
        <row r="122">
          <cell r="B122" t="str">
            <v>1-13967-54</v>
          </cell>
          <cell r="C122" t="str">
            <v>PE43F218006D</v>
          </cell>
          <cell r="D122">
            <v>615865</v>
          </cell>
          <cell r="H122" t="str">
            <v>Sea Moss-001</v>
          </cell>
        </row>
        <row r="123">
          <cell r="B123" t="str">
            <v xml:space="preserve">1-94505-66 </v>
          </cell>
          <cell r="C123" t="str">
            <v>MH43F118040D</v>
          </cell>
          <cell r="D123">
            <v>616865</v>
          </cell>
          <cell r="H123" t="str">
            <v>9FLR1900-001</v>
          </cell>
        </row>
        <row r="124">
          <cell r="B124" t="str">
            <v xml:space="preserve">1-94505-66E </v>
          </cell>
          <cell r="C124" t="str">
            <v>MH43F118040D</v>
          </cell>
          <cell r="D124" t="str">
            <v>E616865</v>
          </cell>
          <cell r="H124" t="str">
            <v>9FLR1900-001</v>
          </cell>
        </row>
        <row r="125">
          <cell r="B125" t="str">
            <v>1-94505-02</v>
          </cell>
          <cell r="C125" t="str">
            <v>MH43F118040D</v>
          </cell>
          <cell r="D125">
            <v>616866</v>
          </cell>
          <cell r="H125" t="str">
            <v>JASPER-001</v>
          </cell>
        </row>
        <row r="126">
          <cell r="B126" t="str">
            <v>1-94505-02</v>
          </cell>
          <cell r="C126" t="str">
            <v>MH43F118040D</v>
          </cell>
          <cell r="D126" t="str">
            <v>I616866</v>
          </cell>
          <cell r="H126" t="str">
            <v>JASPER-001</v>
          </cell>
        </row>
        <row r="127">
          <cell r="B127" t="str">
            <v>1-94505-02E</v>
          </cell>
          <cell r="C127" t="str">
            <v>MH43F118040D</v>
          </cell>
          <cell r="D127" t="str">
            <v>E616866</v>
          </cell>
          <cell r="H127" t="str">
            <v>JASPER-001</v>
          </cell>
        </row>
        <row r="128">
          <cell r="B128" t="str">
            <v>1-94505-01</v>
          </cell>
          <cell r="C128" t="str">
            <v>MH43F118040D</v>
          </cell>
          <cell r="D128">
            <v>616868</v>
          </cell>
          <cell r="H128" t="str">
            <v>CORE BLACK-002</v>
          </cell>
        </row>
        <row r="129">
          <cell r="B129" t="str">
            <v>1-94505-01</v>
          </cell>
          <cell r="C129" t="str">
            <v>MH43F118040D</v>
          </cell>
          <cell r="D129" t="str">
            <v>I616868</v>
          </cell>
          <cell r="H129" t="str">
            <v>CORE BLACK-002</v>
          </cell>
        </row>
        <row r="130">
          <cell r="B130" t="str">
            <v>1-94505-01E</v>
          </cell>
          <cell r="C130" t="str">
            <v>MH43F118040D</v>
          </cell>
          <cell r="D130" t="str">
            <v>E616868</v>
          </cell>
          <cell r="H130" t="str">
            <v>CORE BLACK-002</v>
          </cell>
        </row>
        <row r="131">
          <cell r="B131" t="str">
            <v>1-94505-01</v>
          </cell>
          <cell r="C131" t="str">
            <v>MH43F118040D</v>
          </cell>
          <cell r="D131">
            <v>617218</v>
          </cell>
          <cell r="H131" t="str">
            <v>CORE BLACK-001</v>
          </cell>
        </row>
        <row r="132">
          <cell r="B132" t="str">
            <v>1-94505-01E</v>
          </cell>
          <cell r="C132" t="str">
            <v>MH43F118040D</v>
          </cell>
          <cell r="D132" t="str">
            <v>E617218</v>
          </cell>
          <cell r="H132" t="str">
            <v>CORE BLACK-001</v>
          </cell>
        </row>
        <row r="133">
          <cell r="B133" t="str">
            <v>1-94505-01</v>
          </cell>
          <cell r="C133" t="str">
            <v>MH43F118040D</v>
          </cell>
          <cell r="D133">
            <v>617219</v>
          </cell>
          <cell r="H133" t="str">
            <v>CORE BLACK-001</v>
          </cell>
        </row>
        <row r="134">
          <cell r="B134" t="str">
            <v>1-92253-01</v>
          </cell>
          <cell r="C134" t="str">
            <v xml:space="preserve">MH45F117013D </v>
          </cell>
          <cell r="D134">
            <v>618262</v>
          </cell>
          <cell r="H134" t="str">
            <v>CORE BLACK-001</v>
          </cell>
        </row>
        <row r="135">
          <cell r="B135" t="str">
            <v xml:space="preserve">1-92253-01E </v>
          </cell>
          <cell r="C135" t="str">
            <v xml:space="preserve">MH45F117013D </v>
          </cell>
          <cell r="D135" t="str">
            <v>E618262</v>
          </cell>
          <cell r="H135" t="str">
            <v>CORE BLACK-001</v>
          </cell>
        </row>
        <row r="136">
          <cell r="B136" t="str">
            <v>1-92253-01</v>
          </cell>
          <cell r="C136" t="str">
            <v xml:space="preserve">MH45F117013D </v>
          </cell>
          <cell r="D136">
            <v>618263</v>
          </cell>
          <cell r="H136" t="str">
            <v>CORE BLACK-001</v>
          </cell>
        </row>
        <row r="137">
          <cell r="B137" t="str">
            <v>1-96281-46</v>
          </cell>
          <cell r="C137" t="str">
            <v>MH43SP16034D</v>
          </cell>
          <cell r="D137">
            <v>618297</v>
          </cell>
          <cell r="H137" t="str">
            <v>9FLR1918A-002</v>
          </cell>
        </row>
        <row r="138">
          <cell r="B138" t="str">
            <v>1-96281-46E</v>
          </cell>
          <cell r="C138" t="str">
            <v>MH43SP16034D</v>
          </cell>
          <cell r="D138" t="str">
            <v>E618297</v>
          </cell>
          <cell r="H138" t="str">
            <v>9FLR1918A-002</v>
          </cell>
        </row>
        <row r="139">
          <cell r="B139" t="str">
            <v>1-13967-13</v>
          </cell>
          <cell r="C139" t="str">
            <v>PE43F218006D</v>
          </cell>
          <cell r="D139">
            <v>618178</v>
          </cell>
          <cell r="H139" t="str">
            <v>1PRT1737-003</v>
          </cell>
        </row>
        <row r="140">
          <cell r="B140" t="str">
            <v>1-13967-01</v>
          </cell>
          <cell r="C140" t="str">
            <v>PE43F218006D</v>
          </cell>
          <cell r="D140">
            <v>618174</v>
          </cell>
          <cell r="H140" t="str">
            <v>1FLR1901-003</v>
          </cell>
        </row>
        <row r="141">
          <cell r="B141" t="str">
            <v>1-93121-05</v>
          </cell>
          <cell r="C141" t="str">
            <v>MH43SP18022D</v>
          </cell>
          <cell r="D141">
            <v>618533</v>
          </cell>
          <cell r="H141" t="str">
            <v>9FLR1992-004</v>
          </cell>
          <cell r="V141" t="str">
            <v>ASH ROSE 17 1514 TCX-004</v>
          </cell>
        </row>
        <row r="142">
          <cell r="B142" t="str">
            <v>1-93121-05</v>
          </cell>
          <cell r="C142" t="str">
            <v>MH43SP18022D</v>
          </cell>
          <cell r="D142">
            <v>618532</v>
          </cell>
          <cell r="H142" t="str">
            <v>9FLR1992-004</v>
          </cell>
          <cell r="V142" t="str">
            <v>ASH ROSE 17 1514 TCX-004</v>
          </cell>
        </row>
        <row r="143">
          <cell r="B143" t="str">
            <v>1-93121-05E</v>
          </cell>
          <cell r="C143" t="str">
            <v>MH43SP18022D</v>
          </cell>
          <cell r="D143" t="str">
            <v>E618532</v>
          </cell>
          <cell r="H143" t="str">
            <v>9FLR1992-004</v>
          </cell>
          <cell r="V143" t="str">
            <v>ASH ROSE 17 1514 TCX-004</v>
          </cell>
        </row>
        <row r="144">
          <cell r="B144" t="str">
            <v>1-93121-04</v>
          </cell>
          <cell r="C144" t="str">
            <v>MH43SP18022D</v>
          </cell>
          <cell r="D144">
            <v>618531</v>
          </cell>
          <cell r="H144" t="str">
            <v>9FLR1922-004</v>
          </cell>
          <cell r="V144" t="str">
            <v>ASHLEY BLUE 16 4013 TCX-004</v>
          </cell>
        </row>
        <row r="145">
          <cell r="B145" t="str">
            <v>1-93121-04E</v>
          </cell>
          <cell r="C145" t="str">
            <v>MH43SP18022D</v>
          </cell>
          <cell r="D145" t="str">
            <v>E618531</v>
          </cell>
          <cell r="H145" t="str">
            <v>9FLR1922-004</v>
          </cell>
          <cell r="V145" t="str">
            <v>ASHLEY BLUE 16 4013 TCX-004</v>
          </cell>
        </row>
        <row r="146">
          <cell r="B146" t="str">
            <v>1-93121-04I</v>
          </cell>
          <cell r="C146" t="str">
            <v>MH43SP18022D</v>
          </cell>
          <cell r="D146" t="str">
            <v>I618531</v>
          </cell>
          <cell r="H146" t="str">
            <v>9FLR1922-004</v>
          </cell>
          <cell r="V146" t="str">
            <v>ASHLEY BLUE 16 4013 TCX-004</v>
          </cell>
        </row>
        <row r="147">
          <cell r="B147" t="str">
            <v>1-93121-46</v>
          </cell>
          <cell r="C147" t="str">
            <v>MH43SP18022D</v>
          </cell>
          <cell r="D147">
            <v>618530</v>
          </cell>
          <cell r="H147" t="str">
            <v>9FLR1920-004</v>
          </cell>
          <cell r="V147" t="str">
            <v>CORE BLACK-004</v>
          </cell>
        </row>
        <row r="148">
          <cell r="B148" t="str">
            <v>1-93121-46E</v>
          </cell>
          <cell r="C148" t="str">
            <v>MH43SP18022D</v>
          </cell>
          <cell r="D148" t="str">
            <v>E618530</v>
          </cell>
          <cell r="H148" t="str">
            <v>9FLR1920-004</v>
          </cell>
          <cell r="V148" t="str">
            <v>CORE BLACK-004</v>
          </cell>
        </row>
        <row r="149">
          <cell r="B149" t="str">
            <v>1-93121-46I</v>
          </cell>
          <cell r="C149" t="str">
            <v>MH43SP18022D</v>
          </cell>
          <cell r="D149" t="str">
            <v>I618530</v>
          </cell>
          <cell r="H149" t="str">
            <v>9FLR1920-004</v>
          </cell>
          <cell r="V149" t="str">
            <v>CORE BLACK-004</v>
          </cell>
        </row>
        <row r="150">
          <cell r="B150" t="str">
            <v>1-93121-46</v>
          </cell>
          <cell r="C150" t="str">
            <v>MH43SP18022D</v>
          </cell>
          <cell r="D150">
            <v>618534</v>
          </cell>
          <cell r="H150" t="str">
            <v>9FLR1981-004</v>
          </cell>
          <cell r="V150" t="str">
            <v>CORE BLACK-004</v>
          </cell>
        </row>
        <row r="151">
          <cell r="B151" t="str">
            <v>1-93121-46E</v>
          </cell>
          <cell r="C151" t="str">
            <v>MH43SP18022D</v>
          </cell>
          <cell r="D151" t="str">
            <v>E618534</v>
          </cell>
          <cell r="H151" t="str">
            <v>9FLR1981-004</v>
          </cell>
          <cell r="V151" t="str">
            <v>CORE BLACK-004</v>
          </cell>
        </row>
        <row r="152">
          <cell r="B152" t="str">
            <v>1-94804-44</v>
          </cell>
          <cell r="C152" t="str">
            <v>MH43F218017D</v>
          </cell>
          <cell r="D152">
            <v>618553</v>
          </cell>
          <cell r="H152" t="str">
            <v>LEGION BLUE-001</v>
          </cell>
        </row>
        <row r="153">
          <cell r="B153" t="str">
            <v>1-94804-44E</v>
          </cell>
          <cell r="C153" t="str">
            <v>MH43F218017D</v>
          </cell>
          <cell r="D153" t="str">
            <v>E618553</v>
          </cell>
          <cell r="H153" t="str">
            <v>LEGION BLUE-001</v>
          </cell>
        </row>
        <row r="154">
          <cell r="B154" t="str">
            <v>1-94804-44I</v>
          </cell>
          <cell r="C154" t="str">
            <v>MH43F218017D</v>
          </cell>
          <cell r="D154" t="str">
            <v>I618553</v>
          </cell>
          <cell r="H154" t="str">
            <v>LEGION BLUE-001</v>
          </cell>
        </row>
        <row r="155">
          <cell r="B155" t="str">
            <v>1-94804-01</v>
          </cell>
          <cell r="C155" t="str">
            <v>MH43F218017D</v>
          </cell>
          <cell r="D155">
            <v>618555</v>
          </cell>
          <cell r="H155" t="str">
            <v>9FLR1928A-001</v>
          </cell>
        </row>
        <row r="156">
          <cell r="B156" t="str">
            <v>1-94804-01E</v>
          </cell>
          <cell r="C156" t="str">
            <v>MH43F218017D</v>
          </cell>
          <cell r="D156" t="str">
            <v>E618555</v>
          </cell>
          <cell r="H156" t="str">
            <v>9FLR1928A-001</v>
          </cell>
        </row>
        <row r="157">
          <cell r="B157" t="str">
            <v>1-94804-01</v>
          </cell>
          <cell r="C157" t="str">
            <v>MH43F218017D</v>
          </cell>
          <cell r="D157">
            <v>618552</v>
          </cell>
          <cell r="H157" t="str">
            <v>9FLR1918-001</v>
          </cell>
        </row>
        <row r="158">
          <cell r="B158" t="str">
            <v>1-94804-01E</v>
          </cell>
          <cell r="C158" t="str">
            <v>MH43F218017D</v>
          </cell>
          <cell r="D158" t="str">
            <v>E618552</v>
          </cell>
          <cell r="H158" t="str">
            <v>9FLR1918-001</v>
          </cell>
        </row>
        <row r="159">
          <cell r="B159" t="str">
            <v>1-95070-65</v>
          </cell>
          <cell r="C159" t="str">
            <v>MH57F218005D</v>
          </cell>
          <cell r="D159">
            <v>618618</v>
          </cell>
          <cell r="H159" t="str">
            <v>9FLR1918-001</v>
          </cell>
        </row>
        <row r="160">
          <cell r="B160" t="str">
            <v>1-94505-86</v>
          </cell>
          <cell r="C160" t="str">
            <v>MH43F118040D</v>
          </cell>
          <cell r="D160">
            <v>618576</v>
          </cell>
          <cell r="H160" t="str">
            <v>DEAUVILLEMAUVE-001</v>
          </cell>
        </row>
        <row r="161">
          <cell r="B161" t="str">
            <v>1-94505-86E</v>
          </cell>
          <cell r="C161" t="str">
            <v>MH43F118040D</v>
          </cell>
          <cell r="D161" t="str">
            <v>E618576</v>
          </cell>
          <cell r="H161" t="str">
            <v>DEAUVILLEMAUVE-001</v>
          </cell>
        </row>
        <row r="162">
          <cell r="B162" t="str">
            <v>1-94505-03</v>
          </cell>
          <cell r="C162" t="str">
            <v>MH43F118040D</v>
          </cell>
          <cell r="D162">
            <v>618551</v>
          </cell>
          <cell r="H162" t="str">
            <v>9FLR1926-001</v>
          </cell>
        </row>
        <row r="163">
          <cell r="B163" t="str">
            <v>1-94505-03E</v>
          </cell>
          <cell r="C163" t="str">
            <v>MH43F118040D</v>
          </cell>
          <cell r="D163" t="str">
            <v>E618551</v>
          </cell>
          <cell r="H163" t="str">
            <v>9FLR1926-001</v>
          </cell>
        </row>
        <row r="164">
          <cell r="B164" t="str">
            <v>1-94505-29</v>
          </cell>
          <cell r="C164" t="str">
            <v>MH43F118040D</v>
          </cell>
          <cell r="D164">
            <v>618550</v>
          </cell>
          <cell r="H164" t="str">
            <v>9PRT1749-001</v>
          </cell>
        </row>
        <row r="165">
          <cell r="B165" t="str">
            <v>1-94505-29</v>
          </cell>
          <cell r="C165" t="str">
            <v>MH43F118040D</v>
          </cell>
          <cell r="D165">
            <v>618549</v>
          </cell>
          <cell r="H165" t="str">
            <v>9PRT1749-001</v>
          </cell>
        </row>
        <row r="166">
          <cell r="B166" t="str">
            <v>1-94505-29E</v>
          </cell>
          <cell r="C166" t="str">
            <v>MH43F118040D</v>
          </cell>
          <cell r="D166" t="str">
            <v>E618549</v>
          </cell>
          <cell r="H166" t="str">
            <v>9PRT1749-001</v>
          </cell>
        </row>
        <row r="167">
          <cell r="B167" t="str">
            <v>1-96281-89</v>
          </cell>
          <cell r="C167" t="str">
            <v>MH43SP16034D</v>
          </cell>
          <cell r="D167">
            <v>618573</v>
          </cell>
          <cell r="H167" t="str">
            <v>9FLR1928-002</v>
          </cell>
        </row>
        <row r="168">
          <cell r="B168" t="str">
            <v>1-96281-89E</v>
          </cell>
          <cell r="C168" t="str">
            <v>MH43SP16034D</v>
          </cell>
          <cell r="D168" t="str">
            <v>E618573</v>
          </cell>
          <cell r="H168" t="str">
            <v>9FLR1928-002</v>
          </cell>
        </row>
        <row r="169">
          <cell r="B169" t="str">
            <v>1-96281-91</v>
          </cell>
          <cell r="C169" t="str">
            <v>MH43SP16034D</v>
          </cell>
          <cell r="D169">
            <v>618583</v>
          </cell>
          <cell r="H169" t="str">
            <v>9DOT1619-002</v>
          </cell>
        </row>
        <row r="170">
          <cell r="B170" t="str">
            <v>1-96281-91E</v>
          </cell>
          <cell r="C170" t="str">
            <v>MH43SP16034D</v>
          </cell>
          <cell r="D170" t="str">
            <v>E618583</v>
          </cell>
          <cell r="H170" t="str">
            <v>9DOT1619-002</v>
          </cell>
        </row>
        <row r="171">
          <cell r="B171" t="str">
            <v>1-96281-91I</v>
          </cell>
          <cell r="C171" t="str">
            <v>MH43SP16034D</v>
          </cell>
          <cell r="D171" t="str">
            <v>I618583</v>
          </cell>
          <cell r="H171" t="str">
            <v>9DOT1619-002</v>
          </cell>
        </row>
        <row r="172">
          <cell r="B172" t="str">
            <v>1-96281-91</v>
          </cell>
          <cell r="C172" t="str">
            <v>MH43SP16034D</v>
          </cell>
          <cell r="D172">
            <v>618584</v>
          </cell>
          <cell r="H172" t="str">
            <v>9DOT1619-002</v>
          </cell>
        </row>
        <row r="173">
          <cell r="B173" t="str">
            <v>1-60989-61</v>
          </cell>
          <cell r="C173" t="str">
            <v>PE43F218020D</v>
          </cell>
          <cell r="D173">
            <v>618593</v>
          </cell>
          <cell r="H173" t="str">
            <v>WINETASTING 19-2118 TCX-003</v>
          </cell>
        </row>
        <row r="174">
          <cell r="B174" t="str">
            <v>1-60989-54</v>
          </cell>
          <cell r="C174" t="str">
            <v>PE43F218020D</v>
          </cell>
          <cell r="D174">
            <v>618592</v>
          </cell>
          <cell r="H174" t="str">
            <v>1FLR1840-003</v>
          </cell>
        </row>
        <row r="175">
          <cell r="B175" t="str">
            <v>1-93428-39</v>
          </cell>
          <cell r="C175" t="str">
            <v>MH43SP18027D</v>
          </cell>
          <cell r="D175">
            <v>618565</v>
          </cell>
          <cell r="H175" t="str">
            <v>9FLR1981-002</v>
          </cell>
        </row>
        <row r="176">
          <cell r="B176" t="str">
            <v>1-93428-39E</v>
          </cell>
          <cell r="C176" t="str">
            <v>MH43SP18027D</v>
          </cell>
          <cell r="D176" t="str">
            <v>E618565</v>
          </cell>
          <cell r="H176" t="str">
            <v>9FLR1981-002</v>
          </cell>
        </row>
        <row r="177">
          <cell r="B177" t="str">
            <v>1-97710-58</v>
          </cell>
          <cell r="C177" t="str">
            <v>MH43SM16016D</v>
          </cell>
          <cell r="D177">
            <v>619041</v>
          </cell>
          <cell r="H177" t="str">
            <v>BEETLE-001</v>
          </cell>
        </row>
        <row r="178">
          <cell r="B178" t="str">
            <v>1-97710-58E</v>
          </cell>
          <cell r="C178" t="str">
            <v>MH43SM16016D</v>
          </cell>
          <cell r="D178" t="str">
            <v>E619041</v>
          </cell>
          <cell r="H178" t="str">
            <v>BEETLE-001</v>
          </cell>
        </row>
        <row r="179">
          <cell r="B179" t="str">
            <v>1-97710-67</v>
          </cell>
          <cell r="C179" t="str">
            <v>MH43SM16016D</v>
          </cell>
          <cell r="D179">
            <v>619037</v>
          </cell>
          <cell r="H179" t="str">
            <v>9FLR1922A-001</v>
          </cell>
        </row>
        <row r="180">
          <cell r="B180" t="str">
            <v>1-97710-67E</v>
          </cell>
          <cell r="C180" t="str">
            <v>MH43SM16016D</v>
          </cell>
          <cell r="D180" t="str">
            <v>E619037</v>
          </cell>
          <cell r="H180" t="str">
            <v>9FLR1922A-001</v>
          </cell>
        </row>
        <row r="181">
          <cell r="B181" t="str">
            <v>1-94841-45</v>
          </cell>
          <cell r="C181" t="str">
            <v>MH76F218004D</v>
          </cell>
          <cell r="D181">
            <v>618782</v>
          </cell>
          <cell r="H181" t="str">
            <v>7FLR1708-001</v>
          </cell>
        </row>
        <row r="182">
          <cell r="B182" t="str">
            <v>1-61870-82</v>
          </cell>
          <cell r="C182" t="str">
            <v>PE43F218010D</v>
          </cell>
          <cell r="D182">
            <v>619690</v>
          </cell>
          <cell r="H182" t="str">
            <v>1FLR1942-001</v>
          </cell>
        </row>
        <row r="183">
          <cell r="B183" t="str">
            <v>1-95209-39</v>
          </cell>
          <cell r="C183" t="str">
            <v>MH57F218025D</v>
          </cell>
          <cell r="D183">
            <v>619839</v>
          </cell>
          <cell r="H183" t="str">
            <v>9FLR1981-001</v>
          </cell>
        </row>
        <row r="184">
          <cell r="B184" t="str">
            <v>1-94989-39</v>
          </cell>
          <cell r="C184" t="str">
            <v>MH43F218030D</v>
          </cell>
          <cell r="D184">
            <v>619831</v>
          </cell>
          <cell r="H184" t="str">
            <v>MADDER BROWN 19-1331-001</v>
          </cell>
        </row>
        <row r="185">
          <cell r="B185" t="str">
            <v>1-94989-58</v>
          </cell>
          <cell r="C185" t="str">
            <v>MH43F218030D</v>
          </cell>
          <cell r="D185">
            <v>619832</v>
          </cell>
          <cell r="H185" t="str">
            <v>FOREST NIGHT 19-0414-001</v>
          </cell>
        </row>
        <row r="186">
          <cell r="B186" t="str">
            <v>1-95219-01</v>
          </cell>
          <cell r="C186" t="str">
            <v>MH43SP19047D</v>
          </cell>
          <cell r="D186">
            <v>620976</v>
          </cell>
          <cell r="H186" t="str">
            <v>9DOT1619-001</v>
          </cell>
        </row>
        <row r="187">
          <cell r="B187" t="str">
            <v>1-95219-01</v>
          </cell>
          <cell r="C187" t="str">
            <v>MH43SP19047D</v>
          </cell>
          <cell r="D187">
            <v>621643</v>
          </cell>
          <cell r="H187" t="str">
            <v>9DOT1619-001</v>
          </cell>
        </row>
        <row r="188">
          <cell r="B188" t="str">
            <v>1-95467-01</v>
          </cell>
          <cell r="C188" t="str">
            <v>MH57SP19004D</v>
          </cell>
          <cell r="D188">
            <v>623894</v>
          </cell>
          <cell r="H188" t="str">
            <v>9DOT1619-001</v>
          </cell>
        </row>
        <row r="189">
          <cell r="B189" t="str">
            <v>1-95219-01E</v>
          </cell>
          <cell r="C189" t="str">
            <v>MH43SP19047D</v>
          </cell>
          <cell r="D189" t="str">
            <v>E621643</v>
          </cell>
          <cell r="H189" t="str">
            <v>9DOT1619-001</v>
          </cell>
        </row>
        <row r="190">
          <cell r="B190" t="str">
            <v>1-95219-01</v>
          </cell>
          <cell r="C190" t="str">
            <v>MH43SP19047D</v>
          </cell>
          <cell r="D190">
            <v>621647</v>
          </cell>
          <cell r="H190" t="str">
            <v>9DOT1619-001</v>
          </cell>
        </row>
        <row r="191">
          <cell r="B191" t="str">
            <v>1-95219-01</v>
          </cell>
          <cell r="C191" t="str">
            <v>MH43SP19047D</v>
          </cell>
          <cell r="D191">
            <v>621652</v>
          </cell>
          <cell r="H191" t="str">
            <v>9DOT1619-001</v>
          </cell>
        </row>
        <row r="192">
          <cell r="B192" t="str">
            <v>1-95219-14</v>
          </cell>
          <cell r="C192" t="str">
            <v>MH43SP19047D</v>
          </cell>
          <cell r="D192">
            <v>621729</v>
          </cell>
          <cell r="H192" t="str">
            <v>9DOT1628B-001</v>
          </cell>
        </row>
        <row r="193">
          <cell r="B193" t="str">
            <v>1-95219-14</v>
          </cell>
          <cell r="C193" t="str">
            <v>MH43SP19047D</v>
          </cell>
          <cell r="D193">
            <v>622700</v>
          </cell>
          <cell r="H193" t="str">
            <v>9DOT1628B-001</v>
          </cell>
        </row>
        <row r="194">
          <cell r="B194" t="str">
            <v>1-95219-14E</v>
          </cell>
          <cell r="C194" t="str">
            <v>MH43SP19047D</v>
          </cell>
          <cell r="D194" t="str">
            <v>E621729</v>
          </cell>
          <cell r="H194" t="str">
            <v>9DOT1628B-001</v>
          </cell>
        </row>
        <row r="195">
          <cell r="B195" t="str">
            <v>1-95219-86</v>
          </cell>
          <cell r="C195" t="str">
            <v>MH43SP19047D</v>
          </cell>
          <cell r="D195">
            <v>621730</v>
          </cell>
          <cell r="H195" t="str">
            <v>9FLR2020-001</v>
          </cell>
        </row>
        <row r="196">
          <cell r="B196" t="str">
            <v>1-95467-87</v>
          </cell>
          <cell r="C196" t="str">
            <v>MH57SP19004D</v>
          </cell>
          <cell r="D196">
            <v>621773</v>
          </cell>
          <cell r="H196" t="str">
            <v>9FLR2020-001</v>
          </cell>
        </row>
        <row r="197">
          <cell r="B197" t="str">
            <v>1-95467-87E</v>
          </cell>
          <cell r="C197" t="str">
            <v>MH57SP19004D</v>
          </cell>
          <cell r="D197" t="str">
            <v>E621773</v>
          </cell>
          <cell r="H197" t="str">
            <v>9FLR2020-001</v>
          </cell>
        </row>
        <row r="198">
          <cell r="B198" t="str">
            <v>1-95219-45</v>
          </cell>
          <cell r="C198" t="str">
            <v>MH43SP19047D</v>
          </cell>
          <cell r="D198">
            <v>621731</v>
          </cell>
          <cell r="H198" t="str">
            <v>9FLR2056-001</v>
          </cell>
        </row>
        <row r="199">
          <cell r="B199" t="str">
            <v>1-95467-45</v>
          </cell>
          <cell r="C199" t="str">
            <v>MH57SP19004D</v>
          </cell>
          <cell r="D199">
            <v>623893</v>
          </cell>
          <cell r="H199" t="str">
            <v>9FLR2056-001</v>
          </cell>
        </row>
        <row r="200">
          <cell r="B200" t="str">
            <v>1-95219-45I</v>
          </cell>
          <cell r="C200" t="str">
            <v>MH43SP19047D</v>
          </cell>
          <cell r="D200" t="str">
            <v>I621731</v>
          </cell>
          <cell r="H200" t="str">
            <v>9FLR2056-001</v>
          </cell>
        </row>
        <row r="201">
          <cell r="B201" t="str">
            <v>1-95219-76</v>
          </cell>
          <cell r="C201" t="str">
            <v>MH43SP19047D</v>
          </cell>
          <cell r="D201">
            <v>621732</v>
          </cell>
          <cell r="H201" t="str">
            <v>8FLR1571-001</v>
          </cell>
        </row>
        <row r="202">
          <cell r="B202" t="str">
            <v>1-93121-06</v>
          </cell>
          <cell r="C202" t="str">
            <v>MH43SP18022D</v>
          </cell>
          <cell r="D202">
            <v>621663</v>
          </cell>
          <cell r="H202" t="str">
            <v>9FLR1963-002</v>
          </cell>
          <cell r="V202" t="str">
            <v>MISTY ROSE ( 15-1512 TCX)-002</v>
          </cell>
        </row>
        <row r="203">
          <cell r="B203" t="str">
            <v>1-93121-06</v>
          </cell>
          <cell r="C203" t="str">
            <v>MH43SP18022D</v>
          </cell>
          <cell r="D203">
            <v>622695</v>
          </cell>
          <cell r="H203" t="str">
            <v>9FLR1963-002</v>
          </cell>
          <cell r="V203" t="str">
            <v>MISTY ROSE ( 15-1512 TCX)-002</v>
          </cell>
        </row>
        <row r="204">
          <cell r="B204" t="str">
            <v>1-93121-06E</v>
          </cell>
          <cell r="C204" t="str">
            <v>MH43SP18022D</v>
          </cell>
          <cell r="D204" t="str">
            <v>E621663</v>
          </cell>
          <cell r="H204" t="str">
            <v>9FLR1963-002</v>
          </cell>
          <cell r="V204" t="str">
            <v>MISTY ROSE ( 15-1512 TCX)-002</v>
          </cell>
        </row>
        <row r="205">
          <cell r="B205" t="str">
            <v>1-93121-15</v>
          </cell>
          <cell r="C205" t="str">
            <v>MH43SP18022D</v>
          </cell>
          <cell r="D205">
            <v>621725</v>
          </cell>
          <cell r="H205" t="str">
            <v>9STR1618A-002</v>
          </cell>
          <cell r="V205" t="str">
            <v>CORE BLACK-002</v>
          </cell>
        </row>
        <row r="206">
          <cell r="B206" t="str">
            <v>1-93121-15</v>
          </cell>
          <cell r="C206" t="str">
            <v>MH43SP18022D</v>
          </cell>
          <cell r="D206">
            <v>622696</v>
          </cell>
          <cell r="H206" t="str">
            <v>9STR1618A-002</v>
          </cell>
          <cell r="V206" t="str">
            <v>CORE BLACK-002</v>
          </cell>
        </row>
        <row r="207">
          <cell r="B207" t="str">
            <v>1-93121-47</v>
          </cell>
          <cell r="C207" t="str">
            <v>MH43SP18022D</v>
          </cell>
          <cell r="D207">
            <v>621726</v>
          </cell>
          <cell r="H207" t="str">
            <v>9PRT1752A-002</v>
          </cell>
          <cell r="V207" t="str">
            <v>PRIMARY NAVY-002</v>
          </cell>
        </row>
        <row r="208">
          <cell r="B208" t="str">
            <v>1-95648-47</v>
          </cell>
          <cell r="C208" t="str">
            <v>MH57SP19051D</v>
          </cell>
          <cell r="D208">
            <v>623891</v>
          </cell>
          <cell r="H208" t="str">
            <v>9PRT1752A-002</v>
          </cell>
          <cell r="V208" t="str">
            <v>PRIMARY NAVY-002</v>
          </cell>
        </row>
        <row r="209">
          <cell r="B209" t="str">
            <v>1-93121-47E</v>
          </cell>
          <cell r="C209" t="str">
            <v>MH43SP18022D</v>
          </cell>
          <cell r="D209" t="str">
            <v>E621726</v>
          </cell>
          <cell r="H209" t="str">
            <v>9PRT1752A-002</v>
          </cell>
          <cell r="V209" t="str">
            <v>PRIMARY NAVY-002</v>
          </cell>
        </row>
        <row r="210">
          <cell r="B210" t="str">
            <v>1-93121-16</v>
          </cell>
          <cell r="C210" t="str">
            <v>MH43SP18022D</v>
          </cell>
          <cell r="D210">
            <v>621727</v>
          </cell>
          <cell r="H210" t="str">
            <v>9FLR1986-002</v>
          </cell>
          <cell r="V210" t="str">
            <v>CORE BLACK-002</v>
          </cell>
        </row>
        <row r="211">
          <cell r="B211" t="str">
            <v>1-95648-16</v>
          </cell>
          <cell r="C211" t="str">
            <v>MH57SP19051D</v>
          </cell>
          <cell r="D211">
            <v>623892</v>
          </cell>
          <cell r="H211" t="str">
            <v>9FLR1986-002</v>
          </cell>
          <cell r="V211" t="str">
            <v>CORE BLACK-002</v>
          </cell>
        </row>
        <row r="212">
          <cell r="B212" t="str">
            <v>1-93121-16E</v>
          </cell>
          <cell r="C212" t="str">
            <v>MH43SP18022D</v>
          </cell>
          <cell r="D212" t="str">
            <v>E621727</v>
          </cell>
          <cell r="H212" t="str">
            <v>9FLR1986-002</v>
          </cell>
          <cell r="V212" t="str">
            <v>CORE BLACK-002</v>
          </cell>
        </row>
        <row r="213">
          <cell r="B213" t="str">
            <v>1-93121-87</v>
          </cell>
          <cell r="C213" t="str">
            <v>MH43SP18022D</v>
          </cell>
          <cell r="D213">
            <v>621728</v>
          </cell>
          <cell r="H213" t="str">
            <v>9FLR2038-002</v>
          </cell>
          <cell r="V213" t="str">
            <v>CORE BLACK-002</v>
          </cell>
        </row>
        <row r="214">
          <cell r="B214" t="str">
            <v>1-95648-87</v>
          </cell>
          <cell r="C214" t="str">
            <v>MH57SP19051D</v>
          </cell>
          <cell r="D214">
            <v>623452</v>
          </cell>
          <cell r="H214" t="str">
            <v>9FLR2038-002</v>
          </cell>
          <cell r="V214" t="str">
            <v>CORE BLACK-002</v>
          </cell>
        </row>
        <row r="215">
          <cell r="B215" t="str">
            <v>1-95386-29</v>
          </cell>
          <cell r="C215" t="str">
            <v>MH43SP19023D</v>
          </cell>
          <cell r="D215">
            <v>621741</v>
          </cell>
          <cell r="H215" t="str">
            <v>9GEO1657-001</v>
          </cell>
        </row>
        <row r="216">
          <cell r="B216" t="str">
            <v>1-95312-65</v>
          </cell>
          <cell r="C216" t="str">
            <v>MH43SM16016D</v>
          </cell>
          <cell r="D216">
            <v>621736</v>
          </cell>
          <cell r="H216" t="str">
            <v>PINOT NOIR -002</v>
          </cell>
        </row>
        <row r="217">
          <cell r="B217" t="str">
            <v>1-93896-65</v>
          </cell>
          <cell r="C217" t="str">
            <v>MH57SP18050D</v>
          </cell>
          <cell r="D217">
            <v>624320</v>
          </cell>
          <cell r="H217" t="str">
            <v>PINOT NOIR -002</v>
          </cell>
        </row>
        <row r="218">
          <cell r="B218" t="str">
            <v>1-95312-58</v>
          </cell>
          <cell r="C218" t="str">
            <v>MH43SM16016D</v>
          </cell>
          <cell r="D218">
            <v>621733</v>
          </cell>
          <cell r="H218" t="str">
            <v>BEETLE-002</v>
          </cell>
        </row>
        <row r="219">
          <cell r="B219" t="str">
            <v>1-93896-58</v>
          </cell>
          <cell r="C219" t="str">
            <v>MH57SP18050D</v>
          </cell>
          <cell r="D219">
            <v>623840</v>
          </cell>
          <cell r="H219" t="str">
            <v>BEETLE-002</v>
          </cell>
        </row>
        <row r="220">
          <cell r="B220" t="str">
            <v>1-95312-58</v>
          </cell>
          <cell r="C220" t="str">
            <v>MH43SM16016D</v>
          </cell>
          <cell r="D220">
            <v>622701</v>
          </cell>
          <cell r="H220" t="str">
            <v>BEETLE-002</v>
          </cell>
        </row>
        <row r="221">
          <cell r="B221" t="str">
            <v>1-95312-01</v>
          </cell>
          <cell r="C221" t="str">
            <v>MH43SM16016D</v>
          </cell>
          <cell r="D221">
            <v>621734</v>
          </cell>
          <cell r="H221" t="str">
            <v>9GEO1660-002</v>
          </cell>
        </row>
        <row r="222">
          <cell r="B222" t="str">
            <v>1-93896-02</v>
          </cell>
          <cell r="C222" t="str">
            <v>MH57SP18050D</v>
          </cell>
          <cell r="D222">
            <v>623842</v>
          </cell>
          <cell r="H222" t="str">
            <v>9GEO1660-002</v>
          </cell>
        </row>
        <row r="223">
          <cell r="B223" t="str">
            <v>1-95312-01E</v>
          </cell>
          <cell r="C223" t="str">
            <v>MH43SM16016D</v>
          </cell>
          <cell r="D223" t="str">
            <v>E621734</v>
          </cell>
          <cell r="H223" t="str">
            <v>9GEO1660-002</v>
          </cell>
        </row>
        <row r="224">
          <cell r="B224" t="str">
            <v xml:space="preserve">1-97710-48  </v>
          </cell>
          <cell r="C224" t="str">
            <v>MH43SM16016D</v>
          </cell>
          <cell r="D224">
            <v>621735</v>
          </cell>
          <cell r="H224" t="str">
            <v>COPEN BLUE-002</v>
          </cell>
        </row>
        <row r="225">
          <cell r="B225" t="str">
            <v xml:space="preserve">1-97710-48E  </v>
          </cell>
          <cell r="C225" t="str">
            <v>MH43SM16016D</v>
          </cell>
          <cell r="D225" t="str">
            <v>E621735</v>
          </cell>
          <cell r="H225" t="str">
            <v>COPEN BLUE-002</v>
          </cell>
        </row>
        <row r="226">
          <cell r="B226" t="str">
            <v>1-95268-57</v>
          </cell>
          <cell r="C226" t="str">
            <v>MH49SP19006D</v>
          </cell>
          <cell r="D226">
            <v>622465</v>
          </cell>
          <cell r="H226" t="str">
            <v>7FLR1716-001</v>
          </cell>
          <cell r="V226" t="str">
            <v>7GEO1564-001</v>
          </cell>
        </row>
        <row r="227">
          <cell r="B227" t="str">
            <v>1-95268-57I</v>
          </cell>
          <cell r="C227" t="str">
            <v>MH49SP19006D</v>
          </cell>
          <cell r="D227" t="str">
            <v>I622465</v>
          </cell>
          <cell r="H227" t="str">
            <v>7FLR1716-001</v>
          </cell>
          <cell r="V227" t="str">
            <v>7GEO1564-001</v>
          </cell>
        </row>
        <row r="228">
          <cell r="B228" t="str">
            <v>1-95251-44</v>
          </cell>
          <cell r="C228" t="str">
            <v>MH43SP19003D</v>
          </cell>
          <cell r="D228">
            <v>622597</v>
          </cell>
          <cell r="H228" t="str">
            <v>7FLR1716-001</v>
          </cell>
          <cell r="V228" t="str">
            <v>7GEO1564-001</v>
          </cell>
        </row>
        <row r="229">
          <cell r="B229" t="str">
            <v>1-95248-44</v>
          </cell>
          <cell r="C229" t="str">
            <v>MH43SP19006D</v>
          </cell>
          <cell r="D229">
            <v>622596</v>
          </cell>
          <cell r="H229" t="str">
            <v>7FLR1716-001</v>
          </cell>
          <cell r="V229" t="str">
            <v>7GEO1564-001</v>
          </cell>
        </row>
        <row r="230">
          <cell r="B230" t="str">
            <v>1-95348-86</v>
          </cell>
          <cell r="C230" t="str">
            <v>MH43SP19032D</v>
          </cell>
          <cell r="D230">
            <v>622844</v>
          </cell>
          <cell r="H230" t="str">
            <v xml:space="preserve"> 9FLR1995-001</v>
          </cell>
        </row>
        <row r="231">
          <cell r="B231" t="str">
            <v>1-95464-87</v>
          </cell>
          <cell r="C231" t="str">
            <v>MH57SP19009D</v>
          </cell>
          <cell r="D231">
            <v>622434</v>
          </cell>
          <cell r="H231" t="str">
            <v xml:space="preserve"> 9FLR1995-001</v>
          </cell>
        </row>
        <row r="232">
          <cell r="B232" t="str">
            <v>1-90760-45</v>
          </cell>
          <cell r="C232" t="str">
            <v>MH45SP17036D</v>
          </cell>
          <cell r="D232">
            <v>622856</v>
          </cell>
          <cell r="H232" t="str">
            <v>9FLR1965A-001</v>
          </cell>
        </row>
        <row r="233">
          <cell r="B233" t="str">
            <v>1-90760-45I</v>
          </cell>
          <cell r="C233" t="str">
            <v>MH45SP17036D</v>
          </cell>
          <cell r="D233" t="str">
            <v>I622856</v>
          </cell>
          <cell r="H233" t="str">
            <v>9FLR1965A-001</v>
          </cell>
        </row>
        <row r="234">
          <cell r="B234" t="str">
            <v>1-90760-45E</v>
          </cell>
          <cell r="C234" t="str">
            <v>MH45SP17036D</v>
          </cell>
          <cell r="D234" t="str">
            <v>E622856</v>
          </cell>
          <cell r="H234" t="str">
            <v>9FLR1965A-001</v>
          </cell>
        </row>
        <row r="235">
          <cell r="B235" t="str">
            <v>1-90760-45</v>
          </cell>
          <cell r="C235" t="str">
            <v>MH45SP17036D</v>
          </cell>
          <cell r="D235">
            <v>622860</v>
          </cell>
          <cell r="H235" t="str">
            <v>9FLR1965A-001</v>
          </cell>
        </row>
        <row r="236">
          <cell r="B236" t="str">
            <v>1-90760-45</v>
          </cell>
          <cell r="C236" t="str">
            <v>MH45SP17036D</v>
          </cell>
          <cell r="D236">
            <v>622861</v>
          </cell>
          <cell r="H236" t="str">
            <v>9FLR1965A-001</v>
          </cell>
        </row>
        <row r="237">
          <cell r="B237" t="str">
            <v>1-95633-45</v>
          </cell>
          <cell r="C237" t="str">
            <v>MH57SP19039D</v>
          </cell>
          <cell r="D237">
            <v>623433</v>
          </cell>
          <cell r="H237" t="str">
            <v>9FLR1965A-001</v>
          </cell>
        </row>
        <row r="238">
          <cell r="B238" t="str">
            <v>1-90760-86</v>
          </cell>
          <cell r="C238" t="str">
            <v>MH45SP17036D</v>
          </cell>
          <cell r="D238">
            <v>622863</v>
          </cell>
          <cell r="H238" t="str">
            <v>9FLR2020-001</v>
          </cell>
        </row>
        <row r="239">
          <cell r="B239" t="str">
            <v>1-90760-86E</v>
          </cell>
          <cell r="C239" t="str">
            <v>MH45SP17036D</v>
          </cell>
          <cell r="D239" t="str">
            <v>E622863</v>
          </cell>
          <cell r="H239" t="str">
            <v>9FLR2020-001</v>
          </cell>
        </row>
        <row r="240">
          <cell r="B240" t="str">
            <v>1-95267-45</v>
          </cell>
          <cell r="C240" t="str">
            <v>MH76SP19038D</v>
          </cell>
          <cell r="D240">
            <v>622538</v>
          </cell>
          <cell r="H240" t="str">
            <v>7FLR1716-002</v>
          </cell>
          <cell r="V240" t="str">
            <v>BLACK IRIS (19-3921 TCX)-002</v>
          </cell>
        </row>
        <row r="241">
          <cell r="B241" t="str">
            <v>1-95550-86</v>
          </cell>
          <cell r="C241" t="str">
            <v>MH45SP19031D</v>
          </cell>
          <cell r="D241">
            <v>623284</v>
          </cell>
          <cell r="H241" t="str">
            <v>9FLR1995-001</v>
          </cell>
        </row>
        <row r="242">
          <cell r="B242" t="str">
            <v>1-95645-86</v>
          </cell>
          <cell r="C242" t="str">
            <v>MH57SP19040D</v>
          </cell>
          <cell r="D242">
            <v>623441</v>
          </cell>
          <cell r="H242" t="str">
            <v>9FLR1995-001</v>
          </cell>
        </row>
        <row r="243">
          <cell r="B243" t="str">
            <v>1-95550-44</v>
          </cell>
          <cell r="C243" t="str">
            <v>MH45SP19031D</v>
          </cell>
          <cell r="D243">
            <v>623286</v>
          </cell>
          <cell r="H243" t="str">
            <v>9FLR2065-001</v>
          </cell>
        </row>
        <row r="244">
          <cell r="B244" t="str">
            <v>1-95645-44</v>
          </cell>
          <cell r="C244" t="str">
            <v>MH57SP19040D</v>
          </cell>
          <cell r="D244">
            <v>623442</v>
          </cell>
          <cell r="H244" t="str">
            <v>9FLR2065-001</v>
          </cell>
        </row>
        <row r="245">
          <cell r="B245" t="str">
            <v>1-95504-76</v>
          </cell>
          <cell r="C245" t="str">
            <v>MH43SP19031D</v>
          </cell>
          <cell r="D245">
            <v>623253</v>
          </cell>
          <cell r="H245" t="str">
            <v>9FLR1965 -001</v>
          </cell>
        </row>
        <row r="246">
          <cell r="B246" t="str">
            <v>1-95628-76</v>
          </cell>
          <cell r="C246" t="str">
            <v>MH57SP19055D</v>
          </cell>
          <cell r="D246">
            <v>623454</v>
          </cell>
          <cell r="H246" t="str">
            <v>9FLR1965 -001</v>
          </cell>
        </row>
        <row r="247">
          <cell r="B247" t="str">
            <v>1-95504-44</v>
          </cell>
          <cell r="C247" t="str">
            <v>MH43SP19031D</v>
          </cell>
          <cell r="D247">
            <v>623254</v>
          </cell>
          <cell r="H247" t="str">
            <v>PRIMARY NAVY-001</v>
          </cell>
        </row>
        <row r="248">
          <cell r="B248" t="str">
            <v>1-95628-44</v>
          </cell>
          <cell r="C248" t="str">
            <v>MH57SP19055D</v>
          </cell>
          <cell r="D248">
            <v>623456</v>
          </cell>
          <cell r="H248" t="str">
            <v>PRIMARY NAVY-001</v>
          </cell>
        </row>
        <row r="249">
          <cell r="B249" t="str">
            <v>1-97710-06</v>
          </cell>
          <cell r="C249" t="str">
            <v>MH43SM16016D</v>
          </cell>
          <cell r="D249">
            <v>623555</v>
          </cell>
          <cell r="H249" t="str">
            <v>CORE BLACK -002</v>
          </cell>
        </row>
        <row r="250">
          <cell r="B250" t="str">
            <v>1-93896-01</v>
          </cell>
          <cell r="C250" t="str">
            <v>MH57SP18050D</v>
          </cell>
          <cell r="D250">
            <v>623583</v>
          </cell>
          <cell r="H250" t="str">
            <v>CORE BLACK -002</v>
          </cell>
        </row>
        <row r="251">
          <cell r="B251" t="str">
            <v>1-97710-12</v>
          </cell>
          <cell r="C251" t="str">
            <v>MH43SM16016D</v>
          </cell>
          <cell r="D251">
            <v>623558</v>
          </cell>
          <cell r="H251" t="str">
            <v>EGRET -002</v>
          </cell>
          <cell r="V251" t="str">
            <v>CORE BLACK-002</v>
          </cell>
        </row>
        <row r="252">
          <cell r="B252" t="str">
            <v>1-97710-12E</v>
          </cell>
          <cell r="C252" t="str">
            <v>MH43SM16016D</v>
          </cell>
          <cell r="D252" t="str">
            <v>E623558</v>
          </cell>
          <cell r="H252" t="str">
            <v>EGRET -002</v>
          </cell>
          <cell r="V252" t="str">
            <v>CORE BLACK-002</v>
          </cell>
        </row>
        <row r="253">
          <cell r="B253" t="str">
            <v>1-97710-05</v>
          </cell>
          <cell r="C253" t="str">
            <v>MH43SM16016D</v>
          </cell>
          <cell r="D253">
            <v>623553</v>
          </cell>
          <cell r="H253" t="str">
            <v>9GEO1625B-002</v>
          </cell>
        </row>
        <row r="254">
          <cell r="B254" t="str">
            <v>1-93896-50</v>
          </cell>
          <cell r="C254" t="str">
            <v>MH57SP18050D</v>
          </cell>
          <cell r="D254">
            <v>623582</v>
          </cell>
          <cell r="H254" t="str">
            <v>9GEO1625B-002</v>
          </cell>
        </row>
        <row r="255">
          <cell r="B255" t="str">
            <v>1-93792-77</v>
          </cell>
          <cell r="C255" t="str">
            <v>MH17SM18006D</v>
          </cell>
          <cell r="D255">
            <v>623058</v>
          </cell>
          <cell r="H255" t="str">
            <v>8FLR1571-001</v>
          </cell>
        </row>
        <row r="256">
          <cell r="B256" t="str">
            <v>1-95818-77</v>
          </cell>
          <cell r="C256" t="str">
            <v>MH57SP19032D</v>
          </cell>
          <cell r="D256">
            <v>624099</v>
          </cell>
          <cell r="H256" t="str">
            <v>8FLR1571-001</v>
          </cell>
        </row>
        <row r="257">
          <cell r="B257" t="str">
            <v>1-93121-07</v>
          </cell>
          <cell r="C257" t="str">
            <v>MH43SP18022D</v>
          </cell>
          <cell r="D257">
            <v>623886</v>
          </cell>
          <cell r="H257" t="str">
            <v>9FLR1876B-003</v>
          </cell>
          <cell r="V257" t="str">
            <v>Sapphire (CSI 0503431)-003</v>
          </cell>
        </row>
        <row r="258">
          <cell r="B258" t="str">
            <v>1-95648-07</v>
          </cell>
          <cell r="C258" t="str">
            <v>MH57SP19051D</v>
          </cell>
          <cell r="D258">
            <v>624136</v>
          </cell>
          <cell r="H258" t="str">
            <v>9FLR1876B-003</v>
          </cell>
          <cell r="V258" t="str">
            <v>Sapphire (CSI 0503431)-003</v>
          </cell>
        </row>
        <row r="259">
          <cell r="B259" t="str">
            <v>1-93914-12</v>
          </cell>
          <cell r="C259" t="str">
            <v>MH43SM18016D</v>
          </cell>
          <cell r="D259">
            <v>624191</v>
          </cell>
          <cell r="H259" t="str">
            <v>9FLR2078-001</v>
          </cell>
        </row>
        <row r="260">
          <cell r="B260" t="str">
            <v>1-95495-13</v>
          </cell>
          <cell r="C260" t="str">
            <v>MH57SM18038D</v>
          </cell>
          <cell r="D260">
            <v>624145</v>
          </cell>
          <cell r="H260" t="str">
            <v>9FLR2078-001</v>
          </cell>
        </row>
        <row r="261">
          <cell r="B261" t="str">
            <v>1-95570-76</v>
          </cell>
          <cell r="C261" t="str">
            <v>MH45SP19052D</v>
          </cell>
          <cell r="D261">
            <v>623899</v>
          </cell>
          <cell r="H261" t="str">
            <v>9PLD1673B-002</v>
          </cell>
        </row>
        <row r="262">
          <cell r="B262" t="str">
            <v>1-95521-86</v>
          </cell>
          <cell r="C262" t="str">
            <v>MH17SP19010D</v>
          </cell>
          <cell r="D262">
            <v>624193</v>
          </cell>
          <cell r="H262" t="str">
            <v>8FLR1567A-001</v>
          </cell>
        </row>
        <row r="263">
          <cell r="B263" t="str">
            <v>1-95759-76</v>
          </cell>
          <cell r="C263" t="str">
            <v>MH57SP19060D</v>
          </cell>
          <cell r="D263">
            <v>623827</v>
          </cell>
          <cell r="H263" t="str">
            <v>8FLR1567A-001</v>
          </cell>
        </row>
        <row r="264">
          <cell r="B264" t="str">
            <v>1-95521-44</v>
          </cell>
          <cell r="C264" t="str">
            <v>MH17SP19010D</v>
          </cell>
          <cell r="D264">
            <v>624195</v>
          </cell>
          <cell r="H264" t="str">
            <v>9PLD1637A-001</v>
          </cell>
        </row>
        <row r="265">
          <cell r="B265" t="str">
            <v>1-95521-44I</v>
          </cell>
          <cell r="C265" t="str">
            <v>MH17SP19010D</v>
          </cell>
          <cell r="D265" t="str">
            <v>I624195</v>
          </cell>
          <cell r="H265" t="str">
            <v>9PLD1637A-001</v>
          </cell>
        </row>
        <row r="266">
          <cell r="B266" t="str">
            <v>1-95759-44</v>
          </cell>
          <cell r="C266" t="str">
            <v>MH57SP19060D</v>
          </cell>
          <cell r="D266">
            <v>623830</v>
          </cell>
          <cell r="H266" t="str">
            <v>9PLD1637A-001</v>
          </cell>
        </row>
        <row r="267">
          <cell r="B267" t="str">
            <v>1-95848-01</v>
          </cell>
          <cell r="C267" t="str">
            <v>MH45SM19009D</v>
          </cell>
          <cell r="D267">
            <v>625164</v>
          </cell>
          <cell r="H267" t="str">
            <v>7FLR1718-001</v>
          </cell>
        </row>
        <row r="268">
          <cell r="B268" t="str">
            <v>1-96097-01</v>
          </cell>
          <cell r="C268" t="str">
            <v>MH57SM19028D</v>
          </cell>
          <cell r="D268">
            <v>625004</v>
          </cell>
          <cell r="H268" t="str">
            <v>7FLR1718-001</v>
          </cell>
        </row>
        <row r="269">
          <cell r="B269" t="str">
            <v>1-93001-02</v>
          </cell>
          <cell r="C269" t="str">
            <v>MH45SP18060D</v>
          </cell>
          <cell r="D269">
            <v>625165</v>
          </cell>
          <cell r="H269" t="str">
            <v>7FLR1613B-002</v>
          </cell>
        </row>
        <row r="270">
          <cell r="B270" t="str">
            <v>1-93001-02E</v>
          </cell>
          <cell r="C270" t="str">
            <v>MH45SP18060D</v>
          </cell>
          <cell r="D270" t="str">
            <v>E625165</v>
          </cell>
          <cell r="H270" t="str">
            <v>7FLR1613B-002</v>
          </cell>
        </row>
        <row r="271">
          <cell r="B271" t="str">
            <v>1-96100-22</v>
          </cell>
          <cell r="C271" t="str">
            <v>MH57SM19035D</v>
          </cell>
          <cell r="D271">
            <v>625014</v>
          </cell>
          <cell r="H271" t="str">
            <v>7FLR1613B-002</v>
          </cell>
        </row>
        <row r="272">
          <cell r="B272" t="str">
            <v>1-93874-45</v>
          </cell>
          <cell r="C272" t="str">
            <v>MH45SM18021D</v>
          </cell>
          <cell r="D272">
            <v>625166</v>
          </cell>
          <cell r="H272" t="str">
            <v>9BOR1581-003</v>
          </cell>
        </row>
        <row r="273">
          <cell r="B273" t="str">
            <v>1-96122-44</v>
          </cell>
          <cell r="C273" t="str">
            <v>MH57SM18044D</v>
          </cell>
          <cell r="D273">
            <v>625059</v>
          </cell>
          <cell r="H273" t="str">
            <v>9BOR1581-003</v>
          </cell>
        </row>
        <row r="274">
          <cell r="B274" t="str">
            <v>1-90760-46</v>
          </cell>
          <cell r="C274" t="str">
            <v>MH45SP17036D</v>
          </cell>
          <cell r="D274">
            <v>625169</v>
          </cell>
          <cell r="H274" t="str">
            <v>9DOT1677B-004</v>
          </cell>
        </row>
        <row r="275">
          <cell r="B275" t="str">
            <v>1-90760-46</v>
          </cell>
          <cell r="C275" t="str">
            <v>MH45SP17036D</v>
          </cell>
          <cell r="D275">
            <v>625168</v>
          </cell>
          <cell r="H275" t="str">
            <v>9DOT1677B-004</v>
          </cell>
        </row>
        <row r="276">
          <cell r="B276" t="str">
            <v>1-90760-46E</v>
          </cell>
          <cell r="C276" t="str">
            <v>MH45SP17036D</v>
          </cell>
          <cell r="D276" t="str">
            <v>E625168</v>
          </cell>
          <cell r="H276" t="str">
            <v>9DOT1677B-004</v>
          </cell>
        </row>
        <row r="277">
          <cell r="B277" t="str">
            <v>1-90760-46I</v>
          </cell>
          <cell r="C277" t="str">
            <v>MH45SP17036D</v>
          </cell>
          <cell r="D277" t="str">
            <v>I625168</v>
          </cell>
          <cell r="H277" t="str">
            <v>9DOT1677B-004</v>
          </cell>
        </row>
        <row r="278">
          <cell r="B278" t="str">
            <v>1-95633-46</v>
          </cell>
          <cell r="C278" t="str">
            <v>MH57SP19039D</v>
          </cell>
          <cell r="D278">
            <v>625016</v>
          </cell>
          <cell r="H278" t="str">
            <v>9DOT1677B-004</v>
          </cell>
        </row>
        <row r="279">
          <cell r="B279" t="str">
            <v>1-90760-87</v>
          </cell>
          <cell r="C279" t="str">
            <v>MH45SP17036D</v>
          </cell>
          <cell r="D279">
            <v>625171</v>
          </cell>
          <cell r="H279" t="str">
            <v>9FLR2014C-004</v>
          </cell>
        </row>
        <row r="280">
          <cell r="B280" t="str">
            <v>1-90760-87</v>
          </cell>
          <cell r="C280" t="str">
            <v>MH45SP17036D</v>
          </cell>
          <cell r="D280">
            <v>625170</v>
          </cell>
          <cell r="H280" t="str">
            <v>9FLR2014C-004</v>
          </cell>
        </row>
        <row r="281">
          <cell r="B281" t="str">
            <v>1-90760-87E</v>
          </cell>
          <cell r="C281" t="str">
            <v>MH45SP17036D</v>
          </cell>
          <cell r="D281" t="str">
            <v>E625170</v>
          </cell>
          <cell r="H281" t="str">
            <v>9FLR2014C-004</v>
          </cell>
        </row>
        <row r="282">
          <cell r="B282" t="str">
            <v>1-95633-86</v>
          </cell>
          <cell r="C282" t="str">
            <v>MH57SP19039D</v>
          </cell>
          <cell r="D282">
            <v>625019</v>
          </cell>
          <cell r="H282" t="str">
            <v>9FLR2014C-004</v>
          </cell>
        </row>
        <row r="283">
          <cell r="B283" t="str">
            <v>1-95871-01</v>
          </cell>
          <cell r="C283" t="str">
            <v>MH76SM19004D</v>
          </cell>
          <cell r="D283">
            <v>625296</v>
          </cell>
          <cell r="H283" t="str">
            <v>7FLR1718-001</v>
          </cell>
        </row>
        <row r="284">
          <cell r="B284" t="str">
            <v>1-95339-01</v>
          </cell>
          <cell r="C284" t="str">
            <v>MH76SP19013D</v>
          </cell>
          <cell r="D284">
            <v>625112</v>
          </cell>
          <cell r="H284" t="str">
            <v>9DOT1556A-002</v>
          </cell>
        </row>
        <row r="285">
          <cell r="B285" t="str">
            <v>1-95339-46</v>
          </cell>
          <cell r="C285" t="str">
            <v>MH76SP19013D</v>
          </cell>
          <cell r="D285">
            <v>625111</v>
          </cell>
          <cell r="H285" t="str">
            <v>9FLR2028-002</v>
          </cell>
        </row>
        <row r="286">
          <cell r="B286" t="str">
            <v>1-95988-86</v>
          </cell>
          <cell r="C286" t="str">
            <v>MH45SM19025D</v>
          </cell>
          <cell r="D286">
            <v>625167</v>
          </cell>
          <cell r="H286" t="str">
            <v>9FLR2041-003</v>
          </cell>
        </row>
        <row r="287">
          <cell r="B287" t="str">
            <v>1-96109-86</v>
          </cell>
          <cell r="C287" t="str">
            <v>MH57SM19016D</v>
          </cell>
          <cell r="D287">
            <v>625037</v>
          </cell>
          <cell r="H287" t="str">
            <v>9FLR2041-003</v>
          </cell>
        </row>
        <row r="288">
          <cell r="B288" t="str">
            <v>1-95917-44</v>
          </cell>
          <cell r="C288" t="str">
            <v>MH43SM19014D</v>
          </cell>
          <cell r="D288">
            <v>625371</v>
          </cell>
          <cell r="H288" t="str">
            <v>9FLR2008-004</v>
          </cell>
        </row>
        <row r="289">
          <cell r="B289" t="str">
            <v>1-96115-44</v>
          </cell>
          <cell r="C289" t="str">
            <v>MH57SM19076D</v>
          </cell>
          <cell r="D289">
            <v>625044</v>
          </cell>
          <cell r="H289" t="str">
            <v>9FLR2008-004</v>
          </cell>
        </row>
        <row r="290">
          <cell r="B290" t="str">
            <v>1-95853-87</v>
          </cell>
          <cell r="C290" t="str">
            <v>MH43SM19003D</v>
          </cell>
          <cell r="D290">
            <v>625017</v>
          </cell>
          <cell r="H290" t="str">
            <v>7BOR1569A-005</v>
          </cell>
        </row>
        <row r="291">
          <cell r="B291" t="str">
            <v>1-96101-86</v>
          </cell>
          <cell r="C291" t="str">
            <v>MH57SM19085D</v>
          </cell>
          <cell r="D291">
            <v>625015</v>
          </cell>
          <cell r="H291" t="str">
            <v>7BOR1569A-005</v>
          </cell>
        </row>
        <row r="292">
          <cell r="B292" t="str">
            <v>1-95940-45</v>
          </cell>
          <cell r="C292" t="str">
            <v>MH43SM19021D</v>
          </cell>
          <cell r="D292">
            <v>625360</v>
          </cell>
          <cell r="H292" t="str">
            <v>9FLR2019A-006</v>
          </cell>
        </row>
        <row r="293">
          <cell r="B293" t="str">
            <v>1-96099-44</v>
          </cell>
          <cell r="C293" t="str">
            <v>MH57SM19080D</v>
          </cell>
          <cell r="D293">
            <v>625005</v>
          </cell>
          <cell r="H293" t="str">
            <v>9FLR2019A-006</v>
          </cell>
        </row>
        <row r="294">
          <cell r="B294" t="str">
            <v>1-95219-58</v>
          </cell>
          <cell r="C294" t="str">
            <v>MH43SP19047D</v>
          </cell>
          <cell r="D294">
            <v>625352</v>
          </cell>
          <cell r="H294" t="str">
            <v xml:space="preserve"> LAUREL WREATH 17-6009 TCX -001</v>
          </cell>
        </row>
        <row r="295">
          <cell r="B295" t="str">
            <v>1-95219-48</v>
          </cell>
          <cell r="C295" t="str">
            <v>MH43SP19047D</v>
          </cell>
          <cell r="D295">
            <v>625354</v>
          </cell>
          <cell r="H295" t="str">
            <v>SAPPHIRE CSI 0503431-001</v>
          </cell>
        </row>
        <row r="296">
          <cell r="B296" t="str">
            <v>1-95219-46</v>
          </cell>
          <cell r="C296" t="str">
            <v>MH43SP19047D</v>
          </cell>
          <cell r="D296">
            <v>625351</v>
          </cell>
          <cell r="H296" t="str">
            <v>9FLR1929B-001</v>
          </cell>
        </row>
        <row r="297">
          <cell r="B297" t="str">
            <v>1-95219-46E</v>
          </cell>
          <cell r="C297" t="str">
            <v>MH43SP19047D</v>
          </cell>
          <cell r="D297" t="str">
            <v>E625351</v>
          </cell>
          <cell r="H297" t="str">
            <v>9FLR1929B-001</v>
          </cell>
        </row>
        <row r="298">
          <cell r="B298" t="str">
            <v>1-95467-46</v>
          </cell>
          <cell r="C298" t="str">
            <v>MH57SP19004D</v>
          </cell>
          <cell r="D298">
            <v>625003</v>
          </cell>
          <cell r="H298" t="str">
            <v>9FLR1929B-001</v>
          </cell>
        </row>
        <row r="299">
          <cell r="B299" t="str">
            <v>1-95219-01</v>
          </cell>
          <cell r="C299" t="str">
            <v>MH43SP19047D</v>
          </cell>
          <cell r="D299">
            <v>625361</v>
          </cell>
          <cell r="H299" t="str">
            <v>9DOT1619-001</v>
          </cell>
        </row>
        <row r="300">
          <cell r="B300" t="str">
            <v>1-95219-01I</v>
          </cell>
          <cell r="C300" t="str">
            <v>MH43SP19047D</v>
          </cell>
          <cell r="D300" t="str">
            <v>I625361</v>
          </cell>
          <cell r="H300" t="str">
            <v>9DOT1619-001</v>
          </cell>
        </row>
        <row r="301">
          <cell r="B301" t="str">
            <v>1-95219-01</v>
          </cell>
          <cell r="C301" t="str">
            <v>MH43SP19047D</v>
          </cell>
          <cell r="D301">
            <v>625362</v>
          </cell>
          <cell r="H301" t="str">
            <v>9DOT1619-001</v>
          </cell>
        </row>
        <row r="302">
          <cell r="B302" t="str">
            <v>1-95219-01</v>
          </cell>
          <cell r="C302" t="str">
            <v>MH43SP19047D</v>
          </cell>
          <cell r="D302">
            <v>625363</v>
          </cell>
          <cell r="H302" t="str">
            <v>9DOT1619-001</v>
          </cell>
        </row>
        <row r="303">
          <cell r="B303" t="str">
            <v>1-95219-47</v>
          </cell>
          <cell r="C303" t="str">
            <v>MH43SP19047D</v>
          </cell>
          <cell r="D303">
            <v>625353</v>
          </cell>
          <cell r="H303" t="str">
            <v>9DOT1677-001</v>
          </cell>
        </row>
        <row r="304">
          <cell r="B304" t="str">
            <v>1-95219-87</v>
          </cell>
          <cell r="C304" t="str">
            <v>MH43SP19047D</v>
          </cell>
          <cell r="D304">
            <v>625350</v>
          </cell>
          <cell r="H304" t="str">
            <v>9BOR1579-001</v>
          </cell>
        </row>
        <row r="305">
          <cell r="B305" t="str">
            <v>1-95219-87E</v>
          </cell>
          <cell r="C305" t="str">
            <v>MH43SP19047D</v>
          </cell>
          <cell r="D305" t="str">
            <v>E625350</v>
          </cell>
          <cell r="H305" t="str">
            <v>9BOR1579-001</v>
          </cell>
        </row>
        <row r="306">
          <cell r="B306" t="str">
            <v>1-95467-86</v>
          </cell>
          <cell r="C306" t="str">
            <v>MH57SP19004D</v>
          </cell>
          <cell r="D306">
            <v>625002</v>
          </cell>
          <cell r="H306" t="str">
            <v>9BOR1579-001</v>
          </cell>
        </row>
        <row r="307">
          <cell r="B307" t="str">
            <v>1-95467-86E</v>
          </cell>
          <cell r="C307" t="str">
            <v>MH57SP19004D</v>
          </cell>
          <cell r="D307" t="str">
            <v>E625002</v>
          </cell>
          <cell r="H307" t="str">
            <v>9BOR1579-001</v>
          </cell>
        </row>
        <row r="308">
          <cell r="B308" t="str">
            <v>1-95467-01</v>
          </cell>
          <cell r="C308" t="str">
            <v>MH57SP19004D</v>
          </cell>
          <cell r="D308">
            <v>624999</v>
          </cell>
          <cell r="H308" t="str">
            <v>9DOT1628B-001</v>
          </cell>
        </row>
        <row r="309">
          <cell r="B309" t="str">
            <v>1-95467-01E</v>
          </cell>
          <cell r="C309" t="str">
            <v>MH57SP19004D</v>
          </cell>
          <cell r="D309" t="str">
            <v>E624999</v>
          </cell>
          <cell r="H309" t="str">
            <v>9DOT1628B-001</v>
          </cell>
        </row>
        <row r="310">
          <cell r="B310" t="str">
            <v>1-95467-01</v>
          </cell>
          <cell r="C310" t="str">
            <v>MH57SP19004D</v>
          </cell>
          <cell r="D310">
            <v>625000</v>
          </cell>
          <cell r="H310" t="str">
            <v>9DOT1628B-001</v>
          </cell>
        </row>
        <row r="311">
          <cell r="B311" t="str">
            <v>1-95467-01</v>
          </cell>
          <cell r="C311" t="str">
            <v>MH57SP19004D</v>
          </cell>
          <cell r="D311">
            <v>625001</v>
          </cell>
          <cell r="H311" t="str">
            <v>9DOT1628B-001</v>
          </cell>
        </row>
        <row r="312">
          <cell r="B312" t="str">
            <v>1-97710-49</v>
          </cell>
          <cell r="C312" t="str">
            <v>MH43SM16016D</v>
          </cell>
          <cell r="D312">
            <v>625357</v>
          </cell>
          <cell r="H312" t="str">
            <v>9STR1614A-002</v>
          </cell>
        </row>
        <row r="313">
          <cell r="B313" t="str">
            <v>1-97710-70</v>
          </cell>
          <cell r="C313" t="str">
            <v>MH43SM16016D</v>
          </cell>
          <cell r="D313">
            <v>625358</v>
          </cell>
          <cell r="H313" t="str">
            <v>TEA ROSE 16-1620 TCX-002</v>
          </cell>
        </row>
        <row r="314">
          <cell r="B314" t="str">
            <v>1-97710-58</v>
          </cell>
          <cell r="C314" t="str">
            <v>MH43SM16016D</v>
          </cell>
          <cell r="D314">
            <v>625367</v>
          </cell>
          <cell r="H314" t="str">
            <v>BEETLE -002</v>
          </cell>
        </row>
        <row r="315">
          <cell r="B315" t="str">
            <v>1-97710-05</v>
          </cell>
          <cell r="C315" t="str">
            <v>MH43SM16016D</v>
          </cell>
          <cell r="D315">
            <v>625365</v>
          </cell>
          <cell r="H315" t="str">
            <v>9GEO1625B -002</v>
          </cell>
        </row>
        <row r="316">
          <cell r="B316" t="str">
            <v>1-97710-05</v>
          </cell>
          <cell r="C316" t="str">
            <v>MH43SM16016D</v>
          </cell>
          <cell r="D316">
            <v>625364</v>
          </cell>
          <cell r="H316" t="str">
            <v>9GEO1625B -002</v>
          </cell>
        </row>
        <row r="317">
          <cell r="B317" t="str">
            <v>1-97710-05E</v>
          </cell>
          <cell r="C317" t="str">
            <v>MH43SM16016D</v>
          </cell>
          <cell r="D317" t="str">
            <v>E625364</v>
          </cell>
          <cell r="H317" t="str">
            <v>9GEO1625B -002</v>
          </cell>
        </row>
        <row r="318">
          <cell r="B318" t="str">
            <v>1-93896-50</v>
          </cell>
          <cell r="C318" t="str">
            <v>MH57SP18050D</v>
          </cell>
          <cell r="D318">
            <v>624992</v>
          </cell>
          <cell r="H318" t="str">
            <v>9GEO1625B -002</v>
          </cell>
        </row>
        <row r="319">
          <cell r="B319" t="str">
            <v>1-93896-50</v>
          </cell>
          <cell r="C319" t="str">
            <v>MH57SP18050D</v>
          </cell>
          <cell r="D319">
            <v>624991</v>
          </cell>
          <cell r="H319" t="str">
            <v>9GEO1625B -002</v>
          </cell>
        </row>
        <row r="320">
          <cell r="B320" t="str">
            <v>1-93896-50</v>
          </cell>
          <cell r="C320" t="str">
            <v>MH57SP18050D</v>
          </cell>
          <cell r="D320">
            <v>624990</v>
          </cell>
          <cell r="H320" t="str">
            <v>9GEO1625B -002</v>
          </cell>
        </row>
        <row r="321">
          <cell r="B321" t="str">
            <v>1-93896-50E</v>
          </cell>
          <cell r="C321" t="str">
            <v>MH57SP18050D</v>
          </cell>
          <cell r="D321" t="str">
            <v>E624990</v>
          </cell>
          <cell r="H321" t="str">
            <v>9GEO1625B -002</v>
          </cell>
        </row>
        <row r="322">
          <cell r="B322" t="str">
            <v>1-97710-69</v>
          </cell>
          <cell r="C322" t="str">
            <v>MH43SM16016D</v>
          </cell>
          <cell r="D322">
            <v>625356</v>
          </cell>
          <cell r="H322" t="str">
            <v>9GEO1606A-002</v>
          </cell>
        </row>
        <row r="323">
          <cell r="B323" t="str">
            <v>1-93896-69</v>
          </cell>
          <cell r="C323" t="str">
            <v>MH57SP18050D</v>
          </cell>
          <cell r="D323">
            <v>624997</v>
          </cell>
          <cell r="H323" t="str">
            <v>9GEO1606A-002</v>
          </cell>
        </row>
        <row r="324">
          <cell r="B324" t="str">
            <v>1-93896-12</v>
          </cell>
          <cell r="C324" t="str">
            <v>MH57SP18050D</v>
          </cell>
          <cell r="D324">
            <v>624995</v>
          </cell>
          <cell r="H324" t="str">
            <v>EGRET -002</v>
          </cell>
          <cell r="V324" t="str">
            <v>CORE BLACK-002</v>
          </cell>
        </row>
        <row r="325">
          <cell r="B325" t="str">
            <v>1-95865-12</v>
          </cell>
          <cell r="C325" t="str">
            <v>MH76SM19028D</v>
          </cell>
          <cell r="D325">
            <v>625294</v>
          </cell>
          <cell r="H325" t="str">
            <v>EGRET -001</v>
          </cell>
        </row>
        <row r="326">
          <cell r="B326" t="str">
            <v>1-96165-12</v>
          </cell>
          <cell r="C326" t="str">
            <v>MH57SM19056D</v>
          </cell>
          <cell r="D326">
            <v>625407</v>
          </cell>
          <cell r="H326" t="str">
            <v>EGRET -001</v>
          </cell>
        </row>
        <row r="327">
          <cell r="B327" t="str">
            <v>1-95865-58</v>
          </cell>
          <cell r="C327" t="str">
            <v>MH76SM19028D</v>
          </cell>
          <cell r="D327">
            <v>625295</v>
          </cell>
          <cell r="H327" t="str">
            <v>SILVER BLUE-001</v>
          </cell>
        </row>
        <row r="328">
          <cell r="B328" t="str">
            <v>1-96165-58</v>
          </cell>
          <cell r="C328" t="str">
            <v>MH57SM19056D</v>
          </cell>
          <cell r="D328">
            <v>625409</v>
          </cell>
          <cell r="H328" t="str">
            <v>SILVER BLUE-001</v>
          </cell>
        </row>
        <row r="329">
          <cell r="B329" t="str">
            <v>1-93121-48</v>
          </cell>
          <cell r="C329" t="str">
            <v>MH43SP18022D</v>
          </cell>
          <cell r="D329">
            <v>625345</v>
          </cell>
          <cell r="H329" t="str">
            <v>9PRT1777A-002</v>
          </cell>
          <cell r="V329" t="str">
            <v>CORE BLACK-002</v>
          </cell>
        </row>
        <row r="330">
          <cell r="B330" t="str">
            <v>1-93121-48I</v>
          </cell>
          <cell r="C330" t="str">
            <v>MH43SP18022D</v>
          </cell>
          <cell r="D330" t="str">
            <v>I625345</v>
          </cell>
          <cell r="H330" t="str">
            <v>9PRT1777A-002</v>
          </cell>
          <cell r="V330" t="str">
            <v>CORE BLACK-002</v>
          </cell>
        </row>
        <row r="331">
          <cell r="B331" t="str">
            <v>1-95648-48</v>
          </cell>
          <cell r="C331" t="str">
            <v>MH57SP19051D</v>
          </cell>
          <cell r="D331">
            <v>624986</v>
          </cell>
          <cell r="H331" t="str">
            <v>9PRT1777A-002</v>
          </cell>
          <cell r="V331" t="str">
            <v>CORE BLACK-002</v>
          </cell>
        </row>
        <row r="332">
          <cell r="B332" t="str">
            <v>1-93121-49</v>
          </cell>
          <cell r="C332" t="str">
            <v>MH43SP18022D</v>
          </cell>
          <cell r="D332">
            <v>625346</v>
          </cell>
          <cell r="H332" t="str">
            <v>9FLR2028-002</v>
          </cell>
          <cell r="V332" t="str">
            <v>CORE BLACK-002</v>
          </cell>
        </row>
        <row r="333">
          <cell r="B333" t="str">
            <v>1-95648-49</v>
          </cell>
          <cell r="C333" t="str">
            <v>MH57SP19051D</v>
          </cell>
          <cell r="D333">
            <v>624987</v>
          </cell>
          <cell r="H333" t="str">
            <v>9FLR2028-002</v>
          </cell>
          <cell r="V333" t="str">
            <v>CORE BLACK-002</v>
          </cell>
        </row>
        <row r="334">
          <cell r="B334" t="str">
            <v>1-93121-07</v>
          </cell>
          <cell r="C334" t="str">
            <v>MH43SP18022D</v>
          </cell>
          <cell r="D334">
            <v>625368</v>
          </cell>
          <cell r="H334" t="str">
            <v>9FLR1876B-002</v>
          </cell>
          <cell r="V334" t="str">
            <v>SAPPHIRE CSI 0503431-002</v>
          </cell>
        </row>
        <row r="335">
          <cell r="B335" t="str">
            <v>1-93121-07</v>
          </cell>
          <cell r="C335" t="str">
            <v>MH43SP18022D</v>
          </cell>
          <cell r="D335">
            <v>625369</v>
          </cell>
          <cell r="H335" t="str">
            <v>9FLR1876B-002</v>
          </cell>
          <cell r="V335" t="str">
            <v>SAPPHIRE CSI 0503431-002</v>
          </cell>
        </row>
        <row r="336">
          <cell r="B336" t="str">
            <v>1-95648-07</v>
          </cell>
          <cell r="C336" t="str">
            <v>MH57SP19051D</v>
          </cell>
          <cell r="D336">
            <v>624988</v>
          </cell>
          <cell r="H336" t="str">
            <v>9FLR1876B-002</v>
          </cell>
          <cell r="V336" t="str">
            <v>SAPPHIRE CSI 0503431-002</v>
          </cell>
        </row>
        <row r="337">
          <cell r="B337" t="str">
            <v>1-93121-76</v>
          </cell>
          <cell r="C337" t="str">
            <v>MH43SP18022D</v>
          </cell>
          <cell r="D337">
            <v>625349</v>
          </cell>
          <cell r="H337" t="str">
            <v>9FLR1929C-002</v>
          </cell>
          <cell r="V337" t="str">
            <v>CORE BLACK-002</v>
          </cell>
        </row>
        <row r="338">
          <cell r="B338" t="str">
            <v>1-93121-88</v>
          </cell>
          <cell r="C338" t="str">
            <v>MH43SP18022D</v>
          </cell>
          <cell r="D338">
            <v>625348</v>
          </cell>
          <cell r="H338" t="str">
            <v>SLATE ROSE -002</v>
          </cell>
          <cell r="V338" t="str">
            <v>CORE BLACK-002</v>
          </cell>
        </row>
        <row r="339">
          <cell r="B339" t="str">
            <v>1-93121-88I</v>
          </cell>
          <cell r="C339" t="str">
            <v>MH43SP18022D</v>
          </cell>
          <cell r="D339" t="str">
            <v>I625348</v>
          </cell>
          <cell r="H339" t="str">
            <v>SLATE ROSE -002</v>
          </cell>
          <cell r="V339" t="str">
            <v>CORE BLACK-002</v>
          </cell>
        </row>
        <row r="340">
          <cell r="B340" t="str">
            <v>1-93121-50</v>
          </cell>
          <cell r="C340" t="str">
            <v>MH43SP18022D</v>
          </cell>
          <cell r="D340">
            <v>625347</v>
          </cell>
          <cell r="H340" t="str">
            <v>9GEO1652C-002</v>
          </cell>
          <cell r="V340" t="str">
            <v>CORE NAVY-002</v>
          </cell>
        </row>
        <row r="341">
          <cell r="B341" t="str">
            <v>1-91413-91</v>
          </cell>
          <cell r="C341" t="str">
            <v>MH74SM17004D</v>
          </cell>
          <cell r="D341">
            <v>626584</v>
          </cell>
          <cell r="H341" t="str">
            <v>4FLR1604-001</v>
          </cell>
        </row>
        <row r="342">
          <cell r="B342" t="str">
            <v>1-95857-91</v>
          </cell>
          <cell r="C342" t="str">
            <v>MH74SM19002D</v>
          </cell>
          <cell r="D342">
            <v>626583</v>
          </cell>
          <cell r="H342" t="str">
            <v>4FLR1604-001</v>
          </cell>
        </row>
        <row r="343">
          <cell r="B343" t="str">
            <v>1-95857-91I</v>
          </cell>
          <cell r="C343" t="str">
            <v>MH74SM19002D</v>
          </cell>
          <cell r="D343" t="str">
            <v>I626583</v>
          </cell>
          <cell r="H343" t="str">
            <v>4FLR1604-001</v>
          </cell>
        </row>
        <row r="344">
          <cell r="B344" t="str">
            <v>1-96083-61</v>
          </cell>
          <cell r="C344" t="str">
            <v>MH49SM19009D</v>
          </cell>
          <cell r="D344">
            <v>626732</v>
          </cell>
          <cell r="H344" t="str">
            <v>7FLR1613B-001</v>
          </cell>
        </row>
        <row r="345">
          <cell r="B345" t="str">
            <v>1-96083-61E</v>
          </cell>
          <cell r="C345" t="str">
            <v>MH49SM19009D</v>
          </cell>
          <cell r="D345" t="str">
            <v>E626732</v>
          </cell>
          <cell r="H345" t="str">
            <v>7FLR1613B-001</v>
          </cell>
        </row>
        <row r="346">
          <cell r="B346" t="str">
            <v>1-92961-01</v>
          </cell>
          <cell r="C346" t="str">
            <v>MH48SP18008D</v>
          </cell>
          <cell r="D346">
            <v>626671</v>
          </cell>
          <cell r="H346" t="str">
            <v>7FLR1718-002</v>
          </cell>
        </row>
        <row r="347">
          <cell r="B347" t="str">
            <v>1-92961-01E</v>
          </cell>
          <cell r="C347" t="str">
            <v>MH48SP18008D</v>
          </cell>
          <cell r="D347" t="str">
            <v>E626671</v>
          </cell>
          <cell r="H347" t="str">
            <v>7FLR1718-002</v>
          </cell>
        </row>
        <row r="348">
          <cell r="B348" t="str">
            <v>1-96302-01</v>
          </cell>
          <cell r="C348" t="str">
            <v>MH57SM19063D</v>
          </cell>
          <cell r="D348">
            <v>627079</v>
          </cell>
          <cell r="H348" t="str">
            <v>7FLR1718-002</v>
          </cell>
        </row>
        <row r="349">
          <cell r="B349" t="str">
            <v>1-90798-02</v>
          </cell>
          <cell r="C349" t="str">
            <v>MH45SP17038D</v>
          </cell>
          <cell r="D349">
            <v>627740</v>
          </cell>
          <cell r="H349" t="str">
            <v>9FLR1953A-001</v>
          </cell>
        </row>
        <row r="350">
          <cell r="B350" t="str">
            <v>1-96459-02</v>
          </cell>
          <cell r="C350" t="str">
            <v>MH57SM19132D</v>
          </cell>
          <cell r="D350">
            <v>627876</v>
          </cell>
          <cell r="H350" t="str">
            <v>9FLR1953A-001</v>
          </cell>
        </row>
        <row r="351">
          <cell r="B351" t="str">
            <v>1-97710-88</v>
          </cell>
          <cell r="C351" t="str">
            <v>MH43SM16016D</v>
          </cell>
          <cell r="D351">
            <v>629028</v>
          </cell>
          <cell r="H351" t="str">
            <v>9GEO1674-001</v>
          </cell>
        </row>
        <row r="352">
          <cell r="B352" t="str">
            <v>1-93896-86</v>
          </cell>
          <cell r="C352" t="str">
            <v>MH57SP18050D</v>
          </cell>
          <cell r="D352">
            <v>628864</v>
          </cell>
          <cell r="H352" t="str">
            <v>9GEO1674-001</v>
          </cell>
        </row>
        <row r="353">
          <cell r="B353" t="str">
            <v>1-97710-50</v>
          </cell>
          <cell r="C353" t="str">
            <v>MH43SM16016D</v>
          </cell>
          <cell r="D353">
            <v>629032</v>
          </cell>
          <cell r="H353" t="str">
            <v>9DOT1675-001</v>
          </cell>
        </row>
        <row r="354">
          <cell r="B354" t="str">
            <v>1-93896-44</v>
          </cell>
          <cell r="C354" t="str">
            <v>MH57SP18050D</v>
          </cell>
          <cell r="D354">
            <v>628862</v>
          </cell>
          <cell r="H354" t="str">
            <v>9DOT1675-001</v>
          </cell>
        </row>
        <row r="355">
          <cell r="B355" t="str">
            <v>1-97710-71</v>
          </cell>
          <cell r="C355" t="str">
            <v>MH43SM16016D</v>
          </cell>
          <cell r="D355">
            <v>629036</v>
          </cell>
          <cell r="H355" t="str">
            <v>9PRT1771A-001</v>
          </cell>
        </row>
        <row r="356">
          <cell r="B356" t="str">
            <v>1-97710-05</v>
          </cell>
          <cell r="C356" t="str">
            <v>MH43SM16016D</v>
          </cell>
          <cell r="D356">
            <v>629048</v>
          </cell>
          <cell r="H356" t="str">
            <v>9GEO1625B-001</v>
          </cell>
        </row>
        <row r="357">
          <cell r="B357" t="str">
            <v>1-93896-04</v>
          </cell>
          <cell r="C357" t="str">
            <v>MH57SP18050D</v>
          </cell>
          <cell r="D357">
            <v>628866</v>
          </cell>
          <cell r="H357" t="str">
            <v>9GEO1625B-001</v>
          </cell>
        </row>
        <row r="358">
          <cell r="B358" t="str">
            <v>1-97710-76</v>
          </cell>
          <cell r="C358" t="str">
            <v>MH43SM16016D</v>
          </cell>
          <cell r="D358">
            <v>629040</v>
          </cell>
          <cell r="H358" t="str">
            <v>WOODTHRUSH-001</v>
          </cell>
        </row>
        <row r="359">
          <cell r="B359" t="str">
            <v>1-97710-58</v>
          </cell>
          <cell r="C359" t="str">
            <v>MH43SM16016D</v>
          </cell>
          <cell r="D359">
            <v>629052</v>
          </cell>
          <cell r="H359" t="str">
            <v>BEETLE-001</v>
          </cell>
        </row>
        <row r="360">
          <cell r="B360" t="str">
            <v>1-95917-45</v>
          </cell>
          <cell r="C360" t="str">
            <v>MH43SM19014D</v>
          </cell>
          <cell r="D360">
            <v>629153</v>
          </cell>
          <cell r="H360" t="str">
            <v>9FLR2074A-002</v>
          </cell>
        </row>
        <row r="361">
          <cell r="B361" t="str">
            <v>1-96115-45</v>
          </cell>
          <cell r="C361" t="str">
            <v>MH57SM19076D</v>
          </cell>
          <cell r="D361">
            <v>628861</v>
          </cell>
          <cell r="H361" t="str">
            <v>9FLR2074A-002</v>
          </cell>
        </row>
        <row r="362">
          <cell r="B362" t="str">
            <v>1-95917-86</v>
          </cell>
          <cell r="C362" t="str">
            <v>MH43SM19014D</v>
          </cell>
          <cell r="D362">
            <v>629156</v>
          </cell>
          <cell r="H362" t="str">
            <v>9FLR2073-002</v>
          </cell>
        </row>
        <row r="363">
          <cell r="B363" t="str">
            <v>1-96115-86</v>
          </cell>
          <cell r="C363" t="str">
            <v>MH57SM19076D</v>
          </cell>
          <cell r="D363">
            <v>628859</v>
          </cell>
          <cell r="H363" t="str">
            <v>9FLR2073-002</v>
          </cell>
        </row>
        <row r="364">
          <cell r="B364" t="str">
            <v>1-94237-44</v>
          </cell>
          <cell r="C364" t="str">
            <v>MH45F118030D</v>
          </cell>
          <cell r="D364">
            <v>628996</v>
          </cell>
          <cell r="H364" t="str">
            <v>9STR1614-003</v>
          </cell>
        </row>
        <row r="365">
          <cell r="B365" t="str">
            <v>1-96683-44</v>
          </cell>
          <cell r="C365" t="str">
            <v>MH57F118060D</v>
          </cell>
          <cell r="D365">
            <v>628914</v>
          </cell>
          <cell r="H365" t="str">
            <v>9STR1614-003</v>
          </cell>
        </row>
        <row r="366">
          <cell r="B366" t="str">
            <v>1-92253-58</v>
          </cell>
          <cell r="C366" t="str">
            <v>MH45F117013D</v>
          </cell>
          <cell r="D366">
            <v>628993</v>
          </cell>
          <cell r="H366" t="str">
            <v>BEETLE-001</v>
          </cell>
        </row>
        <row r="367">
          <cell r="B367" t="str">
            <v>1-92253-58</v>
          </cell>
          <cell r="C367" t="str">
            <v>MH45F117013D</v>
          </cell>
          <cell r="D367">
            <v>628994</v>
          </cell>
          <cell r="H367" t="str">
            <v>BEETLE-001</v>
          </cell>
        </row>
        <row r="368">
          <cell r="B368" t="str">
            <v>1-96686-58</v>
          </cell>
          <cell r="C368" t="str">
            <v>MH57F119039D</v>
          </cell>
          <cell r="D368">
            <v>628998</v>
          </cell>
          <cell r="H368" t="str">
            <v>BEETLE-001</v>
          </cell>
        </row>
        <row r="369">
          <cell r="B369" t="str">
            <v>1-92253-86</v>
          </cell>
          <cell r="C369" t="str">
            <v>MH45F117013D</v>
          </cell>
          <cell r="D369">
            <v>628989</v>
          </cell>
          <cell r="H369" t="str">
            <v>SANGRIA-001</v>
          </cell>
        </row>
        <row r="370">
          <cell r="B370" t="str">
            <v>1-92253-01</v>
          </cell>
          <cell r="C370" t="str">
            <v>MH45F117013D</v>
          </cell>
          <cell r="D370">
            <v>628990</v>
          </cell>
          <cell r="H370" t="str">
            <v>CORE BLACK-001</v>
          </cell>
        </row>
        <row r="371">
          <cell r="B371" t="str">
            <v>1-92253-01</v>
          </cell>
          <cell r="C371" t="str">
            <v>MH45F117013D</v>
          </cell>
          <cell r="D371">
            <v>628991</v>
          </cell>
          <cell r="H371" t="str">
            <v>CORE BLACK-001</v>
          </cell>
        </row>
        <row r="372">
          <cell r="B372" t="str">
            <v>1-92253-01</v>
          </cell>
          <cell r="C372" t="str">
            <v>MH45F117013D</v>
          </cell>
          <cell r="D372">
            <v>628992</v>
          </cell>
          <cell r="H372" t="str">
            <v>CORE BLACK-001</v>
          </cell>
        </row>
        <row r="373">
          <cell r="B373" t="str">
            <v>1-96686-01</v>
          </cell>
          <cell r="C373" t="str">
            <v>MH57F119039D</v>
          </cell>
          <cell r="D373">
            <v>628997</v>
          </cell>
          <cell r="H373" t="str">
            <v>CORE BLACK-001</v>
          </cell>
        </row>
        <row r="374">
          <cell r="B374" t="str">
            <v>1-92253-66</v>
          </cell>
          <cell r="C374" t="str">
            <v>MH45F117013D</v>
          </cell>
          <cell r="D374">
            <v>628988</v>
          </cell>
          <cell r="H374" t="str">
            <v xml:space="preserve"> 9FLR2071-001</v>
          </cell>
        </row>
        <row r="375">
          <cell r="B375" t="str">
            <v>1-93121-65</v>
          </cell>
          <cell r="C375" t="str">
            <v>MH43SP18022D</v>
          </cell>
          <cell r="D375">
            <v>629003</v>
          </cell>
          <cell r="H375" t="str">
            <v>9GEO1665A-002</v>
          </cell>
          <cell r="V375" t="str">
            <v>CORE BLACK-002</v>
          </cell>
        </row>
        <row r="376">
          <cell r="B376" t="str">
            <v>1-95648-65</v>
          </cell>
          <cell r="C376" t="str">
            <v>MH57SP19051D</v>
          </cell>
          <cell r="D376">
            <v>628871</v>
          </cell>
          <cell r="H376" t="str">
            <v>9GEO1665A-002</v>
          </cell>
          <cell r="V376" t="str">
            <v>CORE BLACK-002</v>
          </cell>
        </row>
        <row r="377">
          <cell r="B377" t="str">
            <v>1-93121-51</v>
          </cell>
          <cell r="C377" t="str">
            <v>MH43SP18022D</v>
          </cell>
          <cell r="D377">
            <v>629008</v>
          </cell>
          <cell r="H377" t="str">
            <v>9DOT1680-002</v>
          </cell>
          <cell r="V377" t="str">
            <v xml:space="preserve"> FROSTED ROSE -002</v>
          </cell>
        </row>
        <row r="378">
          <cell r="B378" t="str">
            <v>1-95648-51</v>
          </cell>
          <cell r="C378" t="str">
            <v>MH57SP19051D</v>
          </cell>
          <cell r="D378">
            <v>628869</v>
          </cell>
          <cell r="H378" t="str">
            <v>9DOT1680-002</v>
          </cell>
          <cell r="V378" t="str">
            <v xml:space="preserve"> FROSTED ROSE -002</v>
          </cell>
        </row>
        <row r="379">
          <cell r="B379" t="str">
            <v>1-93121-58</v>
          </cell>
          <cell r="C379" t="str">
            <v>MH43SP18022D</v>
          </cell>
          <cell r="D379">
            <v>629010</v>
          </cell>
          <cell r="H379" t="str">
            <v>9FLR2118A-002</v>
          </cell>
          <cell r="V379" t="str">
            <v>DARK TEAL-002</v>
          </cell>
        </row>
        <row r="380">
          <cell r="B380" t="str">
            <v>1-95648-52</v>
          </cell>
          <cell r="C380" t="str">
            <v>MH57SP19051D</v>
          </cell>
          <cell r="D380">
            <v>628868</v>
          </cell>
          <cell r="H380" t="str">
            <v>9FLR2118A-002</v>
          </cell>
          <cell r="V380" t="str">
            <v>DARK TEAL-002</v>
          </cell>
        </row>
        <row r="381">
          <cell r="B381" t="str">
            <v>1-93121-07</v>
          </cell>
          <cell r="C381" t="str">
            <v>MH43SP18022D</v>
          </cell>
          <cell r="D381">
            <v>629045</v>
          </cell>
          <cell r="H381" t="str">
            <v>9FLR1876B-002</v>
          </cell>
          <cell r="V381" t="str">
            <v>SAPPHIRE -002</v>
          </cell>
        </row>
        <row r="382">
          <cell r="B382" t="str">
            <v>1-93121-07</v>
          </cell>
          <cell r="C382" t="str">
            <v>MH43SP18022D</v>
          </cell>
          <cell r="D382">
            <v>629046</v>
          </cell>
          <cell r="H382" t="str">
            <v>9FLR1876B-002</v>
          </cell>
          <cell r="V382" t="str">
            <v>SAPPHIRE -002</v>
          </cell>
        </row>
        <row r="383">
          <cell r="B383" t="str">
            <v>1-95648-07</v>
          </cell>
          <cell r="C383" t="str">
            <v>MH57SP19051D</v>
          </cell>
          <cell r="D383">
            <v>628874</v>
          </cell>
          <cell r="H383" t="str">
            <v>9FLR1876B-002</v>
          </cell>
          <cell r="V383" t="str">
            <v>SAPPHIRE -002</v>
          </cell>
        </row>
        <row r="384">
          <cell r="B384" t="str">
            <v>1-97710-06</v>
          </cell>
          <cell r="C384" t="str">
            <v>MH43SM16016D</v>
          </cell>
          <cell r="D384">
            <v>629502</v>
          </cell>
          <cell r="H384" t="str">
            <v>CORE BLACK-001</v>
          </cell>
        </row>
        <row r="385">
          <cell r="B385" t="str">
            <v>1-94505-76</v>
          </cell>
          <cell r="C385" t="str">
            <v>MH43F118040D</v>
          </cell>
          <cell r="D385">
            <v>630253</v>
          </cell>
          <cell r="H385" t="str">
            <v>9FLR2071B-001</v>
          </cell>
        </row>
        <row r="386">
          <cell r="B386" t="str">
            <v>1-94505-65</v>
          </cell>
          <cell r="C386" t="str">
            <v>MH43F118040D</v>
          </cell>
          <cell r="D386">
            <v>630252</v>
          </cell>
          <cell r="H386" t="str">
            <v>WINDSOR WINE-001</v>
          </cell>
        </row>
        <row r="387">
          <cell r="B387" t="str">
            <v>1-96765-86</v>
          </cell>
          <cell r="C387" t="str">
            <v>MH57F119082D</v>
          </cell>
          <cell r="D387">
            <v>630102</v>
          </cell>
          <cell r="H387" t="str">
            <v>WINDSOR WINE-001</v>
          </cell>
        </row>
        <row r="388">
          <cell r="B388" t="str">
            <v>1-94505-22</v>
          </cell>
          <cell r="C388" t="str">
            <v>MH43F118040D</v>
          </cell>
          <cell r="D388">
            <v>630251</v>
          </cell>
          <cell r="H388" t="str">
            <v>9PRT1816-001</v>
          </cell>
        </row>
        <row r="389">
          <cell r="B389" t="str">
            <v>1-96765-22</v>
          </cell>
          <cell r="C389" t="str">
            <v>MH57F119082D</v>
          </cell>
          <cell r="D389">
            <v>630101</v>
          </cell>
          <cell r="H389" t="str">
            <v>9PRT1816-001</v>
          </cell>
        </row>
        <row r="390">
          <cell r="B390" t="str">
            <v>1-94505-58</v>
          </cell>
          <cell r="C390" t="str">
            <v>MH43F118040D</v>
          </cell>
          <cell r="D390">
            <v>630250</v>
          </cell>
          <cell r="H390" t="str">
            <v xml:space="preserve"> 9GEO1665-001</v>
          </cell>
        </row>
        <row r="391">
          <cell r="B391" t="str">
            <v>1-92515-58</v>
          </cell>
          <cell r="C391" t="str">
            <v>MH43F217007D</v>
          </cell>
          <cell r="D391">
            <v>630256</v>
          </cell>
          <cell r="H391" t="str">
            <v>MAJOLICA BLUE-002</v>
          </cell>
        </row>
        <row r="392">
          <cell r="B392" t="str">
            <v>1-92515-67</v>
          </cell>
          <cell r="C392" t="str">
            <v>MH43F217007D</v>
          </cell>
          <cell r="D392">
            <v>630255</v>
          </cell>
          <cell r="H392" t="str">
            <v xml:space="preserve"> WINDSOR WINE-002</v>
          </cell>
        </row>
        <row r="393">
          <cell r="B393" t="str">
            <v>1-96438-59</v>
          </cell>
          <cell r="C393" t="str">
            <v>MH43SM19026D</v>
          </cell>
          <cell r="D393">
            <v>630315</v>
          </cell>
          <cell r="H393" t="str">
            <v>9FLR2071A-001</v>
          </cell>
        </row>
        <row r="394">
          <cell r="B394" t="str">
            <v>1-96438-12</v>
          </cell>
          <cell r="C394" t="str">
            <v>MH43SM19026D</v>
          </cell>
          <cell r="D394">
            <v>630314</v>
          </cell>
          <cell r="H394" t="str">
            <v>9DOT1675A-001</v>
          </cell>
        </row>
        <row r="395">
          <cell r="B395" t="str">
            <v>1-61997-66</v>
          </cell>
          <cell r="C395" t="str">
            <v>PE43F119003D</v>
          </cell>
          <cell r="D395">
            <v>630746</v>
          </cell>
          <cell r="H395" t="str">
            <v>GARNET RED-001</v>
          </cell>
        </row>
        <row r="396">
          <cell r="B396" t="str">
            <v>1-61997-40</v>
          </cell>
          <cell r="C396" t="str">
            <v>PE43F119003D</v>
          </cell>
          <cell r="D396">
            <v>630745</v>
          </cell>
          <cell r="H396" t="str">
            <v>1PRT1780-001</v>
          </cell>
        </row>
        <row r="397">
          <cell r="B397" t="str">
            <v>1-70545-40</v>
          </cell>
          <cell r="C397" t="str">
            <v>PE76F219008D</v>
          </cell>
          <cell r="D397">
            <v>631250</v>
          </cell>
          <cell r="H397" t="str">
            <v>1FLR1978-001</v>
          </cell>
        </row>
        <row r="398">
          <cell r="B398" t="str">
            <v>1-83930-86</v>
          </cell>
          <cell r="C398" t="str">
            <v>PE76F219010D</v>
          </cell>
          <cell r="D398">
            <v>633237</v>
          </cell>
          <cell r="H398" t="str">
            <v xml:space="preserve"> PEACH WHIP-001</v>
          </cell>
        </row>
        <row r="399">
          <cell r="B399" t="str">
            <v>1-83930-03</v>
          </cell>
          <cell r="C399" t="str">
            <v>PE76F219010D</v>
          </cell>
          <cell r="D399">
            <v>633239</v>
          </cell>
          <cell r="H399" t="str">
            <v>CORE BLACK-001</v>
          </cell>
        </row>
        <row r="400">
          <cell r="B400" t="str">
            <v>1-83930-01</v>
          </cell>
          <cell r="C400" t="str">
            <v>PE76F219010D</v>
          </cell>
          <cell r="D400">
            <v>633235</v>
          </cell>
          <cell r="H400" t="str">
            <v>1PRT1777-001</v>
          </cell>
        </row>
        <row r="401">
          <cell r="B401" t="str">
            <v>1-93121-51</v>
          </cell>
          <cell r="C401" t="str">
            <v>MH43SP18022D</v>
          </cell>
          <cell r="D401">
            <v>633354</v>
          </cell>
          <cell r="H401" t="str">
            <v>9DOT1680-002</v>
          </cell>
          <cell r="V401" t="str">
            <v>FROSTED ROSE -002</v>
          </cell>
        </row>
        <row r="402">
          <cell r="B402" t="str">
            <v>1-95219-01</v>
          </cell>
          <cell r="C402" t="str">
            <v>MH43SP19047D</v>
          </cell>
          <cell r="D402">
            <v>633494</v>
          </cell>
          <cell r="H402" t="str">
            <v>9DOT 1619-003</v>
          </cell>
        </row>
        <row r="403">
          <cell r="B403" t="str">
            <v>1-95467-01</v>
          </cell>
          <cell r="C403" t="str">
            <v>MH57SP19004D</v>
          </cell>
          <cell r="D403">
            <v>633298</v>
          </cell>
          <cell r="H403" t="str">
            <v>9DOT 1619-003</v>
          </cell>
        </row>
        <row r="404">
          <cell r="B404" t="str">
            <v>1-92253-01</v>
          </cell>
          <cell r="C404" t="str">
            <v>MH45F117013D</v>
          </cell>
          <cell r="D404">
            <v>633556</v>
          </cell>
          <cell r="H404" t="str">
            <v>CORE BLACK-001</v>
          </cell>
        </row>
        <row r="405">
          <cell r="B405" t="str">
            <v>1-92253-01</v>
          </cell>
          <cell r="C405" t="str">
            <v>MH45F117013D</v>
          </cell>
          <cell r="D405">
            <v>633557</v>
          </cell>
          <cell r="H405" t="str">
            <v>CORE BLACK-001</v>
          </cell>
        </row>
        <row r="406">
          <cell r="B406" t="str">
            <v>1-96686-01</v>
          </cell>
          <cell r="C406" t="str">
            <v>MH57F119039D</v>
          </cell>
          <cell r="D406">
            <v>633370</v>
          </cell>
          <cell r="H406" t="str">
            <v>CORE BLACK-001</v>
          </cell>
        </row>
        <row r="407">
          <cell r="B407" t="str">
            <v>1-96686-01</v>
          </cell>
          <cell r="C407" t="str">
            <v>MH57F119039D</v>
          </cell>
          <cell r="D407">
            <v>633371</v>
          </cell>
          <cell r="H407" t="str">
            <v>CORE BLACK-001</v>
          </cell>
        </row>
        <row r="408">
          <cell r="B408" t="str">
            <v>1-92253-58</v>
          </cell>
          <cell r="C408" t="str">
            <v>MH45F117013D</v>
          </cell>
          <cell r="D408">
            <v>633558</v>
          </cell>
          <cell r="H408" t="str">
            <v>BEETLE-001</v>
          </cell>
        </row>
        <row r="409">
          <cell r="B409" t="str">
            <v>1-96686-58</v>
          </cell>
          <cell r="C409" t="str">
            <v>MH57F119039D</v>
          </cell>
          <cell r="D409">
            <v>633372</v>
          </cell>
          <cell r="H409" t="str">
            <v>BEETLE-001</v>
          </cell>
        </row>
        <row r="410">
          <cell r="B410" t="str">
            <v>1-96686-58</v>
          </cell>
          <cell r="C410" t="str">
            <v>MH57F119039D</v>
          </cell>
          <cell r="D410">
            <v>633373</v>
          </cell>
          <cell r="H410" t="str">
            <v>BEETLE-001</v>
          </cell>
        </row>
        <row r="411">
          <cell r="B411" t="str">
            <v>1-97669-65</v>
          </cell>
          <cell r="C411" t="str">
            <v>MH43F219024D</v>
          </cell>
          <cell r="D411">
            <v>634212</v>
          </cell>
          <cell r="H411" t="str">
            <v>GOJI BERRY-001</v>
          </cell>
        </row>
        <row r="412">
          <cell r="B412" t="str">
            <v>1-97669-01</v>
          </cell>
          <cell r="C412" t="str">
            <v>MH43F219024D</v>
          </cell>
          <cell r="D412">
            <v>634213</v>
          </cell>
          <cell r="H412" t="str">
            <v>CORE BLACK-001</v>
          </cell>
        </row>
        <row r="413">
          <cell r="B413" t="str">
            <v>1-97439-01</v>
          </cell>
          <cell r="C413" t="str">
            <v>MH43F219020D</v>
          </cell>
          <cell r="D413">
            <v>634360</v>
          </cell>
          <cell r="H413" t="str">
            <v>7FLR1738-002</v>
          </cell>
        </row>
        <row r="414">
          <cell r="B414" t="str">
            <v xml:space="preserve">1-97724-45 </v>
          </cell>
          <cell r="C414" t="str">
            <v xml:space="preserve">MH43SP20022D </v>
          </cell>
          <cell r="D414">
            <v>634192</v>
          </cell>
          <cell r="H414" t="str">
            <v>7BOR1574-003</v>
          </cell>
        </row>
        <row r="415">
          <cell r="B415" t="str">
            <v>1-97666-12</v>
          </cell>
          <cell r="C415" t="str">
            <v>MH43F219002D</v>
          </cell>
          <cell r="D415">
            <v>634189</v>
          </cell>
          <cell r="H415" t="str">
            <v>EGRET-004</v>
          </cell>
        </row>
        <row r="416">
          <cell r="B416" t="str">
            <v>1-97666-01</v>
          </cell>
          <cell r="C416" t="str">
            <v>MH43F219002D</v>
          </cell>
          <cell r="D416">
            <v>634190</v>
          </cell>
          <cell r="H416" t="str">
            <v>CORE BLACK-004</v>
          </cell>
        </row>
        <row r="417">
          <cell r="B417" t="str">
            <v>1-97666-45</v>
          </cell>
          <cell r="C417" t="str">
            <v>MH43F219002D</v>
          </cell>
          <cell r="D417">
            <v>634191</v>
          </cell>
          <cell r="H417" t="str">
            <v>9FLR2160 -004</v>
          </cell>
        </row>
        <row r="418">
          <cell r="B418" t="str">
            <v>1-97416-44</v>
          </cell>
          <cell r="C418" t="str">
            <v>MH43F219022D</v>
          </cell>
          <cell r="D418">
            <v>634209</v>
          </cell>
          <cell r="H418" t="str">
            <v>9BOR1587-005</v>
          </cell>
        </row>
        <row r="419">
          <cell r="B419" t="str">
            <v>1-97696-44</v>
          </cell>
          <cell r="C419" t="str">
            <v>MH57F219074D</v>
          </cell>
          <cell r="D419">
            <v>634287</v>
          </cell>
          <cell r="H419" t="str">
            <v>9BOR1587-005</v>
          </cell>
        </row>
        <row r="420">
          <cell r="B420" t="str">
            <v>1-97416-65</v>
          </cell>
          <cell r="C420" t="str">
            <v>MH43F219022D</v>
          </cell>
          <cell r="D420">
            <v>634210</v>
          </cell>
          <cell r="H420" t="str">
            <v>9DOT1686B-005</v>
          </cell>
        </row>
        <row r="421">
          <cell r="B421" t="str">
            <v>1-97696-65</v>
          </cell>
          <cell r="C421" t="str">
            <v>MH57F219074D</v>
          </cell>
          <cell r="D421">
            <v>634288</v>
          </cell>
          <cell r="H421" t="str">
            <v>9DOT1686B-005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C"/>
    </sheetNames>
    <sheetDataSet>
      <sheetData sheetId="0">
        <row r="1">
          <cell r="D1" t="str">
            <v xml:space="preserve">PO number </v>
          </cell>
          <cell r="I1" t="str">
            <v>Customs Qty</v>
          </cell>
        </row>
        <row r="2">
          <cell r="D2">
            <v>4</v>
          </cell>
          <cell r="I2">
            <v>9</v>
          </cell>
        </row>
        <row r="3">
          <cell r="D3" t="str">
            <v>I625168</v>
          </cell>
          <cell r="I3">
            <v>126</v>
          </cell>
        </row>
        <row r="4">
          <cell r="D4" t="str">
            <v>E623558</v>
          </cell>
          <cell r="I4">
            <v>82</v>
          </cell>
        </row>
        <row r="5">
          <cell r="D5" t="str">
            <v>E623558</v>
          </cell>
          <cell r="I5"/>
        </row>
        <row r="6">
          <cell r="D6">
            <v>625365</v>
          </cell>
          <cell r="I6">
            <v>510</v>
          </cell>
        </row>
        <row r="7">
          <cell r="D7">
            <v>624995</v>
          </cell>
          <cell r="I7">
            <v>300</v>
          </cell>
        </row>
        <row r="8">
          <cell r="D8">
            <v>625346</v>
          </cell>
          <cell r="I8">
            <v>4310</v>
          </cell>
        </row>
        <row r="9">
          <cell r="D9" t="str">
            <v>F625346</v>
          </cell>
          <cell r="I9"/>
        </row>
        <row r="10">
          <cell r="D10">
            <v>625368</v>
          </cell>
          <cell r="I10">
            <v>1028</v>
          </cell>
        </row>
        <row r="11">
          <cell r="D11">
            <v>625294</v>
          </cell>
          <cell r="I11">
            <v>3013</v>
          </cell>
        </row>
        <row r="12">
          <cell r="D12">
            <v>625295</v>
          </cell>
          <cell r="I12">
            <v>2191</v>
          </cell>
        </row>
        <row r="13">
          <cell r="D13">
            <v>625409</v>
          </cell>
          <cell r="I13">
            <v>255</v>
          </cell>
        </row>
        <row r="14">
          <cell r="D14">
            <v>625407</v>
          </cell>
          <cell r="I14">
            <v>103</v>
          </cell>
        </row>
        <row r="15">
          <cell r="D15">
            <v>625371</v>
          </cell>
          <cell r="I15">
            <v>2952</v>
          </cell>
        </row>
        <row r="16">
          <cell r="D16">
            <v>625044</v>
          </cell>
          <cell r="I16">
            <v>475</v>
          </cell>
        </row>
        <row r="17">
          <cell r="D17">
            <v>624987</v>
          </cell>
          <cell r="I17">
            <v>155</v>
          </cell>
        </row>
        <row r="18">
          <cell r="D18">
            <v>625362</v>
          </cell>
          <cell r="I18">
            <v>1019</v>
          </cell>
        </row>
        <row r="19">
          <cell r="D19">
            <v>625112</v>
          </cell>
          <cell r="I19">
            <v>2679</v>
          </cell>
        </row>
        <row r="20">
          <cell r="D20">
            <v>625111</v>
          </cell>
          <cell r="I20">
            <v>2145</v>
          </cell>
        </row>
        <row r="21">
          <cell r="D21">
            <v>625168</v>
          </cell>
          <cell r="I21">
            <v>4555</v>
          </cell>
        </row>
        <row r="22">
          <cell r="D22" t="str">
            <v>E625168</v>
          </cell>
          <cell r="I22">
            <v>100</v>
          </cell>
        </row>
        <row r="23">
          <cell r="D23">
            <v>625016</v>
          </cell>
          <cell r="I23">
            <v>320</v>
          </cell>
        </row>
        <row r="24">
          <cell r="D24">
            <v>623558</v>
          </cell>
          <cell r="I24">
            <v>3645</v>
          </cell>
        </row>
        <row r="25">
          <cell r="D25">
            <v>625171</v>
          </cell>
          <cell r="I25">
            <v>1020</v>
          </cell>
        </row>
        <row r="26">
          <cell r="D26">
            <v>624991</v>
          </cell>
          <cell r="I26">
            <v>71</v>
          </cell>
        </row>
        <row r="27">
          <cell r="D27">
            <v>625000</v>
          </cell>
          <cell r="I27">
            <v>133</v>
          </cell>
        </row>
        <row r="28">
          <cell r="D28">
            <v>624992</v>
          </cell>
          <cell r="I28">
            <v>71</v>
          </cell>
        </row>
        <row r="29">
          <cell r="D29">
            <v>624997</v>
          </cell>
          <cell r="I29">
            <v>205</v>
          </cell>
        </row>
        <row r="30">
          <cell r="D30">
            <v>625356</v>
          </cell>
          <cell r="I30">
            <v>4550</v>
          </cell>
        </row>
        <row r="31">
          <cell r="D31" t="str">
            <v>F625356</v>
          </cell>
          <cell r="I31"/>
        </row>
        <row r="32">
          <cell r="D32">
            <v>625001</v>
          </cell>
          <cell r="I32">
            <v>138</v>
          </cell>
        </row>
        <row r="33">
          <cell r="D33">
            <v>625351</v>
          </cell>
          <cell r="I33">
            <v>4195</v>
          </cell>
        </row>
        <row r="34">
          <cell r="D34" t="str">
            <v>F625351</v>
          </cell>
          <cell r="I34"/>
        </row>
        <row r="35">
          <cell r="D35" t="str">
            <v>E625351</v>
          </cell>
          <cell r="I35">
            <v>50</v>
          </cell>
        </row>
        <row r="36">
          <cell r="D36">
            <v>625003</v>
          </cell>
          <cell r="I36">
            <v>305</v>
          </cell>
        </row>
        <row r="37">
          <cell r="D37">
            <v>625369</v>
          </cell>
          <cell r="I37">
            <v>3987</v>
          </cell>
        </row>
        <row r="38">
          <cell r="D38">
            <v>625360</v>
          </cell>
          <cell r="I38">
            <v>4197</v>
          </cell>
        </row>
        <row r="39">
          <cell r="D39">
            <v>625005</v>
          </cell>
          <cell r="I39">
            <v>233</v>
          </cell>
        </row>
        <row r="40">
          <cell r="D40">
            <v>624988</v>
          </cell>
          <cell r="I40">
            <v>178</v>
          </cell>
        </row>
        <row r="41">
          <cell r="D41">
            <v>625169</v>
          </cell>
          <cell r="I41">
            <v>918</v>
          </cell>
        </row>
        <row r="42">
          <cell r="D42">
            <v>625352</v>
          </cell>
          <cell r="I42">
            <v>816</v>
          </cell>
        </row>
        <row r="43">
          <cell r="D43">
            <v>625353</v>
          </cell>
          <cell r="I43">
            <v>714</v>
          </cell>
        </row>
        <row r="44">
          <cell r="D44">
            <v>625354</v>
          </cell>
          <cell r="I44">
            <v>613</v>
          </cell>
        </row>
        <row r="45">
          <cell r="D45">
            <v>625363</v>
          </cell>
          <cell r="I45">
            <v>510</v>
          </cell>
        </row>
        <row r="46">
          <cell r="D46">
            <v>625347</v>
          </cell>
          <cell r="I46">
            <v>971</v>
          </cell>
        </row>
        <row r="47">
          <cell r="D47">
            <v>625349</v>
          </cell>
          <cell r="I47">
            <v>1021</v>
          </cell>
        </row>
        <row r="48">
          <cell r="D48">
            <v>627740</v>
          </cell>
          <cell r="I48">
            <v>5394</v>
          </cell>
        </row>
        <row r="49">
          <cell r="D49">
            <v>625357</v>
          </cell>
          <cell r="I49">
            <v>918</v>
          </cell>
        </row>
        <row r="50">
          <cell r="D50">
            <v>625358</v>
          </cell>
          <cell r="I50">
            <v>816</v>
          </cell>
        </row>
        <row r="51">
          <cell r="D51">
            <v>625367</v>
          </cell>
          <cell r="I51">
            <v>714</v>
          </cell>
        </row>
        <row r="52">
          <cell r="D52" t="str">
            <v>I625348</v>
          </cell>
          <cell r="I52">
            <v>334</v>
          </cell>
        </row>
        <row r="53">
          <cell r="D53">
            <v>625348</v>
          </cell>
          <cell r="I53">
            <v>815</v>
          </cell>
        </row>
        <row r="54">
          <cell r="D54">
            <v>627876</v>
          </cell>
          <cell r="I54">
            <v>325</v>
          </cell>
        </row>
        <row r="55">
          <cell r="D55">
            <v>629502</v>
          </cell>
          <cell r="I55">
            <v>3059</v>
          </cell>
        </row>
        <row r="56">
          <cell r="D56">
            <v>628871</v>
          </cell>
          <cell r="I56">
            <v>245</v>
          </cell>
        </row>
        <row r="57">
          <cell r="D57">
            <v>628874</v>
          </cell>
          <cell r="I57">
            <v>306</v>
          </cell>
        </row>
        <row r="58">
          <cell r="D58">
            <v>628862</v>
          </cell>
          <cell r="I58">
            <v>245</v>
          </cell>
        </row>
        <row r="59">
          <cell r="D59">
            <v>628864</v>
          </cell>
          <cell r="I59">
            <v>245</v>
          </cell>
        </row>
        <row r="60">
          <cell r="D60">
            <v>629003</v>
          </cell>
          <cell r="I60">
            <v>6670</v>
          </cell>
        </row>
        <row r="61">
          <cell r="D61">
            <v>629028</v>
          </cell>
          <cell r="I61">
            <v>6290</v>
          </cell>
        </row>
        <row r="62">
          <cell r="D62">
            <v>629153</v>
          </cell>
          <cell r="I62">
            <v>1040</v>
          </cell>
        </row>
        <row r="63">
          <cell r="D63" t="str">
            <v>F629153</v>
          </cell>
          <cell r="I63"/>
        </row>
        <row r="64">
          <cell r="D64">
            <v>629156</v>
          </cell>
          <cell r="I64">
            <v>1202</v>
          </cell>
        </row>
        <row r="65">
          <cell r="D65" t="str">
            <v>F629156</v>
          </cell>
          <cell r="I65"/>
        </row>
        <row r="66">
          <cell r="D66">
            <v>628859</v>
          </cell>
          <cell r="I66">
            <v>245</v>
          </cell>
        </row>
        <row r="67">
          <cell r="D67">
            <v>628861</v>
          </cell>
          <cell r="I67">
            <v>245</v>
          </cell>
        </row>
        <row r="68">
          <cell r="D68">
            <v>628866</v>
          </cell>
          <cell r="I68">
            <v>30</v>
          </cell>
        </row>
        <row r="69">
          <cell r="D69">
            <v>628914</v>
          </cell>
          <cell r="I69">
            <v>255</v>
          </cell>
        </row>
        <row r="70">
          <cell r="D70">
            <v>628996</v>
          </cell>
          <cell r="I70">
            <v>883</v>
          </cell>
        </row>
        <row r="71">
          <cell r="D71">
            <v>629032</v>
          </cell>
          <cell r="I71">
            <v>2884</v>
          </cell>
        </row>
        <row r="72">
          <cell r="D72">
            <v>628993</v>
          </cell>
          <cell r="I72">
            <v>4222</v>
          </cell>
        </row>
        <row r="73">
          <cell r="D73">
            <v>628990</v>
          </cell>
          <cell r="I73">
            <v>4284</v>
          </cell>
        </row>
        <row r="74">
          <cell r="D74">
            <v>628997</v>
          </cell>
          <cell r="I74">
            <v>245</v>
          </cell>
        </row>
        <row r="75">
          <cell r="D75">
            <v>629045</v>
          </cell>
          <cell r="I75">
            <v>2076</v>
          </cell>
        </row>
        <row r="76">
          <cell r="D76">
            <v>633846</v>
          </cell>
          <cell r="I76">
            <v>1950</v>
          </cell>
        </row>
        <row r="77">
          <cell r="D77">
            <v>628989</v>
          </cell>
          <cell r="I77">
            <v>730</v>
          </cell>
        </row>
        <row r="78">
          <cell r="D78">
            <v>629048</v>
          </cell>
          <cell r="I78">
            <v>1531</v>
          </cell>
        </row>
        <row r="79">
          <cell r="D79">
            <v>628998</v>
          </cell>
          <cell r="I79">
            <v>325</v>
          </cell>
        </row>
        <row r="80">
          <cell r="D80">
            <v>634037</v>
          </cell>
          <cell r="I80">
            <v>745</v>
          </cell>
        </row>
        <row r="81">
          <cell r="D81">
            <v>629036</v>
          </cell>
          <cell r="I81">
            <v>3719</v>
          </cell>
        </row>
        <row r="82">
          <cell r="D82">
            <v>628869</v>
          </cell>
          <cell r="I82">
            <v>339</v>
          </cell>
        </row>
        <row r="83">
          <cell r="D83">
            <v>629008</v>
          </cell>
          <cell r="I83">
            <v>3476</v>
          </cell>
        </row>
        <row r="84">
          <cell r="D84">
            <v>630101</v>
          </cell>
          <cell r="I84">
            <v>311</v>
          </cell>
        </row>
        <row r="85">
          <cell r="D85">
            <v>630102</v>
          </cell>
          <cell r="I85">
            <v>311</v>
          </cell>
        </row>
        <row r="86">
          <cell r="D86">
            <v>630252</v>
          </cell>
          <cell r="I86">
            <v>3622</v>
          </cell>
        </row>
        <row r="87">
          <cell r="D87">
            <v>630251</v>
          </cell>
          <cell r="I87">
            <v>3537</v>
          </cell>
        </row>
        <row r="88">
          <cell r="D88">
            <v>630250</v>
          </cell>
          <cell r="I88">
            <v>4107</v>
          </cell>
        </row>
        <row r="89">
          <cell r="D89">
            <v>630255</v>
          </cell>
          <cell r="I89">
            <v>5296</v>
          </cell>
        </row>
        <row r="90">
          <cell r="D90">
            <v>630256</v>
          </cell>
          <cell r="I90">
            <v>926</v>
          </cell>
        </row>
        <row r="91">
          <cell r="D91" t="str">
            <v>F629008</v>
          </cell>
          <cell r="I91">
            <v>7</v>
          </cell>
        </row>
        <row r="92">
          <cell r="D92" t="str">
            <v>F630250</v>
          </cell>
          <cell r="I92">
            <v>6</v>
          </cell>
        </row>
        <row r="93">
          <cell r="D93" t="str">
            <v>F630251</v>
          </cell>
          <cell r="I93">
            <v>6</v>
          </cell>
        </row>
        <row r="94">
          <cell r="D94" t="str">
            <v>F630252</v>
          </cell>
          <cell r="I94">
            <v>6</v>
          </cell>
        </row>
        <row r="95">
          <cell r="D95" t="str">
            <v>F630255</v>
          </cell>
          <cell r="I95">
            <v>7</v>
          </cell>
        </row>
        <row r="96">
          <cell r="D96" t="str">
            <v>F630256</v>
          </cell>
          <cell r="I96">
            <v>7</v>
          </cell>
        </row>
        <row r="97">
          <cell r="D97" t="str">
            <v>F629036</v>
          </cell>
          <cell r="I97">
            <v>7</v>
          </cell>
        </row>
        <row r="98">
          <cell r="D98"/>
          <cell r="I98"/>
        </row>
        <row r="99">
          <cell r="D99"/>
          <cell r="I99"/>
        </row>
        <row r="100">
          <cell r="D100"/>
          <cell r="I100"/>
        </row>
        <row r="101">
          <cell r="D101"/>
          <cell r="I101"/>
        </row>
        <row r="102">
          <cell r="D102"/>
          <cell r="I102"/>
        </row>
        <row r="103">
          <cell r="D103"/>
          <cell r="I103"/>
        </row>
        <row r="104">
          <cell r="D104"/>
          <cell r="I104"/>
        </row>
        <row r="105">
          <cell r="D105"/>
          <cell r="I105"/>
        </row>
        <row r="106">
          <cell r="D106"/>
          <cell r="I106"/>
        </row>
        <row r="107">
          <cell r="D107"/>
          <cell r="I107"/>
        </row>
        <row r="108">
          <cell r="D108"/>
          <cell r="I108"/>
        </row>
        <row r="109">
          <cell r="D109"/>
          <cell r="I109"/>
        </row>
        <row r="110">
          <cell r="D110"/>
          <cell r="I110"/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Lining"/>
      <sheetName val="Combo"/>
      <sheetName val="Contrast"/>
    </sheetNames>
    <sheetDataSet>
      <sheetData sheetId="0">
        <row r="1">
          <cell r="A1" t="str">
            <v>PO No.</v>
          </cell>
          <cell r="H1" t="str">
            <v>S/doc Q.ty
( -/+3% ) (m)</v>
          </cell>
          <cell r="L1" t="str">
            <v>Shipped Need Q.ty
 (pcs)</v>
          </cell>
        </row>
        <row r="2">
          <cell r="A2">
            <v>629502</v>
          </cell>
          <cell r="H2">
            <v>4137</v>
          </cell>
          <cell r="L2">
            <v>3059</v>
          </cell>
        </row>
        <row r="3">
          <cell r="A3">
            <v>629028</v>
          </cell>
          <cell r="H3">
            <v>8240</v>
          </cell>
          <cell r="L3">
            <v>6290</v>
          </cell>
        </row>
        <row r="4">
          <cell r="A4">
            <v>629032</v>
          </cell>
          <cell r="H4">
            <v>7318</v>
          </cell>
          <cell r="L4">
            <v>5579</v>
          </cell>
        </row>
        <row r="5">
          <cell r="A5">
            <v>629036</v>
          </cell>
          <cell r="H5">
            <v>4879</v>
          </cell>
          <cell r="L5">
            <v>3726</v>
          </cell>
        </row>
        <row r="6">
          <cell r="A6">
            <v>629048</v>
          </cell>
          <cell r="H6">
            <v>2051</v>
          </cell>
          <cell r="L6">
            <v>1531</v>
          </cell>
        </row>
        <row r="7">
          <cell r="A7">
            <v>629040</v>
          </cell>
          <cell r="H7">
            <v>1139</v>
          </cell>
          <cell r="L7">
            <v>842</v>
          </cell>
        </row>
        <row r="8">
          <cell r="A8">
            <v>629052</v>
          </cell>
          <cell r="H8">
            <v>1108</v>
          </cell>
          <cell r="L8">
            <v>842</v>
          </cell>
        </row>
        <row r="9">
          <cell r="A9">
            <v>628862</v>
          </cell>
          <cell r="H9">
            <v>413</v>
          </cell>
          <cell r="L9">
            <v>245</v>
          </cell>
        </row>
        <row r="10">
          <cell r="A10">
            <v>628864</v>
          </cell>
          <cell r="H10">
            <v>413</v>
          </cell>
          <cell r="L10">
            <v>245</v>
          </cell>
        </row>
        <row r="11">
          <cell r="A11">
            <v>628866</v>
          </cell>
          <cell r="H11">
            <v>52</v>
          </cell>
          <cell r="L11">
            <v>30</v>
          </cell>
        </row>
        <row r="12">
          <cell r="A12">
            <v>628990</v>
          </cell>
          <cell r="H12">
            <v>8472</v>
          </cell>
          <cell r="L12">
            <v>4284</v>
          </cell>
        </row>
        <row r="13">
          <cell r="A13">
            <v>628991</v>
          </cell>
          <cell r="H13">
            <v>1943</v>
          </cell>
          <cell r="L13">
            <v>1005</v>
          </cell>
        </row>
        <row r="14">
          <cell r="A14">
            <v>628992</v>
          </cell>
          <cell r="H14">
            <v>2525</v>
          </cell>
          <cell r="L14">
            <v>1307</v>
          </cell>
        </row>
        <row r="15">
          <cell r="A15">
            <v>628993</v>
          </cell>
          <cell r="H15">
            <v>8120.5</v>
          </cell>
          <cell r="L15">
            <v>4222</v>
          </cell>
        </row>
        <row r="16">
          <cell r="A16">
            <v>628994</v>
          </cell>
          <cell r="H16">
            <v>1943</v>
          </cell>
          <cell r="L16">
            <v>1020</v>
          </cell>
        </row>
        <row r="17">
          <cell r="A17">
            <v>628989</v>
          </cell>
          <cell r="H17">
            <v>1482.5</v>
          </cell>
          <cell r="L17">
            <v>730</v>
          </cell>
        </row>
        <row r="18">
          <cell r="A18">
            <v>628988</v>
          </cell>
          <cell r="H18">
            <v>1365</v>
          </cell>
          <cell r="L18">
            <v>696</v>
          </cell>
        </row>
        <row r="19">
          <cell r="A19">
            <v>628997</v>
          </cell>
          <cell r="H19">
            <v>622</v>
          </cell>
          <cell r="L19">
            <v>245</v>
          </cell>
        </row>
        <row r="20">
          <cell r="A20">
            <v>628998</v>
          </cell>
          <cell r="H20">
            <v>861</v>
          </cell>
          <cell r="L20">
            <v>325</v>
          </cell>
        </row>
        <row r="21">
          <cell r="A21">
            <v>629003</v>
          </cell>
          <cell r="H21">
            <v>7261</v>
          </cell>
          <cell r="L21">
            <v>6670</v>
          </cell>
        </row>
        <row r="22">
          <cell r="A22">
            <v>629045</v>
          </cell>
          <cell r="H22">
            <v>2240</v>
          </cell>
          <cell r="L22">
            <v>2076</v>
          </cell>
        </row>
        <row r="23">
          <cell r="A23">
            <v>629046</v>
          </cell>
          <cell r="H23">
            <v>1071</v>
          </cell>
          <cell r="L23">
            <v>1020</v>
          </cell>
        </row>
        <row r="24">
          <cell r="A24">
            <v>629008</v>
          </cell>
          <cell r="H24">
            <v>3790</v>
          </cell>
          <cell r="L24">
            <v>3483</v>
          </cell>
        </row>
        <row r="25">
          <cell r="A25">
            <v>629010</v>
          </cell>
          <cell r="H25">
            <v>631</v>
          </cell>
          <cell r="L25">
            <v>564</v>
          </cell>
        </row>
        <row r="26">
          <cell r="A26">
            <v>628871</v>
          </cell>
          <cell r="H26">
            <v>343</v>
          </cell>
          <cell r="L26">
            <v>245</v>
          </cell>
        </row>
        <row r="27">
          <cell r="A27">
            <v>628874</v>
          </cell>
          <cell r="H27">
            <v>428</v>
          </cell>
          <cell r="L27">
            <v>306</v>
          </cell>
        </row>
        <row r="28">
          <cell r="A28">
            <v>628869</v>
          </cell>
          <cell r="H28">
            <v>474</v>
          </cell>
          <cell r="L28">
            <v>339</v>
          </cell>
        </row>
        <row r="29">
          <cell r="A29">
            <v>628868</v>
          </cell>
          <cell r="H29">
            <v>197</v>
          </cell>
          <cell r="L29">
            <v>132</v>
          </cell>
        </row>
        <row r="30">
          <cell r="A30">
            <v>629153</v>
          </cell>
          <cell r="H30">
            <v>1704</v>
          </cell>
          <cell r="L30">
            <v>1040</v>
          </cell>
        </row>
        <row r="31">
          <cell r="A31">
            <v>629156</v>
          </cell>
          <cell r="H31">
            <v>1982</v>
          </cell>
          <cell r="L31">
            <v>1202</v>
          </cell>
        </row>
        <row r="32">
          <cell r="A32">
            <v>628859</v>
          </cell>
          <cell r="H32">
            <v>464</v>
          </cell>
          <cell r="L32">
            <v>245</v>
          </cell>
        </row>
        <row r="33">
          <cell r="A33">
            <v>628861</v>
          </cell>
          <cell r="H33">
            <v>464</v>
          </cell>
          <cell r="L33">
            <v>245</v>
          </cell>
        </row>
        <row r="34">
          <cell r="A34">
            <v>628996</v>
          </cell>
          <cell r="H34">
            <v>1640</v>
          </cell>
          <cell r="L34">
            <v>883</v>
          </cell>
        </row>
        <row r="35">
          <cell r="A35">
            <v>628914</v>
          </cell>
          <cell r="H35">
            <v>525</v>
          </cell>
          <cell r="L35">
            <v>255</v>
          </cell>
        </row>
        <row r="36">
          <cell r="A36">
            <v>630250</v>
          </cell>
          <cell r="H36">
            <v>5692</v>
          </cell>
          <cell r="L36">
            <v>4113</v>
          </cell>
        </row>
        <row r="37">
          <cell r="A37">
            <v>630251</v>
          </cell>
          <cell r="H37">
            <v>4745.3999999999996</v>
          </cell>
          <cell r="L37">
            <v>3543</v>
          </cell>
        </row>
        <row r="38">
          <cell r="A38">
            <v>630252</v>
          </cell>
          <cell r="H38">
            <v>4802</v>
          </cell>
          <cell r="L38">
            <v>3628</v>
          </cell>
        </row>
        <row r="39">
          <cell r="A39">
            <v>630253</v>
          </cell>
          <cell r="H39">
            <v>894.5</v>
          </cell>
          <cell r="L39">
            <v>654</v>
          </cell>
        </row>
        <row r="40">
          <cell r="A40">
            <v>630101</v>
          </cell>
          <cell r="H40">
            <v>506</v>
          </cell>
          <cell r="L40">
            <v>311</v>
          </cell>
        </row>
        <row r="41">
          <cell r="A41">
            <v>630102</v>
          </cell>
          <cell r="H41">
            <v>506</v>
          </cell>
          <cell r="L41">
            <v>311</v>
          </cell>
        </row>
        <row r="42">
          <cell r="A42">
            <v>630255</v>
          </cell>
          <cell r="H42">
            <v>12965</v>
          </cell>
          <cell r="L42">
            <v>5303</v>
          </cell>
        </row>
        <row r="43">
          <cell r="A43">
            <v>630256</v>
          </cell>
          <cell r="H43">
            <v>4682</v>
          </cell>
          <cell r="L43">
            <v>1927</v>
          </cell>
        </row>
        <row r="44">
          <cell r="A44">
            <v>630314</v>
          </cell>
          <cell r="H44">
            <v>745</v>
          </cell>
          <cell r="L44">
            <v>626</v>
          </cell>
        </row>
        <row r="45">
          <cell r="A45">
            <v>630315</v>
          </cell>
          <cell r="H45">
            <v>718</v>
          </cell>
          <cell r="L45">
            <v>626</v>
          </cell>
        </row>
        <row r="46">
          <cell r="A46">
            <v>630745</v>
          </cell>
          <cell r="H46">
            <v>789</v>
          </cell>
          <cell r="L46">
            <v>510</v>
          </cell>
        </row>
        <row r="47">
          <cell r="A47">
            <v>630746</v>
          </cell>
          <cell r="H47">
            <v>1222</v>
          </cell>
          <cell r="L47">
            <v>782</v>
          </cell>
        </row>
        <row r="48">
          <cell r="A48">
            <v>631250</v>
          </cell>
          <cell r="H48">
            <v>1155</v>
          </cell>
          <cell r="L48">
            <v>698</v>
          </cell>
        </row>
        <row r="49">
          <cell r="H49">
            <v>0</v>
          </cell>
        </row>
      </sheetData>
      <sheetData sheetId="1"/>
      <sheetData sheetId="2">
        <row r="1">
          <cell r="A1" t="str">
            <v>PO No.</v>
          </cell>
          <cell r="H1" t="str">
            <v>S/doc Q.ty
( -/+3% ) (m)</v>
          </cell>
        </row>
        <row r="2">
          <cell r="A2">
            <v>629003</v>
          </cell>
          <cell r="H2">
            <v>486</v>
          </cell>
        </row>
        <row r="3">
          <cell r="A3">
            <v>629045</v>
          </cell>
          <cell r="H3">
            <v>160</v>
          </cell>
        </row>
        <row r="4">
          <cell r="A4">
            <v>629046</v>
          </cell>
          <cell r="H4">
            <v>74</v>
          </cell>
        </row>
        <row r="5">
          <cell r="A5">
            <v>629008</v>
          </cell>
          <cell r="H5">
            <v>242</v>
          </cell>
        </row>
        <row r="6">
          <cell r="A6">
            <v>629010</v>
          </cell>
          <cell r="H6">
            <v>40</v>
          </cell>
        </row>
        <row r="7">
          <cell r="A7">
            <v>628871</v>
          </cell>
          <cell r="H7">
            <v>23</v>
          </cell>
        </row>
        <row r="8">
          <cell r="A8">
            <v>628874</v>
          </cell>
          <cell r="H8">
            <v>28</v>
          </cell>
        </row>
        <row r="9">
          <cell r="A9">
            <v>628869</v>
          </cell>
          <cell r="H9">
            <v>31</v>
          </cell>
        </row>
        <row r="10">
          <cell r="A10">
            <v>628868</v>
          </cell>
          <cell r="H10">
            <v>12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22"/>
  <sheetViews>
    <sheetView tabSelected="1" zoomScale="120" zoomScaleNormal="120" workbookViewId="0">
      <selection activeCell="I4" sqref="I4"/>
    </sheetView>
  </sheetViews>
  <sheetFormatPr defaultRowHeight="14.4" x14ac:dyDescent="0.3"/>
  <cols>
    <col min="1" max="1" width="14.88671875" bestFit="1" customWidth="1"/>
    <col min="2" max="2" width="10.33203125" bestFit="1" customWidth="1"/>
    <col min="3" max="3" width="15.109375" bestFit="1" customWidth="1"/>
    <col min="6" max="6" width="15.109375" bestFit="1" customWidth="1"/>
  </cols>
  <sheetData>
    <row r="1" spans="1:9" x14ac:dyDescent="0.3">
      <c r="A1" s="26" t="s">
        <v>17</v>
      </c>
      <c r="B1" t="s">
        <v>18</v>
      </c>
    </row>
    <row r="3" spans="1:9" ht="15" thickBot="1" x14ac:dyDescent="0.35">
      <c r="A3" s="22" t="s">
        <v>19</v>
      </c>
      <c r="B3" s="22" t="s">
        <v>3</v>
      </c>
      <c r="C3" s="22" t="s">
        <v>4</v>
      </c>
      <c r="F3" s="23" t="s">
        <v>20</v>
      </c>
    </row>
    <row r="4" spans="1:9" ht="15" thickTop="1" x14ac:dyDescent="0.3">
      <c r="A4" s="15">
        <v>629028</v>
      </c>
      <c r="B4" t="str">
        <f>IFERROR(INDEX([1]Master!$B:$B,MATCH(A4,[1]Master!$D:$D,0)),"")</f>
        <v>1-97710-88</v>
      </c>
      <c r="C4" t="str">
        <f>IFERROR(INDEX([1]Master!$C:$C,MATCH(A4,[1]Master!$D:$D,0)),"")</f>
        <v>MH43SM16016D</v>
      </c>
      <c r="F4" t="s">
        <v>22</v>
      </c>
      <c r="I4" s="33" t="s">
        <v>36</v>
      </c>
    </row>
    <row r="5" spans="1:9" x14ac:dyDescent="0.3">
      <c r="A5" s="15">
        <v>628864</v>
      </c>
      <c r="B5" t="str">
        <f>IFERROR(INDEX([1]Master!$B:$B,MATCH(A5,[1]Master!$D:$D,0)),"")</f>
        <v>1-93896-86</v>
      </c>
      <c r="C5" t="str">
        <f>IFERROR(INDEX([1]Master!$C:$C,MATCH(A5,[1]Master!$D:$D,0)),"")</f>
        <v>MH57SP18050D</v>
      </c>
      <c r="F5" t="s">
        <v>23</v>
      </c>
    </row>
    <row r="6" spans="1:9" x14ac:dyDescent="0.3">
      <c r="A6" s="15">
        <v>629032</v>
      </c>
      <c r="B6" t="str">
        <f>IFERROR(INDEX([1]Master!$B:$B,MATCH(A6,[1]Master!$D:$D,0)),"")</f>
        <v>1-97710-50</v>
      </c>
      <c r="C6" t="str">
        <f>IFERROR(INDEX([1]Master!$C:$C,MATCH(A6,[1]Master!$D:$D,0)),"")</f>
        <v>MH43SM16016D</v>
      </c>
      <c r="F6" t="s">
        <v>24</v>
      </c>
    </row>
    <row r="7" spans="1:9" x14ac:dyDescent="0.3">
      <c r="A7" s="15">
        <v>628862</v>
      </c>
      <c r="B7" t="str">
        <f>IFERROR(INDEX([1]Master!$B:$B,MATCH(A7,[1]Master!$D:$D,0)),"")</f>
        <v>1-93896-44</v>
      </c>
      <c r="C7" t="str">
        <f>IFERROR(INDEX([1]Master!$C:$C,MATCH(A7,[1]Master!$D:$D,0)),"")</f>
        <v>MH57SP18050D</v>
      </c>
      <c r="F7" t="s">
        <v>25</v>
      </c>
    </row>
    <row r="8" spans="1:9" x14ac:dyDescent="0.3">
      <c r="A8" s="15">
        <v>629036</v>
      </c>
      <c r="B8" t="str">
        <f>IFERROR(INDEX([1]Master!$B:$B,MATCH(A8,[1]Master!$D:$D,0)),"")</f>
        <v>1-97710-71</v>
      </c>
      <c r="C8" t="str">
        <f>IFERROR(INDEX([1]Master!$C:$C,MATCH(A8,[1]Master!$D:$D,0)),"")</f>
        <v>MH43SM16016D</v>
      </c>
      <c r="F8" t="s">
        <v>26</v>
      </c>
    </row>
    <row r="9" spans="1:9" x14ac:dyDescent="0.3">
      <c r="A9" s="15">
        <v>629048</v>
      </c>
      <c r="B9" t="str">
        <f>IFERROR(INDEX([1]Master!$B:$B,MATCH(A9,[1]Master!$D:$D,0)),"")</f>
        <v>1-97710-05</v>
      </c>
      <c r="C9" t="str">
        <f>IFERROR(INDEX([1]Master!$C:$C,MATCH(A9,[1]Master!$D:$D,0)),"")</f>
        <v>MH43SM16016D</v>
      </c>
      <c r="F9" t="s">
        <v>27</v>
      </c>
    </row>
    <row r="10" spans="1:9" x14ac:dyDescent="0.3">
      <c r="A10" s="15">
        <v>628866</v>
      </c>
      <c r="B10" t="str">
        <f>IFERROR(INDEX([1]Master!$B:$B,MATCH(A10,[1]Master!$D:$D,0)),"")</f>
        <v>1-93896-04</v>
      </c>
      <c r="C10" t="str">
        <f>IFERROR(INDEX([1]Master!$C:$C,MATCH(A10,[1]Master!$D:$D,0)),"")</f>
        <v>MH57SP18050D</v>
      </c>
      <c r="F10" t="s">
        <v>9</v>
      </c>
    </row>
    <row r="11" spans="1:9" x14ac:dyDescent="0.3">
      <c r="A11" s="15">
        <v>629040</v>
      </c>
      <c r="B11" t="str">
        <f>IFERROR(INDEX([1]Master!$B:$B,MATCH(A11,[1]Master!$D:$D,0)),"")</f>
        <v>1-97710-76</v>
      </c>
      <c r="C11" t="str">
        <f>IFERROR(INDEX([1]Master!$C:$C,MATCH(A11,[1]Master!$D:$D,0)),"")</f>
        <v>MH43SM16016D</v>
      </c>
      <c r="F11" t="s">
        <v>28</v>
      </c>
    </row>
    <row r="12" spans="1:9" x14ac:dyDescent="0.3">
      <c r="A12" s="15">
        <v>629052</v>
      </c>
      <c r="B12" t="str">
        <f>IFERROR(INDEX([1]Master!$B:$B,MATCH(A12,[1]Master!$D:$D,0)),"")</f>
        <v>1-97710-58</v>
      </c>
      <c r="C12" t="str">
        <f>IFERROR(INDEX([1]Master!$C:$C,MATCH(A12,[1]Master!$D:$D,0)),"")</f>
        <v>MH43SM16016D</v>
      </c>
      <c r="F12" t="s">
        <v>21</v>
      </c>
    </row>
    <row r="13" spans="1:9" x14ac:dyDescent="0.3">
      <c r="A13" s="15">
        <v>629153</v>
      </c>
      <c r="B13" t="str">
        <f>IFERROR(INDEX([1]Master!$B:$B,MATCH(A13,[1]Master!$D:$D,0)),"")</f>
        <v>1-95917-45</v>
      </c>
      <c r="C13" t="str">
        <f>IFERROR(INDEX([1]Master!$C:$C,MATCH(A13,[1]Master!$D:$D,0)),"")</f>
        <v>MH43SM19014D</v>
      </c>
      <c r="F13" t="s">
        <v>29</v>
      </c>
    </row>
    <row r="14" spans="1:9" x14ac:dyDescent="0.3">
      <c r="A14" s="15">
        <v>628861</v>
      </c>
      <c r="B14" t="str">
        <f>IFERROR(INDEX([1]Master!$B:$B,MATCH(A14,[1]Master!$D:$D,0)),"")</f>
        <v>1-96115-45</v>
      </c>
      <c r="C14" t="str">
        <f>IFERROR(INDEX([1]Master!$C:$C,MATCH(A14,[1]Master!$D:$D,0)),"")</f>
        <v>MH57SM19076D</v>
      </c>
      <c r="F14" t="s">
        <v>14</v>
      </c>
    </row>
    <row r="15" spans="1:9" x14ac:dyDescent="0.3">
      <c r="A15" s="15">
        <v>629156</v>
      </c>
      <c r="B15" t="str">
        <f>IFERROR(INDEX([1]Master!$B:$B,MATCH(A15,[1]Master!$D:$D,0)),"")</f>
        <v>1-95917-86</v>
      </c>
      <c r="C15" t="str">
        <f>IFERROR(INDEX([1]Master!$C:$C,MATCH(A15,[1]Master!$D:$D,0)),"")</f>
        <v>MH43SM19014D</v>
      </c>
      <c r="F15" t="s">
        <v>15</v>
      </c>
    </row>
    <row r="16" spans="1:9" x14ac:dyDescent="0.3">
      <c r="A16" s="15">
        <v>628859</v>
      </c>
      <c r="B16" t="str">
        <f>IFERROR(INDEX([1]Master!$B:$B,MATCH(A16,[1]Master!$D:$D,0)),"")</f>
        <v>1-96115-86</v>
      </c>
      <c r="C16" t="str">
        <f>IFERROR(INDEX([1]Master!$C:$C,MATCH(A16,[1]Master!$D:$D,0)),"")</f>
        <v>MH57SM19076D</v>
      </c>
      <c r="F16" t="s">
        <v>30</v>
      </c>
    </row>
    <row r="17" spans="1:6" x14ac:dyDescent="0.3">
      <c r="A17" s="15">
        <v>628996</v>
      </c>
      <c r="B17" t="str">
        <f>IFERROR(INDEX([1]Master!$B:$B,MATCH(A17,[1]Master!$D:$D,0)),"")</f>
        <v>1-94237-44</v>
      </c>
      <c r="C17" t="str">
        <f>IFERROR(INDEX([1]Master!$C:$C,MATCH(A17,[1]Master!$D:$D,0)),"")</f>
        <v>MH45F118030D</v>
      </c>
      <c r="F17" t="s">
        <v>31</v>
      </c>
    </row>
    <row r="18" spans="1:6" x14ac:dyDescent="0.3">
      <c r="A18" s="15">
        <v>628914</v>
      </c>
      <c r="B18" t="str">
        <f>IFERROR(INDEX([1]Master!$B:$B,MATCH(A18,[1]Master!$D:$D,0)),"")</f>
        <v>1-96683-44</v>
      </c>
      <c r="C18" t="str">
        <f>IFERROR(INDEX([1]Master!$C:$C,MATCH(A18,[1]Master!$D:$D,0)),"")</f>
        <v>MH57F118060D</v>
      </c>
      <c r="F18" t="s">
        <v>32</v>
      </c>
    </row>
    <row r="19" spans="1:6" x14ac:dyDescent="0.3">
      <c r="A19" s="15">
        <v>628993</v>
      </c>
      <c r="B19" t="str">
        <f>IFERROR(INDEX([1]Master!$B:$B,MATCH(A19,[1]Master!$D:$D,0)),"")</f>
        <v>1-92253-58</v>
      </c>
      <c r="C19" t="str">
        <f>IFERROR(INDEX([1]Master!$C:$C,MATCH(A19,[1]Master!$D:$D,0)),"")</f>
        <v>MH45F117013D</v>
      </c>
      <c r="F19" t="s">
        <v>33</v>
      </c>
    </row>
    <row r="20" spans="1:6" x14ac:dyDescent="0.3">
      <c r="A20" s="15">
        <v>628994</v>
      </c>
      <c r="B20" t="str">
        <f>IFERROR(INDEX([1]Master!$B:$B,MATCH(A20,[1]Master!$D:$D,0)),"")</f>
        <v>1-92253-58</v>
      </c>
      <c r="C20" t="str">
        <f>IFERROR(INDEX([1]Master!$C:$C,MATCH(A20,[1]Master!$D:$D,0)),"")</f>
        <v>MH45F117013D</v>
      </c>
    </row>
    <row r="21" spans="1:6" x14ac:dyDescent="0.3">
      <c r="A21" s="15">
        <v>628998</v>
      </c>
      <c r="B21" t="str">
        <f>IFERROR(INDEX([1]Master!$B:$B,MATCH(A21,[1]Master!$D:$D,0)),"")</f>
        <v>1-96686-58</v>
      </c>
      <c r="C21" t="str">
        <f>IFERROR(INDEX([1]Master!$C:$C,MATCH(A21,[1]Master!$D:$D,0)),"")</f>
        <v>MH57F119039D</v>
      </c>
    </row>
    <row r="22" spans="1:6" x14ac:dyDescent="0.3">
      <c r="A22" s="15">
        <v>628989</v>
      </c>
      <c r="B22" t="str">
        <f>IFERROR(INDEX([1]Master!$B:$B,MATCH(A22,[1]Master!$D:$D,0)),"")</f>
        <v>1-92253-86</v>
      </c>
      <c r="C22" t="str">
        <f>IFERROR(INDEX([1]Master!$C:$C,MATCH(A22,[1]Master!$D:$D,0)),"")</f>
        <v>MH45F117013D</v>
      </c>
    </row>
    <row r="23" spans="1:6" x14ac:dyDescent="0.3">
      <c r="A23" s="15">
        <v>628990</v>
      </c>
      <c r="B23" t="str">
        <f>IFERROR(INDEX([1]Master!$B:$B,MATCH(A23,[1]Master!$D:$D,0)),"")</f>
        <v>1-92253-01</v>
      </c>
      <c r="C23" t="str">
        <f>IFERROR(INDEX([1]Master!$C:$C,MATCH(A23,[1]Master!$D:$D,0)),"")</f>
        <v>MH45F117013D</v>
      </c>
    </row>
    <row r="24" spans="1:6" x14ac:dyDescent="0.3">
      <c r="A24" s="15">
        <v>628991</v>
      </c>
      <c r="B24" t="str">
        <f>IFERROR(INDEX([1]Master!$B:$B,MATCH(A24,[1]Master!$D:$D,0)),"")</f>
        <v>1-92253-01</v>
      </c>
      <c r="C24" t="str">
        <f>IFERROR(INDEX([1]Master!$C:$C,MATCH(A24,[1]Master!$D:$D,0)),"")</f>
        <v>MH45F117013D</v>
      </c>
    </row>
    <row r="25" spans="1:6" x14ac:dyDescent="0.3">
      <c r="A25" s="15">
        <v>628992</v>
      </c>
      <c r="B25" t="str">
        <f>IFERROR(INDEX([1]Master!$B:$B,MATCH(A25,[1]Master!$D:$D,0)),"")</f>
        <v>1-92253-01</v>
      </c>
      <c r="C25" t="str">
        <f>IFERROR(INDEX([1]Master!$C:$C,MATCH(A25,[1]Master!$D:$D,0)),"")</f>
        <v>MH45F117013D</v>
      </c>
    </row>
    <row r="26" spans="1:6" x14ac:dyDescent="0.3">
      <c r="A26" s="15">
        <v>628997</v>
      </c>
      <c r="B26" t="str">
        <f>IFERROR(INDEX([1]Master!$B:$B,MATCH(A26,[1]Master!$D:$D,0)),"")</f>
        <v>1-96686-01</v>
      </c>
      <c r="C26" t="str">
        <f>IFERROR(INDEX([1]Master!$C:$C,MATCH(A26,[1]Master!$D:$D,0)),"")</f>
        <v>MH57F119039D</v>
      </c>
    </row>
    <row r="27" spans="1:6" x14ac:dyDescent="0.3">
      <c r="A27" s="15">
        <v>628988</v>
      </c>
      <c r="B27" t="str">
        <f>IFERROR(INDEX([1]Master!$B:$B,MATCH(A27,[1]Master!$D:$D,0)),"")</f>
        <v>1-92253-66</v>
      </c>
      <c r="C27" t="str">
        <f>IFERROR(INDEX([1]Master!$C:$C,MATCH(A27,[1]Master!$D:$D,0)),"")</f>
        <v>MH45F117013D</v>
      </c>
    </row>
    <row r="28" spans="1:6" x14ac:dyDescent="0.3">
      <c r="A28" s="15">
        <v>629003</v>
      </c>
      <c r="B28" t="str">
        <f>IFERROR(INDEX([1]Master!$B:$B,MATCH(A28,[1]Master!$D:$D,0)),"")</f>
        <v>1-93121-65</v>
      </c>
      <c r="C28" t="str">
        <f>IFERROR(INDEX([1]Master!$C:$C,MATCH(A28,[1]Master!$D:$D,0)),"")</f>
        <v>MH43SP18022D</v>
      </c>
    </row>
    <row r="29" spans="1:6" x14ac:dyDescent="0.3">
      <c r="A29" s="15">
        <v>628871</v>
      </c>
      <c r="B29" t="str">
        <f>IFERROR(INDEX([1]Master!$B:$B,MATCH(A29,[1]Master!$D:$D,0)),"")</f>
        <v>1-95648-65</v>
      </c>
      <c r="C29" t="str">
        <f>IFERROR(INDEX([1]Master!$C:$C,MATCH(A29,[1]Master!$D:$D,0)),"")</f>
        <v>MH57SP19051D</v>
      </c>
    </row>
    <row r="30" spans="1:6" x14ac:dyDescent="0.3">
      <c r="A30" s="15">
        <v>629008</v>
      </c>
      <c r="B30" t="str">
        <f>IFERROR(INDEX([1]Master!$B:$B,MATCH(A30,[1]Master!$D:$D,0)),"")</f>
        <v>1-93121-51</v>
      </c>
      <c r="C30" t="str">
        <f>IFERROR(INDEX([1]Master!$C:$C,MATCH(A30,[1]Master!$D:$D,0)),"")</f>
        <v>MH43SP18022D</v>
      </c>
    </row>
    <row r="31" spans="1:6" x14ac:dyDescent="0.3">
      <c r="A31" s="15">
        <v>628869</v>
      </c>
      <c r="B31" t="str">
        <f>IFERROR(INDEX([1]Master!$B:$B,MATCH(A31,[1]Master!$D:$D,0)),"")</f>
        <v>1-95648-51</v>
      </c>
      <c r="C31" t="str">
        <f>IFERROR(INDEX([1]Master!$C:$C,MATCH(A31,[1]Master!$D:$D,0)),"")</f>
        <v>MH57SP19051D</v>
      </c>
    </row>
    <row r="32" spans="1:6" x14ac:dyDescent="0.3">
      <c r="A32" s="15">
        <v>629010</v>
      </c>
      <c r="B32" t="str">
        <f>IFERROR(INDEX([1]Master!$B:$B,MATCH(A32,[1]Master!$D:$D,0)),"")</f>
        <v>1-93121-58</v>
      </c>
      <c r="C32" t="str">
        <f>IFERROR(INDEX([1]Master!$C:$C,MATCH(A32,[1]Master!$D:$D,0)),"")</f>
        <v>MH43SP18022D</v>
      </c>
    </row>
    <row r="33" spans="1:3" x14ac:dyDescent="0.3">
      <c r="A33" s="15">
        <v>628868</v>
      </c>
      <c r="B33" t="str">
        <f>IFERROR(INDEX([1]Master!$B:$B,MATCH(A33,[1]Master!$D:$D,0)),"")</f>
        <v>1-95648-52</v>
      </c>
      <c r="C33" t="str">
        <f>IFERROR(INDEX([1]Master!$C:$C,MATCH(A33,[1]Master!$D:$D,0)),"")</f>
        <v>MH57SP19051D</v>
      </c>
    </row>
    <row r="34" spans="1:3" x14ac:dyDescent="0.3">
      <c r="A34" s="15">
        <v>629045</v>
      </c>
      <c r="B34" t="str">
        <f>IFERROR(INDEX([1]Master!$B:$B,MATCH(A34,[1]Master!$D:$D,0)),"")</f>
        <v>1-93121-07</v>
      </c>
      <c r="C34" t="str">
        <f>IFERROR(INDEX([1]Master!$C:$C,MATCH(A34,[1]Master!$D:$D,0)),"")</f>
        <v>MH43SP18022D</v>
      </c>
    </row>
    <row r="35" spans="1:3" x14ac:dyDescent="0.3">
      <c r="A35" s="15">
        <v>629046</v>
      </c>
      <c r="B35" t="str">
        <f>IFERROR(INDEX([1]Master!$B:$B,MATCH(A35,[1]Master!$D:$D,0)),"")</f>
        <v>1-93121-07</v>
      </c>
      <c r="C35" t="str">
        <f>IFERROR(INDEX([1]Master!$C:$C,MATCH(A35,[1]Master!$D:$D,0)),"")</f>
        <v>MH43SP18022D</v>
      </c>
    </row>
    <row r="36" spans="1:3" x14ac:dyDescent="0.3">
      <c r="A36" s="15">
        <v>628874</v>
      </c>
      <c r="B36" t="str">
        <f>IFERROR(INDEX([1]Master!$B:$B,MATCH(A36,[1]Master!$D:$D,0)),"")</f>
        <v>1-95648-07</v>
      </c>
      <c r="C36" t="str">
        <f>IFERROR(INDEX([1]Master!$C:$C,MATCH(A36,[1]Master!$D:$D,0)),"")</f>
        <v>MH57SP19051D</v>
      </c>
    </row>
    <row r="37" spans="1:3" x14ac:dyDescent="0.3">
      <c r="A37" s="15">
        <v>629502</v>
      </c>
      <c r="B37" t="str">
        <f>IFERROR(INDEX([1]Master!$B:$B,MATCH(A37,[1]Master!$D:$D,0)),"")</f>
        <v>1-97710-06</v>
      </c>
      <c r="C37" t="str">
        <f>IFERROR(INDEX([1]Master!$C:$C,MATCH(A37,[1]Master!$D:$D,0)),"")</f>
        <v>MH43SM16016D</v>
      </c>
    </row>
    <row r="38" spans="1:3" x14ac:dyDescent="0.3">
      <c r="A38" s="15">
        <v>630253</v>
      </c>
      <c r="B38" t="str">
        <f>IFERROR(INDEX([1]Master!$B:$B,MATCH(A38,[1]Master!$D:$D,0)),"")</f>
        <v>1-94505-76</v>
      </c>
      <c r="C38" t="str">
        <f>IFERROR(INDEX([1]Master!$C:$C,MATCH(A38,[1]Master!$D:$D,0)),"")</f>
        <v>MH43F118040D</v>
      </c>
    </row>
    <row r="39" spans="1:3" x14ac:dyDescent="0.3">
      <c r="A39" s="15">
        <v>630252</v>
      </c>
      <c r="B39" t="str">
        <f>IFERROR(INDEX([1]Master!$B:$B,MATCH(A39,[1]Master!$D:$D,0)),"")</f>
        <v>1-94505-65</v>
      </c>
      <c r="C39" t="str">
        <f>IFERROR(INDEX([1]Master!$C:$C,MATCH(A39,[1]Master!$D:$D,0)),"")</f>
        <v>MH43F118040D</v>
      </c>
    </row>
    <row r="40" spans="1:3" x14ac:dyDescent="0.3">
      <c r="A40" s="15">
        <v>630102</v>
      </c>
      <c r="B40" t="str">
        <f>IFERROR(INDEX([1]Master!$B:$B,MATCH(A40,[1]Master!$D:$D,0)),"")</f>
        <v>1-96765-86</v>
      </c>
      <c r="C40" t="str">
        <f>IFERROR(INDEX([1]Master!$C:$C,MATCH(A40,[1]Master!$D:$D,0)),"")</f>
        <v>MH57F119082D</v>
      </c>
    </row>
    <row r="41" spans="1:3" x14ac:dyDescent="0.3">
      <c r="A41" s="15">
        <v>630251</v>
      </c>
      <c r="B41" t="str">
        <f>IFERROR(INDEX([1]Master!$B:$B,MATCH(A41,[1]Master!$D:$D,0)),"")</f>
        <v>1-94505-22</v>
      </c>
      <c r="C41" t="str">
        <f>IFERROR(INDEX([1]Master!$C:$C,MATCH(A41,[1]Master!$D:$D,0)),"")</f>
        <v>MH43F118040D</v>
      </c>
    </row>
    <row r="42" spans="1:3" x14ac:dyDescent="0.3">
      <c r="A42" s="15">
        <v>630101</v>
      </c>
      <c r="B42" t="str">
        <f>IFERROR(INDEX([1]Master!$B:$B,MATCH(A42,[1]Master!$D:$D,0)),"")</f>
        <v>1-96765-22</v>
      </c>
      <c r="C42" t="str">
        <f>IFERROR(INDEX([1]Master!$C:$C,MATCH(A42,[1]Master!$D:$D,0)),"")</f>
        <v>MH57F119082D</v>
      </c>
    </row>
    <row r="43" spans="1:3" x14ac:dyDescent="0.3">
      <c r="A43" s="15">
        <v>630250</v>
      </c>
      <c r="B43" t="str">
        <f>IFERROR(INDEX([1]Master!$B:$B,MATCH(A43,[1]Master!$D:$D,0)),"")</f>
        <v>1-94505-58</v>
      </c>
      <c r="C43" t="str">
        <f>IFERROR(INDEX([1]Master!$C:$C,MATCH(A43,[1]Master!$D:$D,0)),"")</f>
        <v>MH43F118040D</v>
      </c>
    </row>
    <row r="44" spans="1:3" x14ac:dyDescent="0.3">
      <c r="A44" s="15">
        <v>630256</v>
      </c>
      <c r="B44" t="str">
        <f>IFERROR(INDEX([1]Master!$B:$B,MATCH(A44,[1]Master!$D:$D,0)),"")</f>
        <v>1-92515-58</v>
      </c>
      <c r="C44" t="str">
        <f>IFERROR(INDEX([1]Master!$C:$C,MATCH(A44,[1]Master!$D:$D,0)),"")</f>
        <v>MH43F217007D</v>
      </c>
    </row>
    <row r="45" spans="1:3" x14ac:dyDescent="0.3">
      <c r="A45" s="15">
        <v>630255</v>
      </c>
      <c r="B45" t="str">
        <f>IFERROR(INDEX([1]Master!$B:$B,MATCH(A45,[1]Master!$D:$D,0)),"")</f>
        <v>1-92515-67</v>
      </c>
      <c r="C45" t="str">
        <f>IFERROR(INDEX([1]Master!$C:$C,MATCH(A45,[1]Master!$D:$D,0)),"")</f>
        <v>MH43F217007D</v>
      </c>
    </row>
    <row r="46" spans="1:3" x14ac:dyDescent="0.3">
      <c r="A46" s="15">
        <v>630315</v>
      </c>
      <c r="B46" t="str">
        <f>IFERROR(INDEX([1]Master!$B:$B,MATCH(A46,[1]Master!$D:$D,0)),"")</f>
        <v>1-96438-59</v>
      </c>
      <c r="C46" t="str">
        <f>IFERROR(INDEX([1]Master!$C:$C,MATCH(A46,[1]Master!$D:$D,0)),"")</f>
        <v>MH43SM19026D</v>
      </c>
    </row>
    <row r="47" spans="1:3" x14ac:dyDescent="0.3">
      <c r="A47" s="15">
        <v>630314</v>
      </c>
      <c r="B47" t="str">
        <f>IFERROR(INDEX([1]Master!$B:$B,MATCH(A47,[1]Master!$D:$D,0)),"")</f>
        <v>1-96438-12</v>
      </c>
      <c r="C47" t="str">
        <f>IFERROR(INDEX([1]Master!$C:$C,MATCH(A47,[1]Master!$D:$D,0)),"")</f>
        <v>MH43SM19026D</v>
      </c>
    </row>
    <row r="48" spans="1:3" x14ac:dyDescent="0.3">
      <c r="A48" s="15">
        <v>630746</v>
      </c>
      <c r="B48" t="str">
        <f>IFERROR(INDEX([1]Master!$B:$B,MATCH(A48,[1]Master!$D:$D,0)),"")</f>
        <v>1-61997-66</v>
      </c>
      <c r="C48" t="str">
        <f>IFERROR(INDEX([1]Master!$C:$C,MATCH(A48,[1]Master!$D:$D,0)),"")</f>
        <v>PE43F119003D</v>
      </c>
    </row>
    <row r="49" spans="1:3" x14ac:dyDescent="0.3">
      <c r="A49" s="15">
        <v>630745</v>
      </c>
      <c r="B49" t="str">
        <f>IFERROR(INDEX([1]Master!$B:$B,MATCH(A49,[1]Master!$D:$D,0)),"")</f>
        <v>1-61997-40</v>
      </c>
      <c r="C49" t="str">
        <f>IFERROR(INDEX([1]Master!$C:$C,MATCH(A49,[1]Master!$D:$D,0)),"")</f>
        <v>PE43F119003D</v>
      </c>
    </row>
    <row r="50" spans="1:3" x14ac:dyDescent="0.3">
      <c r="A50" s="15">
        <v>631250</v>
      </c>
      <c r="B50" t="str">
        <f>IFERROR(INDEX([1]Master!$B:$B,MATCH(A50,[1]Master!$D:$D,0)),"")</f>
        <v>1-70545-40</v>
      </c>
      <c r="C50" t="str">
        <f>IFERROR(INDEX([1]Master!$C:$C,MATCH(A50,[1]Master!$D:$D,0)),"")</f>
        <v>PE76F219008D</v>
      </c>
    </row>
    <row r="51" spans="1:3" x14ac:dyDescent="0.3">
      <c r="A51" s="15"/>
    </row>
    <row r="52" spans="1:3" x14ac:dyDescent="0.3">
      <c r="A52" s="15"/>
    </row>
    <row r="53" spans="1:3" x14ac:dyDescent="0.3">
      <c r="A53" s="15"/>
    </row>
    <row r="54" spans="1:3" x14ac:dyDescent="0.3">
      <c r="A54" s="15"/>
    </row>
    <row r="55" spans="1:3" x14ac:dyDescent="0.3">
      <c r="A55" s="15"/>
    </row>
    <row r="56" spans="1:3" x14ac:dyDescent="0.3">
      <c r="A56" s="15"/>
    </row>
    <row r="57" spans="1:3" x14ac:dyDescent="0.3">
      <c r="A57" s="15"/>
    </row>
    <row r="58" spans="1:3" x14ac:dyDescent="0.3">
      <c r="A58" s="15"/>
    </row>
    <row r="59" spans="1:3" x14ac:dyDescent="0.3">
      <c r="A59" s="15"/>
    </row>
    <row r="60" spans="1:3" x14ac:dyDescent="0.3">
      <c r="A60" s="15"/>
    </row>
    <row r="61" spans="1:3" x14ac:dyDescent="0.3">
      <c r="A61" s="15"/>
    </row>
    <row r="62" spans="1:3" x14ac:dyDescent="0.3">
      <c r="A62" s="15"/>
    </row>
    <row r="63" spans="1:3" x14ac:dyDescent="0.3">
      <c r="A63" s="15"/>
    </row>
    <row r="64" spans="1:3" x14ac:dyDescent="0.3">
      <c r="A64" s="15"/>
    </row>
    <row r="65" spans="1:1" x14ac:dyDescent="0.3">
      <c r="A65" s="15"/>
    </row>
    <row r="66" spans="1:1" x14ac:dyDescent="0.3">
      <c r="A66" s="15"/>
    </row>
    <row r="67" spans="1:1" x14ac:dyDescent="0.3">
      <c r="A67" s="15"/>
    </row>
    <row r="68" spans="1:1" x14ac:dyDescent="0.3">
      <c r="A68" s="15"/>
    </row>
    <row r="69" spans="1:1" x14ac:dyDescent="0.3">
      <c r="A69" s="15"/>
    </row>
    <row r="70" spans="1:1" x14ac:dyDescent="0.3">
      <c r="A70" s="15"/>
    </row>
    <row r="71" spans="1:1" x14ac:dyDescent="0.3">
      <c r="A71" s="15"/>
    </row>
    <row r="72" spans="1:1" x14ac:dyDescent="0.3">
      <c r="A72" s="15"/>
    </row>
    <row r="73" spans="1:1" x14ac:dyDescent="0.3">
      <c r="A73" s="15"/>
    </row>
    <row r="74" spans="1:1" x14ac:dyDescent="0.3">
      <c r="A74" s="15"/>
    </row>
    <row r="75" spans="1:1" x14ac:dyDescent="0.3">
      <c r="A75" s="15"/>
    </row>
    <row r="76" spans="1:1" x14ac:dyDescent="0.3">
      <c r="A76" s="15"/>
    </row>
    <row r="77" spans="1:1" x14ac:dyDescent="0.3">
      <c r="A77" s="15"/>
    </row>
    <row r="78" spans="1:1" x14ac:dyDescent="0.3">
      <c r="A78" s="15"/>
    </row>
    <row r="79" spans="1:1" x14ac:dyDescent="0.3">
      <c r="A79" s="15"/>
    </row>
    <row r="80" spans="1:1" x14ac:dyDescent="0.3">
      <c r="A80" s="15"/>
    </row>
    <row r="81" spans="1:1" x14ac:dyDescent="0.3">
      <c r="A81" s="15"/>
    </row>
    <row r="82" spans="1:1" x14ac:dyDescent="0.3">
      <c r="A82" s="15"/>
    </row>
    <row r="83" spans="1:1" x14ac:dyDescent="0.3">
      <c r="A83" s="15"/>
    </row>
    <row r="84" spans="1:1" x14ac:dyDescent="0.3">
      <c r="A84" s="15"/>
    </row>
    <row r="85" spans="1:1" x14ac:dyDescent="0.3">
      <c r="A85" s="15"/>
    </row>
    <row r="86" spans="1:1" x14ac:dyDescent="0.3">
      <c r="A86" s="15"/>
    </row>
    <row r="87" spans="1:1" x14ac:dyDescent="0.3">
      <c r="A87" s="15"/>
    </row>
    <row r="88" spans="1:1" x14ac:dyDescent="0.3">
      <c r="A88" s="15"/>
    </row>
    <row r="89" spans="1:1" x14ac:dyDescent="0.3">
      <c r="A89" s="15"/>
    </row>
    <row r="90" spans="1:1" x14ac:dyDescent="0.3">
      <c r="A90" s="15"/>
    </row>
    <row r="91" spans="1:1" x14ac:dyDescent="0.3">
      <c r="A91" s="15"/>
    </row>
    <row r="92" spans="1:1" x14ac:dyDescent="0.3">
      <c r="A92" s="15"/>
    </row>
    <row r="93" spans="1:1" x14ac:dyDescent="0.3">
      <c r="A93" s="15"/>
    </row>
    <row r="94" spans="1:1" x14ac:dyDescent="0.3">
      <c r="A94" s="15"/>
    </row>
    <row r="95" spans="1:1" x14ac:dyDescent="0.3">
      <c r="A95" s="15"/>
    </row>
    <row r="96" spans="1:1" x14ac:dyDescent="0.3">
      <c r="A96" s="15"/>
    </row>
    <row r="97" spans="1:1" x14ac:dyDescent="0.3">
      <c r="A97" s="15"/>
    </row>
    <row r="98" spans="1:1" x14ac:dyDescent="0.3">
      <c r="A98" s="15"/>
    </row>
    <row r="99" spans="1:1" x14ac:dyDescent="0.3">
      <c r="A99" s="15"/>
    </row>
    <row r="100" spans="1:1" x14ac:dyDescent="0.3">
      <c r="A100" s="15"/>
    </row>
    <row r="101" spans="1:1" x14ac:dyDescent="0.3">
      <c r="A101" s="15"/>
    </row>
    <row r="102" spans="1:1" x14ac:dyDescent="0.3">
      <c r="A102" s="15"/>
    </row>
    <row r="103" spans="1:1" x14ac:dyDescent="0.3">
      <c r="A103" s="15"/>
    </row>
    <row r="104" spans="1:1" x14ac:dyDescent="0.3">
      <c r="A104" s="15"/>
    </row>
    <row r="105" spans="1:1" x14ac:dyDescent="0.3">
      <c r="A105" s="15"/>
    </row>
    <row r="106" spans="1:1" x14ac:dyDescent="0.3">
      <c r="A106" s="15"/>
    </row>
    <row r="107" spans="1:1" x14ac:dyDescent="0.3">
      <c r="A107" s="15"/>
    </row>
    <row r="108" spans="1:1" x14ac:dyDescent="0.3">
      <c r="A108" s="15"/>
    </row>
    <row r="109" spans="1:1" x14ac:dyDescent="0.3">
      <c r="A109" s="15"/>
    </row>
    <row r="110" spans="1:1" x14ac:dyDescent="0.3">
      <c r="A110" s="15"/>
    </row>
    <row r="111" spans="1:1" x14ac:dyDescent="0.3">
      <c r="A111" s="15"/>
    </row>
    <row r="112" spans="1:1" x14ac:dyDescent="0.3">
      <c r="A112" s="15"/>
    </row>
    <row r="113" spans="1:1" x14ac:dyDescent="0.3">
      <c r="A113" s="15"/>
    </row>
    <row r="114" spans="1:1" x14ac:dyDescent="0.3">
      <c r="A114" s="15"/>
    </row>
    <row r="115" spans="1:1" x14ac:dyDescent="0.3">
      <c r="A115" s="15"/>
    </row>
    <row r="116" spans="1:1" x14ac:dyDescent="0.3">
      <c r="A116" s="15"/>
    </row>
    <row r="117" spans="1:1" x14ac:dyDescent="0.3">
      <c r="A117" s="15"/>
    </row>
    <row r="118" spans="1:1" x14ac:dyDescent="0.3">
      <c r="A118" s="15"/>
    </row>
    <row r="119" spans="1:1" x14ac:dyDescent="0.3">
      <c r="A119" s="15"/>
    </row>
    <row r="120" spans="1:1" x14ac:dyDescent="0.3">
      <c r="A120" s="15"/>
    </row>
    <row r="121" spans="1:1" x14ac:dyDescent="0.3">
      <c r="A121" s="15"/>
    </row>
    <row r="122" spans="1:1" x14ac:dyDescent="0.3">
      <c r="A122" s="15"/>
    </row>
    <row r="123" spans="1:1" x14ac:dyDescent="0.3">
      <c r="A123" s="15"/>
    </row>
    <row r="124" spans="1:1" x14ac:dyDescent="0.3">
      <c r="A124" s="15"/>
    </row>
    <row r="125" spans="1:1" x14ac:dyDescent="0.3">
      <c r="A125" s="15"/>
    </row>
    <row r="126" spans="1:1" x14ac:dyDescent="0.3">
      <c r="A126" s="15"/>
    </row>
    <row r="127" spans="1:1" x14ac:dyDescent="0.3">
      <c r="A127" s="15"/>
    </row>
    <row r="128" spans="1:1" x14ac:dyDescent="0.3">
      <c r="A128" s="15"/>
    </row>
    <row r="129" spans="1:1" x14ac:dyDescent="0.3">
      <c r="A129" s="15"/>
    </row>
    <row r="130" spans="1:1" x14ac:dyDescent="0.3">
      <c r="A130" s="15"/>
    </row>
    <row r="131" spans="1:1" x14ac:dyDescent="0.3">
      <c r="A131" s="15"/>
    </row>
    <row r="132" spans="1:1" x14ac:dyDescent="0.3">
      <c r="A132" s="15"/>
    </row>
    <row r="133" spans="1:1" x14ac:dyDescent="0.3">
      <c r="A133" s="15"/>
    </row>
    <row r="134" spans="1:1" x14ac:dyDescent="0.3">
      <c r="A134" s="15"/>
    </row>
    <row r="135" spans="1:1" x14ac:dyDescent="0.3">
      <c r="A135" s="15"/>
    </row>
    <row r="136" spans="1:1" x14ac:dyDescent="0.3">
      <c r="A136" s="15"/>
    </row>
    <row r="137" spans="1:1" x14ac:dyDescent="0.3">
      <c r="A137" s="15"/>
    </row>
    <row r="138" spans="1:1" x14ac:dyDescent="0.3">
      <c r="A138" s="15"/>
    </row>
    <row r="139" spans="1:1" x14ac:dyDescent="0.3">
      <c r="A139" s="15"/>
    </row>
    <row r="140" spans="1:1" x14ac:dyDescent="0.3">
      <c r="A140" s="15"/>
    </row>
    <row r="141" spans="1:1" x14ac:dyDescent="0.3">
      <c r="A141" s="15"/>
    </row>
    <row r="142" spans="1:1" x14ac:dyDescent="0.3">
      <c r="A142" s="15"/>
    </row>
    <row r="143" spans="1:1" x14ac:dyDescent="0.3">
      <c r="A143" s="15"/>
    </row>
    <row r="144" spans="1:1" x14ac:dyDescent="0.3">
      <c r="A144" s="15"/>
    </row>
    <row r="145" spans="1:1" x14ac:dyDescent="0.3">
      <c r="A145" s="15"/>
    </row>
    <row r="146" spans="1:1" x14ac:dyDescent="0.3">
      <c r="A146" s="15"/>
    </row>
    <row r="147" spans="1:1" x14ac:dyDescent="0.3">
      <c r="A147" s="15"/>
    </row>
    <row r="148" spans="1:1" x14ac:dyDescent="0.3">
      <c r="A148" s="15"/>
    </row>
    <row r="149" spans="1:1" x14ac:dyDescent="0.3">
      <c r="A149" s="15"/>
    </row>
    <row r="150" spans="1:1" x14ac:dyDescent="0.3">
      <c r="A150" s="15"/>
    </row>
    <row r="151" spans="1:1" x14ac:dyDescent="0.3">
      <c r="A151" s="15"/>
    </row>
    <row r="152" spans="1:1" x14ac:dyDescent="0.3">
      <c r="A152" s="15"/>
    </row>
    <row r="153" spans="1:1" x14ac:dyDescent="0.3">
      <c r="A153" s="15"/>
    </row>
    <row r="154" spans="1:1" x14ac:dyDescent="0.3">
      <c r="A154" s="15"/>
    </row>
    <row r="155" spans="1:1" x14ac:dyDescent="0.3">
      <c r="A155" s="15"/>
    </row>
    <row r="156" spans="1:1" x14ac:dyDescent="0.3">
      <c r="A156" s="15"/>
    </row>
    <row r="157" spans="1:1" x14ac:dyDescent="0.3">
      <c r="A157" s="15"/>
    </row>
    <row r="158" spans="1:1" x14ac:dyDescent="0.3">
      <c r="A158" s="15"/>
    </row>
    <row r="159" spans="1:1" x14ac:dyDescent="0.3">
      <c r="A159" s="15"/>
    </row>
    <row r="160" spans="1:1" x14ac:dyDescent="0.3">
      <c r="A160" s="15"/>
    </row>
    <row r="161" spans="1:1" x14ac:dyDescent="0.3">
      <c r="A161" s="15"/>
    </row>
    <row r="162" spans="1:1" x14ac:dyDescent="0.3">
      <c r="A162" s="15"/>
    </row>
    <row r="163" spans="1:1" x14ac:dyDescent="0.3">
      <c r="A163" s="15"/>
    </row>
    <row r="164" spans="1:1" x14ac:dyDescent="0.3">
      <c r="A164" s="15"/>
    </row>
    <row r="165" spans="1:1" x14ac:dyDescent="0.3">
      <c r="A165" s="15"/>
    </row>
    <row r="166" spans="1:1" x14ac:dyDescent="0.3">
      <c r="A166" s="15"/>
    </row>
    <row r="167" spans="1:1" x14ac:dyDescent="0.3">
      <c r="A167" s="15"/>
    </row>
    <row r="168" spans="1:1" x14ac:dyDescent="0.3">
      <c r="A168" s="15"/>
    </row>
    <row r="169" spans="1:1" x14ac:dyDescent="0.3">
      <c r="A169" s="15"/>
    </row>
    <row r="170" spans="1:1" x14ac:dyDescent="0.3">
      <c r="A170" s="15"/>
    </row>
    <row r="171" spans="1:1" x14ac:dyDescent="0.3">
      <c r="A171" s="15"/>
    </row>
    <row r="172" spans="1:1" x14ac:dyDescent="0.3">
      <c r="A172" s="15"/>
    </row>
    <row r="173" spans="1:1" x14ac:dyDescent="0.3">
      <c r="A173" s="15"/>
    </row>
    <row r="174" spans="1:1" x14ac:dyDescent="0.3">
      <c r="A174" s="15"/>
    </row>
    <row r="175" spans="1:1" x14ac:dyDescent="0.3">
      <c r="A175" s="15"/>
    </row>
    <row r="176" spans="1:1" x14ac:dyDescent="0.3">
      <c r="A176" s="15"/>
    </row>
    <row r="177" spans="1:1" x14ac:dyDescent="0.3">
      <c r="A177" s="15"/>
    </row>
    <row r="178" spans="1:1" x14ac:dyDescent="0.3">
      <c r="A178" s="15"/>
    </row>
    <row r="179" spans="1:1" x14ac:dyDescent="0.3">
      <c r="A179" s="15"/>
    </row>
    <row r="180" spans="1:1" x14ac:dyDescent="0.3">
      <c r="A180" s="15"/>
    </row>
    <row r="181" spans="1:1" x14ac:dyDescent="0.3">
      <c r="A181" s="15"/>
    </row>
    <row r="182" spans="1:1" x14ac:dyDescent="0.3">
      <c r="A182" s="15"/>
    </row>
    <row r="183" spans="1:1" x14ac:dyDescent="0.3">
      <c r="A183" s="15"/>
    </row>
    <row r="184" spans="1:1" x14ac:dyDescent="0.3">
      <c r="A184" s="15"/>
    </row>
    <row r="185" spans="1:1" x14ac:dyDescent="0.3">
      <c r="A185" s="15"/>
    </row>
    <row r="186" spans="1:1" x14ac:dyDescent="0.3">
      <c r="A186" s="15"/>
    </row>
    <row r="187" spans="1:1" x14ac:dyDescent="0.3">
      <c r="A187" s="15"/>
    </row>
    <row r="188" spans="1:1" x14ac:dyDescent="0.3">
      <c r="A188" s="15"/>
    </row>
    <row r="189" spans="1:1" x14ac:dyDescent="0.3">
      <c r="A189" s="15"/>
    </row>
    <row r="190" spans="1:1" x14ac:dyDescent="0.3">
      <c r="A190" s="15"/>
    </row>
    <row r="191" spans="1:1" x14ac:dyDescent="0.3">
      <c r="A191" s="15"/>
    </row>
    <row r="192" spans="1:1" x14ac:dyDescent="0.3">
      <c r="A192" s="15"/>
    </row>
    <row r="193" spans="1:1" x14ac:dyDescent="0.3">
      <c r="A193" s="15"/>
    </row>
    <row r="194" spans="1:1" x14ac:dyDescent="0.3">
      <c r="A194" s="15"/>
    </row>
    <row r="195" spans="1:1" x14ac:dyDescent="0.3">
      <c r="A195" s="15"/>
    </row>
    <row r="196" spans="1:1" x14ac:dyDescent="0.3">
      <c r="A196" s="15"/>
    </row>
    <row r="197" spans="1:1" x14ac:dyDescent="0.3">
      <c r="A197" s="15"/>
    </row>
    <row r="198" spans="1:1" x14ac:dyDescent="0.3">
      <c r="A198" s="15"/>
    </row>
    <row r="199" spans="1:1" x14ac:dyDescent="0.3">
      <c r="A199" s="15"/>
    </row>
    <row r="200" spans="1:1" x14ac:dyDescent="0.3">
      <c r="A200" s="15"/>
    </row>
    <row r="201" spans="1:1" x14ac:dyDescent="0.3">
      <c r="A201" s="15"/>
    </row>
    <row r="202" spans="1:1" x14ac:dyDescent="0.3">
      <c r="A202" s="15"/>
    </row>
    <row r="203" spans="1:1" x14ac:dyDescent="0.3">
      <c r="A203" s="15"/>
    </row>
    <row r="204" spans="1:1" x14ac:dyDescent="0.3">
      <c r="A204" s="15"/>
    </row>
    <row r="205" spans="1:1" x14ac:dyDescent="0.3">
      <c r="A205" s="15"/>
    </row>
    <row r="206" spans="1:1" x14ac:dyDescent="0.3">
      <c r="A206" s="15"/>
    </row>
    <row r="207" spans="1:1" x14ac:dyDescent="0.3">
      <c r="A207" s="15"/>
    </row>
    <row r="208" spans="1:1" x14ac:dyDescent="0.3">
      <c r="A208" s="15"/>
    </row>
    <row r="209" spans="1:1" x14ac:dyDescent="0.3">
      <c r="A209" s="15"/>
    </row>
    <row r="210" spans="1:1" x14ac:dyDescent="0.3">
      <c r="A210" s="15"/>
    </row>
    <row r="211" spans="1:1" x14ac:dyDescent="0.3">
      <c r="A211" s="15"/>
    </row>
    <row r="212" spans="1:1" x14ac:dyDescent="0.3">
      <c r="A212" s="15"/>
    </row>
    <row r="213" spans="1:1" x14ac:dyDescent="0.3">
      <c r="A213" s="15"/>
    </row>
    <row r="214" spans="1:1" x14ac:dyDescent="0.3">
      <c r="A214" s="15"/>
    </row>
    <row r="215" spans="1:1" x14ac:dyDescent="0.3">
      <c r="A215" s="15"/>
    </row>
    <row r="216" spans="1:1" x14ac:dyDescent="0.3">
      <c r="A216" s="15"/>
    </row>
    <row r="217" spans="1:1" x14ac:dyDescent="0.3">
      <c r="A217" s="15"/>
    </row>
    <row r="218" spans="1:1" x14ac:dyDescent="0.3">
      <c r="A218" s="15"/>
    </row>
    <row r="219" spans="1:1" x14ac:dyDescent="0.3">
      <c r="A219" s="15"/>
    </row>
    <row r="220" spans="1:1" x14ac:dyDescent="0.3">
      <c r="A220" s="15"/>
    </row>
    <row r="221" spans="1:1" x14ac:dyDescent="0.3">
      <c r="A221" s="15"/>
    </row>
    <row r="222" spans="1:1" x14ac:dyDescent="0.3">
      <c r="A222" s="15"/>
    </row>
    <row r="223" spans="1:1" x14ac:dyDescent="0.3">
      <c r="A223" s="15"/>
    </row>
    <row r="224" spans="1:1" x14ac:dyDescent="0.3">
      <c r="A224" s="15"/>
    </row>
    <row r="225" spans="1:1" x14ac:dyDescent="0.3">
      <c r="A225" s="15"/>
    </row>
    <row r="226" spans="1:1" x14ac:dyDescent="0.3">
      <c r="A226" s="15"/>
    </row>
    <row r="227" spans="1:1" x14ac:dyDescent="0.3">
      <c r="A227" s="15"/>
    </row>
    <row r="228" spans="1:1" x14ac:dyDescent="0.3">
      <c r="A228" s="15"/>
    </row>
    <row r="229" spans="1:1" x14ac:dyDescent="0.3">
      <c r="A229" s="15"/>
    </row>
    <row r="230" spans="1:1" x14ac:dyDescent="0.3">
      <c r="A230" s="15"/>
    </row>
    <row r="231" spans="1:1" x14ac:dyDescent="0.3">
      <c r="A231" s="15"/>
    </row>
    <row r="232" spans="1:1" x14ac:dyDescent="0.3">
      <c r="A232" s="15"/>
    </row>
    <row r="233" spans="1:1" x14ac:dyDescent="0.3">
      <c r="A233" s="15"/>
    </row>
    <row r="234" spans="1:1" x14ac:dyDescent="0.3">
      <c r="A234" s="15"/>
    </row>
    <row r="235" spans="1:1" x14ac:dyDescent="0.3">
      <c r="A235" s="15"/>
    </row>
    <row r="236" spans="1:1" x14ac:dyDescent="0.3">
      <c r="A236" s="15"/>
    </row>
    <row r="237" spans="1:1" x14ac:dyDescent="0.3">
      <c r="A237" s="15"/>
    </row>
    <row r="238" spans="1:1" x14ac:dyDescent="0.3">
      <c r="A238" s="15"/>
    </row>
    <row r="239" spans="1:1" x14ac:dyDescent="0.3">
      <c r="A239" s="15"/>
    </row>
    <row r="240" spans="1:1" x14ac:dyDescent="0.3">
      <c r="A240" s="15"/>
    </row>
    <row r="241" spans="1:1" x14ac:dyDescent="0.3">
      <c r="A241" s="15"/>
    </row>
    <row r="242" spans="1:1" x14ac:dyDescent="0.3">
      <c r="A242" s="15"/>
    </row>
    <row r="243" spans="1:1" x14ac:dyDescent="0.3">
      <c r="A243" s="15"/>
    </row>
    <row r="244" spans="1:1" x14ac:dyDescent="0.3">
      <c r="A244" s="15"/>
    </row>
    <row r="245" spans="1:1" x14ac:dyDescent="0.3">
      <c r="A245" s="15"/>
    </row>
    <row r="246" spans="1:1" x14ac:dyDescent="0.3">
      <c r="A246" s="15"/>
    </row>
    <row r="247" spans="1:1" x14ac:dyDescent="0.3">
      <c r="A247" s="15"/>
    </row>
    <row r="248" spans="1:1" x14ac:dyDescent="0.3">
      <c r="A248" s="15"/>
    </row>
    <row r="249" spans="1:1" x14ac:dyDescent="0.3">
      <c r="A249" s="15"/>
    </row>
    <row r="250" spans="1:1" x14ac:dyDescent="0.3">
      <c r="A250" s="15"/>
    </row>
    <row r="251" spans="1:1" x14ac:dyDescent="0.3">
      <c r="A251" s="15"/>
    </row>
    <row r="252" spans="1:1" x14ac:dyDescent="0.3">
      <c r="A252" s="15"/>
    </row>
    <row r="253" spans="1:1" x14ac:dyDescent="0.3">
      <c r="A253" s="15"/>
    </row>
    <row r="254" spans="1:1" x14ac:dyDescent="0.3">
      <c r="A254" s="15"/>
    </row>
    <row r="255" spans="1:1" x14ac:dyDescent="0.3">
      <c r="A255" s="15"/>
    </row>
    <row r="256" spans="1:1" x14ac:dyDescent="0.3">
      <c r="A256" s="15"/>
    </row>
    <row r="257" spans="1:1" x14ac:dyDescent="0.3">
      <c r="A257" s="15"/>
    </row>
    <row r="258" spans="1:1" x14ac:dyDescent="0.3">
      <c r="A258" s="15"/>
    </row>
    <row r="259" spans="1:1" x14ac:dyDescent="0.3">
      <c r="A259" s="15"/>
    </row>
    <row r="260" spans="1:1" x14ac:dyDescent="0.3">
      <c r="A260" s="15"/>
    </row>
    <row r="261" spans="1:1" x14ac:dyDescent="0.3">
      <c r="A261" s="15"/>
    </row>
    <row r="262" spans="1:1" x14ac:dyDescent="0.3">
      <c r="A262" s="15"/>
    </row>
    <row r="263" spans="1:1" x14ac:dyDescent="0.3">
      <c r="A263" s="15"/>
    </row>
    <row r="264" spans="1:1" x14ac:dyDescent="0.3">
      <c r="A264" s="15"/>
    </row>
    <row r="265" spans="1:1" x14ac:dyDescent="0.3">
      <c r="A265" s="15"/>
    </row>
    <row r="266" spans="1:1" x14ac:dyDescent="0.3">
      <c r="A266" s="15"/>
    </row>
    <row r="267" spans="1:1" x14ac:dyDescent="0.3">
      <c r="A267" s="15"/>
    </row>
    <row r="268" spans="1:1" x14ac:dyDescent="0.3">
      <c r="A268" s="15"/>
    </row>
    <row r="269" spans="1:1" x14ac:dyDescent="0.3">
      <c r="A269" s="15"/>
    </row>
    <row r="270" spans="1:1" x14ac:dyDescent="0.3">
      <c r="A270" s="15"/>
    </row>
    <row r="271" spans="1:1" x14ac:dyDescent="0.3">
      <c r="A271" s="15"/>
    </row>
    <row r="272" spans="1:1" x14ac:dyDescent="0.3">
      <c r="A272" s="15"/>
    </row>
    <row r="273" spans="1:1" x14ac:dyDescent="0.3">
      <c r="A273" s="15"/>
    </row>
    <row r="274" spans="1:1" x14ac:dyDescent="0.3">
      <c r="A274" s="15"/>
    </row>
    <row r="275" spans="1:1" x14ac:dyDescent="0.3">
      <c r="A275" s="15"/>
    </row>
    <row r="276" spans="1:1" x14ac:dyDescent="0.3">
      <c r="A276" s="15"/>
    </row>
    <row r="277" spans="1:1" x14ac:dyDescent="0.3">
      <c r="A277" s="15"/>
    </row>
    <row r="278" spans="1:1" x14ac:dyDescent="0.3">
      <c r="A278" s="15"/>
    </row>
    <row r="279" spans="1:1" x14ac:dyDescent="0.3">
      <c r="A279" s="15"/>
    </row>
    <row r="280" spans="1:1" x14ac:dyDescent="0.3">
      <c r="A280" s="15"/>
    </row>
    <row r="281" spans="1:1" x14ac:dyDescent="0.3">
      <c r="A281" s="15"/>
    </row>
    <row r="282" spans="1:1" x14ac:dyDescent="0.3">
      <c r="A282" s="15"/>
    </row>
    <row r="283" spans="1:1" x14ac:dyDescent="0.3">
      <c r="A283" s="15"/>
    </row>
    <row r="284" spans="1:1" x14ac:dyDescent="0.3">
      <c r="A284" s="15"/>
    </row>
    <row r="285" spans="1:1" x14ac:dyDescent="0.3">
      <c r="A285" s="15"/>
    </row>
    <row r="286" spans="1:1" x14ac:dyDescent="0.3">
      <c r="A286" s="15"/>
    </row>
    <row r="287" spans="1:1" x14ac:dyDescent="0.3">
      <c r="A287" s="15"/>
    </row>
    <row r="288" spans="1:1" x14ac:dyDescent="0.3">
      <c r="A288" s="15"/>
    </row>
    <row r="289" spans="1:1" x14ac:dyDescent="0.3">
      <c r="A289" s="15"/>
    </row>
    <row r="290" spans="1:1" x14ac:dyDescent="0.3">
      <c r="A290" s="15"/>
    </row>
    <row r="291" spans="1:1" x14ac:dyDescent="0.3">
      <c r="A291" s="15"/>
    </row>
    <row r="292" spans="1:1" x14ac:dyDescent="0.3">
      <c r="A292" s="15"/>
    </row>
    <row r="293" spans="1:1" x14ac:dyDescent="0.3">
      <c r="A293" s="15"/>
    </row>
    <row r="294" spans="1:1" x14ac:dyDescent="0.3">
      <c r="A294" s="15"/>
    </row>
    <row r="295" spans="1:1" x14ac:dyDescent="0.3">
      <c r="A295" s="15"/>
    </row>
    <row r="296" spans="1:1" x14ac:dyDescent="0.3">
      <c r="A296" s="15"/>
    </row>
    <row r="297" spans="1:1" x14ac:dyDescent="0.3">
      <c r="A297" s="15"/>
    </row>
    <row r="298" spans="1:1" x14ac:dyDescent="0.3">
      <c r="A298" s="15"/>
    </row>
    <row r="299" spans="1:1" x14ac:dyDescent="0.3">
      <c r="A299" s="15"/>
    </row>
    <row r="300" spans="1:1" x14ac:dyDescent="0.3">
      <c r="A300" s="15"/>
    </row>
    <row r="301" spans="1:1" x14ac:dyDescent="0.3">
      <c r="A301" s="15"/>
    </row>
    <row r="302" spans="1:1" x14ac:dyDescent="0.3">
      <c r="A302" s="15"/>
    </row>
    <row r="303" spans="1:1" x14ac:dyDescent="0.3">
      <c r="A303" s="15"/>
    </row>
    <row r="304" spans="1:1" x14ac:dyDescent="0.3">
      <c r="A304" s="15"/>
    </row>
    <row r="305" spans="1:1" x14ac:dyDescent="0.3">
      <c r="A305" s="15"/>
    </row>
    <row r="306" spans="1:1" x14ac:dyDescent="0.3">
      <c r="A306" s="15"/>
    </row>
    <row r="307" spans="1:1" x14ac:dyDescent="0.3">
      <c r="A307" s="15"/>
    </row>
    <row r="308" spans="1:1" x14ac:dyDescent="0.3">
      <c r="A308" s="15"/>
    </row>
    <row r="309" spans="1:1" x14ac:dyDescent="0.3">
      <c r="A309" s="15"/>
    </row>
    <row r="310" spans="1:1" x14ac:dyDescent="0.3">
      <c r="A310" s="15"/>
    </row>
    <row r="311" spans="1:1" x14ac:dyDescent="0.3">
      <c r="A311" s="15"/>
    </row>
    <row r="312" spans="1:1" x14ac:dyDescent="0.3">
      <c r="A312" s="15"/>
    </row>
    <row r="313" spans="1:1" x14ac:dyDescent="0.3">
      <c r="A313" s="15"/>
    </row>
    <row r="314" spans="1:1" x14ac:dyDescent="0.3">
      <c r="A314" s="15"/>
    </row>
    <row r="315" spans="1:1" x14ac:dyDescent="0.3">
      <c r="A315" s="15"/>
    </row>
    <row r="316" spans="1:1" x14ac:dyDescent="0.3">
      <c r="A316" s="15"/>
    </row>
    <row r="317" spans="1:1" x14ac:dyDescent="0.3">
      <c r="A317" s="15"/>
    </row>
    <row r="318" spans="1:1" x14ac:dyDescent="0.3">
      <c r="A318" s="15"/>
    </row>
    <row r="319" spans="1:1" x14ac:dyDescent="0.3">
      <c r="A319" s="15"/>
    </row>
    <row r="320" spans="1:1" x14ac:dyDescent="0.3">
      <c r="A320" s="15"/>
    </row>
    <row r="321" spans="1:1" x14ac:dyDescent="0.3">
      <c r="A321" s="15"/>
    </row>
    <row r="322" spans="1:1" x14ac:dyDescent="0.3">
      <c r="A322" s="15"/>
    </row>
    <row r="323" spans="1:1" x14ac:dyDescent="0.3">
      <c r="A323" s="15"/>
    </row>
    <row r="324" spans="1:1" x14ac:dyDescent="0.3">
      <c r="A324" s="15"/>
    </row>
    <row r="325" spans="1:1" x14ac:dyDescent="0.3">
      <c r="A325" s="15"/>
    </row>
    <row r="326" spans="1:1" x14ac:dyDescent="0.3">
      <c r="A326" s="15"/>
    </row>
    <row r="327" spans="1:1" x14ac:dyDescent="0.3">
      <c r="A327" s="15"/>
    </row>
    <row r="328" spans="1:1" x14ac:dyDescent="0.3">
      <c r="A328" s="15"/>
    </row>
    <row r="329" spans="1:1" x14ac:dyDescent="0.3">
      <c r="A329" s="15"/>
    </row>
    <row r="330" spans="1:1" x14ac:dyDescent="0.3">
      <c r="A330" s="15"/>
    </row>
    <row r="331" spans="1:1" x14ac:dyDescent="0.3">
      <c r="A331" s="15"/>
    </row>
    <row r="332" spans="1:1" x14ac:dyDescent="0.3">
      <c r="A332" s="15"/>
    </row>
    <row r="333" spans="1:1" x14ac:dyDescent="0.3">
      <c r="A333" s="15"/>
    </row>
    <row r="334" spans="1:1" x14ac:dyDescent="0.3">
      <c r="A334" s="15"/>
    </row>
    <row r="335" spans="1:1" x14ac:dyDescent="0.3">
      <c r="A335" s="15"/>
    </row>
    <row r="336" spans="1:1" x14ac:dyDescent="0.3">
      <c r="A336" s="15"/>
    </row>
    <row r="337" spans="1:1" x14ac:dyDescent="0.3">
      <c r="A337" s="15"/>
    </row>
    <row r="338" spans="1:1" x14ac:dyDescent="0.3">
      <c r="A338" s="15"/>
    </row>
    <row r="339" spans="1:1" x14ac:dyDescent="0.3">
      <c r="A339" s="15"/>
    </row>
    <row r="340" spans="1:1" x14ac:dyDescent="0.3">
      <c r="A340" s="15"/>
    </row>
    <row r="341" spans="1:1" x14ac:dyDescent="0.3">
      <c r="A341" s="15"/>
    </row>
    <row r="342" spans="1:1" x14ac:dyDescent="0.3">
      <c r="A342" s="15"/>
    </row>
    <row r="343" spans="1:1" x14ac:dyDescent="0.3">
      <c r="A343" s="15"/>
    </row>
    <row r="344" spans="1:1" x14ac:dyDescent="0.3">
      <c r="A344" s="15"/>
    </row>
    <row r="345" spans="1:1" x14ac:dyDescent="0.3">
      <c r="A345" s="15"/>
    </row>
    <row r="346" spans="1:1" x14ac:dyDescent="0.3">
      <c r="A346" s="15"/>
    </row>
    <row r="347" spans="1:1" x14ac:dyDescent="0.3">
      <c r="A347" s="15"/>
    </row>
    <row r="348" spans="1:1" x14ac:dyDescent="0.3">
      <c r="A348" s="15"/>
    </row>
    <row r="349" spans="1:1" x14ac:dyDescent="0.3">
      <c r="A349" s="15"/>
    </row>
    <row r="350" spans="1:1" x14ac:dyDescent="0.3">
      <c r="A350" s="15"/>
    </row>
    <row r="351" spans="1:1" x14ac:dyDescent="0.3">
      <c r="A351" s="15"/>
    </row>
    <row r="352" spans="1:1" x14ac:dyDescent="0.3">
      <c r="A352" s="15"/>
    </row>
    <row r="353" spans="1:1" x14ac:dyDescent="0.3">
      <c r="A353" s="15"/>
    </row>
    <row r="354" spans="1:1" x14ac:dyDescent="0.3">
      <c r="A354" s="15"/>
    </row>
    <row r="355" spans="1:1" x14ac:dyDescent="0.3">
      <c r="A355" s="15"/>
    </row>
    <row r="356" spans="1:1" x14ac:dyDescent="0.3">
      <c r="A356" s="15"/>
    </row>
    <row r="357" spans="1:1" x14ac:dyDescent="0.3">
      <c r="A357" s="15"/>
    </row>
    <row r="358" spans="1:1" x14ac:dyDescent="0.3">
      <c r="A358" s="15"/>
    </row>
    <row r="359" spans="1:1" x14ac:dyDescent="0.3">
      <c r="A359" s="15"/>
    </row>
    <row r="360" spans="1:1" x14ac:dyDescent="0.3">
      <c r="A360" s="15"/>
    </row>
    <row r="361" spans="1:1" x14ac:dyDescent="0.3">
      <c r="A361" s="15"/>
    </row>
    <row r="362" spans="1:1" x14ac:dyDescent="0.3">
      <c r="A362" s="15"/>
    </row>
    <row r="363" spans="1:1" x14ac:dyDescent="0.3">
      <c r="A363" s="15"/>
    </row>
    <row r="364" spans="1:1" x14ac:dyDescent="0.3">
      <c r="A364" s="15"/>
    </row>
    <row r="365" spans="1:1" x14ac:dyDescent="0.3">
      <c r="A365" s="15"/>
    </row>
    <row r="366" spans="1:1" x14ac:dyDescent="0.3">
      <c r="A366" s="15"/>
    </row>
    <row r="367" spans="1:1" x14ac:dyDescent="0.3">
      <c r="A367" s="15"/>
    </row>
    <row r="368" spans="1:1" x14ac:dyDescent="0.3">
      <c r="A368" s="15"/>
    </row>
    <row r="369" spans="1:1" x14ac:dyDescent="0.3">
      <c r="A369" s="15"/>
    </row>
    <row r="370" spans="1:1" x14ac:dyDescent="0.3">
      <c r="A370" s="15"/>
    </row>
    <row r="371" spans="1:1" x14ac:dyDescent="0.3">
      <c r="A371" s="15"/>
    </row>
    <row r="372" spans="1:1" x14ac:dyDescent="0.3">
      <c r="A372" s="15"/>
    </row>
    <row r="373" spans="1:1" x14ac:dyDescent="0.3">
      <c r="A373" s="15"/>
    </row>
    <row r="374" spans="1:1" x14ac:dyDescent="0.3">
      <c r="A374" s="15"/>
    </row>
    <row r="375" spans="1:1" x14ac:dyDescent="0.3">
      <c r="A375" s="15"/>
    </row>
    <row r="376" spans="1:1" x14ac:dyDescent="0.3">
      <c r="A376" s="15"/>
    </row>
    <row r="377" spans="1:1" x14ac:dyDescent="0.3">
      <c r="A377" s="15"/>
    </row>
    <row r="378" spans="1:1" x14ac:dyDescent="0.3">
      <c r="A378" s="15"/>
    </row>
    <row r="379" spans="1:1" x14ac:dyDescent="0.3">
      <c r="A379" s="15"/>
    </row>
    <row r="380" spans="1:1" x14ac:dyDescent="0.3">
      <c r="A380" s="15"/>
    </row>
    <row r="381" spans="1:1" x14ac:dyDescent="0.3">
      <c r="A381" s="15"/>
    </row>
    <row r="382" spans="1:1" x14ac:dyDescent="0.3">
      <c r="A382" s="15"/>
    </row>
    <row r="383" spans="1:1" x14ac:dyDescent="0.3">
      <c r="A383" s="15"/>
    </row>
    <row r="384" spans="1:1" x14ac:dyDescent="0.3">
      <c r="A384" s="15"/>
    </row>
    <row r="385" spans="1:1" x14ac:dyDescent="0.3">
      <c r="A385" s="15"/>
    </row>
    <row r="386" spans="1:1" x14ac:dyDescent="0.3">
      <c r="A386" s="15"/>
    </row>
    <row r="387" spans="1:1" x14ac:dyDescent="0.3">
      <c r="A387" s="15"/>
    </row>
    <row r="388" spans="1:1" x14ac:dyDescent="0.3">
      <c r="A388" s="15"/>
    </row>
    <row r="389" spans="1:1" x14ac:dyDescent="0.3">
      <c r="A389" s="15"/>
    </row>
    <row r="390" spans="1:1" x14ac:dyDescent="0.3">
      <c r="A390" s="15"/>
    </row>
    <row r="391" spans="1:1" x14ac:dyDescent="0.3">
      <c r="A391" s="15"/>
    </row>
    <row r="392" spans="1:1" x14ac:dyDescent="0.3">
      <c r="A392" s="15"/>
    </row>
    <row r="393" spans="1:1" x14ac:dyDescent="0.3">
      <c r="A393" s="15"/>
    </row>
    <row r="394" spans="1:1" x14ac:dyDescent="0.3">
      <c r="A394" s="15"/>
    </row>
    <row r="395" spans="1:1" x14ac:dyDescent="0.3">
      <c r="A395" s="15"/>
    </row>
    <row r="396" spans="1:1" x14ac:dyDescent="0.3">
      <c r="A396" s="15"/>
    </row>
    <row r="397" spans="1:1" x14ac:dyDescent="0.3">
      <c r="A397" s="15"/>
    </row>
    <row r="398" spans="1:1" x14ac:dyDescent="0.3">
      <c r="A398" s="15"/>
    </row>
    <row r="399" spans="1:1" x14ac:dyDescent="0.3">
      <c r="A399" s="15"/>
    </row>
    <row r="400" spans="1:1" x14ac:dyDescent="0.3">
      <c r="A400" s="15"/>
    </row>
    <row r="401" spans="1:1" x14ac:dyDescent="0.3">
      <c r="A401" s="15"/>
    </row>
    <row r="402" spans="1:1" x14ac:dyDescent="0.3">
      <c r="A402" s="15"/>
    </row>
    <row r="403" spans="1:1" x14ac:dyDescent="0.3">
      <c r="A403" s="15"/>
    </row>
    <row r="404" spans="1:1" x14ac:dyDescent="0.3">
      <c r="A404" s="15"/>
    </row>
    <row r="405" spans="1:1" x14ac:dyDescent="0.3">
      <c r="A405" s="15"/>
    </row>
    <row r="406" spans="1:1" x14ac:dyDescent="0.3">
      <c r="A406" s="15"/>
    </row>
    <row r="407" spans="1:1" x14ac:dyDescent="0.3">
      <c r="A407" s="15"/>
    </row>
    <row r="408" spans="1:1" x14ac:dyDescent="0.3">
      <c r="A408" s="15"/>
    </row>
    <row r="409" spans="1:1" x14ac:dyDescent="0.3">
      <c r="A409" s="15"/>
    </row>
    <row r="410" spans="1:1" x14ac:dyDescent="0.3">
      <c r="A410" s="15"/>
    </row>
    <row r="411" spans="1:1" x14ac:dyDescent="0.3">
      <c r="A411" s="15"/>
    </row>
    <row r="412" spans="1:1" x14ac:dyDescent="0.3">
      <c r="A412" s="15"/>
    </row>
    <row r="413" spans="1:1" x14ac:dyDescent="0.3">
      <c r="A413" s="15"/>
    </row>
    <row r="414" spans="1:1" x14ac:dyDescent="0.3">
      <c r="A414" s="15"/>
    </row>
    <row r="415" spans="1:1" x14ac:dyDescent="0.3">
      <c r="A415" s="15"/>
    </row>
    <row r="416" spans="1:1" x14ac:dyDescent="0.3">
      <c r="A416" s="15"/>
    </row>
    <row r="417" spans="1:1" x14ac:dyDescent="0.3">
      <c r="A417" s="15"/>
    </row>
    <row r="418" spans="1:1" x14ac:dyDescent="0.3">
      <c r="A418" s="15"/>
    </row>
    <row r="419" spans="1:1" x14ac:dyDescent="0.3">
      <c r="A419" s="15"/>
    </row>
    <row r="420" spans="1:1" x14ac:dyDescent="0.3">
      <c r="A420" s="15"/>
    </row>
    <row r="421" spans="1:1" x14ac:dyDescent="0.3">
      <c r="A421" s="15"/>
    </row>
    <row r="422" spans="1:1" x14ac:dyDescent="0.3">
      <c r="A422" s="15"/>
    </row>
  </sheetData>
  <autoFilter ref="A2:C50"/>
  <conditionalFormatting sqref="A3:C3 F3">
    <cfRule type="duplicateValues" dxfId="0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5"/>
  <sheetViews>
    <sheetView zoomScale="130" zoomScaleNormal="130" workbookViewId="0">
      <selection activeCell="B1" sqref="B1"/>
    </sheetView>
  </sheetViews>
  <sheetFormatPr defaultRowHeight="14.4" x14ac:dyDescent="0.3"/>
  <cols>
    <col min="1" max="1" width="9" customWidth="1"/>
    <col min="3" max="3" width="16.44140625" bestFit="1" customWidth="1"/>
    <col min="4" max="4" width="15.33203125" bestFit="1" customWidth="1"/>
    <col min="5" max="5" width="11.77734375" customWidth="1"/>
    <col min="6" max="6" width="11.5546875" customWidth="1"/>
    <col min="7" max="7" width="13.6640625" style="1" bestFit="1" customWidth="1"/>
    <col min="8" max="8" width="10.77734375" customWidth="1"/>
    <col min="9" max="9" width="10.44140625" customWidth="1"/>
  </cols>
  <sheetData>
    <row r="1" spans="1:15" x14ac:dyDescent="0.3">
      <c r="A1" s="26" t="s">
        <v>17</v>
      </c>
      <c r="B1" t="s">
        <v>18</v>
      </c>
      <c r="D1" s="21" t="s">
        <v>4</v>
      </c>
      <c r="E1" s="25"/>
      <c r="F1" s="25"/>
      <c r="G1" s="25"/>
      <c r="H1" s="25"/>
    </row>
    <row r="2" spans="1:15" x14ac:dyDescent="0.3">
      <c r="A2" s="24"/>
      <c r="D2" s="4" t="s">
        <v>21</v>
      </c>
      <c r="G2"/>
    </row>
    <row r="3" spans="1:15" x14ac:dyDescent="0.3">
      <c r="C3" t="s">
        <v>11</v>
      </c>
      <c r="D3" s="8">
        <f>SUMIFS($H$7:$H$15,$D$7:$D$15,D2)</f>
        <v>14993</v>
      </c>
      <c r="E3" s="8"/>
      <c r="F3" s="8"/>
      <c r="G3" s="8"/>
      <c r="H3" s="8"/>
    </row>
    <row r="4" spans="1:15" x14ac:dyDescent="0.3">
      <c r="C4" t="s">
        <v>10</v>
      </c>
      <c r="D4" s="9">
        <f>SUMIFS($F$7:$F$15,$D$7:$D$15,D2)</f>
        <v>13813</v>
      </c>
      <c r="E4" s="9"/>
      <c r="F4" s="9"/>
      <c r="G4" s="9"/>
      <c r="H4" s="9"/>
    </row>
    <row r="5" spans="1:15" x14ac:dyDescent="0.3">
      <c r="C5" t="s">
        <v>13</v>
      </c>
      <c r="D5" s="10">
        <f>IFERROR(D3/D4,"")</f>
        <v>1.0854267718815609</v>
      </c>
      <c r="E5" s="10"/>
      <c r="F5" s="10"/>
      <c r="G5" s="10"/>
      <c r="H5" s="10"/>
    </row>
    <row r="6" spans="1:15" ht="57.6" x14ac:dyDescent="0.3">
      <c r="A6" s="18" t="s">
        <v>34</v>
      </c>
      <c r="B6" s="18" t="s">
        <v>2</v>
      </c>
      <c r="C6" s="19" t="s">
        <v>3</v>
      </c>
      <c r="D6" s="19" t="s">
        <v>4</v>
      </c>
      <c r="E6" s="19" t="s">
        <v>5</v>
      </c>
      <c r="F6" s="19" t="s">
        <v>8</v>
      </c>
      <c r="G6" s="20" t="s">
        <v>16</v>
      </c>
      <c r="H6" s="19" t="s">
        <v>6</v>
      </c>
      <c r="I6" s="20" t="s">
        <v>7</v>
      </c>
      <c r="J6" s="20" t="s">
        <v>12</v>
      </c>
      <c r="L6" s="4"/>
      <c r="M6" s="4"/>
    </row>
    <row r="7" spans="1:15" x14ac:dyDescent="0.3">
      <c r="A7" s="2" t="str">
        <f>IF(B7&lt;&gt;"","MAIN","")</f>
        <v>MAIN</v>
      </c>
      <c r="B7" s="16">
        <v>629003</v>
      </c>
      <c r="C7" s="2" t="str">
        <f>IFERROR(INDEX([1]Master!$B:$B,MATCH(B7,[1]Master!$D:$D,0)),"")</f>
        <v>1-93121-65</v>
      </c>
      <c r="D7" s="2" t="str">
        <f>IFERROR(INDEX([1]Master!$C:$C,MATCH(B7,[1]Master!$D:$D,0)),"")</f>
        <v>MH43SP18022D</v>
      </c>
      <c r="E7" s="2">
        <f>IFERROR(INDEX([2]DMC!$I:$I,MATCH(B7,[2]DMC!$D:$D,0)),"")</f>
        <v>6670</v>
      </c>
      <c r="F7" s="2">
        <f>IFERROR(INDEX([3]Main!$L:$L,MATCH(B7,[3]Main!$A:$A,0)),"")</f>
        <v>6670</v>
      </c>
      <c r="G7" s="3" t="str">
        <f>IFERROR(LEFT(INDEX([1]Master!$H:$H,MATCH(B7,[1]Master!$D:$D,0)),LEN(INDEX([1]Master!$H:$H,MATCH(B7,[1]Master!$D:$D,0)))-4),"")</f>
        <v>9GEO1665A</v>
      </c>
      <c r="H7" s="2">
        <f>IFERROR(INDEX([3]Main!$H:$H,MATCH(B7,[3]Main!$A:$A,0)),"")</f>
        <v>7261</v>
      </c>
      <c r="I7" s="7">
        <f>IFERROR(HLOOKUP(D7,$D$2:$H$5,4,0),"")</f>
        <v>1.0854267718815609</v>
      </c>
      <c r="J7" s="17">
        <f>IFERROR(I7*F7,"")</f>
        <v>7239.7965684500114</v>
      </c>
      <c r="L7" s="4"/>
      <c r="M7" s="4"/>
      <c r="O7" s="15"/>
    </row>
    <row r="8" spans="1:15" x14ac:dyDescent="0.3">
      <c r="A8" s="2" t="str">
        <f t="shared" ref="A8:A15" si="0">IF(B8&lt;&gt;"","MAIN","")</f>
        <v>MAIN</v>
      </c>
      <c r="B8" s="16">
        <v>629008</v>
      </c>
      <c r="C8" s="2" t="str">
        <f>IFERROR(INDEX([1]Master!$B:$B,MATCH(B8,[1]Master!$D:$D,0)),"")</f>
        <v>1-93121-51</v>
      </c>
      <c r="D8" s="2" t="str">
        <f>IFERROR(INDEX([1]Master!$C:$C,MATCH(B8,[1]Master!$D:$D,0)),"")</f>
        <v>MH43SP18022D</v>
      </c>
      <c r="E8" s="2">
        <f>IFERROR(INDEX([2]DMC!$I:$I,MATCH(B8,[2]DMC!$D:$D,0)),"")</f>
        <v>3476</v>
      </c>
      <c r="F8" s="2">
        <f>IFERROR(INDEX([3]Main!$L:$L,MATCH(B8,[3]Main!$A:$A,0)),"")</f>
        <v>3483</v>
      </c>
      <c r="G8" s="3" t="str">
        <f>IFERROR(LEFT(INDEX([1]Master!$H:$H,MATCH(B8,[1]Master!$D:$D,0)),LEN(INDEX([1]Master!$H:$H,MATCH(B8,[1]Master!$D:$D,0)))-4),"")</f>
        <v>9DOT1680</v>
      </c>
      <c r="H8" s="2">
        <f>IFERROR(INDEX([3]Main!$H:$H,MATCH(B8,[3]Main!$A:$A,0)),"")</f>
        <v>3790</v>
      </c>
      <c r="I8" s="7">
        <f t="shared" ref="I8:I15" si="1">IFERROR(HLOOKUP(D8,$D$2:$H$5,4,0),"")</f>
        <v>1.0854267718815609</v>
      </c>
      <c r="J8" s="17">
        <f t="shared" ref="J8:J15" si="2">IFERROR(I8*F8,"")</f>
        <v>3780.5414464634764</v>
      </c>
      <c r="L8" s="4"/>
      <c r="O8" s="15"/>
    </row>
    <row r="9" spans="1:15" x14ac:dyDescent="0.3">
      <c r="A9" s="2" t="str">
        <f t="shared" si="0"/>
        <v>MAIN</v>
      </c>
      <c r="B9" s="16">
        <v>629010</v>
      </c>
      <c r="C9" s="2" t="str">
        <f>IFERROR(INDEX([1]Master!$B:$B,MATCH(B9,[1]Master!$D:$D,0)),"")</f>
        <v>1-93121-58</v>
      </c>
      <c r="D9" s="2" t="str">
        <f>IFERROR(INDEX([1]Master!$C:$C,MATCH(B9,[1]Master!$D:$D,0)),"")</f>
        <v>MH43SP18022D</v>
      </c>
      <c r="E9" s="2" t="str">
        <f>IFERROR(INDEX([2]DMC!$I:$I,MATCH(B9,[2]DMC!$D:$D,0)),"")</f>
        <v/>
      </c>
      <c r="F9" s="2">
        <f>IFERROR(INDEX([3]Main!$L:$L,MATCH(B9,[3]Main!$A:$A,0)),"")</f>
        <v>564</v>
      </c>
      <c r="G9" s="3" t="str">
        <f>IFERROR(LEFT(INDEX([1]Master!$H:$H,MATCH(B9,[1]Master!$D:$D,0)),LEN(INDEX([1]Master!$H:$H,MATCH(B9,[1]Master!$D:$D,0)))-4),"")</f>
        <v>9FLR2118A</v>
      </c>
      <c r="H9" s="2">
        <f>IFERROR(INDEX([3]Main!$H:$H,MATCH(B9,[3]Main!$A:$A,0)),"")</f>
        <v>631</v>
      </c>
      <c r="I9" s="7">
        <f t="shared" si="1"/>
        <v>1.0854267718815609</v>
      </c>
      <c r="J9" s="17">
        <f t="shared" si="2"/>
        <v>612.18069934120035</v>
      </c>
      <c r="L9" s="4"/>
      <c r="O9" s="15"/>
    </row>
    <row r="10" spans="1:15" x14ac:dyDescent="0.3">
      <c r="A10" s="2" t="str">
        <f t="shared" si="0"/>
        <v>MAIN</v>
      </c>
      <c r="B10" s="16">
        <v>629045</v>
      </c>
      <c r="C10" s="2" t="str">
        <f>IFERROR(INDEX([1]Master!$B:$B,MATCH(B10,[1]Master!$D:$D,0)),"")</f>
        <v>1-93121-07</v>
      </c>
      <c r="D10" s="2" t="str">
        <f>IFERROR(INDEX([1]Master!$C:$C,MATCH(B10,[1]Master!$D:$D,0)),"")</f>
        <v>MH43SP18022D</v>
      </c>
      <c r="E10" s="2">
        <f>IFERROR(INDEX([2]DMC!$I:$I,MATCH(B10,[2]DMC!$D:$D,0)),"")</f>
        <v>2076</v>
      </c>
      <c r="F10" s="2">
        <f>IFERROR(INDEX([3]Main!$L:$L,MATCH(B10,[3]Main!$A:$A,0)),"")</f>
        <v>2076</v>
      </c>
      <c r="G10" s="3" t="str">
        <f>IFERROR(LEFT(INDEX([1]Master!$H:$H,MATCH(B10,[1]Master!$D:$D,0)),LEN(INDEX([1]Master!$H:$H,MATCH(B10,[1]Master!$D:$D,0)))-4),"")</f>
        <v>9FLR1876B</v>
      </c>
      <c r="H10" s="2">
        <f>IFERROR(INDEX([3]Main!$H:$H,MATCH(B10,[3]Main!$A:$A,0)),"")</f>
        <v>2240</v>
      </c>
      <c r="I10" s="7">
        <f t="shared" si="1"/>
        <v>1.0854267718815609</v>
      </c>
      <c r="J10" s="17">
        <f t="shared" si="2"/>
        <v>2253.3459784261204</v>
      </c>
      <c r="L10" s="4"/>
      <c r="O10" s="15"/>
    </row>
    <row r="11" spans="1:15" x14ac:dyDescent="0.3">
      <c r="A11" s="2" t="str">
        <f t="shared" si="0"/>
        <v>MAIN</v>
      </c>
      <c r="B11" s="16">
        <v>629046</v>
      </c>
      <c r="C11" s="2" t="str">
        <f>IFERROR(INDEX([1]Master!$B:$B,MATCH(B11,[1]Master!$D:$D,0)),"")</f>
        <v>1-93121-07</v>
      </c>
      <c r="D11" s="2" t="str">
        <f>IFERROR(INDEX([1]Master!$C:$C,MATCH(B11,[1]Master!$D:$D,0)),"")</f>
        <v>MH43SP18022D</v>
      </c>
      <c r="E11" s="2" t="str">
        <f>IFERROR(INDEX([2]DMC!$I:$I,MATCH(B11,[2]DMC!$D:$D,0)),"")</f>
        <v/>
      </c>
      <c r="F11" s="2">
        <f>IFERROR(INDEX([3]Main!$L:$L,MATCH(B11,[3]Main!$A:$A,0)),"")</f>
        <v>1020</v>
      </c>
      <c r="G11" s="3" t="str">
        <f>IFERROR(LEFT(INDEX([1]Master!$H:$H,MATCH(B11,[1]Master!$D:$D,0)),LEN(INDEX([1]Master!$H:$H,MATCH(B11,[1]Master!$D:$D,0)))-4),"")</f>
        <v>9FLR1876B</v>
      </c>
      <c r="H11" s="2">
        <f>IFERROR(INDEX([3]Main!$H:$H,MATCH(B11,[3]Main!$A:$A,0)),"")</f>
        <v>1071</v>
      </c>
      <c r="I11" s="7">
        <f t="shared" si="1"/>
        <v>1.0854267718815609</v>
      </c>
      <c r="J11" s="17">
        <f t="shared" si="2"/>
        <v>1107.1353073191922</v>
      </c>
      <c r="O11" s="15"/>
    </row>
    <row r="12" spans="1:15" x14ac:dyDescent="0.3">
      <c r="A12" s="2" t="str">
        <f t="shared" si="0"/>
        <v/>
      </c>
      <c r="B12" s="16"/>
      <c r="C12" s="2" t="str">
        <f>IFERROR(INDEX([1]Master!$B:$B,MATCH(B12,[1]Master!$D:$D,0)),"")</f>
        <v/>
      </c>
      <c r="D12" s="2" t="str">
        <f>IFERROR(INDEX([1]Master!$C:$C,MATCH(B12,[1]Master!$D:$D,0)),"")</f>
        <v/>
      </c>
      <c r="E12" s="2" t="str">
        <f>IFERROR(INDEX([2]DMC!$I:$I,MATCH(B12,[2]DMC!$D:$D,0)),"")</f>
        <v/>
      </c>
      <c r="F12" s="2" t="str">
        <f>IFERROR(INDEX([3]Main!$L:$L,MATCH(B12,[3]Main!$A:$A,0)),"")</f>
        <v/>
      </c>
      <c r="G12" s="3" t="str">
        <f>IFERROR(LEFT(INDEX([1]Master!$H:$H,MATCH(B12,[1]Master!$D:$D,0)),LEN(INDEX([1]Master!$H:$H,MATCH(B12,[1]Master!$D:$D,0)))-4),"")</f>
        <v/>
      </c>
      <c r="H12" s="2" t="str">
        <f>IFERROR(INDEX([3]Main!$H:$H,MATCH(B12,[3]Main!$A:$A,0)),"")</f>
        <v/>
      </c>
      <c r="I12" s="7" t="str">
        <f t="shared" si="1"/>
        <v/>
      </c>
      <c r="J12" s="17" t="str">
        <f t="shared" si="2"/>
        <v/>
      </c>
      <c r="O12" s="15"/>
    </row>
    <row r="13" spans="1:15" x14ac:dyDescent="0.3">
      <c r="A13" s="2" t="str">
        <f t="shared" si="0"/>
        <v/>
      </c>
      <c r="B13" s="16"/>
      <c r="C13" s="2" t="str">
        <f>IFERROR(INDEX([1]Master!$B:$B,MATCH(B13,[1]Master!$D:$D,0)),"")</f>
        <v/>
      </c>
      <c r="D13" s="2" t="str">
        <f>IFERROR(INDEX([1]Master!$C:$C,MATCH(B13,[1]Master!$D:$D,0)),"")</f>
        <v/>
      </c>
      <c r="E13" s="2" t="str">
        <f>IFERROR(INDEX([2]DMC!$I:$I,MATCH(B13,[2]DMC!$D:$D,0)),"")</f>
        <v/>
      </c>
      <c r="F13" s="2" t="str">
        <f>IFERROR(INDEX([3]Main!$L:$L,MATCH(B13,[3]Main!$A:$A,0)),"")</f>
        <v/>
      </c>
      <c r="G13" s="3" t="str">
        <f>IFERROR(LEFT(INDEX([1]Master!$H:$H,MATCH(B13,[1]Master!$D:$D,0)),LEN(INDEX([1]Master!$H:$H,MATCH(B13,[1]Master!$D:$D,0)))-4),"")</f>
        <v/>
      </c>
      <c r="H13" s="2" t="str">
        <f>IFERROR(INDEX([3]Main!$H:$H,MATCH(B13,[3]Main!$A:$A,0)),"")</f>
        <v/>
      </c>
      <c r="I13" s="7" t="str">
        <f t="shared" si="1"/>
        <v/>
      </c>
      <c r="J13" s="17" t="str">
        <f t="shared" si="2"/>
        <v/>
      </c>
      <c r="O13" s="15"/>
    </row>
    <row r="14" spans="1:15" x14ac:dyDescent="0.3">
      <c r="A14" s="2" t="str">
        <f t="shared" si="0"/>
        <v/>
      </c>
      <c r="B14" s="16"/>
      <c r="C14" s="2" t="str">
        <f>IFERROR(INDEX([1]Master!$B:$B,MATCH(B14,[1]Master!$D:$D,0)),"")</f>
        <v/>
      </c>
      <c r="D14" s="2" t="str">
        <f>IFERROR(INDEX([1]Master!$C:$C,MATCH(B14,[1]Master!$D:$D,0)),"")</f>
        <v/>
      </c>
      <c r="E14" s="2" t="str">
        <f>IFERROR(INDEX([2]DMC!$I:$I,MATCH(B14,[2]DMC!$D:$D,0)),"")</f>
        <v/>
      </c>
      <c r="F14" s="2" t="str">
        <f>IFERROR(INDEX([3]Main!$L:$L,MATCH(B14,[3]Main!$A:$A,0)),"")</f>
        <v/>
      </c>
      <c r="G14" s="3" t="str">
        <f>IFERROR(LEFT(INDEX([1]Master!$H:$H,MATCH(B14,[1]Master!$D:$D,0)),LEN(INDEX([1]Master!$H:$H,MATCH(B14,[1]Master!$D:$D,0)))-4),"")</f>
        <v/>
      </c>
      <c r="H14" s="2" t="str">
        <f>IFERROR(INDEX([3]Main!$H:$H,MATCH(B14,[3]Main!$A:$A,0)),"")</f>
        <v/>
      </c>
      <c r="I14" s="7" t="str">
        <f t="shared" si="1"/>
        <v/>
      </c>
      <c r="J14" s="17" t="str">
        <f t="shared" si="2"/>
        <v/>
      </c>
    </row>
    <row r="15" spans="1:15" x14ac:dyDescent="0.3">
      <c r="A15" s="2" t="str">
        <f t="shared" si="0"/>
        <v/>
      </c>
      <c r="B15" s="16"/>
      <c r="C15" s="2" t="str">
        <f>IFERROR(INDEX([1]Master!$B:$B,MATCH(B15,[1]Master!$D:$D,0)),"")</f>
        <v/>
      </c>
      <c r="D15" s="2" t="str">
        <f>IFERROR(INDEX([1]Master!$C:$C,MATCH(B15,[1]Master!$D:$D,0)),"")</f>
        <v/>
      </c>
      <c r="E15" s="2" t="str">
        <f>IFERROR(INDEX([2]DMC!$I:$I,MATCH(B15,[2]DMC!$D:$D,0)),"")</f>
        <v/>
      </c>
      <c r="F15" s="2" t="str">
        <f>IFERROR(INDEX([3]Main!$L:$L,MATCH(B15,[3]Main!$A:$A,0)),"")</f>
        <v/>
      </c>
      <c r="G15" s="3" t="str">
        <f>IFERROR(LEFT(INDEX([1]Master!$H:$H,MATCH(B15,[1]Master!$D:$D,0)),LEN(INDEX([1]Master!$H:$H,MATCH(B15,[1]Master!$D:$D,0)))-4),"")</f>
        <v/>
      </c>
      <c r="H15" s="2" t="str">
        <f>IFERROR(INDEX([3]Main!$H:$H,MATCH(B15,[3]Main!$A:$A,0)),"")</f>
        <v/>
      </c>
      <c r="I15" s="7" t="str">
        <f t="shared" si="1"/>
        <v/>
      </c>
      <c r="J15" s="17" t="str">
        <f t="shared" si="2"/>
        <v/>
      </c>
    </row>
  </sheetData>
  <autoFilter ref="A6:H15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5"/>
  <sheetViews>
    <sheetView zoomScale="130" zoomScaleNormal="130" workbookViewId="0">
      <selection activeCell="D2" sqref="D2"/>
    </sheetView>
  </sheetViews>
  <sheetFormatPr defaultRowHeight="14.4" x14ac:dyDescent="0.3"/>
  <cols>
    <col min="1" max="1" width="9" customWidth="1"/>
    <col min="3" max="3" width="16.44140625" bestFit="1" customWidth="1"/>
    <col min="4" max="4" width="15.33203125" bestFit="1" customWidth="1"/>
    <col min="5" max="5" width="11.77734375" customWidth="1"/>
    <col min="6" max="6" width="11.5546875" customWidth="1"/>
    <col min="7" max="7" width="14.33203125" style="1" bestFit="1" customWidth="1"/>
    <col min="8" max="8" width="10.77734375" customWidth="1"/>
    <col min="9" max="9" width="10.44140625" customWidth="1"/>
  </cols>
  <sheetData>
    <row r="1" spans="1:15" x14ac:dyDescent="0.3">
      <c r="A1" s="26" t="s">
        <v>17</v>
      </c>
      <c r="B1" t="s">
        <v>18</v>
      </c>
      <c r="D1" s="21" t="s">
        <v>4</v>
      </c>
      <c r="E1" s="25"/>
      <c r="F1" s="25"/>
      <c r="G1" s="25"/>
      <c r="H1" s="25"/>
    </row>
    <row r="2" spans="1:15" x14ac:dyDescent="0.3">
      <c r="A2" s="24"/>
      <c r="D2" s="4" t="s">
        <v>21</v>
      </c>
      <c r="G2"/>
    </row>
    <row r="3" spans="1:15" x14ac:dyDescent="0.3">
      <c r="C3" t="s">
        <v>11</v>
      </c>
      <c r="D3" s="8">
        <f>SUMIFS($H$7:$H$15,$D$7:$D$15,D2)</f>
        <v>1002</v>
      </c>
      <c r="E3" s="8"/>
      <c r="F3" s="8"/>
      <c r="G3" s="8"/>
      <c r="H3" s="8"/>
    </row>
    <row r="4" spans="1:15" x14ac:dyDescent="0.3">
      <c r="C4" t="s">
        <v>10</v>
      </c>
      <c r="D4" s="9">
        <f>SUMIFS($F$7:$F$15,$D$7:$D$15,D2)</f>
        <v>13813</v>
      </c>
      <c r="E4" s="9"/>
      <c r="F4" s="9"/>
      <c r="G4" s="9"/>
      <c r="H4" s="9"/>
    </row>
    <row r="5" spans="1:15" x14ac:dyDescent="0.3">
      <c r="C5" t="s">
        <v>13</v>
      </c>
      <c r="D5" s="10">
        <f>IFERROR(D3/D4,"")</f>
        <v>7.2540360529935566E-2</v>
      </c>
      <c r="E5" s="10"/>
      <c r="F5" s="10"/>
      <c r="G5" s="10"/>
      <c r="H5" s="10"/>
    </row>
    <row r="6" spans="1:15" ht="57.6" x14ac:dyDescent="0.3">
      <c r="A6" s="18" t="s">
        <v>34</v>
      </c>
      <c r="B6" s="18" t="s">
        <v>2</v>
      </c>
      <c r="C6" s="19" t="s">
        <v>3</v>
      </c>
      <c r="D6" s="19" t="s">
        <v>4</v>
      </c>
      <c r="E6" s="19" t="s">
        <v>5</v>
      </c>
      <c r="F6" s="19" t="s">
        <v>8</v>
      </c>
      <c r="G6" s="20" t="s">
        <v>35</v>
      </c>
      <c r="H6" s="19" t="s">
        <v>6</v>
      </c>
      <c r="I6" s="20" t="s">
        <v>7</v>
      </c>
      <c r="J6" s="20" t="s">
        <v>12</v>
      </c>
      <c r="L6" s="4"/>
      <c r="M6" s="4"/>
    </row>
    <row r="7" spans="1:15" x14ac:dyDescent="0.3">
      <c r="A7" s="2" t="str">
        <f>IF(B7&lt;&gt;"","COMB","")</f>
        <v>COMB</v>
      </c>
      <c r="B7" s="16">
        <v>629003</v>
      </c>
      <c r="C7" s="2" t="str">
        <f>IFERROR(INDEX([1]Master!$B:$B,MATCH(B7,[1]Master!$D:$D,0)),"")</f>
        <v>1-93121-65</v>
      </c>
      <c r="D7" s="2" t="str">
        <f>IFERROR(INDEX([1]Master!$C:$C,MATCH(B7,[1]Master!$D:$D,0)),"")</f>
        <v>MH43SP18022D</v>
      </c>
      <c r="E7" s="2">
        <f>IFERROR(INDEX([2]DMC!$I:$I,MATCH(B7,[2]DMC!$D:$D,0)),"")</f>
        <v>6670</v>
      </c>
      <c r="F7" s="2">
        <f>IFERROR(INDEX([3]Main!$L:$L,MATCH(B7,[3]Main!$A:$A,0)),"")</f>
        <v>6670</v>
      </c>
      <c r="G7" s="3" t="str">
        <f>IFERROR(LEFT(INDEX([1]Master!$V:$V,MATCH(B7,[1]Master!$D:$D,0)),LEN(INDEX([1]Master!$V:$V,MATCH(B7,[1]Master!$D:$D,0)))-4),"")</f>
        <v>CORE BLACK</v>
      </c>
      <c r="H7" s="2">
        <f>IFERROR(INDEX([3]Combo!$H:$H,MATCH(B7,[3]Combo!$A:$A,0)),"")</f>
        <v>486</v>
      </c>
      <c r="I7" s="7">
        <f>IFERROR(HLOOKUP(D7,$D$2:$H$5,4,0),"")</f>
        <v>7.2540360529935566E-2</v>
      </c>
      <c r="J7" s="17">
        <f>IFERROR(I7*F7,"")</f>
        <v>483.8442047346702</v>
      </c>
      <c r="L7" s="4"/>
      <c r="M7" s="4"/>
      <c r="O7" s="15"/>
    </row>
    <row r="8" spans="1:15" x14ac:dyDescent="0.3">
      <c r="A8" s="2" t="str">
        <f t="shared" ref="A8:A15" si="0">IF(B8&lt;&gt;"","COMB","")</f>
        <v>COMB</v>
      </c>
      <c r="B8" s="16">
        <v>629008</v>
      </c>
      <c r="C8" s="2" t="str">
        <f>IFERROR(INDEX([1]Master!$B:$B,MATCH(B8,[1]Master!$D:$D,0)),"")</f>
        <v>1-93121-51</v>
      </c>
      <c r="D8" s="2" t="str">
        <f>IFERROR(INDEX([1]Master!$C:$C,MATCH(B8,[1]Master!$D:$D,0)),"")</f>
        <v>MH43SP18022D</v>
      </c>
      <c r="E8" s="2">
        <f>IFERROR(INDEX([2]DMC!$I:$I,MATCH(B8,[2]DMC!$D:$D,0)),"")</f>
        <v>3476</v>
      </c>
      <c r="F8" s="2">
        <f>IFERROR(INDEX([3]Main!$L:$L,MATCH(B8,[3]Main!$A:$A,0)),"")</f>
        <v>3483</v>
      </c>
      <c r="G8" s="3" t="str">
        <f>IFERROR(LEFT(INDEX([1]Master!$V:$V,MATCH(B8,[1]Master!$D:$D,0)),LEN(INDEX([1]Master!$V:$V,MATCH(B8,[1]Master!$D:$D,0)))-4),"")</f>
        <v xml:space="preserve"> FROSTED ROSE </v>
      </c>
      <c r="H8" s="2">
        <f>IFERROR(INDEX([3]Combo!$H:$H,MATCH(B8,[3]Combo!$A:$A,0)),"")</f>
        <v>242</v>
      </c>
      <c r="I8" s="7">
        <f t="shared" ref="I8:I15" si="1">IFERROR(HLOOKUP(D8,$D$2:$H$5,4,0),"")</f>
        <v>7.2540360529935566E-2</v>
      </c>
      <c r="J8" s="17">
        <f t="shared" ref="J8:J15" si="2">IFERROR(I8*F8,"")</f>
        <v>252.65807572576557</v>
      </c>
      <c r="L8" s="4"/>
      <c r="O8" s="15"/>
    </row>
    <row r="9" spans="1:15" x14ac:dyDescent="0.3">
      <c r="A9" s="2" t="str">
        <f t="shared" si="0"/>
        <v>COMB</v>
      </c>
      <c r="B9" s="16">
        <v>629010</v>
      </c>
      <c r="C9" s="2" t="str">
        <f>IFERROR(INDEX([1]Master!$B:$B,MATCH(B9,[1]Master!$D:$D,0)),"")</f>
        <v>1-93121-58</v>
      </c>
      <c r="D9" s="2" t="str">
        <f>IFERROR(INDEX([1]Master!$C:$C,MATCH(B9,[1]Master!$D:$D,0)),"")</f>
        <v>MH43SP18022D</v>
      </c>
      <c r="E9" s="2" t="str">
        <f>IFERROR(INDEX([2]DMC!$I:$I,MATCH(B9,[2]DMC!$D:$D,0)),"")</f>
        <v/>
      </c>
      <c r="F9" s="2">
        <f>IFERROR(INDEX([3]Main!$L:$L,MATCH(B9,[3]Main!$A:$A,0)),"")</f>
        <v>564</v>
      </c>
      <c r="G9" s="3" t="str">
        <f>IFERROR(LEFT(INDEX([1]Master!$V:$V,MATCH(B9,[1]Master!$D:$D,0)),LEN(INDEX([1]Master!$V:$V,MATCH(B9,[1]Master!$D:$D,0)))-4),"")</f>
        <v>DARK TEAL</v>
      </c>
      <c r="H9" s="2">
        <f>IFERROR(INDEX([3]Combo!$H:$H,MATCH(B9,[3]Combo!$A:$A,0)),"")</f>
        <v>40</v>
      </c>
      <c r="I9" s="7">
        <f t="shared" si="1"/>
        <v>7.2540360529935566E-2</v>
      </c>
      <c r="J9" s="17">
        <f t="shared" si="2"/>
        <v>40.912763338883657</v>
      </c>
      <c r="L9" s="4"/>
      <c r="O9" s="15"/>
    </row>
    <row r="10" spans="1:15" x14ac:dyDescent="0.3">
      <c r="A10" s="2" t="str">
        <f t="shared" si="0"/>
        <v>COMB</v>
      </c>
      <c r="B10" s="16">
        <v>629045</v>
      </c>
      <c r="C10" s="2" t="str">
        <f>IFERROR(INDEX([1]Master!$B:$B,MATCH(B10,[1]Master!$D:$D,0)),"")</f>
        <v>1-93121-07</v>
      </c>
      <c r="D10" s="2" t="str">
        <f>IFERROR(INDEX([1]Master!$C:$C,MATCH(B10,[1]Master!$D:$D,0)),"")</f>
        <v>MH43SP18022D</v>
      </c>
      <c r="E10" s="2">
        <f>IFERROR(INDEX([2]DMC!$I:$I,MATCH(B10,[2]DMC!$D:$D,0)),"")</f>
        <v>2076</v>
      </c>
      <c r="F10" s="2">
        <f>IFERROR(INDEX([3]Main!$L:$L,MATCH(B10,[3]Main!$A:$A,0)),"")</f>
        <v>2076</v>
      </c>
      <c r="G10" s="3" t="str">
        <f>IFERROR(LEFT(INDEX([1]Master!$V:$V,MATCH(B10,[1]Master!$D:$D,0)),LEN(INDEX([1]Master!$V:$V,MATCH(B10,[1]Master!$D:$D,0)))-4),"")</f>
        <v xml:space="preserve">SAPPHIRE </v>
      </c>
      <c r="H10" s="2">
        <f>IFERROR(INDEX([3]Combo!$H:$H,MATCH(B10,[3]Combo!$A:$A,0)),"")</f>
        <v>160</v>
      </c>
      <c r="I10" s="7">
        <f t="shared" si="1"/>
        <v>7.2540360529935566E-2</v>
      </c>
      <c r="J10" s="17">
        <f t="shared" si="2"/>
        <v>150.59378846014624</v>
      </c>
      <c r="L10" s="4"/>
      <c r="O10" s="15"/>
    </row>
    <row r="11" spans="1:15" x14ac:dyDescent="0.3">
      <c r="A11" s="2" t="str">
        <f t="shared" si="0"/>
        <v>COMB</v>
      </c>
      <c r="B11" s="16">
        <v>629046</v>
      </c>
      <c r="C11" s="2" t="str">
        <f>IFERROR(INDEX([1]Master!$B:$B,MATCH(B11,[1]Master!$D:$D,0)),"")</f>
        <v>1-93121-07</v>
      </c>
      <c r="D11" s="2" t="str">
        <f>IFERROR(INDEX([1]Master!$C:$C,MATCH(B11,[1]Master!$D:$D,0)),"")</f>
        <v>MH43SP18022D</v>
      </c>
      <c r="E11" s="2" t="str">
        <f>IFERROR(INDEX([2]DMC!$I:$I,MATCH(B11,[2]DMC!$D:$D,0)),"")</f>
        <v/>
      </c>
      <c r="F11" s="2">
        <f>IFERROR(INDEX([3]Main!$L:$L,MATCH(B11,[3]Main!$A:$A,0)),"")</f>
        <v>1020</v>
      </c>
      <c r="G11" s="3" t="str">
        <f>IFERROR(LEFT(INDEX([1]Master!$V:$V,MATCH(B11,[1]Master!$D:$D,0)),LEN(INDEX([1]Master!$V:$V,MATCH(B11,[1]Master!$D:$D,0)))-4),"")</f>
        <v xml:space="preserve">SAPPHIRE </v>
      </c>
      <c r="H11" s="2">
        <f>IFERROR(INDEX([3]Combo!$H:$H,MATCH(B11,[3]Combo!$A:$A,0)),"")</f>
        <v>74</v>
      </c>
      <c r="I11" s="7">
        <f t="shared" si="1"/>
        <v>7.2540360529935566E-2</v>
      </c>
      <c r="J11" s="17">
        <f t="shared" si="2"/>
        <v>73.99116774053428</v>
      </c>
      <c r="O11" s="15"/>
    </row>
    <row r="12" spans="1:15" x14ac:dyDescent="0.3">
      <c r="A12" s="2" t="str">
        <f t="shared" si="0"/>
        <v/>
      </c>
      <c r="B12" s="16"/>
      <c r="C12" s="2" t="str">
        <f>IFERROR(INDEX([1]Master!$B:$B,MATCH(B12,[1]Master!$D:$D,0)),"")</f>
        <v/>
      </c>
      <c r="D12" s="2" t="str">
        <f>IFERROR(INDEX([1]Master!$C:$C,MATCH(B12,[1]Master!$D:$D,0)),"")</f>
        <v/>
      </c>
      <c r="E12" s="2" t="str">
        <f>IFERROR(INDEX([2]DMC!$I:$I,MATCH(B12,[2]DMC!$D:$D,0)),"")</f>
        <v/>
      </c>
      <c r="F12" s="2" t="str">
        <f>IFERROR(INDEX([3]Main!$L:$L,MATCH(B12,[3]Main!$A:$A,0)),"")</f>
        <v/>
      </c>
      <c r="G12" s="3" t="str">
        <f>IFERROR(LEFT(INDEX([1]Master!$V:$V,MATCH(B12,[1]Master!$D:$D,0)),LEN(INDEX([1]Master!$V:$V,MATCH(B12,[1]Master!$D:$D,0)))-4),"")</f>
        <v/>
      </c>
      <c r="H12" s="2" t="str">
        <f>IFERROR(INDEX([3]Combo!$H:$H,MATCH(B12,[3]Combo!$A:$A,0)),"")</f>
        <v/>
      </c>
      <c r="I12" s="7" t="str">
        <f t="shared" si="1"/>
        <v/>
      </c>
      <c r="J12" s="17" t="str">
        <f t="shared" si="2"/>
        <v/>
      </c>
      <c r="O12" s="15"/>
    </row>
    <row r="13" spans="1:15" x14ac:dyDescent="0.3">
      <c r="A13" s="2" t="str">
        <f t="shared" si="0"/>
        <v/>
      </c>
      <c r="B13" s="16"/>
      <c r="C13" s="2" t="str">
        <f>IFERROR(INDEX([1]Master!$B:$B,MATCH(B13,[1]Master!$D:$D,0)),"")</f>
        <v/>
      </c>
      <c r="D13" s="2" t="str">
        <f>IFERROR(INDEX([1]Master!$C:$C,MATCH(B13,[1]Master!$D:$D,0)),"")</f>
        <v/>
      </c>
      <c r="E13" s="2" t="str">
        <f>IFERROR(INDEX([2]DMC!$I:$I,MATCH(B13,[2]DMC!$D:$D,0)),"")</f>
        <v/>
      </c>
      <c r="F13" s="2" t="str">
        <f>IFERROR(INDEX([3]Main!$L:$L,MATCH(B13,[3]Main!$A:$A,0)),"")</f>
        <v/>
      </c>
      <c r="G13" s="3" t="str">
        <f>IFERROR(LEFT(INDEX([1]Master!$V:$V,MATCH(B13,[1]Master!$D:$D,0)),LEN(INDEX([1]Master!$V:$V,MATCH(B13,[1]Master!$D:$D,0)))-4),"")</f>
        <v/>
      </c>
      <c r="H13" s="2" t="str">
        <f>IFERROR(INDEX([3]Combo!$H:$H,MATCH(B13,[3]Combo!$A:$A,0)),"")</f>
        <v/>
      </c>
      <c r="I13" s="7" t="str">
        <f t="shared" si="1"/>
        <v/>
      </c>
      <c r="J13" s="17" t="str">
        <f t="shared" si="2"/>
        <v/>
      </c>
      <c r="O13" s="15"/>
    </row>
    <row r="14" spans="1:15" x14ac:dyDescent="0.3">
      <c r="A14" s="2" t="str">
        <f t="shared" si="0"/>
        <v/>
      </c>
      <c r="B14" s="16"/>
      <c r="C14" s="2" t="str">
        <f>IFERROR(INDEX([1]Master!$B:$B,MATCH(B14,[1]Master!$D:$D,0)),"")</f>
        <v/>
      </c>
      <c r="D14" s="2" t="str">
        <f>IFERROR(INDEX([1]Master!$C:$C,MATCH(B14,[1]Master!$D:$D,0)),"")</f>
        <v/>
      </c>
      <c r="E14" s="2" t="str">
        <f>IFERROR(INDEX([2]DMC!$I:$I,MATCH(B14,[2]DMC!$D:$D,0)),"")</f>
        <v/>
      </c>
      <c r="F14" s="2" t="str">
        <f>IFERROR(INDEX([3]Main!$L:$L,MATCH(B14,[3]Main!$A:$A,0)),"")</f>
        <v/>
      </c>
      <c r="G14" s="3" t="str">
        <f>IFERROR(LEFT(INDEX([1]Master!$V:$V,MATCH(B14,[1]Master!$D:$D,0)),LEN(INDEX([1]Master!$V:$V,MATCH(B14,[1]Master!$D:$D,0)))-4),"")</f>
        <v/>
      </c>
      <c r="H14" s="2" t="str">
        <f>IFERROR(INDEX([3]Combo!$H:$H,MATCH(B14,[3]Combo!$A:$A,0)),"")</f>
        <v/>
      </c>
      <c r="I14" s="7" t="str">
        <f t="shared" si="1"/>
        <v/>
      </c>
      <c r="J14" s="17" t="str">
        <f t="shared" si="2"/>
        <v/>
      </c>
    </row>
    <row r="15" spans="1:15" x14ac:dyDescent="0.3">
      <c r="A15" s="2" t="str">
        <f t="shared" si="0"/>
        <v/>
      </c>
      <c r="B15" s="16"/>
      <c r="C15" s="2" t="str">
        <f>IFERROR(INDEX([1]Master!$B:$B,MATCH(B15,[1]Master!$D:$D,0)),"")</f>
        <v/>
      </c>
      <c r="D15" s="2" t="str">
        <f>IFERROR(INDEX([1]Master!$C:$C,MATCH(B15,[1]Master!$D:$D,0)),"")</f>
        <v/>
      </c>
      <c r="E15" s="2" t="str">
        <f>IFERROR(INDEX([2]DMC!$I:$I,MATCH(B15,[2]DMC!$D:$D,0)),"")</f>
        <v/>
      </c>
      <c r="F15" s="2" t="str">
        <f>IFERROR(INDEX([3]Main!$L:$L,MATCH(B15,[3]Main!$A:$A,0)),"")</f>
        <v/>
      </c>
      <c r="G15" s="3" t="str">
        <f>IFERROR(LEFT(INDEX([1]Master!$V:$V,MATCH(B15,[1]Master!$D:$D,0)),LEN(INDEX([1]Master!$V:$V,MATCH(B15,[1]Master!$D:$D,0)))-4),"")</f>
        <v/>
      </c>
      <c r="H15" s="2" t="str">
        <f>IFERROR(INDEX([3]Combo!$H:$H,MATCH(B15,[3]Combo!$A:$A,0)),"")</f>
        <v/>
      </c>
      <c r="I15" s="7" t="str">
        <f t="shared" si="1"/>
        <v/>
      </c>
      <c r="J15" s="17" t="str">
        <f t="shared" si="2"/>
        <v/>
      </c>
    </row>
  </sheetData>
  <autoFilter ref="A6:H15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7"/>
  <sheetViews>
    <sheetView workbookViewId="0">
      <selection activeCell="E16" sqref="E16"/>
    </sheetView>
  </sheetViews>
  <sheetFormatPr defaultRowHeight="14.4" x14ac:dyDescent="0.3"/>
  <cols>
    <col min="1" max="1" width="14" style="4" bestFit="1" customWidth="1"/>
    <col min="2" max="2" width="8.88671875" style="4"/>
    <col min="3" max="3" width="10.44140625" style="4" bestFit="1" customWidth="1"/>
    <col min="4" max="4" width="14.44140625" style="4" bestFit="1" customWidth="1"/>
    <col min="5" max="6" width="8.88671875" style="4"/>
    <col min="7" max="7" width="15.109375" style="4" bestFit="1" customWidth="1"/>
    <col min="8" max="8" width="8.88671875" style="4"/>
    <col min="9" max="9" width="14.109375" style="4" bestFit="1" customWidth="1"/>
    <col min="10" max="16384" width="8.88671875" style="4"/>
  </cols>
  <sheetData>
    <row r="1" spans="1:10" ht="57.6" x14ac:dyDescent="0.3">
      <c r="A1" s="27" t="s">
        <v>34</v>
      </c>
      <c r="B1" s="27" t="s">
        <v>2</v>
      </c>
      <c r="C1" s="28" t="s">
        <v>3</v>
      </c>
      <c r="D1" s="28" t="s">
        <v>4</v>
      </c>
      <c r="E1" s="28" t="s">
        <v>5</v>
      </c>
      <c r="F1" s="28" t="s">
        <v>8</v>
      </c>
      <c r="G1" s="29" t="s">
        <v>16</v>
      </c>
      <c r="H1" s="28" t="s">
        <v>6</v>
      </c>
      <c r="I1" s="29" t="s">
        <v>7</v>
      </c>
      <c r="J1" s="29" t="s">
        <v>12</v>
      </c>
    </row>
    <row r="2" spans="1:10" x14ac:dyDescent="0.3">
      <c r="B2" s="30"/>
      <c r="G2" s="14"/>
      <c r="I2" s="31"/>
      <c r="J2" s="32"/>
    </row>
    <row r="3" spans="1:10" x14ac:dyDescent="0.3">
      <c r="B3" s="30"/>
      <c r="G3" s="14"/>
      <c r="I3" s="31"/>
      <c r="J3" s="32"/>
    </row>
    <row r="4" spans="1:10" x14ac:dyDescent="0.3">
      <c r="B4" s="30"/>
      <c r="G4" s="14"/>
      <c r="I4" s="31"/>
      <c r="J4" s="32"/>
    </row>
    <row r="5" spans="1:10" x14ac:dyDescent="0.3">
      <c r="B5" s="30"/>
      <c r="G5" s="14"/>
      <c r="I5" s="31"/>
      <c r="J5" s="32"/>
    </row>
    <row r="6" spans="1:10" x14ac:dyDescent="0.3">
      <c r="B6" s="30"/>
      <c r="G6" s="14"/>
      <c r="I6" s="31"/>
      <c r="J6" s="32"/>
    </row>
    <row r="7" spans="1:10" x14ac:dyDescent="0.3">
      <c r="B7" s="30"/>
      <c r="G7" s="14"/>
      <c r="I7" s="31"/>
      <c r="J7" s="32"/>
    </row>
    <row r="8" spans="1:10" x14ac:dyDescent="0.3">
      <c r="B8" s="30"/>
      <c r="G8" s="14"/>
      <c r="I8" s="31"/>
      <c r="J8" s="32"/>
    </row>
    <row r="9" spans="1:10" x14ac:dyDescent="0.3">
      <c r="B9" s="30"/>
      <c r="G9" s="14"/>
      <c r="I9" s="31"/>
      <c r="J9" s="32"/>
    </row>
    <row r="10" spans="1:10" x14ac:dyDescent="0.3">
      <c r="B10" s="30"/>
      <c r="G10" s="14"/>
      <c r="I10" s="31"/>
      <c r="J10" s="32"/>
    </row>
    <row r="11" spans="1:10" x14ac:dyDescent="0.3">
      <c r="B11" s="30"/>
      <c r="G11" s="14"/>
      <c r="I11" s="31"/>
      <c r="J11" s="32"/>
    </row>
    <row r="12" spans="1:10" x14ac:dyDescent="0.3">
      <c r="B12" s="30"/>
      <c r="G12" s="14"/>
      <c r="I12" s="31"/>
      <c r="J12" s="32"/>
    </row>
    <row r="13" spans="1:10" x14ac:dyDescent="0.3">
      <c r="B13" s="30"/>
      <c r="G13" s="14"/>
      <c r="I13" s="31"/>
      <c r="J13" s="32"/>
    </row>
    <row r="14" spans="1:10" x14ac:dyDescent="0.3">
      <c r="B14" s="30"/>
      <c r="G14" s="14"/>
      <c r="I14" s="31"/>
      <c r="J14" s="32"/>
    </row>
    <row r="15" spans="1:10" x14ac:dyDescent="0.3">
      <c r="B15" s="30"/>
      <c r="G15" s="14"/>
      <c r="I15" s="31"/>
      <c r="J15" s="32"/>
    </row>
    <row r="16" spans="1:10" x14ac:dyDescent="0.3">
      <c r="B16" s="30"/>
      <c r="G16" s="14"/>
      <c r="I16" s="31"/>
      <c r="J16" s="32"/>
    </row>
    <row r="17" spans="2:10" x14ac:dyDescent="0.3">
      <c r="B17" s="30"/>
      <c r="G17" s="14"/>
      <c r="I17" s="31"/>
      <c r="J17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"/>
  <sheetViews>
    <sheetView zoomScale="140" zoomScaleNormal="140" workbookViewId="0">
      <selection activeCell="B6" sqref="B6"/>
    </sheetView>
  </sheetViews>
  <sheetFormatPr defaultRowHeight="14.4" x14ac:dyDescent="0.3"/>
  <cols>
    <col min="1" max="1" width="13.6640625" bestFit="1" customWidth="1"/>
    <col min="3" max="3" width="16.44140625" bestFit="1" customWidth="1"/>
    <col min="4" max="4" width="14.109375" bestFit="1" customWidth="1"/>
    <col min="5" max="5" width="14.33203125" bestFit="1" customWidth="1"/>
    <col min="6" max="6" width="10.88671875" customWidth="1"/>
    <col min="7" max="7" width="15.6640625" style="1" bestFit="1" customWidth="1"/>
    <col min="9" max="9" width="10.44140625" customWidth="1"/>
  </cols>
  <sheetData>
    <row r="1" spans="1:10" ht="28.8" x14ac:dyDescent="0.3">
      <c r="A1" s="5" t="s">
        <v>0</v>
      </c>
      <c r="D1" s="6" t="s">
        <v>4</v>
      </c>
      <c r="E1" s="6" t="s">
        <v>4</v>
      </c>
    </row>
    <row r="2" spans="1:10" x14ac:dyDescent="0.3">
      <c r="A2" s="4" t="s">
        <v>1</v>
      </c>
      <c r="D2" t="s">
        <v>14</v>
      </c>
      <c r="E2" t="s">
        <v>15</v>
      </c>
    </row>
    <row r="3" spans="1:10" x14ac:dyDescent="0.3">
      <c r="C3" t="s">
        <v>11</v>
      </c>
      <c r="D3" s="8">
        <f>SUMIFS($H$7:$H$12,$D$7:$D$12,D2)</f>
        <v>16133.9</v>
      </c>
      <c r="E3" s="8">
        <f>SUMIFS($H$7:$H$12,$D$7:$D$12,E2)</f>
        <v>1012</v>
      </c>
    </row>
    <row r="4" spans="1:10" x14ac:dyDescent="0.3">
      <c r="C4" t="s">
        <v>10</v>
      </c>
      <c r="D4" s="9">
        <f>SUMIFS($F$7:$F$12,$D$7:$D$12,D2)</f>
        <v>11938</v>
      </c>
      <c r="E4" s="9">
        <f>SUMIFS($F$7:$F$12,$D$7:$D$12,E2)</f>
        <v>622</v>
      </c>
    </row>
    <row r="5" spans="1:10" x14ac:dyDescent="0.3">
      <c r="C5" t="s">
        <v>13</v>
      </c>
      <c r="D5" s="10">
        <f>+D3/D4</f>
        <v>1.3514742837996314</v>
      </c>
      <c r="E5" s="10">
        <f>+E3/E4</f>
        <v>1.6270096463022508</v>
      </c>
    </row>
    <row r="6" spans="1:10" ht="57.6" x14ac:dyDescent="0.3">
      <c r="A6" s="11" t="s">
        <v>0</v>
      </c>
      <c r="B6" s="11" t="s">
        <v>2</v>
      </c>
      <c r="C6" s="12" t="s">
        <v>3</v>
      </c>
      <c r="D6" s="12" t="s">
        <v>4</v>
      </c>
      <c r="E6" s="12" t="s">
        <v>5</v>
      </c>
      <c r="F6" s="11" t="s">
        <v>8</v>
      </c>
      <c r="G6" s="13" t="s">
        <v>16</v>
      </c>
      <c r="H6" s="12" t="s">
        <v>6</v>
      </c>
      <c r="I6" s="13" t="s">
        <v>7</v>
      </c>
      <c r="J6" s="13" t="s">
        <v>12</v>
      </c>
    </row>
    <row r="7" spans="1:10" x14ac:dyDescent="0.3">
      <c r="A7" s="2" t="s">
        <v>1</v>
      </c>
      <c r="B7" s="2">
        <v>630253</v>
      </c>
      <c r="C7" s="2" t="str">
        <f>INDEX([1]Master!$B:$B,MATCH(B7,[1]Master!$D:$D,0))</f>
        <v>1-94505-76</v>
      </c>
      <c r="D7" s="2" t="str">
        <f>INDEX([1]Master!$C:$C,MATCH(B7,[1]Master!$D:$D,0))</f>
        <v>MH43F118040D</v>
      </c>
      <c r="E7" s="2" t="str">
        <f>IFERROR(INDEX([2]DMC!$I:$I,MATCH(B7,[2]DMC!$D:$D,0)),"")</f>
        <v/>
      </c>
      <c r="F7" s="2">
        <f>INDEX([3]Main!$L:$L,MATCH(B7,[3]Main!$A:$A,0))</f>
        <v>654</v>
      </c>
      <c r="G7" s="3" t="str">
        <f>LEFT(INDEX([1]Master!$H:$H,MATCH(B7,[1]Master!$D:$D,0)),LEN(INDEX([1]Master!$H:$H,MATCH(B7,[1]Master!$D:$D,0)))-4)</f>
        <v>9FLR2071B</v>
      </c>
      <c r="H7" s="2">
        <f>INDEX([3]Main!$H:$H,MATCH(B7,[3]Main!$A:$A,0))</f>
        <v>894.5</v>
      </c>
      <c r="I7" s="7">
        <f t="shared" ref="I7:I12" si="0">HLOOKUP(D7,$D$2:$E$5,4,0)</f>
        <v>1.3514742837996314</v>
      </c>
      <c r="J7" s="2">
        <f t="shared" ref="J7:J12" si="1">I7*F7</f>
        <v>883.86418160495896</v>
      </c>
    </row>
    <row r="8" spans="1:10" x14ac:dyDescent="0.3">
      <c r="A8" s="2" t="s">
        <v>1</v>
      </c>
      <c r="B8" s="2">
        <v>630252</v>
      </c>
      <c r="C8" s="2" t="str">
        <f>INDEX([1]Master!$B:$B,MATCH(B8,[1]Master!$D:$D,0))</f>
        <v>1-94505-65</v>
      </c>
      <c r="D8" s="2" t="str">
        <f>INDEX([1]Master!$C:$C,MATCH(B8,[1]Master!$D:$D,0))</f>
        <v>MH43F118040D</v>
      </c>
      <c r="E8" s="2">
        <f>IFERROR(INDEX([2]DMC!$I:$I,MATCH(B8,[2]DMC!$D:$D,0)),"")</f>
        <v>3622</v>
      </c>
      <c r="F8" s="2">
        <f>INDEX([3]Main!$L:$L,MATCH(B8,[3]Main!$A:$A,0))</f>
        <v>3628</v>
      </c>
      <c r="G8" s="3" t="str">
        <f>LEFT(INDEX([1]Master!$H:$H,MATCH(B8,[1]Master!$D:$D,0)),LEN(INDEX([1]Master!$H:$H,MATCH(B8,[1]Master!$D:$D,0)))-4)</f>
        <v>WINDSOR WINE</v>
      </c>
      <c r="H8" s="2">
        <f>INDEX([3]Main!$H:$H,MATCH(B8,[3]Main!$A:$A,0))</f>
        <v>4802</v>
      </c>
      <c r="I8" s="7">
        <f t="shared" si="0"/>
        <v>1.3514742837996314</v>
      </c>
      <c r="J8" s="2">
        <f t="shared" si="1"/>
        <v>4903.148701625063</v>
      </c>
    </row>
    <row r="9" spans="1:10" x14ac:dyDescent="0.3">
      <c r="A9" s="2" t="s">
        <v>1</v>
      </c>
      <c r="B9" s="2">
        <v>630102</v>
      </c>
      <c r="C9" s="2" t="str">
        <f>INDEX([1]Master!$B:$B,MATCH(B9,[1]Master!$D:$D,0))</f>
        <v>1-96765-86</v>
      </c>
      <c r="D9" s="2" t="str">
        <f>INDEX([1]Master!$C:$C,MATCH(B9,[1]Master!$D:$D,0))</f>
        <v>MH57F119082D</v>
      </c>
      <c r="E9" s="2">
        <f>IFERROR(INDEX([2]DMC!$I:$I,MATCH(B9,[2]DMC!$D:$D,0)),"")</f>
        <v>311</v>
      </c>
      <c r="F9" s="2">
        <f>INDEX([3]Main!$L:$L,MATCH(B9,[3]Main!$A:$A,0))</f>
        <v>311</v>
      </c>
      <c r="G9" s="3" t="str">
        <f>LEFT(INDEX([1]Master!$H:$H,MATCH(B9,[1]Master!$D:$D,0)),LEN(INDEX([1]Master!$H:$H,MATCH(B9,[1]Master!$D:$D,0)))-4)</f>
        <v>WINDSOR WINE</v>
      </c>
      <c r="H9" s="2">
        <f>INDEX([3]Main!$H:$H,MATCH(B9,[3]Main!$A:$A,0))</f>
        <v>506</v>
      </c>
      <c r="I9" s="7">
        <f t="shared" si="0"/>
        <v>1.6270096463022508</v>
      </c>
      <c r="J9" s="2">
        <f t="shared" si="1"/>
        <v>506</v>
      </c>
    </row>
    <row r="10" spans="1:10" x14ac:dyDescent="0.3">
      <c r="A10" s="2" t="s">
        <v>1</v>
      </c>
      <c r="B10" s="2">
        <v>630251</v>
      </c>
      <c r="C10" s="2" t="str">
        <f>INDEX([1]Master!$B:$B,MATCH(B10,[1]Master!$D:$D,0))</f>
        <v>1-94505-22</v>
      </c>
      <c r="D10" s="2" t="str">
        <f>INDEX([1]Master!$C:$C,MATCH(B10,[1]Master!$D:$D,0))</f>
        <v>MH43F118040D</v>
      </c>
      <c r="E10" s="2">
        <f>IFERROR(INDEX([2]DMC!$I:$I,MATCH(B10,[2]DMC!$D:$D,0)),"")</f>
        <v>3537</v>
      </c>
      <c r="F10" s="2">
        <f>INDEX([3]Main!$L:$L,MATCH(B10,[3]Main!$A:$A,0))</f>
        <v>3543</v>
      </c>
      <c r="G10" s="3" t="str">
        <f>LEFT(INDEX([1]Master!$H:$H,MATCH(B10,[1]Master!$D:$D,0)),LEN(INDEX([1]Master!$H:$H,MATCH(B10,[1]Master!$D:$D,0)))-4)</f>
        <v>9PRT1816</v>
      </c>
      <c r="H10" s="2">
        <f>INDEX([3]Main!$H:$H,MATCH(B10,[3]Main!$A:$A,0))</f>
        <v>4745.3999999999996</v>
      </c>
      <c r="I10" s="7">
        <f t="shared" si="0"/>
        <v>1.3514742837996314</v>
      </c>
      <c r="J10" s="2">
        <f t="shared" si="1"/>
        <v>4788.273387502094</v>
      </c>
    </row>
    <row r="11" spans="1:10" x14ac:dyDescent="0.3">
      <c r="A11" s="2" t="s">
        <v>1</v>
      </c>
      <c r="B11" s="2">
        <v>630101</v>
      </c>
      <c r="C11" s="2" t="str">
        <f>INDEX([1]Master!$B:$B,MATCH(B11,[1]Master!$D:$D,0))</f>
        <v>1-96765-22</v>
      </c>
      <c r="D11" s="2" t="str">
        <f>INDEX([1]Master!$C:$C,MATCH(B11,[1]Master!$D:$D,0))</f>
        <v>MH57F119082D</v>
      </c>
      <c r="E11" s="2">
        <f>IFERROR(INDEX([2]DMC!$I:$I,MATCH(B11,[2]DMC!$D:$D,0)),"")</f>
        <v>311</v>
      </c>
      <c r="F11" s="2">
        <f>INDEX([3]Main!$L:$L,MATCH(B11,[3]Main!$A:$A,0))</f>
        <v>311</v>
      </c>
      <c r="G11" s="3" t="str">
        <f>LEFT(INDEX([1]Master!$H:$H,MATCH(B11,[1]Master!$D:$D,0)),LEN(INDEX([1]Master!$H:$H,MATCH(B11,[1]Master!$D:$D,0)))-4)</f>
        <v>9PRT1816</v>
      </c>
      <c r="H11" s="2">
        <f>INDEX([3]Main!$H:$H,MATCH(B11,[3]Main!$A:$A,0))</f>
        <v>506</v>
      </c>
      <c r="I11" s="7">
        <f t="shared" si="0"/>
        <v>1.6270096463022508</v>
      </c>
      <c r="J11" s="2">
        <f t="shared" si="1"/>
        <v>506</v>
      </c>
    </row>
    <row r="12" spans="1:10" x14ac:dyDescent="0.3">
      <c r="A12" s="2" t="s">
        <v>1</v>
      </c>
      <c r="B12" s="2">
        <v>630250</v>
      </c>
      <c r="C12" s="2" t="str">
        <f>INDEX([1]Master!$B:$B,MATCH(B12,[1]Master!$D:$D,0))</f>
        <v>1-94505-58</v>
      </c>
      <c r="D12" s="2" t="str">
        <f>INDEX([1]Master!$C:$C,MATCH(B12,[1]Master!$D:$D,0))</f>
        <v>MH43F118040D</v>
      </c>
      <c r="E12" s="2">
        <f>IFERROR(INDEX([2]DMC!$I:$I,MATCH(B12,[2]DMC!$D:$D,0)),"")</f>
        <v>4107</v>
      </c>
      <c r="F12" s="2">
        <f>INDEX([3]Main!$L:$L,MATCH(B12,[3]Main!$A:$A,0))</f>
        <v>4113</v>
      </c>
      <c r="G12" s="3" t="str">
        <f>LEFT(INDEX([1]Master!$H:$H,MATCH(B12,[1]Master!$D:$D,0)),LEN(INDEX([1]Master!$H:$H,MATCH(B12,[1]Master!$D:$D,0)))-4)</f>
        <v xml:space="preserve"> 9GEO1665</v>
      </c>
      <c r="H12" s="2">
        <f>INDEX([3]Main!$H:$H,MATCH(B12,[3]Main!$A:$A,0))</f>
        <v>5692</v>
      </c>
      <c r="I12" s="7">
        <f t="shared" si="0"/>
        <v>1.3514742837996314</v>
      </c>
      <c r="J12" s="2">
        <f t="shared" si="1"/>
        <v>5558.6137292678841</v>
      </c>
    </row>
    <row r="13" spans="1:10" x14ac:dyDescent="0.3">
      <c r="G13" s="14"/>
      <c r="H13">
        <f>SUBTOTAL(9,H7:H12)</f>
        <v>17145.900000000001</v>
      </c>
      <c r="J13">
        <f>SUBTOTAL(9,J7:J12)</f>
        <v>17145.899999999998</v>
      </c>
    </row>
    <row r="14" spans="1:10" x14ac:dyDescent="0.3">
      <c r="G14" s="14"/>
    </row>
    <row r="15" spans="1:10" x14ac:dyDescent="0.3">
      <c r="G15" s="14"/>
    </row>
  </sheetData>
  <autoFilter ref="A6:H12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Fabric_Order</vt:lpstr>
      <vt:lpstr>Main</vt:lpstr>
      <vt:lpstr>COMB</vt:lpstr>
      <vt:lpstr>Data</vt:lpstr>
      <vt:lpstr>Lining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 Doan</dc:creator>
  <cp:lastModifiedBy>Thanh Doan</cp:lastModifiedBy>
  <dcterms:created xsi:type="dcterms:W3CDTF">2019-07-04T07:24:25Z</dcterms:created>
  <dcterms:modified xsi:type="dcterms:W3CDTF">2019-07-08T02:15:15Z</dcterms:modified>
</cp:coreProperties>
</file>