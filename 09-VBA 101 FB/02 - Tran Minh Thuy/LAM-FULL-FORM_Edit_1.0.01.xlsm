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00 - BIM\07 - EXCEL\09 - VBA101 FB\02 - Tran Minh Thuy\"/>
    </mc:Choice>
  </mc:AlternateContent>
  <bookViews>
    <workbookView xWindow="480" yWindow="360" windowWidth="22755" windowHeight="9510" activeTab="3"/>
  </bookViews>
  <sheets>
    <sheet name="Baocao" sheetId="3" r:id="rId1"/>
    <sheet name="DaTa" sheetId="1" r:id="rId2"/>
    <sheet name="DuLieuThamNuoiNgay" sheetId="2" r:id="rId3"/>
    <sheet name="DangKyThamGapThuongXuyen" sheetId="4" r:id="rId4"/>
  </sheets>
  <externalReferences>
    <externalReference r:id="rId5"/>
  </externalReferences>
  <definedNames>
    <definedName name="_xlnm._FilterDatabase" localSheetId="0" hidden="1">Baocao!$A$13:$D$13</definedName>
    <definedName name="_xlnm._FilterDatabase" localSheetId="1" hidden="1">DaTa!$S$2:$AH$589</definedName>
    <definedName name="CBGQ">Baocao!$B$5:$B$8</definedName>
    <definedName name="DAC_BIET">Baocao!$A$4:$A$7</definedName>
    <definedName name="MOIQUANHE">Baocao!$F$1:$F$16</definedName>
    <definedName name="NGAY_THAM">Baocao!$C$96:$C$148</definedName>
  </definedNames>
  <calcPr calcId="171027"/>
</workbook>
</file>

<file path=xl/calcChain.xml><?xml version="1.0" encoding="utf-8"?>
<calcChain xmlns="http://schemas.openxmlformats.org/spreadsheetml/2006/main">
  <c r="A336" i="4" l="1"/>
  <c r="A335" i="4"/>
  <c r="A334" i="4"/>
  <c r="A333" i="4"/>
  <c r="A332" i="4"/>
  <c r="A331" i="4"/>
  <c r="A330" i="4"/>
  <c r="K5" i="2" l="1"/>
  <c r="J5" i="2"/>
  <c r="I5" i="2"/>
  <c r="H5" i="2"/>
  <c r="G5" i="2"/>
  <c r="A329" i="4" l="1"/>
  <c r="A328" i="4" l="1"/>
  <c r="A327" i="4"/>
  <c r="A326" i="4"/>
  <c r="A9" i="4" l="1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2" i="4"/>
  <c r="A323" i="4"/>
  <c r="A324" i="4"/>
  <c r="A5" i="4" l="1"/>
  <c r="A6" i="4" l="1"/>
  <c r="A7" i="4"/>
  <c r="A8" i="4" l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104" i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4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1" i="1"/>
  <c r="AI362" i="1"/>
  <c r="AI363" i="1"/>
  <c r="AI364" i="1"/>
  <c r="AI365" i="1"/>
  <c r="AI366" i="1"/>
  <c r="AI367" i="1"/>
  <c r="AI368" i="1"/>
  <c r="AI369" i="1"/>
  <c r="AI370" i="1"/>
  <c r="AI371" i="1"/>
  <c r="AI372" i="1"/>
  <c r="AI373" i="1"/>
  <c r="AI374" i="1"/>
  <c r="AI375" i="1"/>
  <c r="AI376" i="1"/>
  <c r="AI377" i="1"/>
  <c r="AI378" i="1"/>
  <c r="AI379" i="1"/>
  <c r="AI380" i="1"/>
  <c r="AI381" i="1"/>
  <c r="AI382" i="1"/>
  <c r="AI383" i="1"/>
  <c r="AI384" i="1"/>
  <c r="AI385" i="1"/>
  <c r="AI386" i="1"/>
  <c r="AI387" i="1"/>
  <c r="AI388" i="1"/>
  <c r="AI389" i="1"/>
  <c r="AI390" i="1"/>
  <c r="AI391" i="1"/>
  <c r="AI392" i="1"/>
  <c r="AI393" i="1"/>
  <c r="AI394" i="1"/>
  <c r="AI395" i="1"/>
  <c r="AI396" i="1"/>
  <c r="AI397" i="1"/>
  <c r="AI398" i="1"/>
  <c r="AI399" i="1"/>
  <c r="AI400" i="1"/>
  <c r="AI401" i="1"/>
  <c r="AI402" i="1"/>
  <c r="AI403" i="1"/>
  <c r="AI404" i="1"/>
  <c r="AI405" i="1"/>
  <c r="AI406" i="1"/>
  <c r="AI407" i="1"/>
  <c r="AI408" i="1"/>
  <c r="AI409" i="1"/>
  <c r="AI410" i="1"/>
  <c r="AI411" i="1"/>
  <c r="AI412" i="1"/>
  <c r="AI413" i="1"/>
  <c r="AI414" i="1"/>
  <c r="AI415" i="1"/>
  <c r="AI416" i="1"/>
  <c r="AI417" i="1"/>
  <c r="AI418" i="1"/>
  <c r="AI419" i="1"/>
  <c r="AI420" i="1"/>
  <c r="AI421" i="1"/>
  <c r="AI422" i="1"/>
  <c r="AI423" i="1"/>
  <c r="AI424" i="1"/>
  <c r="AI425" i="1"/>
  <c r="AI426" i="1"/>
  <c r="AI427" i="1"/>
  <c r="AI428" i="1"/>
  <c r="AI429" i="1"/>
  <c r="AI430" i="1"/>
  <c r="AI431" i="1"/>
  <c r="AI432" i="1"/>
  <c r="AI433" i="1"/>
  <c r="AI434" i="1"/>
  <c r="AI435" i="1"/>
  <c r="AI436" i="1"/>
  <c r="AI437" i="1"/>
  <c r="AI438" i="1"/>
  <c r="AI439" i="1"/>
  <c r="AI440" i="1"/>
  <c r="AI441" i="1"/>
  <c r="AI442" i="1"/>
  <c r="AI443" i="1"/>
  <c r="AI444" i="1"/>
  <c r="AI445" i="1"/>
  <c r="AI446" i="1"/>
  <c r="AI447" i="1"/>
  <c r="AI448" i="1"/>
  <c r="AI449" i="1"/>
  <c r="AI450" i="1"/>
  <c r="AI451" i="1"/>
  <c r="AI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95" i="1"/>
  <c r="AI496" i="1"/>
  <c r="AI497" i="1"/>
  <c r="AI498" i="1"/>
  <c r="AI499" i="1"/>
  <c r="AI500" i="1"/>
  <c r="AI501" i="1"/>
  <c r="AI502" i="1"/>
  <c r="AI503" i="1"/>
  <c r="AI504" i="1"/>
  <c r="AI505" i="1"/>
  <c r="AI506" i="1"/>
  <c r="AI507" i="1"/>
  <c r="AI508" i="1"/>
  <c r="AI509" i="1"/>
  <c r="AI510" i="1"/>
  <c r="AI511" i="1"/>
  <c r="AI512" i="1"/>
  <c r="AI513" i="1"/>
  <c r="AI514" i="1"/>
  <c r="AI515" i="1"/>
  <c r="AI516" i="1"/>
  <c r="AI517" i="1"/>
  <c r="AI518" i="1"/>
  <c r="AI519" i="1"/>
  <c r="AI520" i="1"/>
  <c r="AI521" i="1"/>
  <c r="AI522" i="1"/>
  <c r="AI523" i="1"/>
  <c r="AI524" i="1"/>
  <c r="AI525" i="1"/>
  <c r="AI526" i="1"/>
  <c r="AI527" i="1"/>
  <c r="AI528" i="1"/>
  <c r="AI529" i="1"/>
  <c r="AI530" i="1"/>
  <c r="AI531" i="1"/>
  <c r="AI532" i="1"/>
  <c r="AI533" i="1"/>
  <c r="AI534" i="1"/>
  <c r="AI535" i="1"/>
  <c r="AI536" i="1"/>
  <c r="AI537" i="1"/>
  <c r="AI538" i="1"/>
  <c r="AI539" i="1"/>
  <c r="AI540" i="1"/>
  <c r="AI541" i="1"/>
  <c r="AI542" i="1"/>
  <c r="AI543" i="1"/>
  <c r="AI544" i="1"/>
  <c r="AI545" i="1"/>
  <c r="AI546" i="1"/>
  <c r="AI547" i="1"/>
  <c r="AI548" i="1"/>
  <c r="AI549" i="1"/>
  <c r="AI550" i="1"/>
  <c r="AI551" i="1"/>
  <c r="AI552" i="1"/>
  <c r="AI553" i="1"/>
  <c r="AI554" i="1"/>
  <c r="AI555" i="1"/>
  <c r="AI556" i="1"/>
  <c r="AI557" i="1"/>
  <c r="AI558" i="1"/>
  <c r="AI559" i="1"/>
  <c r="AI560" i="1"/>
  <c r="AI561" i="1"/>
  <c r="AI562" i="1"/>
  <c r="AI563" i="1"/>
  <c r="AI564" i="1"/>
  <c r="AI565" i="1"/>
  <c r="AI566" i="1"/>
  <c r="AI567" i="1"/>
  <c r="AI568" i="1"/>
  <c r="AI569" i="1"/>
  <c r="AI570" i="1"/>
  <c r="AI571" i="1"/>
  <c r="AI572" i="1"/>
  <c r="AI573" i="1"/>
  <c r="AI574" i="1"/>
  <c r="AI575" i="1"/>
  <c r="AI576" i="1"/>
  <c r="AI577" i="1"/>
  <c r="AI578" i="1"/>
  <c r="AI579" i="1"/>
  <c r="AI580" i="1"/>
  <c r="AI581" i="1"/>
  <c r="AI582" i="1"/>
  <c r="AI583" i="1"/>
  <c r="AI584" i="1"/>
  <c r="AI585" i="1"/>
  <c r="AI586" i="1"/>
  <c r="AI587" i="1"/>
  <c r="AI588" i="1"/>
  <c r="AI589" i="1"/>
  <c r="AI3" i="1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23" i="3"/>
  <c r="A297" i="4" l="1"/>
  <c r="C162" i="3"/>
  <c r="E162" i="3" s="1"/>
  <c r="C161" i="3"/>
  <c r="E161" i="3" s="1"/>
  <c r="C160" i="3"/>
  <c r="E160" i="3" s="1"/>
  <c r="C159" i="3"/>
  <c r="E159" i="3" s="1"/>
  <c r="C158" i="3"/>
  <c r="E158" i="3" s="1"/>
  <c r="C157" i="3"/>
  <c r="E157" i="3" s="1"/>
  <c r="C156" i="3"/>
  <c r="E156" i="3" s="1"/>
  <c r="C155" i="3"/>
  <c r="E155" i="3" s="1"/>
  <c r="C154" i="3"/>
  <c r="E154" i="3" s="1"/>
  <c r="C153" i="3"/>
  <c r="E153" i="3" s="1"/>
  <c r="C152" i="3"/>
  <c r="E152" i="3" s="1"/>
  <c r="C151" i="3"/>
  <c r="E151" i="3" s="1"/>
  <c r="C150" i="3"/>
  <c r="E150" i="3" s="1"/>
  <c r="C149" i="3"/>
  <c r="E149" i="3" s="1"/>
  <c r="E148" i="3"/>
  <c r="B148" i="3"/>
  <c r="A148" i="3"/>
  <c r="E147" i="3"/>
  <c r="B147" i="3"/>
  <c r="A147" i="3"/>
  <c r="E146" i="3"/>
  <c r="B146" i="3"/>
  <c r="A146" i="3"/>
  <c r="E145" i="3"/>
  <c r="B145" i="3"/>
  <c r="A145" i="3"/>
  <c r="E144" i="3"/>
  <c r="B144" i="3"/>
  <c r="A144" i="3"/>
  <c r="E143" i="3"/>
  <c r="B143" i="3"/>
  <c r="A143" i="3"/>
  <c r="E142" i="3"/>
  <c r="B142" i="3"/>
  <c r="A142" i="3"/>
  <c r="E141" i="3"/>
  <c r="B141" i="3"/>
  <c r="A141" i="3"/>
  <c r="E140" i="3"/>
  <c r="B140" i="3"/>
  <c r="A140" i="3"/>
  <c r="E139" i="3"/>
  <c r="B139" i="3"/>
  <c r="A139" i="3"/>
  <c r="E138" i="3"/>
  <c r="B138" i="3"/>
  <c r="A138" i="3"/>
  <c r="E137" i="3"/>
  <c r="B137" i="3"/>
  <c r="A137" i="3"/>
  <c r="E136" i="3"/>
  <c r="B136" i="3"/>
  <c r="A136" i="3"/>
  <c r="E135" i="3"/>
  <c r="B135" i="3"/>
  <c r="A135" i="3"/>
  <c r="E134" i="3"/>
  <c r="B134" i="3"/>
  <c r="A134" i="3"/>
  <c r="E133" i="3"/>
  <c r="B133" i="3"/>
  <c r="A133" i="3"/>
  <c r="E132" i="3"/>
  <c r="B132" i="3"/>
  <c r="A132" i="3"/>
  <c r="E131" i="3"/>
  <c r="B131" i="3"/>
  <c r="A131" i="3"/>
  <c r="E130" i="3"/>
  <c r="B130" i="3"/>
  <c r="A130" i="3"/>
  <c r="E129" i="3"/>
  <c r="B129" i="3"/>
  <c r="A129" i="3"/>
  <c r="E128" i="3"/>
  <c r="B128" i="3"/>
  <c r="A128" i="3"/>
  <c r="E127" i="3"/>
  <c r="B127" i="3"/>
  <c r="A127" i="3"/>
  <c r="E126" i="3"/>
  <c r="B126" i="3"/>
  <c r="A126" i="3"/>
  <c r="E125" i="3"/>
  <c r="B125" i="3"/>
  <c r="A125" i="3"/>
  <c r="E124" i="3"/>
  <c r="B124" i="3"/>
  <c r="A124" i="3"/>
  <c r="E123" i="3"/>
  <c r="B123" i="3"/>
  <c r="A123" i="3"/>
  <c r="E122" i="3"/>
  <c r="B122" i="3"/>
  <c r="A122" i="3"/>
  <c r="E121" i="3"/>
  <c r="B121" i="3"/>
  <c r="A121" i="3"/>
  <c r="E120" i="3"/>
  <c r="B120" i="3"/>
  <c r="A120" i="3"/>
  <c r="E119" i="3"/>
  <c r="B119" i="3"/>
  <c r="A119" i="3"/>
  <c r="E118" i="3"/>
  <c r="B118" i="3"/>
  <c r="A118" i="3"/>
  <c r="E117" i="3"/>
  <c r="B117" i="3"/>
  <c r="A117" i="3"/>
  <c r="E116" i="3"/>
  <c r="B116" i="3"/>
  <c r="A116" i="3"/>
  <c r="E115" i="3"/>
  <c r="B115" i="3"/>
  <c r="A115" i="3"/>
  <c r="E114" i="3"/>
  <c r="B114" i="3"/>
  <c r="A114" i="3"/>
  <c r="E113" i="3"/>
  <c r="B113" i="3"/>
  <c r="A113" i="3"/>
  <c r="E112" i="3"/>
  <c r="B112" i="3"/>
  <c r="A112" i="3"/>
  <c r="E111" i="3"/>
  <c r="B111" i="3"/>
  <c r="A111" i="3"/>
  <c r="E110" i="3"/>
  <c r="B110" i="3"/>
  <c r="A110" i="3"/>
  <c r="E109" i="3"/>
  <c r="B109" i="3"/>
  <c r="A109" i="3"/>
  <c r="E108" i="3"/>
  <c r="B108" i="3"/>
  <c r="A108" i="3"/>
  <c r="E107" i="3"/>
  <c r="B107" i="3"/>
  <c r="A107" i="3"/>
  <c r="E106" i="3"/>
  <c r="B106" i="3"/>
  <c r="A106" i="3"/>
  <c r="E105" i="3"/>
  <c r="B105" i="3"/>
  <c r="A105" i="3"/>
  <c r="E104" i="3"/>
  <c r="B104" i="3"/>
  <c r="A104" i="3"/>
  <c r="E103" i="3"/>
  <c r="B103" i="3"/>
  <c r="A103" i="3"/>
  <c r="E102" i="3"/>
  <c r="B102" i="3"/>
  <c r="A102" i="3"/>
  <c r="E101" i="3"/>
  <c r="B101" i="3"/>
  <c r="A101" i="3"/>
  <c r="E100" i="3"/>
  <c r="B100" i="3"/>
  <c r="A100" i="3"/>
  <c r="E99" i="3"/>
  <c r="B99" i="3"/>
  <c r="A99" i="3"/>
  <c r="E98" i="3"/>
  <c r="B98" i="3"/>
  <c r="A98" i="3"/>
  <c r="E97" i="3"/>
  <c r="B97" i="3"/>
  <c r="A97" i="3"/>
  <c r="E96" i="3"/>
  <c r="B96" i="3"/>
  <c r="A96" i="3"/>
  <c r="E95" i="3"/>
  <c r="B95" i="3"/>
  <c r="A95" i="3"/>
  <c r="E94" i="3"/>
  <c r="B94" i="3"/>
  <c r="A94" i="3"/>
  <c r="E93" i="3"/>
  <c r="B93" i="3"/>
  <c r="A93" i="3"/>
  <c r="E92" i="3"/>
  <c r="B92" i="3"/>
  <c r="A92" i="3"/>
  <c r="E91" i="3"/>
  <c r="B91" i="3"/>
  <c r="A91" i="3"/>
  <c r="E90" i="3"/>
  <c r="B90" i="3"/>
  <c r="A90" i="3"/>
  <c r="E89" i="3"/>
  <c r="B89" i="3"/>
  <c r="A89" i="3"/>
  <c r="E88" i="3"/>
  <c r="B88" i="3"/>
  <c r="A88" i="3"/>
  <c r="E87" i="3"/>
  <c r="B87" i="3"/>
  <c r="A87" i="3"/>
  <c r="E86" i="3"/>
  <c r="B86" i="3"/>
  <c r="A86" i="3"/>
  <c r="E85" i="3"/>
  <c r="B85" i="3"/>
  <c r="A85" i="3"/>
  <c r="E84" i="3"/>
  <c r="B84" i="3"/>
  <c r="A84" i="3"/>
  <c r="E83" i="3"/>
  <c r="B83" i="3"/>
  <c r="A83" i="3"/>
  <c r="E82" i="3"/>
  <c r="B82" i="3"/>
  <c r="A82" i="3"/>
  <c r="E81" i="3"/>
  <c r="B81" i="3"/>
  <c r="A81" i="3"/>
  <c r="E80" i="3"/>
  <c r="B80" i="3"/>
  <c r="A80" i="3"/>
  <c r="E79" i="3"/>
  <c r="B79" i="3"/>
  <c r="A79" i="3"/>
  <c r="E78" i="3"/>
  <c r="B78" i="3"/>
  <c r="A78" i="3"/>
  <c r="E77" i="3"/>
  <c r="B77" i="3"/>
  <c r="A77" i="3"/>
  <c r="E76" i="3"/>
  <c r="B76" i="3"/>
  <c r="A76" i="3"/>
  <c r="E75" i="3"/>
  <c r="B75" i="3"/>
  <c r="A75" i="3"/>
  <c r="E74" i="3"/>
  <c r="B74" i="3"/>
  <c r="A74" i="3"/>
  <c r="E73" i="3"/>
  <c r="B73" i="3"/>
  <c r="A73" i="3"/>
  <c r="E72" i="3"/>
  <c r="B72" i="3"/>
  <c r="A72" i="3"/>
  <c r="E71" i="3"/>
  <c r="B71" i="3"/>
  <c r="A71" i="3"/>
  <c r="E70" i="3"/>
  <c r="B70" i="3"/>
  <c r="A70" i="3"/>
  <c r="E69" i="3"/>
  <c r="B69" i="3"/>
  <c r="A69" i="3"/>
  <c r="E68" i="3"/>
  <c r="B68" i="3"/>
  <c r="A68" i="3"/>
  <c r="E67" i="3"/>
  <c r="B67" i="3"/>
  <c r="A67" i="3"/>
  <c r="E66" i="3"/>
  <c r="B66" i="3"/>
  <c r="A66" i="3"/>
  <c r="E65" i="3"/>
  <c r="B65" i="3"/>
  <c r="A65" i="3"/>
  <c r="E64" i="3"/>
  <c r="B64" i="3"/>
  <c r="A64" i="3"/>
  <c r="E63" i="3"/>
  <c r="B63" i="3"/>
  <c r="A63" i="3"/>
  <c r="E62" i="3"/>
  <c r="B62" i="3"/>
  <c r="A62" i="3"/>
  <c r="E61" i="3"/>
  <c r="B61" i="3"/>
  <c r="A61" i="3"/>
  <c r="E60" i="3"/>
  <c r="B60" i="3"/>
  <c r="A60" i="3"/>
  <c r="E59" i="3"/>
  <c r="B59" i="3"/>
  <c r="A59" i="3"/>
  <c r="E58" i="3"/>
  <c r="B58" i="3"/>
  <c r="A58" i="3"/>
  <c r="E57" i="3"/>
  <c r="B57" i="3"/>
  <c r="A57" i="3"/>
  <c r="E56" i="3"/>
  <c r="B56" i="3"/>
  <c r="A56" i="3"/>
  <c r="E55" i="3"/>
  <c r="B55" i="3"/>
  <c r="A55" i="3"/>
  <c r="E54" i="3"/>
  <c r="B54" i="3"/>
  <c r="A54" i="3"/>
  <c r="E53" i="3"/>
  <c r="B53" i="3"/>
  <c r="A53" i="3"/>
  <c r="E52" i="3"/>
  <c r="B52" i="3"/>
  <c r="A52" i="3"/>
  <c r="E51" i="3"/>
  <c r="B51" i="3"/>
  <c r="A51" i="3"/>
  <c r="E50" i="3"/>
  <c r="B50" i="3"/>
  <c r="A50" i="3"/>
  <c r="E49" i="3"/>
  <c r="B49" i="3"/>
  <c r="A49" i="3"/>
  <c r="E48" i="3"/>
  <c r="B48" i="3"/>
  <c r="A48" i="3"/>
  <c r="E47" i="3"/>
  <c r="B47" i="3"/>
  <c r="A47" i="3"/>
  <c r="E46" i="3"/>
  <c r="B46" i="3"/>
  <c r="A46" i="3"/>
  <c r="E45" i="3"/>
  <c r="B45" i="3"/>
  <c r="A45" i="3"/>
  <c r="E44" i="3"/>
  <c r="B44" i="3"/>
  <c r="A44" i="3"/>
  <c r="E43" i="3"/>
  <c r="B43" i="3"/>
  <c r="A43" i="3"/>
  <c r="E42" i="3"/>
  <c r="B42" i="3"/>
  <c r="A42" i="3"/>
  <c r="E41" i="3"/>
  <c r="B41" i="3"/>
  <c r="A41" i="3"/>
  <c r="E40" i="3"/>
  <c r="B40" i="3"/>
  <c r="A40" i="3"/>
  <c r="E39" i="3"/>
  <c r="B39" i="3"/>
  <c r="A39" i="3"/>
  <c r="E38" i="3"/>
  <c r="B38" i="3"/>
  <c r="A38" i="3"/>
  <c r="E37" i="3"/>
  <c r="B37" i="3"/>
  <c r="A37" i="3"/>
  <c r="E36" i="3"/>
  <c r="B36" i="3"/>
  <c r="A36" i="3"/>
  <c r="E35" i="3"/>
  <c r="B35" i="3"/>
  <c r="A35" i="3"/>
  <c r="E34" i="3"/>
  <c r="B34" i="3"/>
  <c r="A34" i="3"/>
  <c r="E33" i="3"/>
  <c r="B33" i="3"/>
  <c r="A33" i="3"/>
  <c r="E32" i="3"/>
  <c r="B32" i="3"/>
  <c r="A32" i="3"/>
  <c r="E31" i="3"/>
  <c r="B31" i="3"/>
  <c r="A31" i="3"/>
  <c r="E30" i="3"/>
  <c r="B30" i="3"/>
  <c r="A30" i="3"/>
  <c r="E29" i="3"/>
  <c r="B29" i="3"/>
  <c r="A29" i="3"/>
  <c r="E28" i="3"/>
  <c r="B28" i="3"/>
  <c r="A28" i="3"/>
  <c r="E27" i="3"/>
  <c r="B27" i="3"/>
  <c r="A27" i="3"/>
  <c r="E26" i="3"/>
  <c r="B26" i="3"/>
  <c r="A26" i="3"/>
  <c r="E25" i="3"/>
  <c r="B25" i="3"/>
  <c r="A25" i="3"/>
  <c r="E24" i="3"/>
  <c r="B24" i="3"/>
  <c r="A24" i="3"/>
  <c r="E23" i="3"/>
  <c r="B23" i="3"/>
  <c r="A23" i="3"/>
  <c r="E22" i="3"/>
  <c r="B22" i="3"/>
  <c r="A22" i="3"/>
  <c r="E21" i="3"/>
  <c r="B21" i="3"/>
  <c r="A21" i="3"/>
  <c r="E20" i="3"/>
  <c r="B20" i="3"/>
  <c r="A20" i="3"/>
  <c r="E19" i="3"/>
  <c r="B19" i="3"/>
  <c r="A19" i="3"/>
  <c r="E18" i="3"/>
  <c r="B18" i="3"/>
  <c r="A18" i="3"/>
  <c r="E17" i="3"/>
  <c r="B17" i="3"/>
  <c r="A17" i="3"/>
  <c r="E16" i="3"/>
  <c r="B16" i="3"/>
  <c r="A16" i="3"/>
  <c r="J7" i="3" s="1"/>
  <c r="E15" i="3"/>
  <c r="B15" i="3"/>
  <c r="A15" i="3"/>
  <c r="E14" i="3"/>
  <c r="B14" i="3"/>
  <c r="A14" i="3"/>
  <c r="K8" i="3" s="1"/>
  <c r="I10" i="3"/>
  <c r="A13" i="2"/>
  <c r="Q8" i="2"/>
  <c r="N5" i="2"/>
  <c r="G6" i="2"/>
  <c r="A2" i="2"/>
  <c r="K9" i="2" s="1"/>
  <c r="A12" i="2" s="1"/>
  <c r="A1" i="2"/>
  <c r="R1" i="1"/>
  <c r="I1" i="1" s="1"/>
  <c r="I6" i="3" l="1"/>
  <c r="K12" i="3"/>
  <c r="J11" i="3"/>
  <c r="A325" i="4"/>
  <c r="A320" i="4"/>
  <c r="A321" i="4" s="1"/>
  <c r="K16" i="3"/>
  <c r="I20" i="3"/>
  <c r="J14" i="3"/>
  <c r="J16" i="3"/>
  <c r="I5" i="3"/>
  <c r="K7" i="3"/>
  <c r="I9" i="3"/>
  <c r="K11" i="3"/>
  <c r="I13" i="3"/>
  <c r="K14" i="3"/>
  <c r="I15" i="3"/>
  <c r="J5" i="3"/>
  <c r="K6" i="3"/>
  <c r="I8" i="3"/>
  <c r="J9" i="3"/>
  <c r="K10" i="3"/>
  <c r="I12" i="3"/>
  <c r="J13" i="3"/>
  <c r="J15" i="3"/>
  <c r="K5" i="3"/>
  <c r="I7" i="3"/>
  <c r="J8" i="3"/>
  <c r="K9" i="3"/>
  <c r="I11" i="3"/>
  <c r="J12" i="3"/>
  <c r="K13" i="3"/>
  <c r="I14" i="3"/>
  <c r="K15" i="3"/>
  <c r="I16" i="3"/>
  <c r="J6" i="3"/>
  <c r="J10" i="3"/>
  <c r="M5" i="2"/>
  <c r="R588" i="1"/>
  <c r="R584" i="1"/>
  <c r="R580" i="1"/>
  <c r="R576" i="1"/>
  <c r="R572" i="1"/>
  <c r="R568" i="1"/>
  <c r="R564" i="1"/>
  <c r="R560" i="1"/>
  <c r="R556" i="1"/>
  <c r="R552" i="1"/>
  <c r="R548" i="1"/>
  <c r="R544" i="1"/>
  <c r="R540" i="1"/>
  <c r="R536" i="1"/>
  <c r="R532" i="1"/>
  <c r="R528" i="1"/>
  <c r="R524" i="1"/>
  <c r="R520" i="1"/>
  <c r="R512" i="1"/>
  <c r="R508" i="1"/>
  <c r="R504" i="1"/>
  <c r="R500" i="1"/>
  <c r="R496" i="1"/>
  <c r="R492" i="1"/>
  <c r="R484" i="1"/>
  <c r="R480" i="1"/>
  <c r="R476" i="1"/>
  <c r="R472" i="1"/>
  <c r="R464" i="1"/>
  <c r="R460" i="1"/>
  <c r="R456" i="1"/>
  <c r="R452" i="1"/>
  <c r="R448" i="1"/>
  <c r="R444" i="1"/>
  <c r="R436" i="1"/>
  <c r="R432" i="1"/>
  <c r="R428" i="1"/>
  <c r="R424" i="1"/>
  <c r="R420" i="1"/>
  <c r="R408" i="1"/>
  <c r="R404" i="1"/>
  <c r="R400" i="1"/>
  <c r="R392" i="1"/>
  <c r="R388" i="1"/>
  <c r="R384" i="1"/>
  <c r="R372" i="1"/>
  <c r="R364" i="1"/>
  <c r="R360" i="1"/>
  <c r="R356" i="1"/>
  <c r="R352" i="1"/>
  <c r="R348" i="1"/>
  <c r="R344" i="1"/>
  <c r="R340" i="1"/>
  <c r="R336" i="1"/>
  <c r="R332" i="1"/>
  <c r="R328" i="1"/>
  <c r="R324" i="1"/>
  <c r="R320" i="1"/>
  <c r="R316" i="1"/>
  <c r="R312" i="1"/>
  <c r="R308" i="1"/>
  <c r="R304" i="1"/>
  <c r="R300" i="1"/>
  <c r="R296" i="1"/>
  <c r="R292" i="1"/>
  <c r="R288" i="1"/>
  <c r="R284" i="1"/>
  <c r="R280" i="1"/>
  <c r="R276" i="1"/>
  <c r="R268" i="1"/>
  <c r="R264" i="1"/>
  <c r="R260" i="1"/>
  <c r="R256" i="1"/>
  <c r="R252" i="1"/>
  <c r="R587" i="1"/>
  <c r="R583" i="1"/>
  <c r="R579" i="1"/>
  <c r="R575" i="1"/>
  <c r="R571" i="1"/>
  <c r="R567" i="1"/>
  <c r="R563" i="1"/>
  <c r="R555" i="1"/>
  <c r="R551" i="1"/>
  <c r="R547" i="1"/>
  <c r="R543" i="1"/>
  <c r="R539" i="1"/>
  <c r="R535" i="1"/>
  <c r="R531" i="1"/>
  <c r="R527" i="1"/>
  <c r="R523" i="1"/>
  <c r="R519" i="1"/>
  <c r="R515" i="1"/>
  <c r="R511" i="1"/>
  <c r="R507" i="1"/>
  <c r="R503" i="1"/>
  <c r="R499" i="1"/>
  <c r="R495" i="1"/>
  <c r="R491" i="1"/>
  <c r="R483" i="1"/>
  <c r="R479" i="1"/>
  <c r="R471" i="1"/>
  <c r="R467" i="1"/>
  <c r="R463" i="1"/>
  <c r="R459" i="1"/>
  <c r="R455" i="1"/>
  <c r="R451" i="1"/>
  <c r="R447" i="1"/>
  <c r="R443" i="1"/>
  <c r="R439" i="1"/>
  <c r="R435" i="1"/>
  <c r="R427" i="1"/>
  <c r="R423" i="1"/>
  <c r="R419" i="1"/>
  <c r="R415" i="1"/>
  <c r="R411" i="1"/>
  <c r="R407" i="1"/>
  <c r="R403" i="1"/>
  <c r="R399" i="1"/>
  <c r="R395" i="1"/>
  <c r="R391" i="1"/>
  <c r="R387" i="1"/>
  <c r="R383" i="1"/>
  <c r="R379" i="1"/>
  <c r="R375" i="1"/>
  <c r="R371" i="1"/>
  <c r="R367" i="1"/>
  <c r="R363" i="1"/>
  <c r="R359" i="1"/>
  <c r="R351" i="1"/>
  <c r="R347" i="1"/>
  <c r="R343" i="1"/>
  <c r="R339" i="1"/>
  <c r="R335" i="1"/>
  <c r="R331" i="1"/>
  <c r="R327" i="1"/>
  <c r="R323" i="1"/>
  <c r="R319" i="1"/>
  <c r="R311" i="1"/>
  <c r="R303" i="1"/>
  <c r="R299" i="1"/>
  <c r="R295" i="1"/>
  <c r="R291" i="1"/>
  <c r="R287" i="1"/>
  <c r="R283" i="1"/>
  <c r="R279" i="1"/>
  <c r="R275" i="1"/>
  <c r="R271" i="1"/>
  <c r="R267" i="1"/>
  <c r="R263" i="1"/>
  <c r="R259" i="1"/>
  <c r="R255" i="1"/>
  <c r="R251" i="1"/>
  <c r="R586" i="1"/>
  <c r="R582" i="1"/>
  <c r="R578" i="1"/>
  <c r="R574" i="1"/>
  <c r="R570" i="1"/>
  <c r="R562" i="1"/>
  <c r="R558" i="1"/>
  <c r="R554" i="1"/>
  <c r="R550" i="1"/>
  <c r="R546" i="1"/>
  <c r="R542" i="1"/>
  <c r="R538" i="1"/>
  <c r="R534" i="1"/>
  <c r="R530" i="1"/>
  <c r="R526" i="1"/>
  <c r="R522" i="1"/>
  <c r="R518" i="1"/>
  <c r="R514" i="1"/>
  <c r="R510" i="1"/>
  <c r="R506" i="1"/>
  <c r="R502" i="1"/>
  <c r="R498" i="1"/>
  <c r="R494" i="1"/>
  <c r="R490" i="1"/>
  <c r="R486" i="1"/>
  <c r="R482" i="1"/>
  <c r="R478" i="1"/>
  <c r="R474" i="1"/>
  <c r="R470" i="1"/>
  <c r="R458" i="1"/>
  <c r="R454" i="1"/>
  <c r="R450" i="1"/>
  <c r="R446" i="1"/>
  <c r="R442" i="1"/>
  <c r="R438" i="1"/>
  <c r="R434" i="1"/>
  <c r="R430" i="1"/>
  <c r="R426" i="1"/>
  <c r="R422" i="1"/>
  <c r="R418" i="1"/>
  <c r="R414" i="1"/>
  <c r="R410" i="1"/>
  <c r="R406" i="1"/>
  <c r="R402" i="1"/>
  <c r="R398" i="1"/>
  <c r="R394" i="1"/>
  <c r="R390" i="1"/>
  <c r="R386" i="1"/>
  <c r="R382" i="1"/>
  <c r="R378" i="1"/>
  <c r="R374" i="1"/>
  <c r="R370" i="1"/>
  <c r="R366" i="1"/>
  <c r="R362" i="1"/>
  <c r="R358" i="1"/>
  <c r="R354" i="1"/>
  <c r="R350" i="1"/>
  <c r="R346" i="1"/>
  <c r="R342" i="1"/>
  <c r="R334" i="1"/>
  <c r="R330" i="1"/>
  <c r="R326" i="1"/>
  <c r="R322" i="1"/>
  <c r="R318" i="1"/>
  <c r="R314" i="1"/>
  <c r="R310" i="1"/>
  <c r="R306" i="1"/>
  <c r="R302" i="1"/>
  <c r="R298" i="1"/>
  <c r="R294" i="1"/>
  <c r="R290" i="1"/>
  <c r="R286" i="1"/>
  <c r="R282" i="1"/>
  <c r="R278" i="1"/>
  <c r="R274" i="1"/>
  <c r="R270" i="1"/>
  <c r="R266" i="1"/>
  <c r="R262" i="1"/>
  <c r="R258" i="1"/>
  <c r="R254" i="1"/>
  <c r="R250" i="1"/>
  <c r="R585" i="1"/>
  <c r="R581" i="1"/>
  <c r="R577" i="1"/>
  <c r="R573" i="1"/>
  <c r="R569" i="1"/>
  <c r="R565" i="1"/>
  <c r="R561" i="1"/>
  <c r="R557" i="1"/>
  <c r="R553" i="1"/>
  <c r="R545" i="1"/>
  <c r="R541" i="1"/>
  <c r="R537" i="1"/>
  <c r="R533" i="1"/>
  <c r="R529" i="1"/>
  <c r="R525" i="1"/>
  <c r="R521" i="1"/>
  <c r="R517" i="1"/>
  <c r="R513" i="1"/>
  <c r="R509" i="1"/>
  <c r="R505" i="1"/>
  <c r="R501" i="1"/>
  <c r="R497" i="1"/>
  <c r="R493" i="1"/>
  <c r="R485" i="1"/>
  <c r="R481" i="1"/>
  <c r="R477" i="1"/>
  <c r="R473" i="1"/>
  <c r="R465" i="1"/>
  <c r="R461" i="1"/>
  <c r="R457" i="1"/>
  <c r="R453" i="1"/>
  <c r="R449" i="1"/>
  <c r="R445" i="1"/>
  <c r="R441" i="1"/>
  <c r="R437" i="1"/>
  <c r="R433" i="1"/>
  <c r="R429" i="1"/>
  <c r="R425" i="1"/>
  <c r="R417" i="1"/>
  <c r="R413" i="1"/>
  <c r="R409" i="1"/>
  <c r="R405" i="1"/>
  <c r="R401" i="1"/>
  <c r="R397" i="1"/>
  <c r="R393" i="1"/>
  <c r="R389" i="1"/>
  <c r="R385" i="1"/>
  <c r="R377" i="1"/>
  <c r="R373" i="1"/>
  <c r="R369" i="1"/>
  <c r="R361" i="1"/>
  <c r="R357" i="1"/>
  <c r="R353" i="1"/>
  <c r="R349" i="1"/>
  <c r="R345" i="1"/>
  <c r="R341" i="1"/>
  <c r="R337" i="1"/>
  <c r="R333" i="1"/>
  <c r="R329" i="1"/>
  <c r="R325" i="1"/>
  <c r="R321" i="1"/>
  <c r="R317" i="1"/>
  <c r="R313" i="1"/>
  <c r="R309" i="1"/>
  <c r="R305" i="1"/>
  <c r="R301" i="1"/>
  <c r="R297" i="1"/>
  <c r="R293" i="1"/>
  <c r="R289" i="1"/>
  <c r="R285" i="1"/>
  <c r="R281" i="1"/>
  <c r="R277" i="1"/>
  <c r="R273" i="1"/>
  <c r="R269" i="1"/>
  <c r="R261" i="1"/>
  <c r="R257" i="1"/>
  <c r="R249" i="1"/>
  <c r="R248" i="1"/>
  <c r="R244" i="1"/>
  <c r="R240" i="1"/>
  <c r="R236" i="1"/>
  <c r="R232" i="1"/>
  <c r="R228" i="1"/>
  <c r="R224" i="1"/>
  <c r="R220" i="1"/>
  <c r="R216" i="1"/>
  <c r="R212" i="1"/>
  <c r="R208" i="1"/>
  <c r="R204" i="1"/>
  <c r="R200" i="1"/>
  <c r="R196" i="1"/>
  <c r="R192" i="1"/>
  <c r="R188" i="1"/>
  <c r="R184" i="1"/>
  <c r="R180" i="1"/>
  <c r="R176" i="1"/>
  <c r="R172" i="1"/>
  <c r="R164" i="1"/>
  <c r="R160" i="1"/>
  <c r="R156" i="1"/>
  <c r="R152" i="1"/>
  <c r="R148" i="1"/>
  <c r="R144" i="1"/>
  <c r="R140" i="1"/>
  <c r="R136" i="1"/>
  <c r="R132" i="1"/>
  <c r="R128" i="1"/>
  <c r="R124" i="1"/>
  <c r="R120" i="1"/>
  <c r="R116" i="1"/>
  <c r="R112" i="1"/>
  <c r="R108" i="1"/>
  <c r="R104" i="1"/>
  <c r="R96" i="1"/>
  <c r="R92" i="1"/>
  <c r="R84" i="1"/>
  <c r="R80" i="1"/>
  <c r="R76" i="1"/>
  <c r="R72" i="1"/>
  <c r="R68" i="1"/>
  <c r="R64" i="1"/>
  <c r="R60" i="1"/>
  <c r="R56" i="1"/>
  <c r="R52" i="1"/>
  <c r="R48" i="1"/>
  <c r="R44" i="1"/>
  <c r="R40" i="1"/>
  <c r="R36" i="1"/>
  <c r="R32" i="1"/>
  <c r="R28" i="1"/>
  <c r="R24" i="1"/>
  <c r="R20" i="1"/>
  <c r="R16" i="1"/>
  <c r="R12" i="1"/>
  <c r="R8" i="1"/>
  <c r="R4" i="1"/>
  <c r="R247" i="1"/>
  <c r="R243" i="1"/>
  <c r="R239" i="1"/>
  <c r="R235" i="1"/>
  <c r="R231" i="1"/>
  <c r="R227" i="1"/>
  <c r="R223" i="1"/>
  <c r="R219" i="1"/>
  <c r="R215" i="1"/>
  <c r="R211" i="1"/>
  <c r="R207" i="1"/>
  <c r="R203" i="1"/>
  <c r="R199" i="1"/>
  <c r="R195" i="1"/>
  <c r="R191" i="1"/>
  <c r="R187" i="1"/>
  <c r="R183" i="1"/>
  <c r="R179" i="1"/>
  <c r="R175" i="1"/>
  <c r="R167" i="1"/>
  <c r="R159" i="1"/>
  <c r="R155" i="1"/>
  <c r="R151" i="1"/>
  <c r="R147" i="1"/>
  <c r="R143" i="1"/>
  <c r="R139" i="1"/>
  <c r="R135" i="1"/>
  <c r="R131" i="1"/>
  <c r="R127" i="1"/>
  <c r="R123" i="1"/>
  <c r="R119" i="1"/>
  <c r="R115" i="1"/>
  <c r="R111" i="1"/>
  <c r="R107" i="1"/>
  <c r="R103" i="1"/>
  <c r="R99" i="1"/>
  <c r="R95" i="1"/>
  <c r="R91" i="1"/>
  <c r="R87" i="1"/>
  <c r="R83" i="1"/>
  <c r="R79" i="1"/>
  <c r="R75" i="1"/>
  <c r="R71" i="1"/>
  <c r="R67" i="1"/>
  <c r="R63" i="1"/>
  <c r="R59" i="1"/>
  <c r="R55" i="1"/>
  <c r="R51" i="1"/>
  <c r="R47" i="1"/>
  <c r="R43" i="1"/>
  <c r="R39" i="1"/>
  <c r="R31" i="1"/>
  <c r="R27" i="1"/>
  <c r="R23" i="1"/>
  <c r="R19" i="1"/>
  <c r="R15" i="1"/>
  <c r="R11" i="1"/>
  <c r="R7" i="1"/>
  <c r="R3" i="1"/>
  <c r="R238" i="1"/>
  <c r="R234" i="1"/>
  <c r="R230" i="1"/>
  <c r="R226" i="1"/>
  <c r="R222" i="1"/>
  <c r="R218" i="1"/>
  <c r="R214" i="1"/>
  <c r="R210" i="1"/>
  <c r="R206" i="1"/>
  <c r="R202" i="1"/>
  <c r="R198" i="1"/>
  <c r="R194" i="1"/>
  <c r="R182" i="1"/>
  <c r="R178" i="1"/>
  <c r="R174" i="1"/>
  <c r="R170" i="1"/>
  <c r="R166" i="1"/>
  <c r="R158" i="1"/>
  <c r="R154" i="1"/>
  <c r="R150" i="1"/>
  <c r="R146" i="1"/>
  <c r="R142" i="1"/>
  <c r="R138" i="1"/>
  <c r="R134" i="1"/>
  <c r="R130" i="1"/>
  <c r="R126" i="1"/>
  <c r="R122" i="1"/>
  <c r="R118" i="1"/>
  <c r="R114" i="1"/>
  <c r="R110" i="1"/>
  <c r="R106" i="1"/>
  <c r="R102" i="1"/>
  <c r="R98" i="1"/>
  <c r="R86" i="1"/>
  <c r="R82" i="1"/>
  <c r="R74" i="1"/>
  <c r="R70" i="1"/>
  <c r="R66" i="1"/>
  <c r="R62" i="1"/>
  <c r="R58" i="1"/>
  <c r="R54" i="1"/>
  <c r="R50" i="1"/>
  <c r="R46" i="1"/>
  <c r="R42" i="1"/>
  <c r="R38" i="1"/>
  <c r="R34" i="1"/>
  <c r="R30" i="1"/>
  <c r="R26" i="1"/>
  <c r="R22" i="1"/>
  <c r="R18" i="1"/>
  <c r="R14" i="1"/>
  <c r="R10" i="1"/>
  <c r="R6" i="1"/>
  <c r="R245" i="1"/>
  <c r="R241" i="1"/>
  <c r="R237" i="1"/>
  <c r="R233" i="1"/>
  <c r="R229" i="1"/>
  <c r="R225" i="1"/>
  <c r="R221" i="1"/>
  <c r="R217" i="1"/>
  <c r="R213" i="1"/>
  <c r="R209" i="1"/>
  <c r="R205" i="1"/>
  <c r="R201" i="1"/>
  <c r="R197" i="1"/>
  <c r="R193" i="1"/>
  <c r="R189" i="1"/>
  <c r="R185" i="1"/>
  <c r="R181" i="1"/>
  <c r="R177" i="1"/>
  <c r="R169" i="1"/>
  <c r="R165" i="1"/>
  <c r="R161" i="1"/>
  <c r="R157" i="1"/>
  <c r="R153" i="1"/>
  <c r="R149" i="1"/>
  <c r="R145" i="1"/>
  <c r="R137" i="1"/>
  <c r="R133" i="1"/>
  <c r="R125" i="1"/>
  <c r="R121" i="1"/>
  <c r="R117" i="1"/>
  <c r="R113" i="1"/>
  <c r="R109" i="1"/>
  <c r="R105" i="1"/>
  <c r="R101" i="1"/>
  <c r="R97" i="1"/>
  <c r="R93" i="1"/>
  <c r="R85" i="1"/>
  <c r="R81" i="1"/>
  <c r="R77" i="1"/>
  <c r="R73" i="1"/>
  <c r="R69" i="1"/>
  <c r="R65" i="1"/>
  <c r="R61" i="1"/>
  <c r="R57" i="1"/>
  <c r="R53" i="1"/>
  <c r="R49" i="1"/>
  <c r="R45" i="1"/>
  <c r="R41" i="1"/>
  <c r="R37" i="1"/>
  <c r="R33" i="1"/>
  <c r="R29" i="1"/>
  <c r="R25" i="1"/>
  <c r="R21" i="1"/>
  <c r="R17" i="1"/>
  <c r="R9" i="1"/>
  <c r="R5" i="1"/>
  <c r="W9" i="2" l="1"/>
  <c r="U7" i="2"/>
  <c r="X7" i="2"/>
  <c r="W6" i="2"/>
  <c r="W5" i="2"/>
  <c r="U6" i="2"/>
  <c r="S8" i="2"/>
  <c r="X11" i="2"/>
  <c r="X12" i="2"/>
  <c r="T5" i="2"/>
  <c r="W7" i="2"/>
  <c r="V12" i="2"/>
  <c r="T11" i="2"/>
  <c r="X5" i="2"/>
  <c r="V5" i="2"/>
  <c r="U10" i="2"/>
  <c r="W8" i="2"/>
  <c r="U9" i="2"/>
  <c r="S7" i="2"/>
  <c r="T10" i="2"/>
  <c r="V6" i="2"/>
  <c r="X6" i="2"/>
  <c r="W11" i="2"/>
  <c r="U8" i="2"/>
  <c r="U5" i="2"/>
  <c r="V11" i="2"/>
  <c r="T12" i="2"/>
  <c r="T9" i="2"/>
  <c r="V8" i="2"/>
  <c r="X9" i="2"/>
  <c r="T8" i="2"/>
  <c r="U12" i="2"/>
  <c r="W10" i="2"/>
  <c r="S9" i="2"/>
  <c r="S10" i="2"/>
  <c r="V10" i="2"/>
  <c r="X10" i="2"/>
  <c r="X8" i="2"/>
  <c r="V7" i="2"/>
  <c r="T7" i="2"/>
  <c r="S12" i="2"/>
  <c r="S6" i="2"/>
  <c r="W12" i="2"/>
  <c r="U11" i="2"/>
  <c r="V9" i="2"/>
  <c r="T6" i="2"/>
  <c r="S11" i="2"/>
  <c r="S5" i="2"/>
  <c r="R13" i="1"/>
  <c r="R78" i="1"/>
  <c r="R307" i="1"/>
  <c r="G9" i="2" l="1"/>
  <c r="H9" i="2"/>
  <c r="I9" i="2"/>
  <c r="J9" i="2"/>
  <c r="R35" i="1"/>
  <c r="R88" i="1"/>
  <c r="R90" i="1" s="1"/>
  <c r="R566" i="1"/>
  <c r="R89" i="1" l="1"/>
  <c r="R100" i="1"/>
  <c r="R94" i="1" l="1"/>
  <c r="R129" i="1"/>
  <c r="R141" i="1" l="1"/>
  <c r="R163" i="1"/>
  <c r="R162" i="1" l="1"/>
  <c r="R168" i="1" s="1"/>
  <c r="R171" i="1"/>
  <c r="R173" i="1"/>
  <c r="R186" i="1" l="1"/>
  <c r="R190" i="1"/>
  <c r="R242" i="1" l="1"/>
  <c r="R253" i="1"/>
  <c r="R265" i="1" s="1"/>
  <c r="R272" i="1"/>
  <c r="R246" i="1" l="1"/>
  <c r="R315" i="1"/>
  <c r="R355" i="1" l="1"/>
  <c r="R338" i="1"/>
  <c r="R365" i="1"/>
  <c r="R376" i="1"/>
  <c r="R380" i="1"/>
  <c r="R381" i="1" s="1"/>
  <c r="R396" i="1"/>
  <c r="R368" i="1" l="1"/>
  <c r="R412" i="1"/>
  <c r="R416" i="1" l="1"/>
  <c r="R468" i="1"/>
  <c r="R421" i="1" l="1"/>
  <c r="R469" i="1"/>
  <c r="R487" i="1" l="1"/>
  <c r="R549" i="1"/>
  <c r="R431" i="1"/>
  <c r="R440" i="1" l="1"/>
  <c r="R462" i="1" l="1"/>
  <c r="R488" i="1"/>
  <c r="R466" i="1" l="1"/>
  <c r="R516" i="1"/>
  <c r="E5" i="1"/>
  <c r="E4" i="1"/>
  <c r="E6" i="1"/>
  <c r="F5" i="1"/>
  <c r="I4" i="1"/>
  <c r="B4" i="1"/>
  <c r="F7" i="1"/>
  <c r="G6" i="1"/>
  <c r="M6" i="1"/>
  <c r="D3" i="1"/>
  <c r="B5" i="1"/>
  <c r="J3" i="1"/>
  <c r="M5" i="1"/>
  <c r="I5" i="1"/>
  <c r="J6" i="1"/>
  <c r="G3" i="1"/>
  <c r="C6" i="1"/>
  <c r="F3" i="1"/>
  <c r="D5" i="1"/>
  <c r="M4" i="1"/>
  <c r="K4" i="1"/>
  <c r="H6" i="1"/>
  <c r="H4" i="1"/>
  <c r="M3" i="1"/>
  <c r="D4" i="1"/>
  <c r="C3" i="1"/>
  <c r="F6" i="1"/>
  <c r="K5" i="1"/>
  <c r="J4" i="1"/>
  <c r="H5" i="1"/>
  <c r="C5" i="1"/>
  <c r="C4" i="1"/>
  <c r="B7" i="1"/>
  <c r="D6" i="1"/>
  <c r="B3" i="1"/>
  <c r="C7" i="1"/>
  <c r="I3" i="1"/>
  <c r="G4" i="1"/>
  <c r="G5" i="1"/>
  <c r="E3" i="1"/>
  <c r="I6" i="1"/>
  <c r="B6" i="1"/>
  <c r="F4" i="1"/>
  <c r="K6" i="1"/>
  <c r="J5" i="1"/>
  <c r="K3" i="1"/>
  <c r="H3" i="1"/>
  <c r="H7" i="1"/>
  <c r="R475" i="1" l="1"/>
  <c r="H8" i="1" s="1"/>
  <c r="K7" i="1"/>
  <c r="D7" i="1"/>
  <c r="E7" i="1"/>
  <c r="I7" i="1"/>
  <c r="K8" i="1"/>
  <c r="J7" i="1"/>
  <c r="M8" i="1"/>
  <c r="B8" i="1"/>
  <c r="M7" i="1"/>
  <c r="I9" i="1"/>
  <c r="H9" i="1"/>
  <c r="R489" i="1"/>
  <c r="J9" i="1"/>
  <c r="J8" i="1"/>
  <c r="G7" i="1"/>
  <c r="D8" i="1"/>
  <c r="I8" i="1"/>
  <c r="F8" i="1"/>
  <c r="L6" i="1"/>
  <c r="N6" i="1"/>
  <c r="N4" i="1"/>
  <c r="L4" i="1"/>
  <c r="L8" i="1"/>
  <c r="N8" i="1"/>
  <c r="L3" i="1"/>
  <c r="N3" i="1"/>
  <c r="N5" i="1"/>
  <c r="L5" i="1"/>
  <c r="N7" i="1"/>
  <c r="L7" i="1"/>
  <c r="G8" i="1" l="1"/>
  <c r="E9" i="1"/>
  <c r="D9" i="1"/>
  <c r="M9" i="1"/>
  <c r="F9" i="1"/>
  <c r="C8" i="1"/>
  <c r="G9" i="1"/>
  <c r="E8" i="1"/>
  <c r="C9" i="1"/>
  <c r="B9" i="1"/>
  <c r="K9" i="1"/>
  <c r="R559" i="1"/>
  <c r="K15" i="1" s="1"/>
  <c r="N15" i="1" l="1"/>
  <c r="L15" i="1"/>
  <c r="I21" i="1"/>
  <c r="D14" i="1"/>
  <c r="F13" i="1"/>
  <c r="M15" i="1"/>
  <c r="K32" i="1"/>
  <c r="H39" i="1"/>
  <c r="J11" i="1"/>
  <c r="C40" i="1"/>
  <c r="H18" i="1"/>
  <c r="I11" i="1"/>
  <c r="F15" i="1"/>
  <c r="B33" i="1"/>
  <c r="G19" i="1"/>
  <c r="B23" i="1"/>
  <c r="K17" i="1"/>
  <c r="B36" i="1"/>
  <c r="D35" i="1"/>
  <c r="G17" i="1"/>
  <c r="K33" i="1"/>
  <c r="D31" i="1"/>
  <c r="M24" i="1"/>
  <c r="D10" i="1"/>
  <c r="F21" i="1"/>
  <c r="I42" i="1"/>
  <c r="I36" i="1"/>
  <c r="D28" i="1"/>
  <c r="B34" i="1"/>
  <c r="B19" i="1"/>
  <c r="H12" i="1"/>
  <c r="D26" i="1"/>
  <c r="J23" i="1"/>
  <c r="K36" i="1"/>
  <c r="K26" i="1"/>
  <c r="B30" i="1"/>
  <c r="G26" i="1"/>
  <c r="J25" i="1"/>
  <c r="F36" i="1"/>
  <c r="C29" i="1"/>
  <c r="D29" i="1"/>
  <c r="M32" i="1"/>
  <c r="K39" i="1"/>
  <c r="C30" i="1"/>
  <c r="G29" i="1"/>
  <c r="G22" i="1"/>
  <c r="G33" i="1"/>
  <c r="J30" i="1"/>
  <c r="I39" i="1"/>
  <c r="C34" i="1"/>
  <c r="M25" i="1"/>
  <c r="F14" i="1"/>
  <c r="G14" i="1"/>
  <c r="I26" i="1"/>
  <c r="C15" i="1"/>
  <c r="B25" i="1"/>
  <c r="D25" i="1"/>
  <c r="J15" i="1"/>
  <c r="M22" i="1"/>
  <c r="F26" i="1"/>
  <c r="I13" i="1"/>
  <c r="D19" i="1"/>
  <c r="M16" i="1"/>
  <c r="M11" i="1"/>
  <c r="M20" i="1"/>
  <c r="G31" i="1"/>
  <c r="H33" i="1"/>
  <c r="H28" i="1"/>
  <c r="G18" i="1"/>
  <c r="D22" i="1"/>
  <c r="E11" i="1"/>
  <c r="I29" i="1"/>
  <c r="M17" i="1"/>
  <c r="B11" i="1"/>
  <c r="M23" i="1"/>
  <c r="C37" i="1"/>
  <c r="I27" i="1"/>
  <c r="G23" i="1"/>
  <c r="B16" i="1"/>
  <c r="E27" i="1"/>
  <c r="I10" i="1"/>
  <c r="J17" i="1"/>
  <c r="C13" i="1"/>
  <c r="H27" i="1"/>
  <c r="G27" i="1"/>
  <c r="E38" i="1"/>
  <c r="G15" i="1"/>
  <c r="E13" i="1"/>
  <c r="I22" i="1"/>
  <c r="J16" i="1"/>
  <c r="F27" i="1"/>
  <c r="E17" i="1"/>
  <c r="H26" i="1"/>
  <c r="B12" i="1"/>
  <c r="H17" i="1"/>
  <c r="B27" i="1"/>
  <c r="D27" i="1"/>
  <c r="D23" i="1"/>
  <c r="J19" i="1"/>
  <c r="E16" i="1"/>
  <c r="J10" i="1"/>
  <c r="E21" i="1"/>
  <c r="E24" i="1"/>
  <c r="H36" i="1"/>
  <c r="K35" i="1"/>
  <c r="B21" i="1"/>
  <c r="B20" i="1"/>
  <c r="K14" i="1"/>
  <c r="G16" i="1"/>
  <c r="K20" i="1"/>
  <c r="M10" i="1"/>
  <c r="C24" i="1"/>
  <c r="M12" i="1"/>
  <c r="F34" i="1"/>
  <c r="J18" i="1"/>
  <c r="K11" i="1"/>
  <c r="H24" i="1"/>
  <c r="D21" i="1"/>
  <c r="C17" i="1"/>
  <c r="B13" i="1"/>
  <c r="H11" i="1"/>
  <c r="M30" i="1"/>
  <c r="H16" i="1"/>
  <c r="C16" i="1"/>
  <c r="C21" i="1"/>
  <c r="B41" i="1"/>
  <c r="B35" i="1"/>
  <c r="K25" i="1"/>
  <c r="H14" i="1"/>
  <c r="C23" i="1"/>
  <c r="E18" i="1"/>
  <c r="C12" i="1"/>
  <c r="C35" i="1"/>
  <c r="M19" i="1"/>
  <c r="I15" i="1"/>
  <c r="I19" i="1"/>
  <c r="G21" i="1"/>
  <c r="F25" i="1"/>
  <c r="J22" i="1"/>
  <c r="E19" i="1"/>
  <c r="C14" i="1"/>
  <c r="I20" i="1"/>
  <c r="K21" i="1"/>
  <c r="J24" i="1"/>
  <c r="E15" i="1"/>
  <c r="B18" i="1"/>
  <c r="F18" i="1"/>
  <c r="C11" i="1"/>
  <c r="F22" i="1"/>
  <c r="M18" i="1"/>
  <c r="H20" i="1"/>
  <c r="H29" i="1"/>
  <c r="G35" i="1"/>
  <c r="K29" i="1"/>
  <c r="D33" i="1"/>
  <c r="B28" i="1"/>
  <c r="K30" i="1"/>
  <c r="M38" i="1"/>
  <c r="B29" i="1"/>
  <c r="F39" i="1"/>
  <c r="C32" i="1"/>
  <c r="H31" i="1"/>
  <c r="D15" i="1"/>
  <c r="F41" i="1"/>
  <c r="M34" i="1"/>
  <c r="K12" i="1"/>
  <c r="K24" i="1"/>
  <c r="F20" i="1"/>
  <c r="C26" i="1"/>
  <c r="B39" i="1"/>
  <c r="E39" i="1"/>
  <c r="C33" i="1"/>
  <c r="J28" i="1"/>
  <c r="D42" i="1"/>
  <c r="E40" i="1"/>
  <c r="G39" i="1"/>
  <c r="D36" i="1"/>
  <c r="M35" i="1"/>
  <c r="G42" i="1"/>
  <c r="J26" i="1"/>
  <c r="I16" i="1"/>
  <c r="E12" i="1"/>
  <c r="C27" i="1"/>
  <c r="M40" i="1"/>
  <c r="M37" i="1"/>
  <c r="J42" i="1"/>
  <c r="B37" i="1"/>
  <c r="F35" i="1"/>
  <c r="K40" i="1"/>
  <c r="G28" i="1"/>
  <c r="H19" i="1"/>
  <c r="G25" i="1"/>
  <c r="C18" i="1"/>
  <c r="K23" i="1"/>
  <c r="J37" i="1"/>
  <c r="I31" i="1"/>
  <c r="J34" i="1"/>
  <c r="I35" i="1"/>
  <c r="G30" i="1"/>
  <c r="J12" i="1"/>
  <c r="B17" i="1"/>
  <c r="D16" i="1"/>
  <c r="M39" i="1"/>
  <c r="F11" i="1"/>
  <c r="H15" i="1"/>
  <c r="D39" i="1"/>
  <c r="G13" i="1"/>
  <c r="F19" i="1"/>
  <c r="D24" i="1"/>
  <c r="E20" i="1"/>
  <c r="F31" i="1"/>
  <c r="K27" i="1"/>
  <c r="B24" i="1"/>
  <c r="D20" i="1"/>
  <c r="K18" i="1"/>
  <c r="B14" i="1"/>
  <c r="F29" i="1"/>
  <c r="C22" i="1"/>
  <c r="D11" i="1"/>
  <c r="M14" i="1"/>
  <c r="J14" i="1"/>
  <c r="H13" i="1"/>
  <c r="F12" i="1"/>
  <c r="K22" i="1"/>
  <c r="E10" i="1"/>
  <c r="M27" i="1"/>
  <c r="H35" i="1"/>
  <c r="J41" i="1"/>
  <c r="F30" i="1"/>
  <c r="H37" i="1"/>
  <c r="K42" i="1"/>
  <c r="J33" i="1"/>
  <c r="E34" i="1"/>
  <c r="F32" i="1"/>
  <c r="I28" i="1"/>
  <c r="F33" i="1"/>
  <c r="E30" i="1"/>
  <c r="J35" i="1"/>
  <c r="K10" i="1"/>
  <c r="F42" i="1"/>
  <c r="I37" i="1"/>
  <c r="B32" i="1"/>
  <c r="I12" i="1"/>
  <c r="H25" i="1"/>
  <c r="H23" i="1"/>
  <c r="E29" i="1"/>
  <c r="D30" i="1"/>
  <c r="H40" i="1"/>
  <c r="I32" i="1"/>
  <c r="J40" i="1"/>
  <c r="K28" i="1"/>
  <c r="K41" i="1"/>
  <c r="D17" i="1"/>
  <c r="H22" i="1"/>
  <c r="G11" i="1"/>
  <c r="H32" i="1"/>
  <c r="G40" i="1"/>
  <c r="E28" i="1"/>
  <c r="B40" i="1"/>
  <c r="E35" i="1"/>
  <c r="B38" i="1"/>
  <c r="D34" i="1"/>
  <c r="H41" i="1"/>
  <c r="K37" i="1"/>
  <c r="E37" i="1"/>
  <c r="D38" i="1"/>
  <c r="C19" i="1"/>
  <c r="I25" i="1"/>
  <c r="E25" i="1"/>
  <c r="C38" i="1"/>
  <c r="M36" i="1"/>
  <c r="F40" i="1"/>
  <c r="G37" i="1"/>
  <c r="J31" i="1"/>
  <c r="F23" i="1"/>
  <c r="B26" i="1"/>
  <c r="D18" i="1"/>
  <c r="I30" i="1"/>
  <c r="C10" i="1"/>
  <c r="I23" i="1"/>
  <c r="F24" i="1"/>
  <c r="J21" i="1"/>
  <c r="H38" i="1"/>
  <c r="E26" i="1"/>
  <c r="F10" i="1"/>
  <c r="C25" i="1"/>
  <c r="K16" i="1"/>
  <c r="J38" i="1"/>
  <c r="I14" i="1"/>
  <c r="M31" i="1"/>
  <c r="B10" i="1"/>
  <c r="E22" i="1"/>
  <c r="D12" i="1"/>
  <c r="B15" i="1"/>
  <c r="G24" i="1"/>
  <c r="M33" i="1"/>
  <c r="E41" i="1"/>
  <c r="I33" i="1"/>
  <c r="G32" i="1"/>
  <c r="F37" i="1"/>
  <c r="J29" i="1"/>
  <c r="K34" i="1"/>
  <c r="B42" i="1"/>
  <c r="E32" i="1"/>
  <c r="F38" i="1"/>
  <c r="G34" i="1"/>
  <c r="J36" i="1"/>
  <c r="M28" i="1"/>
  <c r="C36" i="1"/>
  <c r="H21" i="1"/>
  <c r="K13" i="1"/>
  <c r="J27" i="1"/>
  <c r="I24" i="1"/>
  <c r="C41" i="1"/>
  <c r="I40" i="1"/>
  <c r="I34" i="1"/>
  <c r="C39" i="1"/>
  <c r="C42" i="1"/>
  <c r="H42" i="1"/>
  <c r="K19" i="1"/>
  <c r="C28" i="1"/>
  <c r="E14" i="1"/>
  <c r="J13" i="1"/>
  <c r="E23" i="1"/>
  <c r="I41" i="1"/>
  <c r="J32" i="1"/>
  <c r="G38" i="1"/>
  <c r="M42" i="1"/>
  <c r="G41" i="1"/>
  <c r="H34" i="1"/>
  <c r="D37" i="1"/>
  <c r="F28" i="1"/>
  <c r="D13" i="1"/>
  <c r="I18" i="1"/>
  <c r="E31" i="1"/>
  <c r="M29" i="1"/>
  <c r="I38" i="1"/>
  <c r="C31" i="1"/>
  <c r="M13" i="1"/>
  <c r="D40" i="1"/>
  <c r="G12" i="1"/>
  <c r="G20" i="1"/>
  <c r="F17" i="1"/>
  <c r="M21" i="1"/>
  <c r="B31" i="1"/>
  <c r="I17" i="1"/>
  <c r="B22" i="1"/>
  <c r="K38" i="1"/>
  <c r="J20" i="1"/>
  <c r="D32" i="1"/>
  <c r="K31" i="1"/>
  <c r="J39" i="1"/>
  <c r="H10" i="1"/>
  <c r="M41" i="1"/>
  <c r="E36" i="1"/>
  <c r="G36" i="1"/>
  <c r="E42" i="1"/>
  <c r="H30" i="1"/>
  <c r="E33" i="1"/>
  <c r="M26" i="1"/>
  <c r="C20" i="1"/>
  <c r="D41" i="1"/>
  <c r="F16" i="1"/>
  <c r="G10" i="1"/>
  <c r="N9" i="1"/>
  <c r="L9" i="1"/>
  <c r="N31" i="1" l="1"/>
  <c r="L31" i="1"/>
  <c r="L29" i="1"/>
  <c r="N29" i="1"/>
  <c r="L21" i="1"/>
  <c r="N21" i="1"/>
  <c r="L26" i="1"/>
  <c r="N26" i="1"/>
  <c r="N34" i="1"/>
  <c r="L34" i="1"/>
  <c r="N42" i="1"/>
  <c r="L42" i="1"/>
  <c r="N27" i="1"/>
  <c r="L27" i="1"/>
  <c r="N23" i="1"/>
  <c r="L23" i="1"/>
  <c r="L12" i="1"/>
  <c r="N12" i="1"/>
  <c r="L30" i="1"/>
  <c r="N30" i="1"/>
  <c r="L25" i="1"/>
  <c r="N25" i="1"/>
  <c r="N14" i="1"/>
  <c r="L14" i="1"/>
  <c r="L36" i="1"/>
  <c r="N36" i="1"/>
  <c r="N32" i="1"/>
  <c r="L32" i="1"/>
  <c r="N28" i="1"/>
  <c r="L28" i="1"/>
  <c r="L10" i="1"/>
  <c r="N10" i="1"/>
  <c r="N22" i="1"/>
  <c r="L22" i="1"/>
  <c r="N24" i="1"/>
  <c r="L24" i="1"/>
  <c r="N13" i="1"/>
  <c r="L13" i="1"/>
  <c r="L16" i="1"/>
  <c r="N16" i="1"/>
  <c r="L18" i="1"/>
  <c r="N18" i="1"/>
  <c r="L40" i="1"/>
  <c r="N40" i="1"/>
  <c r="N11" i="1"/>
  <c r="L11" i="1"/>
  <c r="N33" i="1"/>
  <c r="L33" i="1"/>
  <c r="L35" i="1"/>
  <c r="N35" i="1"/>
  <c r="L38" i="1"/>
  <c r="N38" i="1"/>
  <c r="L19" i="1"/>
  <c r="N19" i="1"/>
  <c r="N37" i="1"/>
  <c r="L37" i="1"/>
  <c r="L41" i="1"/>
  <c r="N41" i="1"/>
  <c r="L20" i="1"/>
  <c r="N20" i="1"/>
  <c r="L39" i="1"/>
  <c r="N39" i="1"/>
  <c r="L17" i="1"/>
  <c r="N17" i="1"/>
</calcChain>
</file>

<file path=xl/comments1.xml><?xml version="1.0" encoding="utf-8"?>
<comments xmlns="http://schemas.openxmlformats.org/spreadsheetml/2006/main">
  <authors>
    <author>P-GDDN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MA DE DEM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tháng thăm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4" authorId="0" shapeId="0">
      <text>
        <r>
          <rPr>
            <b/>
            <sz val="9"/>
            <color indexed="81"/>
            <rFont val="Tahoma"/>
            <family val="2"/>
          </rPr>
          <t>P-GDDN:</t>
        </r>
        <r>
          <rPr>
            <sz val="9"/>
            <color indexed="81"/>
            <rFont val="Tahoma"/>
            <family val="2"/>
          </rPr>
          <t xml:space="preserve">
MA NGUOI THAM</t>
        </r>
      </text>
    </comment>
    <comment ref="A12" authorId="0" shapeId="0">
      <text>
        <r>
          <rPr>
            <b/>
            <sz val="9"/>
            <color indexed="81"/>
            <rFont val="Tahoma"/>
            <family val="2"/>
          </rPr>
          <t>KIEM TRA CHAU NHO THAM TRONG THANG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3" authorId="1" shapeId="0">
      <text>
        <r>
          <rPr>
            <sz val="9"/>
            <color indexed="81"/>
            <rFont val="Tahoma"/>
            <family val="2"/>
          </rPr>
          <t xml:space="preserve">hamf nhap trung than nhan trong ngay
</t>
        </r>
      </text>
    </comment>
  </commentList>
</comments>
</file>

<file path=xl/sharedStrings.xml><?xml version="1.0" encoding="utf-8"?>
<sst xmlns="http://schemas.openxmlformats.org/spreadsheetml/2006/main" count="4831" uniqueCount="2234">
  <si>
    <t>Đánh tên HV</t>
  </si>
  <si>
    <t>STT</t>
  </si>
  <si>
    <t>Danh số</t>
  </si>
  <si>
    <t>Họ</t>
  </si>
  <si>
    <t>Tên</t>
  </si>
  <si>
    <t>Năm sinh</t>
  </si>
  <si>
    <t>Khu</t>
  </si>
  <si>
    <t>Ngày nhập CSXH</t>
  </si>
  <si>
    <t>Ngày nhập CS</t>
  </si>
  <si>
    <t>Ngày chấp hành xong</t>
  </si>
  <si>
    <t>Thời hạn</t>
  </si>
  <si>
    <t>HiỆN DiỆN THỰC TẾ</t>
  </si>
  <si>
    <t>Ngày đi KL</t>
  </si>
  <si>
    <t>Số ngày</t>
  </si>
  <si>
    <t>Ngày về khu</t>
  </si>
  <si>
    <t xml:space="preserve">Tháng/ năm
họp xét </t>
  </si>
  <si>
    <t>Tháng/ năm
về sau KT</t>
  </si>
  <si>
    <t>HIỆN DIỆN THỰC TẾ</t>
  </si>
  <si>
    <t>1707-003</t>
  </si>
  <si>
    <t>Nguyễn Hà Thái</t>
  </si>
  <si>
    <t>Bình</t>
  </si>
  <si>
    <t>D</t>
  </si>
  <si>
    <t>1707-090</t>
  </si>
  <si>
    <t xml:space="preserve">Trần Minh </t>
  </si>
  <si>
    <t>Hoàng</t>
  </si>
  <si>
    <t>B</t>
  </si>
  <si>
    <t>1707-138</t>
  </si>
  <si>
    <t>Huỳnh Kim</t>
  </si>
  <si>
    <t>Bằng</t>
  </si>
  <si>
    <t>E</t>
  </si>
  <si>
    <t>1708-015</t>
  </si>
  <si>
    <t>Đoàn Quyết</t>
  </si>
  <si>
    <t>Thắng</t>
  </si>
  <si>
    <t>1708-016</t>
  </si>
  <si>
    <t>Huỳnh Ngọc Tuấn</t>
  </si>
  <si>
    <t>Anh</t>
  </si>
  <si>
    <t>1708-064</t>
  </si>
  <si>
    <t xml:space="preserve">Lư Minh </t>
  </si>
  <si>
    <t>Vũ</t>
  </si>
  <si>
    <t>1709-010</t>
  </si>
  <si>
    <t xml:space="preserve">Vũ Duy </t>
  </si>
  <si>
    <t>Trường</t>
  </si>
  <si>
    <t>A</t>
  </si>
  <si>
    <t>1709-012</t>
  </si>
  <si>
    <t>Đặng Đức</t>
  </si>
  <si>
    <t>Nhã</t>
  </si>
  <si>
    <t>1709-013</t>
  </si>
  <si>
    <t>Hồ Hoàng</t>
  </si>
  <si>
    <t>Hiệp</t>
  </si>
  <si>
    <t>1709-014</t>
  </si>
  <si>
    <t>Ngô Hoàng</t>
  </si>
  <si>
    <t>Khiết</t>
  </si>
  <si>
    <t>1709-015</t>
  </si>
  <si>
    <t>Huỳnh Văn Tiến</t>
  </si>
  <si>
    <t>Dũng</t>
  </si>
  <si>
    <t>1709-016</t>
  </si>
  <si>
    <t>Nguyễn An</t>
  </si>
  <si>
    <t>Duy</t>
  </si>
  <si>
    <t>1709-063</t>
  </si>
  <si>
    <t xml:space="preserve">Võ Văn </t>
  </si>
  <si>
    <t>Lợi</t>
  </si>
  <si>
    <t>YT</t>
  </si>
  <si>
    <t>1709-064</t>
  </si>
  <si>
    <t>Nguyễn Văn</t>
  </si>
  <si>
    <t>Được</t>
  </si>
  <si>
    <t>1709-065</t>
  </si>
  <si>
    <t>Trần Thanh</t>
  </si>
  <si>
    <t>Huyền</t>
  </si>
  <si>
    <t>1709-073</t>
  </si>
  <si>
    <t xml:space="preserve">Võ </t>
  </si>
  <si>
    <t>Thông</t>
  </si>
  <si>
    <t>1710-010</t>
  </si>
  <si>
    <t>Vũ Hoàng</t>
  </si>
  <si>
    <t>C</t>
  </si>
  <si>
    <t>1710-016</t>
  </si>
  <si>
    <t xml:space="preserve">Võ Minh </t>
  </si>
  <si>
    <t>Huy</t>
  </si>
  <si>
    <t>1710-024</t>
  </si>
  <si>
    <t xml:space="preserve">Nguyễn Trung </t>
  </si>
  <si>
    <t>Phú</t>
  </si>
  <si>
    <t>1710-027</t>
  </si>
  <si>
    <t xml:space="preserve">Huỳnh Kim </t>
  </si>
  <si>
    <t>Lăng</t>
  </si>
  <si>
    <t>1710-028</t>
  </si>
  <si>
    <t>Đặng Quang</t>
  </si>
  <si>
    <t>1710-034</t>
  </si>
  <si>
    <t xml:space="preserve">Trần </t>
  </si>
  <si>
    <t>Hùng</t>
  </si>
  <si>
    <t>KL</t>
  </si>
  <si>
    <t>1710-046</t>
  </si>
  <si>
    <t>Nguyễn Hòa</t>
  </si>
  <si>
    <t>1710-047</t>
  </si>
  <si>
    <t xml:space="preserve">Đinh Kim </t>
  </si>
  <si>
    <t>Trung</t>
  </si>
  <si>
    <t>1710-056</t>
  </si>
  <si>
    <t>Trần Tuấn</t>
  </si>
  <si>
    <t>An</t>
  </si>
  <si>
    <t>1710-057</t>
  </si>
  <si>
    <t>Trần Văn Hồng</t>
  </si>
  <si>
    <t>Nhựt</t>
  </si>
  <si>
    <t>1710-058</t>
  </si>
  <si>
    <t>Chung</t>
  </si>
  <si>
    <t>1710-061</t>
  </si>
  <si>
    <t>Nguyễn Anh</t>
  </si>
  <si>
    <t>Kiệt</t>
  </si>
  <si>
    <t>1710-062</t>
  </si>
  <si>
    <t>Nguyễn Vũ Hoàng</t>
  </si>
  <si>
    <t>Sơn</t>
  </si>
  <si>
    <t>1711-003</t>
  </si>
  <si>
    <t>Tiến</t>
  </si>
  <si>
    <t>1711-004</t>
  </si>
  <si>
    <t>Lê Hoàng</t>
  </si>
  <si>
    <t>Đạo</t>
  </si>
  <si>
    <t>1711-011</t>
  </si>
  <si>
    <t>Huỳnh Văn</t>
  </si>
  <si>
    <t>Toàn</t>
  </si>
  <si>
    <t>1711-012</t>
  </si>
  <si>
    <t>Trần Quốc</t>
  </si>
  <si>
    <t>1711-013</t>
  </si>
  <si>
    <t xml:space="preserve">Dương Minh </t>
  </si>
  <si>
    <t>Lâm</t>
  </si>
  <si>
    <t>1711-014</t>
  </si>
  <si>
    <t xml:space="preserve">Lương Minh </t>
  </si>
  <si>
    <t>Lộc</t>
  </si>
  <si>
    <t>1711-015</t>
  </si>
  <si>
    <t xml:space="preserve">Mohamad </t>
  </si>
  <si>
    <t xml:space="preserve"> Hô Sên</t>
  </si>
  <si>
    <t>1711-016</t>
  </si>
  <si>
    <t>Trần Hoàng</t>
  </si>
  <si>
    <t>1711-017</t>
  </si>
  <si>
    <t xml:space="preserve">Tôn Thất Sanh </t>
  </si>
  <si>
    <t>Tú</t>
  </si>
  <si>
    <t>1711-020</t>
  </si>
  <si>
    <t>Vũ Trường</t>
  </si>
  <si>
    <t>Giang</t>
  </si>
  <si>
    <t>1711-021</t>
  </si>
  <si>
    <t>Nguyễn Thiện</t>
  </si>
  <si>
    <t>1711-022</t>
  </si>
  <si>
    <t xml:space="preserve">Nguyễn Minh </t>
  </si>
  <si>
    <t>Đạt</t>
  </si>
  <si>
    <t>1711-023</t>
  </si>
  <si>
    <t xml:space="preserve">Nguyễn Thanh </t>
  </si>
  <si>
    <t>1711-024</t>
  </si>
  <si>
    <t>Nguyễn Minh</t>
  </si>
  <si>
    <t>1711-028</t>
  </si>
  <si>
    <t>Trần Văn</t>
  </si>
  <si>
    <t>Chiến</t>
  </si>
  <si>
    <t>1712-002</t>
  </si>
  <si>
    <t>Thiện</t>
  </si>
  <si>
    <t>1712-003</t>
  </si>
  <si>
    <t xml:space="preserve">Vũ Đình </t>
  </si>
  <si>
    <t>1712-004</t>
  </si>
  <si>
    <t>Vũ Ngọc</t>
  </si>
  <si>
    <t>Tài</t>
  </si>
  <si>
    <t>1712-006</t>
  </si>
  <si>
    <t xml:space="preserve">Huỳnh Văn </t>
  </si>
  <si>
    <t>Giàu</t>
  </si>
  <si>
    <t>1712-007</t>
  </si>
  <si>
    <t xml:space="preserve">Phạm Tấn </t>
  </si>
  <si>
    <t>1712-010</t>
  </si>
  <si>
    <t>Trần Thiện</t>
  </si>
  <si>
    <t>Tâm</t>
  </si>
  <si>
    <t>1712-011</t>
  </si>
  <si>
    <t>Trương Hải</t>
  </si>
  <si>
    <t>Tiên</t>
  </si>
  <si>
    <t>1712-012</t>
  </si>
  <si>
    <t>Nguyễn Ân</t>
  </si>
  <si>
    <t>1712-013</t>
  </si>
  <si>
    <t>Tính</t>
  </si>
  <si>
    <t>1712-017</t>
  </si>
  <si>
    <t xml:space="preserve">Huỳnh Thanh </t>
  </si>
  <si>
    <t>1712-020</t>
  </si>
  <si>
    <t xml:space="preserve">Trần Văn </t>
  </si>
  <si>
    <t>1712-021</t>
  </si>
  <si>
    <t>Đặng</t>
  </si>
  <si>
    <t>Quang</t>
  </si>
  <si>
    <t>1712-022</t>
  </si>
  <si>
    <t>Đường</t>
  </si>
  <si>
    <t>1712-023</t>
  </si>
  <si>
    <t>Thuận</t>
  </si>
  <si>
    <t>1712-025</t>
  </si>
  <si>
    <t>Bảy</t>
  </si>
  <si>
    <t>1712-026</t>
  </si>
  <si>
    <t>Võ Hữu</t>
  </si>
  <si>
    <t>Tươi</t>
  </si>
  <si>
    <t>1712-027</t>
  </si>
  <si>
    <t xml:space="preserve">Mai Thế </t>
  </si>
  <si>
    <t>Ngọc</t>
  </si>
  <si>
    <t>1712-029</t>
  </si>
  <si>
    <t>1712-030</t>
  </si>
  <si>
    <t>Hưng</t>
  </si>
  <si>
    <t>1801-001</t>
  </si>
  <si>
    <t>Phan Hoàng</t>
  </si>
  <si>
    <t>Phong</t>
  </si>
  <si>
    <t>1801-002</t>
  </si>
  <si>
    <t>Phương</t>
  </si>
  <si>
    <t>1801-003</t>
  </si>
  <si>
    <t>Đỗ Trọng</t>
  </si>
  <si>
    <t>1801-004</t>
  </si>
  <si>
    <t>Nguyễn Trí</t>
  </si>
  <si>
    <t>1801-005</t>
  </si>
  <si>
    <t>Lương Thế</t>
  </si>
  <si>
    <t>1801-006</t>
  </si>
  <si>
    <t>Nguyễn Ngọc</t>
  </si>
  <si>
    <t>1801-010</t>
  </si>
  <si>
    <t xml:space="preserve">Nguyễn Hồng </t>
  </si>
  <si>
    <t>Phát</t>
  </si>
  <si>
    <t>1801-011</t>
  </si>
  <si>
    <t>Phạm Quốc</t>
  </si>
  <si>
    <t>Tấn</t>
  </si>
  <si>
    <t>1801-012</t>
  </si>
  <si>
    <t>Phạm Huỳnh Minh</t>
  </si>
  <si>
    <t>1801-014</t>
  </si>
  <si>
    <t xml:space="preserve">Nguyễn </t>
  </si>
  <si>
    <t>Hương</t>
  </si>
  <si>
    <t>1801-015</t>
  </si>
  <si>
    <t xml:space="preserve">Phan Tử </t>
  </si>
  <si>
    <t>1801-016</t>
  </si>
  <si>
    <t>Trần Quang</t>
  </si>
  <si>
    <t>Vinh</t>
  </si>
  <si>
    <t>1801-017</t>
  </si>
  <si>
    <t>Nguyễn Văn Anh</t>
  </si>
  <si>
    <t>Tuấn</t>
  </si>
  <si>
    <t>1801-018</t>
  </si>
  <si>
    <t>Phạm Thế</t>
  </si>
  <si>
    <t>Việt</t>
  </si>
  <si>
    <t>1801-019</t>
  </si>
  <si>
    <t>Nguyễn Bảo</t>
  </si>
  <si>
    <t>Long</t>
  </si>
  <si>
    <t>1801-020</t>
  </si>
  <si>
    <t>1801-021</t>
  </si>
  <si>
    <t>Hải</t>
  </si>
  <si>
    <t>1801-022</t>
  </si>
  <si>
    <t>Phạm Tấn</t>
  </si>
  <si>
    <t>1801-023</t>
  </si>
  <si>
    <t>Võ Hoàng</t>
  </si>
  <si>
    <t>Phước</t>
  </si>
  <si>
    <t>1801-025</t>
  </si>
  <si>
    <t>Nguyễn Hải</t>
  </si>
  <si>
    <t>Hồ</t>
  </si>
  <si>
    <t>1801-026</t>
  </si>
  <si>
    <t>Trương Minh</t>
  </si>
  <si>
    <t>Chánh</t>
  </si>
  <si>
    <t>NA</t>
  </si>
  <si>
    <t>1801-027</t>
  </si>
  <si>
    <t>Nguyễn Quang</t>
  </si>
  <si>
    <t>Thu</t>
  </si>
  <si>
    <t>1801-030</t>
  </si>
  <si>
    <t>Phan Anh</t>
  </si>
  <si>
    <t>1802-001</t>
  </si>
  <si>
    <t>1802-002</t>
  </si>
  <si>
    <t>1802-003</t>
  </si>
  <si>
    <t>Dương Thanh</t>
  </si>
  <si>
    <t>1802-004</t>
  </si>
  <si>
    <t>1802-005</t>
  </si>
  <si>
    <t>1802-006</t>
  </si>
  <si>
    <t>Dương Tấn</t>
  </si>
  <si>
    <t>Thành</t>
  </si>
  <si>
    <t>1802-007</t>
  </si>
  <si>
    <t>Vũ Bá</t>
  </si>
  <si>
    <t>1802-009</t>
  </si>
  <si>
    <t>Lý Văn</t>
  </si>
  <si>
    <t>1802-010</t>
  </si>
  <si>
    <t>1802-011</t>
  </si>
  <si>
    <t>Thạch Văn</t>
  </si>
  <si>
    <t>1802-012</t>
  </si>
  <si>
    <t xml:space="preserve">Nguyễn Phương </t>
  </si>
  <si>
    <t>Bảo</t>
  </si>
  <si>
    <t>1802-013</t>
  </si>
  <si>
    <t>1802-014</t>
  </si>
  <si>
    <t>Lâm Phú</t>
  </si>
  <si>
    <t>Quý</t>
  </si>
  <si>
    <t>1802-015</t>
  </si>
  <si>
    <t>Nguyễn Hoàng Nhật</t>
  </si>
  <si>
    <t>Tân</t>
  </si>
  <si>
    <t>1802-018</t>
  </si>
  <si>
    <t>Châu Hoàng</t>
  </si>
  <si>
    <t>Hậu</t>
  </si>
  <si>
    <t>1802-023</t>
  </si>
  <si>
    <t>Đặng Thế</t>
  </si>
  <si>
    <t>1803-001</t>
  </si>
  <si>
    <t>Huỳnh Chí</t>
  </si>
  <si>
    <t>Công</t>
  </si>
  <si>
    <t>1803-002</t>
  </si>
  <si>
    <t>Đỗ Đức</t>
  </si>
  <si>
    <t>1803-004</t>
  </si>
  <si>
    <t>Nguyễn Thanh</t>
  </si>
  <si>
    <t>1803-005</t>
  </si>
  <si>
    <t>Nguyễn Viết</t>
  </si>
  <si>
    <t>1803-006</t>
  </si>
  <si>
    <t>Phụng</t>
  </si>
  <si>
    <t>1803-007</t>
  </si>
  <si>
    <t>Lê Hồng</t>
  </si>
  <si>
    <t>Cường</t>
  </si>
  <si>
    <t>1803-008</t>
  </si>
  <si>
    <t>Lưu Văn</t>
  </si>
  <si>
    <t>1803-009</t>
  </si>
  <si>
    <t xml:space="preserve">Đàm Cẩm </t>
  </si>
  <si>
    <t>1803-010</t>
  </si>
  <si>
    <t>Tiêu Hoài</t>
  </si>
  <si>
    <t>Thanh</t>
  </si>
  <si>
    <t>1803-011</t>
  </si>
  <si>
    <t>La Chí</t>
  </si>
  <si>
    <t>1803-013</t>
  </si>
  <si>
    <t>Bộ</t>
  </si>
  <si>
    <t>1803-015</t>
  </si>
  <si>
    <t>Huỳnh Anh</t>
  </si>
  <si>
    <t>1803-016</t>
  </si>
  <si>
    <t>Nguyễn Thế</t>
  </si>
  <si>
    <t>1803-019</t>
  </si>
  <si>
    <t xml:space="preserve">Nguyễn Đức </t>
  </si>
  <si>
    <t>1803-020</t>
  </si>
  <si>
    <t xml:space="preserve">Võ Phong </t>
  </si>
  <si>
    <t>Nam</t>
  </si>
  <si>
    <t>1803-021</t>
  </si>
  <si>
    <t xml:space="preserve">Đỗ Như </t>
  </si>
  <si>
    <t>1803-022</t>
  </si>
  <si>
    <t xml:space="preserve">Lê Văn </t>
  </si>
  <si>
    <t>Sang</t>
  </si>
  <si>
    <t>1803-023</t>
  </si>
  <si>
    <t xml:space="preserve">Nguyễn Thành </t>
  </si>
  <si>
    <t>1803-025</t>
  </si>
  <si>
    <t>1803-026</t>
  </si>
  <si>
    <t>1803-027</t>
  </si>
  <si>
    <t>Trần Văn Tấn</t>
  </si>
  <si>
    <t>Trực</t>
  </si>
  <si>
    <t>1804-001</t>
  </si>
  <si>
    <t>Đại</t>
  </si>
  <si>
    <t>1804-002</t>
  </si>
  <si>
    <t>Ngô Minh</t>
  </si>
  <si>
    <t>Thảo</t>
  </si>
  <si>
    <t>1804-003</t>
  </si>
  <si>
    <t>Trương Văn</t>
  </si>
  <si>
    <t>1804-004</t>
  </si>
  <si>
    <t>Phạm Ngọc</t>
  </si>
  <si>
    <t>1804-005</t>
  </si>
  <si>
    <t>Lê Hải</t>
  </si>
  <si>
    <t>1804-006</t>
  </si>
  <si>
    <t>Cổ Gia</t>
  </si>
  <si>
    <t>1804-007</t>
  </si>
  <si>
    <t>1804-008</t>
  </si>
  <si>
    <t>Nguyễn Thành</t>
  </si>
  <si>
    <t>1804-009</t>
  </si>
  <si>
    <t>1804-010</t>
  </si>
  <si>
    <t>Phan Minh</t>
  </si>
  <si>
    <t>Hiền</t>
  </si>
  <si>
    <t>1804-014</t>
  </si>
  <si>
    <t>1804-017</t>
  </si>
  <si>
    <t xml:space="preserve">Lê Minh </t>
  </si>
  <si>
    <t>1804-018</t>
  </si>
  <si>
    <t>Phan Vũ</t>
  </si>
  <si>
    <t>Linh</t>
  </si>
  <si>
    <t>1804-019</t>
  </si>
  <si>
    <t>Lâm Thương</t>
  </si>
  <si>
    <t>Hòa</t>
  </si>
  <si>
    <t>1804-020</t>
  </si>
  <si>
    <t>Tới</t>
  </si>
  <si>
    <t>1804-022</t>
  </si>
  <si>
    <t>Nguyễn Tấn</t>
  </si>
  <si>
    <t>1804-023</t>
  </si>
  <si>
    <t>Lê Văn</t>
  </si>
  <si>
    <t>1804-025</t>
  </si>
  <si>
    <t>1805-001</t>
  </si>
  <si>
    <t xml:space="preserve">Lê Ngọc </t>
  </si>
  <si>
    <t>Châu</t>
  </si>
  <si>
    <t>1805-002</t>
  </si>
  <si>
    <t>Trần Đoàn</t>
  </si>
  <si>
    <t>Cương</t>
  </si>
  <si>
    <t>1805-003</t>
  </si>
  <si>
    <t xml:space="preserve">Nguyễn Huỳnh </t>
  </si>
  <si>
    <t>Kỳ</t>
  </si>
  <si>
    <t>1805-004</t>
  </si>
  <si>
    <t>Bùi Phạm Trường</t>
  </si>
  <si>
    <t>1805-005</t>
  </si>
  <si>
    <t>Nguyễn Duy</t>
  </si>
  <si>
    <t>1805-006</t>
  </si>
  <si>
    <t>Hiếu</t>
  </si>
  <si>
    <t>1805-007</t>
  </si>
  <si>
    <t>1805-008</t>
  </si>
  <si>
    <t>1805-011</t>
  </si>
  <si>
    <t>Châu Đức</t>
  </si>
  <si>
    <t>Minh</t>
  </si>
  <si>
    <t>1805-012</t>
  </si>
  <si>
    <t>1805-013</t>
  </si>
  <si>
    <t>Phan Văn</t>
  </si>
  <si>
    <t>1805-014</t>
  </si>
  <si>
    <t>Nguyễn Quốc</t>
  </si>
  <si>
    <t>1805-015</t>
  </si>
  <si>
    <t>Bùi Văn</t>
  </si>
  <si>
    <t>Mai</t>
  </si>
  <si>
    <t>1805-016</t>
  </si>
  <si>
    <t>Phạm Phi</t>
  </si>
  <si>
    <t>1805-017</t>
  </si>
  <si>
    <t>Huỳnh Tuấn</t>
  </si>
  <si>
    <t>1805-018</t>
  </si>
  <si>
    <t xml:space="preserve">Long Chí </t>
  </si>
  <si>
    <t>1805-019</t>
  </si>
  <si>
    <t>Võ Quốc</t>
  </si>
  <si>
    <t>Dương</t>
  </si>
  <si>
    <t>1805-020</t>
  </si>
  <si>
    <t xml:space="preserve">Nguyễn Ngọc </t>
  </si>
  <si>
    <t>1805-021</t>
  </si>
  <si>
    <t>Trương Đình</t>
  </si>
  <si>
    <t>1805-022</t>
  </si>
  <si>
    <t>1805-023</t>
  </si>
  <si>
    <t>1805-024</t>
  </si>
  <si>
    <t>Lâm Thành</t>
  </si>
  <si>
    <t>Sương</t>
  </si>
  <si>
    <t>1806-001</t>
  </si>
  <si>
    <t>Ngô Minh Việt</t>
  </si>
  <si>
    <t>1806-002</t>
  </si>
  <si>
    <t xml:space="preserve">Nguyễn Quang </t>
  </si>
  <si>
    <t>Dự</t>
  </si>
  <si>
    <t>1806-003</t>
  </si>
  <si>
    <t>Lê Khánh</t>
  </si>
  <si>
    <t>1806-005</t>
  </si>
  <si>
    <t>Ngô Nhựt</t>
  </si>
  <si>
    <t>Vĩnh</t>
  </si>
  <si>
    <t>1806-007</t>
  </si>
  <si>
    <t xml:space="preserve">Lý Hồng </t>
  </si>
  <si>
    <t>Trương</t>
  </si>
  <si>
    <t>1806-008</t>
  </si>
  <si>
    <t>1806-009</t>
  </si>
  <si>
    <t>Nhàn</t>
  </si>
  <si>
    <t>1806-010</t>
  </si>
  <si>
    <t>1806-011</t>
  </si>
  <si>
    <t>1806-012</t>
  </si>
  <si>
    <t>Hoàng Mạnh</t>
  </si>
  <si>
    <t>Khương</t>
  </si>
  <si>
    <t>1806-013</t>
  </si>
  <si>
    <t>Trương Tuấn</t>
  </si>
  <si>
    <t>1806-014</t>
  </si>
  <si>
    <t>Phan Huỳnh Ngọc</t>
  </si>
  <si>
    <t>1806-015</t>
  </si>
  <si>
    <t>Huỳnh Bá</t>
  </si>
  <si>
    <t>Tòng</t>
  </si>
  <si>
    <t>1806-016</t>
  </si>
  <si>
    <t>Nguyễn Trần Ngọc</t>
  </si>
  <si>
    <t>Thạch</t>
  </si>
  <si>
    <t>1806-017</t>
  </si>
  <si>
    <t>Lê Đức</t>
  </si>
  <si>
    <t>Thọ</t>
  </si>
  <si>
    <t>1806-018</t>
  </si>
  <si>
    <t>Bùi Anh</t>
  </si>
  <si>
    <t>1806-020</t>
  </si>
  <si>
    <t>Nhân</t>
  </si>
  <si>
    <t>1806-021</t>
  </si>
  <si>
    <t>1806-022</t>
  </si>
  <si>
    <t>1806-023</t>
  </si>
  <si>
    <t xml:space="preserve">Trần Trung </t>
  </si>
  <si>
    <t>1806-024</t>
  </si>
  <si>
    <t>Phạm Hiếu</t>
  </si>
  <si>
    <t>1806-025</t>
  </si>
  <si>
    <t xml:space="preserve">Trần Hồng </t>
  </si>
  <si>
    <t>1806-027</t>
  </si>
  <si>
    <t>Huỳnh Ngọc Quốc</t>
  </si>
  <si>
    <t>1806-028</t>
  </si>
  <si>
    <t>1806-029</t>
  </si>
  <si>
    <t>Hoàng Anh</t>
  </si>
  <si>
    <t>1806-030</t>
  </si>
  <si>
    <t>Phan Đức</t>
  </si>
  <si>
    <t>1806-031</t>
  </si>
  <si>
    <t xml:space="preserve">Lê Thanh </t>
  </si>
  <si>
    <t>1806-032</t>
  </si>
  <si>
    <t>1807-001</t>
  </si>
  <si>
    <t>1807-002</t>
  </si>
  <si>
    <t>Bô</t>
  </si>
  <si>
    <t>1807-003</t>
  </si>
  <si>
    <t>Võ Minh</t>
  </si>
  <si>
    <t>1807-004</t>
  </si>
  <si>
    <t>1807-005</t>
  </si>
  <si>
    <t>Nguyễn Hoàng</t>
  </si>
  <si>
    <t>Sinh</t>
  </si>
  <si>
    <t>1807-006</t>
  </si>
  <si>
    <t>Ngô Hồng</t>
  </si>
  <si>
    <t>1807-007</t>
  </si>
  <si>
    <t>Nguyễn Huy</t>
  </si>
  <si>
    <t>1807-008</t>
  </si>
  <si>
    <t>Trần</t>
  </si>
  <si>
    <t>Bửu</t>
  </si>
  <si>
    <t>12/07/2018</t>
  </si>
  <si>
    <t>1807-009</t>
  </si>
  <si>
    <t>1807-010</t>
  </si>
  <si>
    <t>Mẫn</t>
  </si>
  <si>
    <t>1807-011</t>
  </si>
  <si>
    <t>Nguyễn Đức</t>
  </si>
  <si>
    <t>1807-012</t>
  </si>
  <si>
    <t>1807-013</t>
  </si>
  <si>
    <t>Hiển</t>
  </si>
  <si>
    <t>1807-014</t>
  </si>
  <si>
    <t xml:space="preserve">Nguyễn An </t>
  </si>
  <si>
    <t>1807-015</t>
  </si>
  <si>
    <t>Liêng Vĩ</t>
  </si>
  <si>
    <t>1807-016</t>
  </si>
  <si>
    <t>Nguyễn Huỳnh Tấn</t>
  </si>
  <si>
    <t>1807-017</t>
  </si>
  <si>
    <t>Du Duy</t>
  </si>
  <si>
    <t>1807-018</t>
  </si>
  <si>
    <t>Lu Vỹ</t>
  </si>
  <si>
    <t>1807-019</t>
  </si>
  <si>
    <t xml:space="preserve">Lê Hữu </t>
  </si>
  <si>
    <t>1807-020</t>
  </si>
  <si>
    <t>Đặng Thành</t>
  </si>
  <si>
    <t>1807-021</t>
  </si>
  <si>
    <t>1807-022</t>
  </si>
  <si>
    <t>Nguyễn Phan Thanh</t>
  </si>
  <si>
    <t>1807-023</t>
  </si>
  <si>
    <t>Võ Thanh</t>
  </si>
  <si>
    <t>1807-024</t>
  </si>
  <si>
    <t>Trần Đăng</t>
  </si>
  <si>
    <t>Luân</t>
  </si>
  <si>
    <t>1807-025</t>
  </si>
  <si>
    <t xml:space="preserve">Võ Đình </t>
  </si>
  <si>
    <t>1807-026</t>
  </si>
  <si>
    <t>Hồng</t>
  </si>
  <si>
    <t>1807-027</t>
  </si>
  <si>
    <t>Ngô Viết</t>
  </si>
  <si>
    <t>1807-028</t>
  </si>
  <si>
    <t>Phạm Tùng</t>
  </si>
  <si>
    <t>Như</t>
  </si>
  <si>
    <t>1807-029</t>
  </si>
  <si>
    <t>Nguyễn Lương Minh</t>
  </si>
  <si>
    <t>1807-030</t>
  </si>
  <si>
    <t>Lâm Văn</t>
  </si>
  <si>
    <t>1807-031</t>
  </si>
  <si>
    <t>1807-032</t>
  </si>
  <si>
    <t>Dường Phát</t>
  </si>
  <si>
    <t>Siếng</t>
  </si>
  <si>
    <t>1807-033</t>
  </si>
  <si>
    <t>No</t>
  </si>
  <si>
    <t>1807-034</t>
  </si>
  <si>
    <t>Hoàng Văn</t>
  </si>
  <si>
    <t>1807-035</t>
  </si>
  <si>
    <t>Nguyễn Phúc</t>
  </si>
  <si>
    <t>Thịnh</t>
  </si>
  <si>
    <t>1808-001</t>
  </si>
  <si>
    <t xml:space="preserve">Trương Hữu </t>
  </si>
  <si>
    <t>1808-002</t>
  </si>
  <si>
    <t>Mai Hữu</t>
  </si>
  <si>
    <t>Trí</t>
  </si>
  <si>
    <t>1808-003</t>
  </si>
  <si>
    <t xml:space="preserve">Lý Cẩm </t>
  </si>
  <si>
    <t>1808-004</t>
  </si>
  <si>
    <t>1808-005</t>
  </si>
  <si>
    <t xml:space="preserve">Trịnh Văn </t>
  </si>
  <si>
    <t>Ngoãn</t>
  </si>
  <si>
    <t>1808-006</t>
  </si>
  <si>
    <t xml:space="preserve">Hồ Quốc </t>
  </si>
  <si>
    <t>1808-007</t>
  </si>
  <si>
    <t xml:space="preserve">Thái Duy </t>
  </si>
  <si>
    <t>Đức</t>
  </si>
  <si>
    <t>1808-008</t>
  </si>
  <si>
    <t>1808-009</t>
  </si>
  <si>
    <t xml:space="preserve">Đặng Hoàng </t>
  </si>
  <si>
    <t>1808-010</t>
  </si>
  <si>
    <t>Dương Quốc</t>
  </si>
  <si>
    <t>1808-011</t>
  </si>
  <si>
    <t>Hữu</t>
  </si>
  <si>
    <t>1808-012</t>
  </si>
  <si>
    <t>Vương Trí</t>
  </si>
  <si>
    <t>Cẩm</t>
  </si>
  <si>
    <t>1808-013</t>
  </si>
  <si>
    <t>Trần Đình</t>
  </si>
  <si>
    <t>1808-014</t>
  </si>
  <si>
    <t>Trịnh Văn 
(Phan Văn)</t>
  </si>
  <si>
    <t>1990
(1985)</t>
  </si>
  <si>
    <t>1808-015</t>
  </si>
  <si>
    <t>Hồ Thanh Phụng</t>
  </si>
  <si>
    <t>Em</t>
  </si>
  <si>
    <t>1808-016</t>
  </si>
  <si>
    <t xml:space="preserve">Nguyễn Văn </t>
  </si>
  <si>
    <t>1808-017</t>
  </si>
  <si>
    <t>Lê Sỹ</t>
  </si>
  <si>
    <t>1808-018</t>
  </si>
  <si>
    <t>Lê Anh</t>
  </si>
  <si>
    <t>1808-019</t>
  </si>
  <si>
    <t>Huỳnh Quốc</t>
  </si>
  <si>
    <t>1808-020</t>
  </si>
  <si>
    <t>Đỗ Văn</t>
  </si>
  <si>
    <t>Xuân</t>
  </si>
  <si>
    <t>1808-021</t>
  </si>
  <si>
    <t>1808-022</t>
  </si>
  <si>
    <t>Đỗ Phú Tiến</t>
  </si>
  <si>
    <t>Hoài</t>
  </si>
  <si>
    <t>1808-023</t>
  </si>
  <si>
    <t>Quả</t>
  </si>
  <si>
    <t>1808-024</t>
  </si>
  <si>
    <t>Cao Dư</t>
  </si>
  <si>
    <t>Huấn</t>
  </si>
  <si>
    <t>1808-025</t>
  </si>
  <si>
    <t>1808-026</t>
  </si>
  <si>
    <t xml:space="preserve">Lê </t>
  </si>
  <si>
    <t>1808-027</t>
  </si>
  <si>
    <t>Phạm Thanh</t>
  </si>
  <si>
    <t>1808-028</t>
  </si>
  <si>
    <t>Vũ Đình</t>
  </si>
  <si>
    <t>1808-029</t>
  </si>
  <si>
    <t>Nguyễn Hoàng Minh</t>
  </si>
  <si>
    <t>1808-030</t>
  </si>
  <si>
    <t>Út</t>
  </si>
  <si>
    <t>1808-032</t>
  </si>
  <si>
    <t>1808-033</t>
  </si>
  <si>
    <t>Cam</t>
  </si>
  <si>
    <t>1808-034</t>
  </si>
  <si>
    <t>Đặng Đình</t>
  </si>
  <si>
    <t>1808-035</t>
  </si>
  <si>
    <t>1808-036</t>
  </si>
  <si>
    <t>Vàng</t>
  </si>
  <si>
    <t>1809-001</t>
  </si>
  <si>
    <t>Nguyễn Trường</t>
  </si>
  <si>
    <t>1809-002</t>
  </si>
  <si>
    <t>Hoàng Tiến</t>
  </si>
  <si>
    <t>1809-003</t>
  </si>
  <si>
    <t>Nguyễn Hữu</t>
  </si>
  <si>
    <t>Phan</t>
  </si>
  <si>
    <t>1809-004</t>
  </si>
  <si>
    <t>Trịnh Hoàng</t>
  </si>
  <si>
    <t>1809-005</t>
  </si>
  <si>
    <t xml:space="preserve">Bùi Phương </t>
  </si>
  <si>
    <t>1809-006</t>
  </si>
  <si>
    <t xml:space="preserve">Cao Anh </t>
  </si>
  <si>
    <t>1809-007</t>
  </si>
  <si>
    <t xml:space="preserve">Trần Duy </t>
  </si>
  <si>
    <t>1809-008</t>
  </si>
  <si>
    <t xml:space="preserve">Võ Hoàng Quốc </t>
  </si>
  <si>
    <t>1809-009</t>
  </si>
  <si>
    <t xml:space="preserve">Phạm Anh </t>
  </si>
  <si>
    <t>1809-010</t>
  </si>
  <si>
    <t xml:space="preserve">Đinh Hoàng </t>
  </si>
  <si>
    <t>1809-011</t>
  </si>
  <si>
    <t xml:space="preserve">Nguyễn Tiến </t>
  </si>
  <si>
    <t>1809-012</t>
  </si>
  <si>
    <t>1809-013</t>
  </si>
  <si>
    <t xml:space="preserve">Nguyễn Thế </t>
  </si>
  <si>
    <t>Chương</t>
  </si>
  <si>
    <t>1809-014</t>
  </si>
  <si>
    <t xml:space="preserve">Trịnh Tuấn </t>
  </si>
  <si>
    <t>1809-015</t>
  </si>
  <si>
    <t>1809-016</t>
  </si>
  <si>
    <t>1809-017</t>
  </si>
  <si>
    <t>Trần Khả</t>
  </si>
  <si>
    <t>1809-018</t>
  </si>
  <si>
    <t xml:space="preserve">Đoàn Công </t>
  </si>
  <si>
    <t>1809-019</t>
  </si>
  <si>
    <t>Quách Triệu</t>
  </si>
  <si>
    <t>1809-020</t>
  </si>
  <si>
    <t xml:space="preserve">Quách Quang </t>
  </si>
  <si>
    <t>1809-021</t>
  </si>
  <si>
    <t>Hứa Vĩnh</t>
  </si>
  <si>
    <t>1810-001</t>
  </si>
  <si>
    <t>Đỗ Lập</t>
  </si>
  <si>
    <t xml:space="preserve"> Đức</t>
  </si>
  <si>
    <t>1810-002</t>
  </si>
  <si>
    <t>Hào</t>
  </si>
  <si>
    <t>07/07/2018</t>
  </si>
  <si>
    <t>1810-003</t>
  </si>
  <si>
    <t>18/07/2018</t>
  </si>
  <si>
    <t>1810-004</t>
  </si>
  <si>
    <t>Ngô Hoàng Duy</t>
  </si>
  <si>
    <t>1810-005</t>
  </si>
  <si>
    <t>24/07/2018</t>
  </si>
  <si>
    <t>1810-006</t>
  </si>
  <si>
    <t>Nguyễn Hoàng Hải</t>
  </si>
  <si>
    <t>19/07/2018</t>
  </si>
  <si>
    <t>1810-007</t>
  </si>
  <si>
    <t>Nguyễn Trần</t>
  </si>
  <si>
    <t>1810-008</t>
  </si>
  <si>
    <t>Huỳnh Tấn</t>
  </si>
  <si>
    <t>DL</t>
  </si>
  <si>
    <t>1810-009</t>
  </si>
  <si>
    <t>1810-010</t>
  </si>
  <si>
    <t xml:space="preserve">Bùi Minh </t>
  </si>
  <si>
    <t>1810-011</t>
  </si>
  <si>
    <t>1810-012</t>
  </si>
  <si>
    <t>Châu Thế</t>
  </si>
  <si>
    <t>1810-013</t>
  </si>
  <si>
    <t>Sị</t>
  </si>
  <si>
    <t>1810-014</t>
  </si>
  <si>
    <t>1810-015</t>
  </si>
  <si>
    <t>Năm</t>
  </si>
  <si>
    <t>1810-016</t>
  </si>
  <si>
    <t>Ngô Trọng</t>
  </si>
  <si>
    <t>1810-017</t>
  </si>
  <si>
    <t>Vũ Đức</t>
  </si>
  <si>
    <t>1810-018</t>
  </si>
  <si>
    <t>Thống</t>
  </si>
  <si>
    <t>1810-019</t>
  </si>
  <si>
    <t>Nghệ</t>
  </si>
  <si>
    <t>1810-020</t>
  </si>
  <si>
    <t>Đỗ Thanh</t>
  </si>
  <si>
    <t>1810-021</t>
  </si>
  <si>
    <t>Từ Chí</t>
  </si>
  <si>
    <t>1810-022</t>
  </si>
  <si>
    <t>1810-023</t>
  </si>
  <si>
    <t>Phạm</t>
  </si>
  <si>
    <t>Biển</t>
  </si>
  <si>
    <t>1810-024</t>
  </si>
  <si>
    <t>Nghĩa</t>
  </si>
  <si>
    <t>1810-025</t>
  </si>
  <si>
    <t xml:space="preserve">Trần Hiếu </t>
  </si>
  <si>
    <t>1810-026</t>
  </si>
  <si>
    <t xml:space="preserve">Nguyễn Long  </t>
  </si>
  <si>
    <t>1811-001</t>
  </si>
  <si>
    <t xml:space="preserve">Huỳnh Quang </t>
  </si>
  <si>
    <t>1811-002</t>
  </si>
  <si>
    <t xml:space="preserve">Nguyễn Trọng </t>
  </si>
  <si>
    <t>1811-003</t>
  </si>
  <si>
    <t xml:space="preserve">Võ Thành </t>
  </si>
  <si>
    <t>1811-004</t>
  </si>
  <si>
    <t>Nguyễn Thái</t>
  </si>
  <si>
    <t>Học</t>
  </si>
  <si>
    <t>1811-005</t>
  </si>
  <si>
    <t>Phạm Hoàng Duy</t>
  </si>
  <si>
    <t>1811-006</t>
  </si>
  <si>
    <t>1811-007</t>
  </si>
  <si>
    <t xml:space="preserve">Cao Trần </t>
  </si>
  <si>
    <t>1811-008</t>
  </si>
  <si>
    <t>Liêm</t>
  </si>
  <si>
    <t>1811-009</t>
  </si>
  <si>
    <t xml:space="preserve">Đinh Công </t>
  </si>
  <si>
    <t>1811-010</t>
  </si>
  <si>
    <t>1811-011</t>
  </si>
  <si>
    <t xml:space="preserve">Bùi Thiện </t>
  </si>
  <si>
    <t>1811-012</t>
  </si>
  <si>
    <t>Phạm Mạnh</t>
  </si>
  <si>
    <t>1811-013</t>
  </si>
  <si>
    <t xml:space="preserve">Nguyễn Tấn </t>
  </si>
  <si>
    <t>1811-014</t>
  </si>
  <si>
    <t>Trang Văn</t>
  </si>
  <si>
    <t>Tùng</t>
  </si>
  <si>
    <t>1811-015</t>
  </si>
  <si>
    <t xml:space="preserve">Hà Huy </t>
  </si>
  <si>
    <t>Giáp</t>
  </si>
  <si>
    <t>1811-016</t>
  </si>
  <si>
    <t>1811-017</t>
  </si>
  <si>
    <t xml:space="preserve">Huỳnh Tuấn </t>
  </si>
  <si>
    <t>1811-018</t>
  </si>
  <si>
    <t xml:space="preserve">Lê Triệu </t>
  </si>
  <si>
    <t>Phúc</t>
  </si>
  <si>
    <t>1811-019</t>
  </si>
  <si>
    <t xml:space="preserve">Đỗ Hoài </t>
  </si>
  <si>
    <t>1811-020</t>
  </si>
  <si>
    <t>1811-021</t>
  </si>
  <si>
    <t xml:space="preserve">Ngô Thiên </t>
  </si>
  <si>
    <t>1811-022</t>
  </si>
  <si>
    <t>1811-023</t>
  </si>
  <si>
    <t xml:space="preserve">Thái Hồng </t>
  </si>
  <si>
    <t>1811-024</t>
  </si>
  <si>
    <t>1811-025</t>
  </si>
  <si>
    <t>Nguyễn Nhật</t>
  </si>
  <si>
    <t>1811-026</t>
  </si>
  <si>
    <t xml:space="preserve">Trần Đức </t>
  </si>
  <si>
    <t>1811-027</t>
  </si>
  <si>
    <t xml:space="preserve">Lê Lý Công </t>
  </si>
  <si>
    <t>Khanh</t>
  </si>
  <si>
    <t>1811-028</t>
  </si>
  <si>
    <t xml:space="preserve">Đặng Văn </t>
  </si>
  <si>
    <t>1811-029</t>
  </si>
  <si>
    <t>1811-030</t>
  </si>
  <si>
    <t>Tư</t>
  </si>
  <si>
    <t>1811-031</t>
  </si>
  <si>
    <t xml:space="preserve">Vũ Văn </t>
  </si>
  <si>
    <t>Tuyên</t>
  </si>
  <si>
    <t>1811-032</t>
  </si>
  <si>
    <t>1811-033</t>
  </si>
  <si>
    <t xml:space="preserve">Bùi Quang </t>
  </si>
  <si>
    <t>Thái</t>
  </si>
  <si>
    <t>1811-034</t>
  </si>
  <si>
    <t xml:space="preserve">Thái Ngọc </t>
  </si>
  <si>
    <t>1811-035</t>
  </si>
  <si>
    <t>Nguyễn Mạnh</t>
  </si>
  <si>
    <t>Phi</t>
  </si>
  <si>
    <t>1811-036</t>
  </si>
  <si>
    <t>1811-037</t>
  </si>
  <si>
    <t xml:space="preserve">Trần Hoàng </t>
  </si>
  <si>
    <t>Vân</t>
  </si>
  <si>
    <t>1811-038</t>
  </si>
  <si>
    <t>Toán</t>
  </si>
  <si>
    <t>1811-039</t>
  </si>
  <si>
    <t>1811-040</t>
  </si>
  <si>
    <t>Nguyễn Văn</t>
  </si>
  <si>
    <t>Mỹ</t>
  </si>
  <si>
    <t>1811-041</t>
  </si>
  <si>
    <t>Võ Hưng Huyền</t>
  </si>
  <si>
    <t>1811-042</t>
  </si>
  <si>
    <t xml:space="preserve">Lê Khắc </t>
  </si>
  <si>
    <t>1811-043</t>
  </si>
  <si>
    <t>Nguyễn Thương Như</t>
  </si>
  <si>
    <t>1811-044</t>
  </si>
  <si>
    <t>Danh</t>
  </si>
  <si>
    <t>1811-045</t>
  </si>
  <si>
    <t xml:space="preserve">Phạm Chí </t>
  </si>
  <si>
    <t>1811-046</t>
  </si>
  <si>
    <t xml:space="preserve">Đặng Thanh </t>
  </si>
  <si>
    <t>1811-047</t>
  </si>
  <si>
    <t xml:space="preserve">Lương Trọng </t>
  </si>
  <si>
    <t>1811-048</t>
  </si>
  <si>
    <t>Nguyễn Bảo</t>
  </si>
  <si>
    <t>1811-049</t>
  </si>
  <si>
    <t>Bùi Công</t>
  </si>
  <si>
    <t>1811-050</t>
  </si>
  <si>
    <t>Lâm Chiêu</t>
  </si>
  <si>
    <t>Hỷ</t>
  </si>
  <si>
    <t>1811-051</t>
  </si>
  <si>
    <t xml:space="preserve">Phạm Văn </t>
  </si>
  <si>
    <t>1811-052</t>
  </si>
  <si>
    <t>1811-053</t>
  </si>
  <si>
    <t>Trần Văn</t>
  </si>
  <si>
    <t>Nghiệp</t>
  </si>
  <si>
    <t>1811-054</t>
  </si>
  <si>
    <t>Lầu Vĩnh</t>
  </si>
  <si>
    <t>1812-001</t>
  </si>
  <si>
    <t xml:space="preserve">Lương Anh </t>
  </si>
  <si>
    <t>1812-002</t>
  </si>
  <si>
    <t xml:space="preserve">Phạm Cao </t>
  </si>
  <si>
    <t>1812-003</t>
  </si>
  <si>
    <t xml:space="preserve">Nguyễn Hoàng </t>
  </si>
  <si>
    <t>1812-004</t>
  </si>
  <si>
    <t xml:space="preserve">Nguyễn Văn </t>
  </si>
  <si>
    <t>1812-005</t>
  </si>
  <si>
    <t>Diệp Anh</t>
  </si>
  <si>
    <t>1812-006</t>
  </si>
  <si>
    <t xml:space="preserve">Trần Văn </t>
  </si>
  <si>
    <t>1812-007</t>
  </si>
  <si>
    <t>Lê Trung</t>
  </si>
  <si>
    <t>1812-008</t>
  </si>
  <si>
    <t>1812-009</t>
  </si>
  <si>
    <t>Dương Hữu</t>
  </si>
  <si>
    <t>1812-010</t>
  </si>
  <si>
    <t xml:space="preserve">Lê Phi  </t>
  </si>
  <si>
    <t>1812-011</t>
  </si>
  <si>
    <t xml:space="preserve">Đỗ Văn </t>
  </si>
  <si>
    <t>1812-012</t>
  </si>
  <si>
    <t xml:space="preserve">Trần Minh </t>
  </si>
  <si>
    <t>1812-013</t>
  </si>
  <si>
    <t>1812-014</t>
  </si>
  <si>
    <t xml:space="preserve">Nguyễn Hùng </t>
  </si>
  <si>
    <t>1812-015</t>
  </si>
  <si>
    <t xml:space="preserve">Nguyễn Tấn </t>
  </si>
  <si>
    <t>1812-016</t>
  </si>
  <si>
    <t>1812-017</t>
  </si>
  <si>
    <t>1812-018</t>
  </si>
  <si>
    <t xml:space="preserve">Ngô Phi </t>
  </si>
  <si>
    <t>1812-019</t>
  </si>
  <si>
    <t xml:space="preserve">Nguyễn Ngọc </t>
  </si>
  <si>
    <t>Huệ</t>
  </si>
  <si>
    <t xml:space="preserve">DL </t>
  </si>
  <si>
    <t>1812-020</t>
  </si>
  <si>
    <t xml:space="preserve">Nguyễn Thanh </t>
  </si>
  <si>
    <t>1812-021</t>
  </si>
  <si>
    <t xml:space="preserve">Phạm Đông </t>
  </si>
  <si>
    <t>Hà</t>
  </si>
  <si>
    <t>1812-022</t>
  </si>
  <si>
    <t>Nguyễn Hoàng</t>
  </si>
  <si>
    <t>1901-001</t>
  </si>
  <si>
    <t xml:space="preserve">Nguyễn Thành </t>
  </si>
  <si>
    <t>1901-002</t>
  </si>
  <si>
    <t xml:space="preserve">Nguyễn Kim </t>
  </si>
  <si>
    <t>1901-003</t>
  </si>
  <si>
    <t xml:space="preserve">Phan Hoàng </t>
  </si>
  <si>
    <t>1901-004</t>
  </si>
  <si>
    <t xml:space="preserve">Lục Bát </t>
  </si>
  <si>
    <t>Ân</t>
  </si>
  <si>
    <t>1901-005</t>
  </si>
  <si>
    <t>1901-006</t>
  </si>
  <si>
    <t>1901-007</t>
  </si>
  <si>
    <t xml:space="preserve">Nguyễn Thế  </t>
  </si>
  <si>
    <t>1901-008</t>
  </si>
  <si>
    <t>Lên</t>
  </si>
  <si>
    <t>1901-009</t>
  </si>
  <si>
    <t>Đồng Hương Đức</t>
  </si>
  <si>
    <t>1901-010</t>
  </si>
  <si>
    <t>1901-011</t>
  </si>
  <si>
    <t xml:space="preserve">Nguyễn Xuân </t>
  </si>
  <si>
    <t>1901-012</t>
  </si>
  <si>
    <t xml:space="preserve">Phạm Văn </t>
  </si>
  <si>
    <t>1901-013</t>
  </si>
  <si>
    <t>1901-014</t>
  </si>
  <si>
    <t>1901-015</t>
  </si>
  <si>
    <t>Lương Đình</t>
  </si>
  <si>
    <t>Lũy</t>
  </si>
  <si>
    <t>1901-016</t>
  </si>
  <si>
    <t>Ngoan</t>
  </si>
  <si>
    <t>1901-017</t>
  </si>
  <si>
    <t>Nhật</t>
  </si>
  <si>
    <t>1901-018</t>
  </si>
  <si>
    <t>1901-019</t>
  </si>
  <si>
    <t>1901-020</t>
  </si>
  <si>
    <t>Nguyễn Phạm Hoài</t>
  </si>
  <si>
    <t>1901-021</t>
  </si>
  <si>
    <t>Tống Văn</t>
  </si>
  <si>
    <t>Còn</t>
  </si>
  <si>
    <t>1901-022</t>
  </si>
  <si>
    <t>Trương Thành</t>
  </si>
  <si>
    <t>Quyên</t>
  </si>
  <si>
    <t>1901-023</t>
  </si>
  <si>
    <t>1901-024</t>
  </si>
  <si>
    <t>Trần Duy</t>
  </si>
  <si>
    <t>1901-025</t>
  </si>
  <si>
    <t xml:space="preserve">Trần Đình </t>
  </si>
  <si>
    <t>Văn</t>
  </si>
  <si>
    <t>1901-026</t>
  </si>
  <si>
    <t xml:space="preserve">Lê Quốc </t>
  </si>
  <si>
    <t>1901-027</t>
  </si>
  <si>
    <t>1901-028</t>
  </si>
  <si>
    <t>Cao Minh</t>
  </si>
  <si>
    <t>1901-029</t>
  </si>
  <si>
    <t>Ngô Văn</t>
  </si>
  <si>
    <t>1901-030</t>
  </si>
  <si>
    <t>Phạm Văn</t>
  </si>
  <si>
    <t>1901-031</t>
  </si>
  <si>
    <t>1901-032</t>
  </si>
  <si>
    <t>Trần Minh</t>
  </si>
  <si>
    <t>1901-033</t>
  </si>
  <si>
    <t>1901-034</t>
  </si>
  <si>
    <t>Nguyễn Văn Thành</t>
  </si>
  <si>
    <t>1901-035</t>
  </si>
  <si>
    <t>1901-036</t>
  </si>
  <si>
    <t xml:space="preserve">Đỗ Chung </t>
  </si>
  <si>
    <t>1901-037</t>
  </si>
  <si>
    <t xml:space="preserve">Trương Minh </t>
  </si>
  <si>
    <t>1901-038</t>
  </si>
  <si>
    <t>Trương Quốc</t>
  </si>
  <si>
    <t>1901-039</t>
  </si>
  <si>
    <t xml:space="preserve">Nguyễn Hiếu </t>
  </si>
  <si>
    <t>03/01/2019</t>
  </si>
  <si>
    <t>1901-040</t>
  </si>
  <si>
    <t xml:space="preserve">Lê Phương </t>
  </si>
  <si>
    <t>1901-041</t>
  </si>
  <si>
    <t xml:space="preserve">Lưu Văn </t>
  </si>
  <si>
    <t>1901-042</t>
  </si>
  <si>
    <t xml:space="preserve">Lê Hoàng </t>
  </si>
  <si>
    <t>1901-043</t>
  </si>
  <si>
    <t xml:space="preserve">Lê Tấn </t>
  </si>
  <si>
    <t>1901-044</t>
  </si>
  <si>
    <t xml:space="preserve">Trần Hữu </t>
  </si>
  <si>
    <t>Quốc</t>
  </si>
  <si>
    <t>1901-045</t>
  </si>
  <si>
    <t xml:space="preserve">Châu Minh </t>
  </si>
  <si>
    <t>1901-046</t>
  </si>
  <si>
    <t>Trương Gia</t>
  </si>
  <si>
    <t>1901-047</t>
  </si>
  <si>
    <t>1901-048</t>
  </si>
  <si>
    <t>1902-001</t>
  </si>
  <si>
    <t>Tí</t>
  </si>
  <si>
    <t>1902-002</t>
  </si>
  <si>
    <t xml:space="preserve">Lê Quốc </t>
  </si>
  <si>
    <t>1902-003</t>
  </si>
  <si>
    <t xml:space="preserve">Diệp Quốc </t>
  </si>
  <si>
    <t>1902-004</t>
  </si>
  <si>
    <t>1902-005</t>
  </si>
  <si>
    <t xml:space="preserve">Đinh Tiến </t>
  </si>
  <si>
    <t>Vượng</t>
  </si>
  <si>
    <t>1902-006</t>
  </si>
  <si>
    <t xml:space="preserve">Lê Đức </t>
  </si>
  <si>
    <t>1902-007</t>
  </si>
  <si>
    <t>Nguyễn Đình</t>
  </si>
  <si>
    <t>1902-008</t>
  </si>
  <si>
    <t xml:space="preserve">Nguyễn Hồng </t>
  </si>
  <si>
    <t>1902-009</t>
  </si>
  <si>
    <t>Trương Quang</t>
  </si>
  <si>
    <t>1902-010</t>
  </si>
  <si>
    <t xml:space="preserve">Chu Văn </t>
  </si>
  <si>
    <t>1902-011</t>
  </si>
  <si>
    <t>Nguyễn Khương</t>
  </si>
  <si>
    <t>1902-012</t>
  </si>
  <si>
    <t>Lý Duy</t>
  </si>
  <si>
    <t>1902-013</t>
  </si>
  <si>
    <t>Lê Đăng</t>
  </si>
  <si>
    <t>Khoa</t>
  </si>
  <si>
    <t>1902-014</t>
  </si>
  <si>
    <t>Đoàn Đại</t>
  </si>
  <si>
    <t>1902-015</t>
  </si>
  <si>
    <t>Trần Chương Quốc</t>
  </si>
  <si>
    <t>1902-016</t>
  </si>
  <si>
    <t>1902-017</t>
  </si>
  <si>
    <t>Nguyễn Hồng</t>
  </si>
  <si>
    <t>1902-018</t>
  </si>
  <si>
    <t>Hoàng Thế</t>
  </si>
  <si>
    <t>1902-019</t>
  </si>
  <si>
    <t>1902-020</t>
  </si>
  <si>
    <t>1902-021</t>
  </si>
  <si>
    <t>1902-022</t>
  </si>
  <si>
    <t>1903-001</t>
  </si>
  <si>
    <t>1903-002</t>
  </si>
  <si>
    <t>Siêu Nam</t>
  </si>
  <si>
    <t>1903-003</t>
  </si>
  <si>
    <t>1903-004</t>
  </si>
  <si>
    <t>1903-005</t>
  </si>
  <si>
    <t xml:space="preserve">Võ Huỳnh Quang </t>
  </si>
  <si>
    <t>Khải</t>
  </si>
  <si>
    <t>1903-006</t>
  </si>
  <si>
    <t>1903-007</t>
  </si>
  <si>
    <t xml:space="preserve"> Liêm</t>
  </si>
  <si>
    <t>13/03/2019</t>
  </si>
  <si>
    <t>1903-008</t>
  </si>
  <si>
    <t>Huỳnh Công</t>
  </si>
  <si>
    <t>Triều</t>
  </si>
  <si>
    <t>1903-009</t>
  </si>
  <si>
    <t>1903-010</t>
  </si>
  <si>
    <t>Thân Lại Trường</t>
  </si>
  <si>
    <t>1903-011</t>
  </si>
  <si>
    <t>Phạm Minh</t>
  </si>
  <si>
    <t>1903-012</t>
  </si>
  <si>
    <t>Vũ Minh</t>
  </si>
  <si>
    <t>1903-013</t>
  </si>
  <si>
    <t>Phạm Anh</t>
  </si>
  <si>
    <t>1903-014</t>
  </si>
  <si>
    <t xml:space="preserve">Trần Ngọc </t>
  </si>
  <si>
    <t>1903-015</t>
  </si>
  <si>
    <t xml:space="preserve">Trần Vũ </t>
  </si>
  <si>
    <t>1903-016</t>
  </si>
  <si>
    <t>Trịnh Xuân</t>
  </si>
  <si>
    <t>1903-017</t>
  </si>
  <si>
    <t>20/3/2019</t>
  </si>
  <si>
    <t>1903-018</t>
  </si>
  <si>
    <t>Khánh</t>
  </si>
  <si>
    <t>1903-019</t>
  </si>
  <si>
    <t>1903-020</t>
  </si>
  <si>
    <t>Cảm</t>
  </si>
  <si>
    <t>1903-021</t>
  </si>
  <si>
    <t>Dũ</t>
  </si>
  <si>
    <t>1903-022</t>
  </si>
  <si>
    <t>Nguyễn Hùng</t>
  </si>
  <si>
    <t>22/3/2019</t>
  </si>
  <si>
    <t>1903-023</t>
  </si>
  <si>
    <t>Trần Hữu</t>
  </si>
  <si>
    <t>Có</t>
  </si>
  <si>
    <t>28/3/2019</t>
  </si>
  <si>
    <t>1903-024</t>
  </si>
  <si>
    <t>1903-025</t>
  </si>
  <si>
    <t>29/3/2019</t>
  </si>
  <si>
    <t>1903-026</t>
  </si>
  <si>
    <t>Lê Quang</t>
  </si>
  <si>
    <t>1904-001</t>
  </si>
  <si>
    <t>01/4/2019</t>
  </si>
  <si>
    <t>1904-002</t>
  </si>
  <si>
    <t>1904-003</t>
  </si>
  <si>
    <t>Quách Văn</t>
  </si>
  <si>
    <t>1904-004</t>
  </si>
  <si>
    <t xml:space="preserve">Nguyễn Tuấn </t>
  </si>
  <si>
    <t>1904-005</t>
  </si>
  <si>
    <t xml:space="preserve">Nguyễn Anh </t>
  </si>
  <si>
    <t>1904-006</t>
  </si>
  <si>
    <t>1904-007</t>
  </si>
  <si>
    <t>09/4/2019</t>
  </si>
  <si>
    <t>1904-008</t>
  </si>
  <si>
    <t>10/4/2019</t>
  </si>
  <si>
    <t>1904-009</t>
  </si>
  <si>
    <t>1904-010</t>
  </si>
  <si>
    <t>Trần Tiến</t>
  </si>
  <si>
    <t>Đoàn</t>
  </si>
  <si>
    <t>1904-011</t>
  </si>
  <si>
    <t xml:space="preserve">Phạm Ngọc </t>
  </si>
  <si>
    <t>11/4/2019</t>
  </si>
  <si>
    <t>1904-012</t>
  </si>
  <si>
    <t>Nguyễn Thành</t>
  </si>
  <si>
    <t>1904-013</t>
  </si>
  <si>
    <t xml:space="preserve">Đặng Tuấn </t>
  </si>
  <si>
    <t>1904-014</t>
  </si>
  <si>
    <t>1904-015</t>
  </si>
  <si>
    <t>Dương Công</t>
  </si>
  <si>
    <t>1904-016</t>
  </si>
  <si>
    <t>Ngô Hiếu</t>
  </si>
  <si>
    <t>1904-017</t>
  </si>
  <si>
    <t>Huỳnh Văn</t>
  </si>
  <si>
    <t>Quan</t>
  </si>
  <si>
    <t>1904-018</t>
  </si>
  <si>
    <t>Tuệ</t>
  </si>
  <si>
    <t>1904-019</t>
  </si>
  <si>
    <t>Nguyễn Anh</t>
  </si>
  <si>
    <t>1904-020</t>
  </si>
  <si>
    <t>Đặng Văn</t>
  </si>
  <si>
    <t>1904-021</t>
  </si>
  <si>
    <t>Mai Văn</t>
  </si>
  <si>
    <t>1904-022</t>
  </si>
  <si>
    <t>Trạng</t>
  </si>
  <si>
    <t>1904-023</t>
  </si>
  <si>
    <t>1904-024</t>
  </si>
  <si>
    <t>Nguyễn Đức</t>
  </si>
  <si>
    <t>1904-025</t>
  </si>
  <si>
    <t>24/12/2018</t>
  </si>
  <si>
    <t>23/4/2019</t>
  </si>
  <si>
    <t>1904-026</t>
  </si>
  <si>
    <t>Đoàn Văn</t>
  </si>
  <si>
    <t>1904-027</t>
  </si>
  <si>
    <t>11/01/2019</t>
  </si>
  <si>
    <t>1904-028</t>
  </si>
  <si>
    <t xml:space="preserve">Trần Gia </t>
  </si>
  <si>
    <t>30/01/2019</t>
  </si>
  <si>
    <t>1904-029</t>
  </si>
  <si>
    <t>24/04/2019</t>
  </si>
  <si>
    <t>1904-030</t>
  </si>
  <si>
    <t xml:space="preserve">Nguyễn Hữu </t>
  </si>
  <si>
    <t>Nhơn</t>
  </si>
  <si>
    <t>1904-031</t>
  </si>
  <si>
    <t>Nguyễn Khánh</t>
  </si>
  <si>
    <t>29/04/2019</t>
  </si>
  <si>
    <t>1905-001</t>
  </si>
  <si>
    <t xml:space="preserve"> Nguyễn Quốc</t>
  </si>
  <si>
    <t>1905-002</t>
  </si>
  <si>
    <t>Đặng Hoàng</t>
  </si>
  <si>
    <t>1905-003</t>
  </si>
  <si>
    <t>Lâm Hoàng</t>
  </si>
  <si>
    <t>1905-004</t>
  </si>
  <si>
    <t>1905-005</t>
  </si>
  <si>
    <t>Châu Thái Hồng</t>
  </si>
  <si>
    <t>Nguyên</t>
  </si>
  <si>
    <t>1905-006</t>
  </si>
  <si>
    <t>1905-007</t>
  </si>
  <si>
    <t>1905-008</t>
  </si>
  <si>
    <t>Điệp</t>
  </si>
  <si>
    <t>1905-009</t>
  </si>
  <si>
    <t>Nguyễn Chính</t>
  </si>
  <si>
    <t>1905-010</t>
  </si>
  <si>
    <t>Võ Ngọc</t>
  </si>
  <si>
    <t>1905-011</t>
  </si>
  <si>
    <t>Trang Minh</t>
  </si>
  <si>
    <t>1905-012</t>
  </si>
  <si>
    <t>1905-013</t>
  </si>
  <si>
    <t>1905-014</t>
  </si>
  <si>
    <t>1905-015</t>
  </si>
  <si>
    <t>Võ Phước</t>
  </si>
  <si>
    <t>1905-016</t>
  </si>
  <si>
    <t>1905-017</t>
  </si>
  <si>
    <t>Dương Đức Lê</t>
  </si>
  <si>
    <t>1905-018</t>
  </si>
  <si>
    <t xml:space="preserve">Võ Thanh </t>
  </si>
  <si>
    <t>1905-019</t>
  </si>
  <si>
    <t>1905-020</t>
  </si>
  <si>
    <t>Huỳnh Minh</t>
  </si>
  <si>
    <t>1905-021</t>
  </si>
  <si>
    <t>Nguyễn Trung</t>
  </si>
  <si>
    <t xml:space="preserve"> Hiếu</t>
  </si>
  <si>
    <t>1905-022</t>
  </si>
  <si>
    <t>Dương Trọng Quang</t>
  </si>
  <si>
    <t>1905-023</t>
  </si>
  <si>
    <t>Trần Ngọc</t>
  </si>
  <si>
    <t>1905-024</t>
  </si>
  <si>
    <t xml:space="preserve">Vũ Hoài </t>
  </si>
  <si>
    <t>1905-025</t>
  </si>
  <si>
    <t>Đào Quang</t>
  </si>
  <si>
    <t>1905-026</t>
  </si>
  <si>
    <t>1905-027</t>
  </si>
  <si>
    <t>1905-028</t>
  </si>
  <si>
    <t>1905-029</t>
  </si>
  <si>
    <t>1905-030</t>
  </si>
  <si>
    <t>1905-031</t>
  </si>
  <si>
    <t>Triển</t>
  </si>
  <si>
    <t>1905-032</t>
  </si>
  <si>
    <t>Bùi Tuấn</t>
  </si>
  <si>
    <t>1906-001</t>
  </si>
  <si>
    <t>Đinh Quang</t>
  </si>
  <si>
    <t>1906-002</t>
  </si>
  <si>
    <t>1906-003</t>
  </si>
  <si>
    <t>Thân</t>
  </si>
  <si>
    <t>1906-004</t>
  </si>
  <si>
    <t xml:space="preserve"> Huỳnh Anh</t>
  </si>
  <si>
    <t>1906-005</t>
  </si>
  <si>
    <t>1906-006</t>
  </si>
  <si>
    <t>Thái Văn</t>
  </si>
  <si>
    <t>Quốc</t>
  </si>
  <si>
    <t>1906-007</t>
  </si>
  <si>
    <t>Hướng</t>
  </si>
  <si>
    <t>1906-008</t>
  </si>
  <si>
    <t>1906-009</t>
  </si>
  <si>
    <t>1906-010</t>
  </si>
  <si>
    <t>Dương Văn</t>
  </si>
  <si>
    <t>1906-011</t>
  </si>
  <si>
    <t>1906-012</t>
  </si>
  <si>
    <t>1906-013</t>
  </si>
  <si>
    <t>Phan Thành</t>
  </si>
  <si>
    <t>1906-014</t>
  </si>
  <si>
    <t>Ngô Quang</t>
  </si>
  <si>
    <t>1906-015</t>
  </si>
  <si>
    <t>Lưu Quốc</t>
  </si>
  <si>
    <t>1906-016</t>
  </si>
  <si>
    <t>Bùi Vũ</t>
  </si>
  <si>
    <t>1906-017</t>
  </si>
  <si>
    <t>Cao Ngọc</t>
  </si>
  <si>
    <t>1906-018</t>
  </si>
  <si>
    <t>Nguyễn Đình</t>
  </si>
  <si>
    <t>1906-019</t>
  </si>
  <si>
    <t>Thương</t>
  </si>
  <si>
    <t>1906-020</t>
  </si>
  <si>
    <t>Đoàn Minh</t>
  </si>
  <si>
    <t>Tèo</t>
  </si>
  <si>
    <t>1906-021</t>
  </si>
  <si>
    <t>Lê Sóng</t>
  </si>
  <si>
    <t>1906-022</t>
  </si>
  <si>
    <t>Trần Xuân</t>
  </si>
  <si>
    <t>Tiền</t>
  </si>
  <si>
    <t>1906-023</t>
  </si>
  <si>
    <t>Châu Ngọc</t>
  </si>
  <si>
    <t>1906-024</t>
  </si>
  <si>
    <t>Lê Mỹ</t>
  </si>
  <si>
    <t>1906-025</t>
  </si>
  <si>
    <t>Nguyễn Văn Lê</t>
  </si>
  <si>
    <t>1906-026</t>
  </si>
  <si>
    <t>1906-027</t>
  </si>
  <si>
    <t>1906-028</t>
  </si>
  <si>
    <t>1906-029</t>
  </si>
  <si>
    <t>Diệp Tuấn</t>
  </si>
  <si>
    <t>1906-030</t>
  </si>
  <si>
    <t>Nguyễn Công</t>
  </si>
  <si>
    <t>Chính</t>
  </si>
  <si>
    <t>1906-031</t>
  </si>
  <si>
    <t>1906-032</t>
  </si>
  <si>
    <t>1906-033</t>
  </si>
  <si>
    <t>Trần Đức</t>
  </si>
  <si>
    <t>1906-034</t>
  </si>
  <si>
    <t>Võ Thành</t>
  </si>
  <si>
    <t>Quân</t>
  </si>
  <si>
    <t>1906-035</t>
  </si>
  <si>
    <t>1906-036</t>
  </si>
  <si>
    <t>Trần Tấn</t>
  </si>
  <si>
    <t>1906-037</t>
  </si>
  <si>
    <t>Bùi Thành</t>
  </si>
  <si>
    <t>1906-038</t>
  </si>
  <si>
    <t>Đinh Quốc</t>
  </si>
  <si>
    <t>1906-039</t>
  </si>
  <si>
    <t>Lê Thành</t>
  </si>
  <si>
    <t>THÀNH</t>
  </si>
  <si>
    <t>DANH SÁCH HỌC VIÊN 5 KHU</t>
  </si>
  <si>
    <t>BẢNG NHẬP LIỆU THĂM NUÔI 2019</t>
  </si>
  <si>
    <t>THÔNG TIN NGƯỜI ĐĂNG KÍ THĂM GẶP</t>
  </si>
  <si>
    <t>THĂM ĐỢT</t>
  </si>
  <si>
    <t>LƯỢT THĂM THÁNG</t>
  </si>
  <si>
    <t>TÊN</t>
  </si>
  <si>
    <t>NS</t>
  </si>
  <si>
    <t>MQH</t>
  </si>
  <si>
    <t>CMND</t>
  </si>
  <si>
    <t>SỐ ĐT</t>
  </si>
  <si>
    <t>GHI CHÚ</t>
  </si>
  <si>
    <t>THÔNG TIN HỌC VIÊN</t>
  </si>
  <si>
    <t>HỌ</t>
  </si>
  <si>
    <t>KHU</t>
  </si>
  <si>
    <t>HIỆN DIỆN</t>
  </si>
  <si>
    <t>Đến ngày</t>
  </si>
  <si>
    <t>Lần thăm gặp</t>
  </si>
  <si>
    <t>TT NGƯỜI THĂM</t>
  </si>
  <si>
    <t>NĂM SINH</t>
  </si>
  <si>
    <t>SỐ CMND</t>
  </si>
  <si>
    <t>SĐT</t>
  </si>
  <si>
    <t>CHÁU NHỎ THĂM TRONG THÁNG</t>
  </si>
  <si>
    <t>LƯỢT THĂM NUÔI</t>
  </si>
  <si>
    <t>ĐỒ THĂM GẶP</t>
  </si>
  <si>
    <t>NGÀY</t>
  </si>
  <si>
    <t>CB GIẢI QUYẾT THĂM GẶP</t>
  </si>
  <si>
    <t>Hà Minh Thủy</t>
  </si>
  <si>
    <t>TH ĐẶC BIỆT</t>
  </si>
  <si>
    <t>MÃ</t>
  </si>
  <si>
    <t>NGÀY THĂM</t>
  </si>
  <si>
    <t>DS</t>
  </si>
  <si>
    <t>1,</t>
  </si>
  <si>
    <t>NGƯỜI THĂM</t>
  </si>
  <si>
    <t>2,</t>
  </si>
  <si>
    <t>NSTN</t>
  </si>
  <si>
    <t>Mối quan hệ</t>
  </si>
  <si>
    <t>3,</t>
  </si>
  <si>
    <t>ĐỒ THĂM NUÔI</t>
  </si>
  <si>
    <t>4,</t>
  </si>
  <si>
    <t>5,</t>
  </si>
  <si>
    <t>6,</t>
  </si>
  <si>
    <t>TRƯỜNG HỢP ĐB</t>
  </si>
  <si>
    <t>CBGQTG</t>
  </si>
  <si>
    <t>THÁNG THĂM</t>
  </si>
  <si>
    <t>GHI CHÚ CẤP SỔ</t>
  </si>
  <si>
    <t>0</t>
  </si>
  <si>
    <t>Phượng</t>
  </si>
  <si>
    <t>T4-2019</t>
  </si>
  <si>
    <t>1</t>
  </si>
  <si>
    <t>Chị</t>
  </si>
  <si>
    <t>Tuấn</t>
  </si>
  <si>
    <t>Trần Đình Nhàn</t>
  </si>
  <si>
    <t>Cha</t>
  </si>
  <si>
    <t>021701087</t>
  </si>
  <si>
    <t>Vợ</t>
  </si>
  <si>
    <t>Lê Thị Út</t>
  </si>
  <si>
    <t>Mẹ</t>
  </si>
  <si>
    <t>334406425</t>
  </si>
  <si>
    <t>Lê Thị Ngọc Đào</t>
  </si>
  <si>
    <t>7 tấm hình</t>
  </si>
  <si>
    <t>Nguyễn Thị Kim Oanh</t>
  </si>
  <si>
    <t>79184003961</t>
  </si>
  <si>
    <t>Lê Thị Nở</t>
  </si>
  <si>
    <t>Chi</t>
  </si>
  <si>
    <t>21595637</t>
  </si>
  <si>
    <t>Hải</t>
  </si>
  <si>
    <t>Nguyễn Thị Hoàng Nguyên</t>
  </si>
  <si>
    <t>20833434</t>
  </si>
  <si>
    <t>1 lá thư</t>
  </si>
  <si>
    <t>Nguyễn Cẩm Tú</t>
  </si>
  <si>
    <t>Con</t>
  </si>
  <si>
    <t>Học sinh</t>
  </si>
  <si>
    <t>Nguyễn Thị Hòa</t>
  </si>
  <si>
    <t>Cháu</t>
  </si>
  <si>
    <t>Bác</t>
  </si>
  <si>
    <t>Bà</t>
  </si>
  <si>
    <t>Cô</t>
  </si>
  <si>
    <t>PGĐ Bửu</t>
  </si>
  <si>
    <t>Dì</t>
  </si>
  <si>
    <t>Cậu</t>
  </si>
  <si>
    <t>Ông</t>
  </si>
  <si>
    <t>GĐ Bắc</t>
  </si>
  <si>
    <t>CB</t>
  </si>
  <si>
    <t>THỜI GIAN</t>
  </si>
  <si>
    <t>PGĐ Bắc</t>
  </si>
  <si>
    <t>Hồ Tuấn Anh</t>
  </si>
  <si>
    <t>PGĐ Chung</t>
  </si>
  <si>
    <t>Vũ Thị Xang</t>
  </si>
  <si>
    <t>ON</t>
  </si>
  <si>
    <t>OFF</t>
  </si>
  <si>
    <t>Mợ</t>
  </si>
  <si>
    <t>NAM</t>
  </si>
  <si>
    <t>THANG</t>
  </si>
  <si>
    <t>SO LUONG</t>
  </si>
  <si>
    <t>kt</t>
  </si>
  <si>
    <t>Chú</t>
  </si>
  <si>
    <t>THỐNG KÊ THEO LỰA CHỌN  NGÀY</t>
  </si>
  <si>
    <t>Từ ngày</t>
  </si>
  <si>
    <t>Lượt thăm</t>
  </si>
  <si>
    <t>NGÀY THĂM NUÔI PHÁT SINH NGOÀI THỨ BẢY HÀNG TUẦN</t>
  </si>
  <si>
    <t>CƠ SỞ CAI NGHIỆN MA TÚY BỐ LÁ</t>
  </si>
  <si>
    <t>DANH SÁCH THÂN NHÂN ĐĂNG KÝ THĂM GẶP THƯỜNG XUYÊN</t>
  </si>
  <si>
    <t>NO1</t>
  </si>
  <si>
    <t>số CMND</t>
  </si>
  <si>
    <t>Số ĐT</t>
  </si>
  <si>
    <t>Địa chỉ</t>
  </si>
  <si>
    <t>Giấy tờ xuất trình ban đầu</t>
  </si>
  <si>
    <t>Ghi chú</t>
  </si>
  <si>
    <t>CB kiểm tra</t>
  </si>
  <si>
    <t>Ngày nhập thông tin</t>
  </si>
  <si>
    <t>DANH SỐ HV</t>
  </si>
  <si>
    <t>TÊN HV</t>
  </si>
  <si>
    <t>TÊN HV2</t>
  </si>
  <si>
    <t>T7-2019</t>
  </si>
  <si>
    <t>số người đăng kí thăm gặp</t>
  </si>
  <si>
    <t/>
  </si>
  <si>
    <t>Cháu nhỏ</t>
  </si>
  <si>
    <t>Triệu Hương Duyên</t>
  </si>
  <si>
    <t>022693626</t>
  </si>
  <si>
    <t>Tô Lê Hồng Ngọc</t>
  </si>
  <si>
    <t>079184007596</t>
  </si>
  <si>
    <t>Lê Thị Thu Thảo</t>
  </si>
  <si>
    <t>079179004637</t>
  </si>
  <si>
    <t>Nguyễn Ngọc Diễm</t>
  </si>
  <si>
    <t>079175002102</t>
  </si>
  <si>
    <t>Trần Quang Định</t>
  </si>
  <si>
    <t>020519627</t>
  </si>
  <si>
    <t>Giang Ngọc Nga</t>
  </si>
  <si>
    <t>080160000267</t>
  </si>
  <si>
    <t>Diệp Kim Vĩnh</t>
  </si>
  <si>
    <t>023184404</t>
  </si>
  <si>
    <t>Nguyễn Thị Thu Hồng</t>
  </si>
  <si>
    <t>086166000035</t>
  </si>
  <si>
    <t>Phạm Nguyễn</t>
  </si>
  <si>
    <t>025069554</t>
  </si>
  <si>
    <t>Nguyễn Thị Yến Linh</t>
  </si>
  <si>
    <t>079178007543</t>
  </si>
  <si>
    <t>Bùi Thiện Tín</t>
  </si>
  <si>
    <t>026058788</t>
  </si>
  <si>
    <t>Nguyễn Văn Công</t>
  </si>
  <si>
    <t>020506899</t>
  </si>
  <si>
    <t>Nguyễn Xuân Trường</t>
  </si>
  <si>
    <t>023717492</t>
  </si>
  <si>
    <t>Bùi Thiện Hiếu</t>
  </si>
  <si>
    <t>Nguyễn Thị Huệ</t>
  </si>
  <si>
    <t>079174000154</t>
  </si>
  <si>
    <t>Lê Thị Thu Cúc</t>
  </si>
  <si>
    <t>021617349</t>
  </si>
  <si>
    <t>Lê Triệu Anh Phương</t>
  </si>
  <si>
    <t>079083005522</t>
  </si>
  <si>
    <t>Lê Văn Thành</t>
  </si>
  <si>
    <t>Lê Thị Lượm</t>
  </si>
  <si>
    <t>Lê Thùy Đoan Trang</t>
  </si>
  <si>
    <t>Nguyễn Thị Bạch Huệ</t>
  </si>
  <si>
    <t>020944823</t>
  </si>
  <si>
    <t>Nguyễn Tấn Thanh</t>
  </si>
  <si>
    <t>023321501</t>
  </si>
  <si>
    <t>Nguyễn Thị Khang</t>
  </si>
  <si>
    <t>022087491</t>
  </si>
  <si>
    <t>Đinh Quốc Huy</t>
  </si>
  <si>
    <t>079087006382</t>
  </si>
  <si>
    <t>Đinh An Khương</t>
  </si>
  <si>
    <t>079071005066</t>
  </si>
  <si>
    <t>Nguyễn Trung Hiếu</t>
  </si>
  <si>
    <t>079087004315</t>
  </si>
  <si>
    <t>Đồng Đức Hùng</t>
  </si>
  <si>
    <t>022099377</t>
  </si>
  <si>
    <t>Lê Thị Dung</t>
  </si>
  <si>
    <t>250837767</t>
  </si>
  <si>
    <t>Ngô Mỹ Vân</t>
  </si>
  <si>
    <t>021847338</t>
  </si>
  <si>
    <t>La Tô Hà</t>
  </si>
  <si>
    <t>022179605</t>
  </si>
  <si>
    <t>Dương Thị Cúc</t>
  </si>
  <si>
    <t>020289087</t>
  </si>
  <si>
    <t>Hà Lê Minh</t>
  </si>
  <si>
    <t>025673554</t>
  </si>
  <si>
    <t>Lê Thị Việt Hà</t>
  </si>
  <si>
    <t>034174005075</t>
  </si>
  <si>
    <t>Nguyễn Khắc Tuynh</t>
  </si>
  <si>
    <t>94023175</t>
  </si>
  <si>
    <t>Nguyễn Thị Tư</t>
  </si>
  <si>
    <t>021119185</t>
  </si>
  <si>
    <t>Nguyễn Hữu Thái Thuận</t>
  </si>
  <si>
    <t>021119211</t>
  </si>
  <si>
    <t>Thái Mỹ Linh</t>
  </si>
  <si>
    <t>Trần Thị Thu Hồng</t>
  </si>
  <si>
    <t>020284798</t>
  </si>
  <si>
    <t>Trần Văn Châu</t>
  </si>
  <si>
    <t>079090002828</t>
  </si>
  <si>
    <t>Lê Thị Mậu</t>
  </si>
  <si>
    <t>079154000592</t>
  </si>
  <si>
    <t>Nguyễn Thị lệ Chi</t>
  </si>
  <si>
    <t>079179002811</t>
  </si>
  <si>
    <t>Tôn Nữ Thanh Thủy</t>
  </si>
  <si>
    <t>023168618</t>
  </si>
  <si>
    <t>Tôn Nữ Thị Thanh</t>
  </si>
  <si>
    <t>Phan Thị Kim Phường</t>
  </si>
  <si>
    <t>212033528</t>
  </si>
  <si>
    <t>Lê Thị Thu Hà</t>
  </si>
  <si>
    <t>023063291</t>
  </si>
  <si>
    <t>Hứa chế vân</t>
  </si>
  <si>
    <t>021914645</t>
  </si>
  <si>
    <t>Nguyễn Quang Phú</t>
  </si>
  <si>
    <t>020397568</t>
  </si>
  <si>
    <t>Nguyễn Thùy Dương</t>
  </si>
  <si>
    <t>022787758</t>
  </si>
  <si>
    <t>Lê Thanh Hùng</t>
  </si>
  <si>
    <t>023197106</t>
  </si>
  <si>
    <t>Lê Quốc Mạnh</t>
  </si>
  <si>
    <t>025928631</t>
  </si>
  <si>
    <t>Lê Thị Bích Phượng</t>
  </si>
  <si>
    <t>022744970</t>
  </si>
  <si>
    <t>Hồ Thanh Duy</t>
  </si>
  <si>
    <t>025451594</t>
  </si>
  <si>
    <t>Nguyễn Hùng Dân</t>
  </si>
  <si>
    <t>024490436</t>
  </si>
  <si>
    <t>Nguyễn Thị Kim Ngọc</t>
  </si>
  <si>
    <t>023647943</t>
  </si>
  <si>
    <t>Trần Minh Nghĩa</t>
  </si>
  <si>
    <t>020329225</t>
  </si>
  <si>
    <t>Nguyễn Thị Thiên Lý</t>
  </si>
  <si>
    <t>022307521</t>
  </si>
  <si>
    <t>Phạm Thị Cẩm Linh</t>
  </si>
  <si>
    <t>024693767</t>
  </si>
  <si>
    <t>Trần Gia Bảo</t>
  </si>
  <si>
    <t>Trần Gia Huy</t>
  </si>
  <si>
    <t>Nguyễn Thị Bích Hồng</t>
  </si>
  <si>
    <t>021427752</t>
  </si>
  <si>
    <t>Trần Thị Bích Đào</t>
  </si>
  <si>
    <t>025037396</t>
  </si>
  <si>
    <t>Nguyễn Cao Cường</t>
  </si>
  <si>
    <t>025596946</t>
  </si>
  <si>
    <t>Nguyễn Thị Thu Hiền</t>
  </si>
  <si>
    <t>025259616</t>
  </si>
  <si>
    <t>281338897</t>
  </si>
  <si>
    <t>Đồng Thị Xuân Hương</t>
  </si>
  <si>
    <t>023262664</t>
  </si>
  <si>
    <t>Thị Thúy Hiền</t>
  </si>
  <si>
    <t>NguyỄN ThỊ Liễu</t>
  </si>
  <si>
    <t>020630245</t>
  </si>
  <si>
    <t>Nguyễn Khẳ Năng</t>
  </si>
  <si>
    <t>022247887</t>
  </si>
  <si>
    <t>Nguyễn Thị Bảy</t>
  </si>
  <si>
    <t>020591845</t>
  </si>
  <si>
    <t>Nguyễn Công Khánh</t>
  </si>
  <si>
    <t>310146214</t>
  </si>
  <si>
    <t>Dương Tấn Xuân</t>
  </si>
  <si>
    <t>023201883</t>
  </si>
  <si>
    <t>Dương Thị Thu Phượng</t>
  </si>
  <si>
    <t>022220011</t>
  </si>
  <si>
    <t>Dương Thị Thu Hồng</t>
  </si>
  <si>
    <t>310546583</t>
  </si>
  <si>
    <t>Phạm Thị Huyền Trân</t>
  </si>
  <si>
    <t>079184000294</t>
  </si>
  <si>
    <t>Dương Thị Thu Cúc</t>
  </si>
  <si>
    <t>021427798</t>
  </si>
  <si>
    <t>Phạm Thị Kỳ Duyên</t>
  </si>
  <si>
    <t>079301021102</t>
  </si>
  <si>
    <t>Lê Thị Lan Phương</t>
  </si>
  <si>
    <t>341713020</t>
  </si>
  <si>
    <t>Bùi Thị Nguyệt</t>
  </si>
  <si>
    <t>031180002801</t>
  </si>
  <si>
    <t>Ngô Hồng Thạch</t>
  </si>
  <si>
    <t>079099003823</t>
  </si>
  <si>
    <t>Ngô Hồng Sanh</t>
  </si>
  <si>
    <t>Ngô Hồng Phát Tài</t>
  </si>
  <si>
    <t>Trần Thị Bích Loan</t>
  </si>
  <si>
    <t>024508739</t>
  </si>
  <si>
    <t>Khuất Bá Thiện</t>
  </si>
  <si>
    <t>Đỗ Thị Mỹ</t>
  </si>
  <si>
    <t>021553470</t>
  </si>
  <si>
    <t>Khuất Mai Trinh</t>
  </si>
  <si>
    <t>022722936</t>
  </si>
  <si>
    <t>Nguyễn Thị Tình</t>
  </si>
  <si>
    <t>020916814</t>
  </si>
  <si>
    <t>Khuất Bá Đăng Khoa</t>
  </si>
  <si>
    <t>Sầm Anh Thư</t>
  </si>
  <si>
    <t>024416856</t>
  </si>
  <si>
    <t>Khuất Gia Hân</t>
  </si>
  <si>
    <t>Khuất Bá Lộc</t>
  </si>
  <si>
    <t>024699519</t>
  </si>
  <si>
    <t>Cao Thị Thương</t>
  </si>
  <si>
    <t>022835730</t>
  </si>
  <si>
    <t>Đoàn Thanh Như</t>
  </si>
  <si>
    <t>Nguyễn Văn Đức</t>
  </si>
  <si>
    <t>Phạm Thị Thu</t>
  </si>
  <si>
    <t>Sitifatimah</t>
  </si>
  <si>
    <t>079177005295</t>
  </si>
  <si>
    <t>Muhamach ali</t>
  </si>
  <si>
    <t>025520746</t>
  </si>
  <si>
    <t>Y Sa</t>
  </si>
  <si>
    <t>079202025676</t>
  </si>
  <si>
    <t>Nguyễn Thị Thanh</t>
  </si>
  <si>
    <t>021244142</t>
  </si>
  <si>
    <t>Dương Hoàng Vũ Linh</t>
  </si>
  <si>
    <t>Đàm Kim Lan</t>
  </si>
  <si>
    <t>021394478</t>
  </si>
  <si>
    <t>Trần Minh Đức</t>
  </si>
  <si>
    <t>Đặng Thị Bích Thủ</t>
  </si>
  <si>
    <t>Nguyễn Thị Anh Trang</t>
  </si>
  <si>
    <t>079190007917</t>
  </si>
  <si>
    <t>Nguyễn Thị Huỳnh</t>
  </si>
  <si>
    <t>020336057</t>
  </si>
  <si>
    <t>Lê Thị Phương Nga</t>
  </si>
  <si>
    <t>022005826</t>
  </si>
  <si>
    <t>Nguyễn Thị Xuân Thủy</t>
  </si>
  <si>
    <t>024406932</t>
  </si>
  <si>
    <t>Đinh Thị Thanh</t>
  </si>
  <si>
    <t>023583293</t>
  </si>
  <si>
    <t>Đặng Đức Hiền</t>
  </si>
  <si>
    <t>012046261</t>
  </si>
  <si>
    <t>079184003961</t>
  </si>
  <si>
    <t>Lê Thị Mai</t>
  </si>
  <si>
    <t>049157000202</t>
  </si>
  <si>
    <t>Bảo Ngọc Mỹ Dung</t>
  </si>
  <si>
    <t>068186000265</t>
  </si>
  <si>
    <t>Nguyễn Thị ánh Tuyết</t>
  </si>
  <si>
    <t>079158004768</t>
  </si>
  <si>
    <t>Ngô Thị Mai Phương</t>
  </si>
  <si>
    <t>020888035</t>
  </si>
  <si>
    <t>Nguyễn Thị Mộng Thúy</t>
  </si>
  <si>
    <t>023741787</t>
  </si>
  <si>
    <t>Bùi Thị Đào</t>
  </si>
  <si>
    <t>021275329</t>
  </si>
  <si>
    <t>Trương Nguyễn</t>
  </si>
  <si>
    <t>Ngô Thị Của</t>
  </si>
  <si>
    <t>000153000056</t>
  </si>
  <si>
    <t>Trần Thị Ngọc Ngân</t>
  </si>
  <si>
    <t>079183003045</t>
  </si>
  <si>
    <t>Trương Thị Thúy Liên</t>
  </si>
  <si>
    <t>021621214</t>
  </si>
  <si>
    <t>Bùi Công Đức</t>
  </si>
  <si>
    <t>021630767</t>
  </si>
  <si>
    <t>Nguyễn Thị Hải</t>
  </si>
  <si>
    <t>024832759</t>
  </si>
  <si>
    <t>Nguyễn Trung Thành</t>
  </si>
  <si>
    <t>068091000022</t>
  </si>
  <si>
    <t>Nguyễn Đình Khôi</t>
  </si>
  <si>
    <t>024832758</t>
  </si>
  <si>
    <t>Võ Văn Bảy</t>
  </si>
  <si>
    <t>022669230</t>
  </si>
  <si>
    <t>Đinh Văn Lang</t>
  </si>
  <si>
    <t>079060006023</t>
  </si>
  <si>
    <t>Nguyễn Thị Nhẫn</t>
  </si>
  <si>
    <t>079160006837</t>
  </si>
  <si>
    <t>Đinh Văn Thái</t>
  </si>
  <si>
    <t>07905800663</t>
  </si>
  <si>
    <t>Huỳnh Thị Lệ Nga</t>
  </si>
  <si>
    <t>022784971</t>
  </si>
  <si>
    <t>Phaạm Văn Thức</t>
  </si>
  <si>
    <t>020033409</t>
  </si>
  <si>
    <t>020833434</t>
  </si>
  <si>
    <t>Đỗ Văn Ẩn</t>
  </si>
  <si>
    <t>024662246</t>
  </si>
  <si>
    <t>Nguyễn Thúy Nga</t>
  </si>
  <si>
    <t>024662247</t>
  </si>
  <si>
    <t>Đỗ Thị Kim Thảo</t>
  </si>
  <si>
    <t>021662286</t>
  </si>
  <si>
    <t>Phan Thị Anh</t>
  </si>
  <si>
    <t>025750215</t>
  </si>
  <si>
    <t>Huỳnh Ngọc Diêm</t>
  </si>
  <si>
    <t>025696344</t>
  </si>
  <si>
    <t>Châu Muối</t>
  </si>
  <si>
    <t>079145000294</t>
  </si>
  <si>
    <t>Vũ Quang Nhơn</t>
  </si>
  <si>
    <t>079059000406</t>
  </si>
  <si>
    <t>Vũ Ngọc Bích</t>
  </si>
  <si>
    <t>079161001135</t>
  </si>
  <si>
    <t>021595637</t>
  </si>
  <si>
    <t>Nguyễn Thị Thoa</t>
  </si>
  <si>
    <t>079184010970</t>
  </si>
  <si>
    <t>Nguyễn Hoàng Long</t>
  </si>
  <si>
    <t>079089007150</t>
  </si>
  <si>
    <t>Lê Ngọc Minh</t>
  </si>
  <si>
    <t>285022043</t>
  </si>
  <si>
    <t>Nguyễn Thị Ngọc Lan</t>
  </si>
  <si>
    <t>079161000294</t>
  </si>
  <si>
    <t>021200284</t>
  </si>
  <si>
    <t>Trần Thị lệ</t>
  </si>
  <si>
    <t>079176001163</t>
  </si>
  <si>
    <t>Trần Phong Dân</t>
  </si>
  <si>
    <t>Mai Thị Thảo</t>
  </si>
  <si>
    <t>280530911</t>
  </si>
  <si>
    <t>Mai Thị Thanh Hiền</t>
  </si>
  <si>
    <t>Đinh Hoàng Nam</t>
  </si>
  <si>
    <t>024821776</t>
  </si>
  <si>
    <t>Đinh Thị Tuyết Mai</t>
  </si>
  <si>
    <t>024821775</t>
  </si>
  <si>
    <t>NguyỄN Thị Thu Liên</t>
  </si>
  <si>
    <t>Lâm Thị Kim Thủy</t>
  </si>
  <si>
    <t>Nguyễn Văn Nguồn</t>
  </si>
  <si>
    <t>Phạm Ngọc Tấn</t>
  </si>
  <si>
    <t>Phạm Ngọc Trâm</t>
  </si>
  <si>
    <t>Nguyễn Kim Hoàng</t>
  </si>
  <si>
    <t>Trần Duy Hằng</t>
  </si>
  <si>
    <t>Võ Thị Hoàng Anh</t>
  </si>
  <si>
    <t>Nguyễn Thị Ngọc Yến</t>
  </si>
  <si>
    <t>Nguyễn Toàn Thắng</t>
  </si>
  <si>
    <t>Dương Vân Nga</t>
  </si>
  <si>
    <t>Nguyễn Thj Cẩm Ngọc</t>
  </si>
  <si>
    <t>Huỳnh Thị Huệ</t>
  </si>
  <si>
    <t>Đặng Thị Tuyết Sang</t>
  </si>
  <si>
    <t>Danh Thị Kim Hường</t>
  </si>
  <si>
    <t>Nguyễn Danh Nghĩa</t>
  </si>
  <si>
    <t>Nguyễn Lâm Tâm Như</t>
  </si>
  <si>
    <t>Trần Thị Kim Loan</t>
  </si>
  <si>
    <t>Hồ Thị Thanh Vân</t>
  </si>
  <si>
    <t>Hồ Thị Thanh Huyền</t>
  </si>
  <si>
    <t>Nguyễn Thị Dung</t>
  </si>
  <si>
    <t>Lê Thị Bích Nga</t>
  </si>
  <si>
    <t>Lê Thị Giáp</t>
  </si>
  <si>
    <t>Nguyễn Duy Quang</t>
  </si>
  <si>
    <t>Hồ Thị Tuyết Mai</t>
  </si>
  <si>
    <t>Trần Hoàn Vũ</t>
  </si>
  <si>
    <t>Võ Thị Mỹ Hồng</t>
  </si>
  <si>
    <t>Võ Thị Lệ</t>
  </si>
  <si>
    <t>020220582</t>
  </si>
  <si>
    <t>Nguyễn Thị Ao</t>
  </si>
  <si>
    <t>Phạm Thị Kim Ngân</t>
  </si>
  <si>
    <t>Nguyễn Thị Châu</t>
  </si>
  <si>
    <t>Trương Hữu Lộc</t>
  </si>
  <si>
    <t>Phạm Thị Hoài Thương</t>
  </si>
  <si>
    <t>Lê Thị hồng</t>
  </si>
  <si>
    <t>Phạm Văn Hòa</t>
  </si>
  <si>
    <t>Phạm Thị Hồng Loan</t>
  </si>
  <si>
    <t>Đặng Thị Tính</t>
  </si>
  <si>
    <t>NGUYỄN ThỊ kim xuyến</t>
  </si>
  <si>
    <t>Phùng Thị Thanh Mai</t>
  </si>
  <si>
    <t>Phạm Thanh Dũng</t>
  </si>
  <si>
    <t>Nguyễn Văn Lâm</t>
  </si>
  <si>
    <t>Phạm Hồng Hải</t>
  </si>
  <si>
    <t>Bùi Thị Diệu hiền</t>
  </si>
  <si>
    <t>Chiêm Thị Hải Hà</t>
  </si>
  <si>
    <t>Trương Văn Thời</t>
  </si>
  <si>
    <t>Ngô Thị Rí</t>
  </si>
  <si>
    <t>Lê Thị Gái</t>
  </si>
  <si>
    <t>Kiều Đức Hòa</t>
  </si>
  <si>
    <t>Nguyễn Thị Tâm</t>
  </si>
  <si>
    <t>Nguyễn Thị Bé</t>
  </si>
  <si>
    <t>Nguyễn Hoài Bảo</t>
  </si>
  <si>
    <t>Quan Thị Muối</t>
  </si>
  <si>
    <t>Võ Văn Hoa</t>
  </si>
  <si>
    <t>Đăng Thị Lan</t>
  </si>
  <si>
    <t>Trần Thị Bích Trâm</t>
  </si>
  <si>
    <t>Nguyễn Thị Trà Mi</t>
  </si>
  <si>
    <t>Trần Thị Chung</t>
  </si>
  <si>
    <t>Sơn Thị Trường An</t>
  </si>
  <si>
    <t>Đặng Văn Chanh</t>
  </si>
  <si>
    <t>Đặng Thị Thu Liêm</t>
  </si>
  <si>
    <t>Phùng Thị Dung</t>
  </si>
  <si>
    <t>Trần Hoàng Vũ</t>
  </si>
  <si>
    <t>Đoàn Xuân Vinh</t>
  </si>
  <si>
    <t>Đoàn Nguyên Duy Đức</t>
  </si>
  <si>
    <t>Nguyễn Minh Tuấn</t>
  </si>
  <si>
    <t>Nguyễn Thị Thu Hương</t>
  </si>
  <si>
    <t>Nguyễn Tấn Hải</t>
  </si>
  <si>
    <t xml:space="preserve">Nguyễn Thị Thùy Trang </t>
  </si>
  <si>
    <t>Trần Thị Mỹ Liên</t>
  </si>
  <si>
    <t>1965</t>
  </si>
  <si>
    <t>21732404'00</t>
  </si>
  <si>
    <t>Phạm Thị Hồng Hoa</t>
  </si>
  <si>
    <t>Lương Văn Liên</t>
  </si>
  <si>
    <t>Trần Vũ Phong</t>
  </si>
  <si>
    <t>0334736099</t>
  </si>
  <si>
    <t>Nguyễn Thị Thu Vân</t>
  </si>
  <si>
    <t>Đinh Ngọc Thanh Trân</t>
  </si>
  <si>
    <t>Nguyễn Thị Kim Lan</t>
  </si>
  <si>
    <t>022248886</t>
  </si>
  <si>
    <t>Đăặng Xuân Hòa</t>
  </si>
  <si>
    <t>Huỳnh Ngọc Ẩn</t>
  </si>
  <si>
    <t>025356582</t>
  </si>
  <si>
    <t>Lê Thị Cẩm Vân</t>
  </si>
  <si>
    <t>Huỳnh Ngọc Tuấn  Sĩ</t>
  </si>
  <si>
    <t>025356222</t>
  </si>
  <si>
    <t>Trương Huệ Nữ</t>
  </si>
  <si>
    <t>024081437</t>
  </si>
  <si>
    <t>Nguyễn Thị Hằng Nga</t>
  </si>
  <si>
    <t>022068330</t>
  </si>
  <si>
    <t>Nguyễn Hoàng Vân</t>
  </si>
  <si>
    <t>Nguyễn Thị Tài</t>
  </si>
  <si>
    <t>021100863</t>
  </si>
  <si>
    <t>Nguyễn Kim Liên</t>
  </si>
  <si>
    <t>079165007960</t>
  </si>
  <si>
    <t>Nguyễn Kim Chi</t>
  </si>
  <si>
    <t>Nguyễn Hữu Kiên</t>
  </si>
  <si>
    <t>079095002769</t>
  </si>
  <si>
    <t>Diệp Tuyết Mai</t>
  </si>
  <si>
    <t>079171002460</t>
  </si>
  <si>
    <t>Vương Thị Ngọc Tuyết</t>
  </si>
  <si>
    <t>Phạm Hoàng Quốc Hưng</t>
  </si>
  <si>
    <t>Phạm Hoàng Thu Trinh</t>
  </si>
  <si>
    <t>Lê Thị Hạnh</t>
  </si>
  <si>
    <t>079160067758</t>
  </si>
  <si>
    <t>Dương Tấn Hùng</t>
  </si>
  <si>
    <t>020102695</t>
  </si>
  <si>
    <t>Hồ Thị Trinh</t>
  </si>
  <si>
    <t>020414666</t>
  </si>
  <si>
    <t>Huỳnh Thị Cúc</t>
  </si>
  <si>
    <t>Nguyễn Huỳnh Như Y</t>
  </si>
  <si>
    <t>Huỳnh Công Thành</t>
  </si>
  <si>
    <t>301181397</t>
  </si>
  <si>
    <t>Nguyễn Thị Ba</t>
  </si>
  <si>
    <t>079162002013</t>
  </si>
  <si>
    <t>Nguyễn Thị Lệ</t>
  </si>
  <si>
    <t>021673546</t>
  </si>
  <si>
    <t>Nguyễn Thị Là</t>
  </si>
  <si>
    <t>022008312</t>
  </si>
  <si>
    <t>Nguyễn Văn Ruộng</t>
  </si>
  <si>
    <t>023358785</t>
  </si>
  <si>
    <t>Nguyễn Thị Thanh Bích</t>
  </si>
  <si>
    <t>022311180</t>
  </si>
  <si>
    <t>Nguyễn Đặng Tường Vy</t>
  </si>
  <si>
    <t>079199006768</t>
  </si>
  <si>
    <t>Nguyễn Đức Mai Thy</t>
  </si>
  <si>
    <t>025420955</t>
  </si>
  <si>
    <t>Lê thị Ngọc Đào</t>
  </si>
  <si>
    <t>Nguyễn Lê Hồng Vy</t>
  </si>
  <si>
    <t>Nguyễn Bá Hiệp</t>
  </si>
  <si>
    <t>079072008045</t>
  </si>
  <si>
    <t>Huỳnh Thị Dư</t>
  </si>
  <si>
    <t>Hoàng Thị Ánh Biên</t>
  </si>
  <si>
    <t>024539786</t>
  </si>
  <si>
    <t>023583380</t>
  </si>
  <si>
    <t>Nguyễn Thị Ky</t>
  </si>
  <si>
    <t>074158000038</t>
  </si>
  <si>
    <t>Trần Minh Châu</t>
  </si>
  <si>
    <t>075054000059</t>
  </si>
  <si>
    <t>Nguyễn Thị Cẩm Tú</t>
  </si>
  <si>
    <t>025567767</t>
  </si>
  <si>
    <t>Phạm Văn Tám</t>
  </si>
  <si>
    <t>022809351</t>
  </si>
  <si>
    <t>Trương Ngọc Phương</t>
  </si>
  <si>
    <t>022048918</t>
  </si>
  <si>
    <t>NGuyễn Thị Mỹ Ân</t>
  </si>
  <si>
    <t>360747507</t>
  </si>
  <si>
    <t>NGuyễn Thị Mai</t>
  </si>
  <si>
    <t>020750997</t>
  </si>
  <si>
    <t>Bùi Thị Thiên Lan</t>
  </si>
  <si>
    <t>310529753</t>
  </si>
  <si>
    <t>Cao Thị Xuân</t>
  </si>
  <si>
    <t>021536796</t>
  </si>
  <si>
    <t>Bùi Anh Tuấn</t>
  </si>
  <si>
    <t>020472553</t>
  </si>
  <si>
    <t>Nguyễn Thị Đạc</t>
  </si>
  <si>
    <t>113636720</t>
  </si>
  <si>
    <t>Trương Vĩnh Tú</t>
  </si>
  <si>
    <t>023756404</t>
  </si>
  <si>
    <t>Trần Thị Phượng</t>
  </si>
  <si>
    <t>271099135</t>
  </si>
  <si>
    <t>PHạm Thị Vinh</t>
  </si>
  <si>
    <t>020290833</t>
  </si>
  <si>
    <t>Vũ Thị Lựu</t>
  </si>
  <si>
    <t>285285356</t>
  </si>
  <si>
    <t>NGuyễn Thị Lê Thúy</t>
  </si>
  <si>
    <t>022240208</t>
  </si>
  <si>
    <t>Nguyễn Thanh Hùng</t>
  </si>
  <si>
    <t>079054003376</t>
  </si>
  <si>
    <t>Trần Thị Kim Anh</t>
  </si>
  <si>
    <t>080159000433</t>
  </si>
  <si>
    <t>Đồng Thị Kim Hoa</t>
  </si>
  <si>
    <t>022870213</t>
  </si>
  <si>
    <t xml:space="preserve">Lâm NGọc Thân </t>
  </si>
  <si>
    <t>022198507</t>
  </si>
  <si>
    <t>079167005092</t>
  </si>
  <si>
    <t>Cao Thị Ngọc Nga</t>
  </si>
  <si>
    <t>021020588</t>
  </si>
  <si>
    <t>Phan Văn Công</t>
  </si>
  <si>
    <t>079054000348</t>
  </si>
  <si>
    <t>Nguyễn Thị Cúc</t>
  </si>
  <si>
    <t>079154004003</t>
  </si>
  <si>
    <t>Dương Gia Huệ</t>
  </si>
  <si>
    <t>079303003035</t>
  </si>
  <si>
    <t>LÂM THỊ MAI</t>
  </si>
  <si>
    <t>021827852</t>
  </si>
  <si>
    <t>TRANG THANH NHI</t>
  </si>
  <si>
    <t>025476063</t>
  </si>
  <si>
    <t>HUỲNH NHƯ THẢO</t>
  </si>
  <si>
    <t>NGUYỄN MINH PHÁT</t>
  </si>
  <si>
    <t>079095011663</t>
  </si>
  <si>
    <t>NGUYỄN VĂN CU</t>
  </si>
  <si>
    <t>079058003889</t>
  </si>
  <si>
    <t>NGUYỄN THỊ TUYẾT MAI</t>
  </si>
  <si>
    <t>079164000133</t>
  </si>
  <si>
    <t>Vũ Bá Khanh</t>
  </si>
  <si>
    <t>020365359</t>
  </si>
  <si>
    <t>Phạm Thị Dung</t>
  </si>
  <si>
    <t>022490587</t>
  </si>
  <si>
    <t>Đặng Thị Hạnh</t>
  </si>
  <si>
    <t>020152234</t>
  </si>
  <si>
    <t>Triệu Minh Tú</t>
  </si>
  <si>
    <t>024415673</t>
  </si>
  <si>
    <t>Triệu Ngọc Lan</t>
  </si>
  <si>
    <t>021582512</t>
  </si>
  <si>
    <t>Võ Thị Mỹ Hạnh</t>
  </si>
  <si>
    <t>022040467</t>
  </si>
  <si>
    <t>Ngô Văn Vĩnh</t>
  </si>
  <si>
    <t>300092562</t>
  </si>
  <si>
    <t>Cao Thị Ngọc Nhung</t>
  </si>
  <si>
    <t>301430678</t>
  </si>
  <si>
    <t>Huỳnh Ngọc Vân</t>
  </si>
  <si>
    <t>024531104</t>
  </si>
  <si>
    <t>Lê Hoàng Ân</t>
  </si>
  <si>
    <t>079095006773</t>
  </si>
  <si>
    <t>Nguyễn Quốc Phong</t>
  </si>
  <si>
    <t>Nguyễn Thanh Trang</t>
  </si>
  <si>
    <t>022601766</t>
  </si>
  <si>
    <t>Nguyễn Kim Nhã</t>
  </si>
  <si>
    <t>Nguyễn Thị Kim Xuân</t>
  </si>
  <si>
    <t>23110070</t>
  </si>
  <si>
    <t>Dương Thị Kim Tuyến</t>
  </si>
  <si>
    <t>024480488</t>
  </si>
  <si>
    <t>Hồ Thị Kim Duyên</t>
  </si>
  <si>
    <t>290779087</t>
  </si>
  <si>
    <t>Đỗ Văn Nhựt</t>
  </si>
  <si>
    <t>024415611</t>
  </si>
  <si>
    <t>Nguyễn Thị Hoàng Minh</t>
  </si>
  <si>
    <t>079186010840</t>
  </si>
  <si>
    <t>Vợ không hôn thú</t>
  </si>
  <si>
    <t>Cha Vợ</t>
  </si>
  <si>
    <t>Em vợ</t>
  </si>
  <si>
    <t>Chj</t>
  </si>
  <si>
    <t>Ch</t>
  </si>
  <si>
    <t>Bà ngoại</t>
  </si>
  <si>
    <t>COn</t>
  </si>
  <si>
    <t>Mẹ vợ</t>
  </si>
  <si>
    <t>Ba</t>
  </si>
  <si>
    <t>mẸ</t>
  </si>
  <si>
    <t>con</t>
  </si>
  <si>
    <t>MẸ</t>
  </si>
  <si>
    <t>em</t>
  </si>
  <si>
    <t>cháu</t>
  </si>
  <si>
    <t>CHị</t>
  </si>
  <si>
    <t>CHA</t>
  </si>
  <si>
    <t>mẹ</t>
  </si>
  <si>
    <t>vợ</t>
  </si>
  <si>
    <t>cha</t>
  </si>
  <si>
    <t>EM</t>
  </si>
  <si>
    <t>VỢ (KHÔNG HÔN THÚ)</t>
  </si>
  <si>
    <t>438/30A Lê Hồng Phong, phường 1, quận 10, TP.HCM</t>
  </si>
  <si>
    <t>ĐKQL cư trú và … về dân cư 273/28 Phan Văn Khỏe</t>
  </si>
  <si>
    <t>366/68A Nguyễn Duy, Phường 9, quận 8, TP.HCM</t>
  </si>
  <si>
    <t>704/23/6 Hương Lộ 2, phường Bình Trị Đông A, quận Bình Tân</t>
  </si>
  <si>
    <t>230A Âu cơ, phường 10, quận Tân Bình, TP.HCM</t>
  </si>
  <si>
    <t>34/6/8 Khu phố 1, phường Thạnh Lộc, quận 12, TP.HCM</t>
  </si>
  <si>
    <t>38/3 Bửu Đình, Phường 5, quận 6, TP.HCM</t>
  </si>
  <si>
    <t>121/78 Hậu Giang, phường 5, quận 6, TP. HCM</t>
  </si>
  <si>
    <t>70/38 Đinh Bộ Lĩnh, phường 26, quận Bình Thạnh, TP. HCM</t>
  </si>
  <si>
    <t>634/2 Hàm Tử, phường 10, Quận 5, TP. HCM</t>
  </si>
  <si>
    <t>42/68/22 Hoàng Hoa Thám, phường 7, quận Bình Thạnh, TP. HCm</t>
  </si>
  <si>
    <t>302/140 bến Nguyễn Duy, phường 9, quận 8, TP.HCM</t>
  </si>
  <si>
    <t>371/7D tổ 10, ấp 4, xã Phước Kiển, huyện Nhà bè, TP. HCM</t>
  </si>
  <si>
    <t>287/6 Thành Công, phường tân Thành, quận Tân Phú, TP.HCM</t>
  </si>
  <si>
    <t>287/2/3 Thành Công, phường tân Thành, quận Tân Phú, TP. HCM</t>
  </si>
  <si>
    <t>38/3B ấp Xuân Thới Đông 2, xã Xuân Thới Đông, Hóc Môn, TP. HCM</t>
  </si>
  <si>
    <t>13/239 Lê Đức Thọ, phường 15, quận Gò vấp, Tp. HCM</t>
  </si>
  <si>
    <t>121 Âu Cơ, Phường 14, quận 11, Tp. HCM</t>
  </si>
  <si>
    <t>76/49 đường 19, phường Linh Chiểu, quận Thủ Đức, TP. HCM</t>
  </si>
  <si>
    <t>484 Tô Ký, Khu phố 2, phường TCH, quận 12, TP. HCM</t>
  </si>
  <si>
    <t>56/8 Khu phố 6, Thị trấn Nhà bè, huyện Nhà bè, Tp. HCM</t>
  </si>
  <si>
    <t>30/9 Khu phố 4, Thị trấn Nhà Bè, Tp. HCM</t>
  </si>
  <si>
    <t>266/0/9/16/2 Tôn Đản, Phường 8, quận 4, TP. HCM</t>
  </si>
  <si>
    <t>148/12/7/37B Tôn Đản, Phường 8, quận 4, TP. HCM</t>
  </si>
  <si>
    <t>297/25/52 Tân Hòa Đông, phu phố 13, BTĐ</t>
  </si>
  <si>
    <t>4/16 đường Thích Mật Thể, phường Thạnh Lợi Mỹ, quận 2, TP, HCM</t>
  </si>
  <si>
    <t>5/10Nguyeennx Ngọc Lộc, phường 14, quận 10, tp. HCM</t>
  </si>
  <si>
    <t>47/13 Hà Tôn Quyền, phường 15, quận 5, TP.HCM</t>
  </si>
  <si>
    <t>92B 15/15 Tôn Thất thuyêt, phường 15, quận 10</t>
  </si>
  <si>
    <t>13/21 ấp Tân Định, xã Tân Thông Hội, huyện Củ chi, TP. HCM</t>
  </si>
  <si>
    <t>11/13/21 ấp Tân Định, xã Tân Thông Hội, huyện Củ Chi</t>
  </si>
  <si>
    <t>19/2 Trần Xuân Soạn Khu phố 1, phường Tân Kiểng, quận 7</t>
  </si>
  <si>
    <t>717 Đoàn Văn Bơ, phường 18, quận 4, TP. HCM</t>
  </si>
  <si>
    <t>95/101 Lê Văn Lương, phương Tân Kiểng, quận 7, to. HCM</t>
  </si>
  <si>
    <t>16/8A khu phố 3, An Khánh, Quận 2, TP. HCM</t>
  </si>
  <si>
    <t>432 Đường HT13 tổ 48B khu phố 7, phường Hiệp Thành, quận 12, TP. HCM</t>
  </si>
  <si>
    <t>171/4A khu phố 1, phường Hiệp Thành, quận 12, TP. HCM</t>
  </si>
  <si>
    <t>Vân Đình, Ninh Thới, Trà Vinh</t>
  </si>
  <si>
    <t>10A/11 Bình Đường 2, An Bình, Dĩ An, Bình Dương</t>
  </si>
  <si>
    <t>A10,-28 Lô A KP1, Phường Tân Phú, Quận 7, TPHCM</t>
  </si>
  <si>
    <t>31D KP2, P. Hiệp Thành, Quận 12, TP. HCM</t>
  </si>
  <si>
    <t>227/3 Khu phố 1, Tân Chánh Hiệp, Quận 1, TP. HCM</t>
  </si>
  <si>
    <t>148 đường 4, phường Phước Bình, quận 9</t>
  </si>
  <si>
    <t>Tổ 6, ấp 8, xã Bình Mỹ, Củ Chi</t>
  </si>
  <si>
    <t>92B/15/15 Tôn Thất Thuyết, phường 15, quận 4, Tp. HCM</t>
  </si>
  <si>
    <t>162/1 Phan Đăng Lư, Phường 3, Phú Nhuận, TP. HCM</t>
  </si>
  <si>
    <t>66/4A Mã Lò, Phường Bình Trị Đông A</t>
  </si>
  <si>
    <t>56 KP. 4 Phường Phước long A, quận 9</t>
  </si>
  <si>
    <t>số 3 , KHánh Hội , p.3, Q.4</t>
  </si>
  <si>
    <t>13 đường 36, phường BÌnh Trưng Tây, Quận 2</t>
  </si>
  <si>
    <t>13 đường 36, p. Bình Trưng Tây, Q.2</t>
  </si>
  <si>
    <t>112/1 Bến Bình Đông</t>
  </si>
  <si>
    <t>70/22 đường 17, tổ 12, khu phố 4, tân thuận tây, quận 7</t>
  </si>
  <si>
    <t>Nơ Trang Long, phường 13, quận BT, Tp. HCM</t>
  </si>
  <si>
    <t>Tổ 18, KP5, Thanh Xuân, quận 12</t>
  </si>
  <si>
    <t>3/104 ấp Nam Thới, xã Thới Tam Thôn, huyện Hóc Môn, TP.HCM</t>
  </si>
  <si>
    <t>272/40 đường 26-3, p.Bình Hưng Hòa, Quận Binh Tân</t>
  </si>
  <si>
    <t>Ấp Xóm Huế, Tân An Hội, Củ Chi</t>
  </si>
  <si>
    <t>84 đường 13 phương bình Trưng Tây, quận 12, tp.hcm</t>
  </si>
  <si>
    <t>49/8A Đinh Tiên Hoàng, P.3, Quận Bình Thạnh</t>
  </si>
  <si>
    <t>80/91/20/16 đường 12, P. Bình Hưng Hòa, Bình Tân</t>
  </si>
  <si>
    <t>KP 6, phường 3, Nguyễn Chí Thanh, Tp. Tây Ninh</t>
  </si>
  <si>
    <t xml:space="preserve">602B, tổ 71, Bình Trung Mỹ Tây, </t>
  </si>
  <si>
    <t>29/8D Nguyễn Bỉnh Khiêm, phường Đa Kao, QT, Tp. Hcm</t>
  </si>
  <si>
    <t>3-9 Kp 7, P. Trung Mỹ Tây, Quận 12, tp. HCM</t>
  </si>
  <si>
    <t>147/3 kp3, Gò Dưa, p. Tam Bình, Q. Thủ Đức</t>
  </si>
  <si>
    <t>25/85 lê văn sỹ, p.13, q.3</t>
  </si>
  <si>
    <t>346/50 Phan Văn Trị, Phường 11, quận Bình Thạnh, Tp.HCM</t>
  </si>
  <si>
    <t>194/2 XVNT, phường 26, Quận BT</t>
  </si>
  <si>
    <t>Tạm trú tổ 8, ấp 2, xã Tân Đông Thạnh, Củ Chi</t>
  </si>
  <si>
    <t>112 Bến Bình, Quận 8, Tp. HCM</t>
  </si>
  <si>
    <t>118/22/11 Huỳnh Thiện Lộc</t>
  </si>
  <si>
    <t>Ấp Tân Định, xã Tân Thông Hội, Củ Chi, Tp. HCM</t>
  </si>
  <si>
    <t>95/6 KP1, Phường Tân Thới, Quận 12, tp. HCm</t>
  </si>
  <si>
    <t>90A/8/6/7 Âu Dương Lân, Phường 3, quận 8, tp. HCM</t>
  </si>
  <si>
    <t>88/2 Phan Đăng Lưu, phường 5, quận Phú Nhuận, Tp. HCM</t>
  </si>
  <si>
    <t>442/1 Gia Phú, phường 3, quận 6, tp. HCM</t>
  </si>
  <si>
    <t>83/32/21 Thoại Ngọc Hầu, Phường Hòa Thạnh, Tân Phú, HCM</t>
  </si>
  <si>
    <t>271/13 Đề Thám Phạm Ngũ Lão, Quận 1</t>
  </si>
  <si>
    <t>243/42 B/38 Tôn Đản, p 15, q 4</t>
  </si>
  <si>
    <t>31/33 đường số 19, p Thạnh Mỹ Lợi, q 12</t>
  </si>
  <si>
    <t>31/33 đường số 19, p Thạnh Mỹ Lợi, q 13</t>
  </si>
  <si>
    <t>Khu vực 5, Thị Trấn Đức Hòa, Đức Hòa, Long An</t>
  </si>
  <si>
    <t>408 Lê Quang Sung, phường 9, Quận 6</t>
  </si>
  <si>
    <t>722 Hàm Tử, Phường 10, Quận 5</t>
  </si>
  <si>
    <t>58/3D KP8, Thị Trấn Hóc Môn, HCM</t>
  </si>
  <si>
    <t>30/5 Ấp Thới Tứ, Thới Tam Môn, HCM</t>
  </si>
  <si>
    <t>25/85/15 Đường 6, Khu phố 6, Hiệp Bình Phước, Thủ Đức</t>
  </si>
  <si>
    <t>30/5 Thới Tứ</t>
  </si>
  <si>
    <t>Ấp Vàm Đình, xã Ninh Thới, Cầu Kè, Trà Vinh</t>
  </si>
  <si>
    <t>10A/11- Bình Đường 2, An Bình, Dĩ an, Bình Dương</t>
  </si>
  <si>
    <t>84/51 Trần Văn Quang, P.10, Q.Tân Bình</t>
  </si>
  <si>
    <t>80/9 Quang Trung, Phường 10, Quận Gò Vấp</t>
  </si>
  <si>
    <t>13 đường 36F, phường Bình Trưng Tây, Q.2</t>
  </si>
  <si>
    <t>61bkp3, hiệp thành, q.12</t>
  </si>
  <si>
    <t>72/5/83 kp5, p. An Lạc A, Bình Tân</t>
  </si>
  <si>
    <t>30/6/1 Nguyễn Đình Chi, P.9, Q.6</t>
  </si>
  <si>
    <t>Ấp Nhơn phú, xã Nhơn Phú, Phong điền, cần Thơ</t>
  </si>
  <si>
    <t>119 trần quý, p4, q11</t>
  </si>
  <si>
    <t>46/2 ấp Ga, TT Tân Hiệp Châu Thành, Tiền Giang</t>
  </si>
  <si>
    <t>10/2 Ấp 5, Xuân Thới Thượng, Hóc Môn, Tp.hcm</t>
  </si>
  <si>
    <t>31/18 Lê Văn Sỹ, P.13, Q.3</t>
  </si>
  <si>
    <t>Hợp Thành, Kì Sơn, Hòa Bình</t>
  </si>
  <si>
    <t>10/6 KP 4, TT Nhà Bè, HCM</t>
  </si>
  <si>
    <t>Ấp Long Phú, Phước Thái, Long Thành, Đồng Nai</t>
  </si>
  <si>
    <t>180 Yesin, Phường cầu ông lãnh, q.1</t>
  </si>
  <si>
    <t>Ấp cầu 2, xã Đồng tiến, Bình Phước</t>
  </si>
  <si>
    <t>134/109/201 Lý Chính Thắng, P.7, q.3</t>
  </si>
  <si>
    <t>b1/26 Ấp 2, Tân Kiên, Bình Chánh, Tp. Hcm</t>
  </si>
  <si>
    <t>163B Phan Văn Khỏe</t>
  </si>
  <si>
    <t>8/156 B Lê Đức Thọ, p.15, q. Gò Vấp</t>
  </si>
  <si>
    <t>8 f/2 Bình Đông p.14, q8</t>
  </si>
  <si>
    <t>97/4a Ấp Tân Tiến, Xã thân thới Đông, hyện Hóc Môn</t>
  </si>
  <si>
    <t>67/18d Huỳnh Khương An, P5, Gò vấp</t>
  </si>
  <si>
    <t>67/18, huỳnh Khương An, p.5, gò vấp</t>
  </si>
  <si>
    <t>Tổ 10, ấp Tân Tiến, xã Tân Thông Hội, huyện Củ Chi</t>
  </si>
  <si>
    <t>Tổ 10, ấp Tân Tiến, Tân Thông Hội, củ chi</t>
  </si>
  <si>
    <t>8 MẠC VÂN P.13, Q8</t>
  </si>
  <si>
    <t>SỐ 8 MẠC VÂN, P.13, Q.8</t>
  </si>
  <si>
    <t>500/117/9 ĐOÀN VĂN BƠ, P.14, Q.4</t>
  </si>
  <si>
    <t>737/3 LẠC LONG QUÂN, P. 10, TÂN BÌNH</t>
  </si>
  <si>
    <t>257/67 ĐOÀN VĂN BƠ, P.13, Q.4</t>
  </si>
  <si>
    <t>Đường NTT F18, Quận 4</t>
  </si>
  <si>
    <t>41/21/ KP1 Phường Bình Thuận, Quận 7</t>
  </si>
  <si>
    <t>Vĩnh Kim, Câu Ngang, Trà Vinh</t>
  </si>
  <si>
    <t>188/15 Đoàn Văn Bơ, Phường 9, quận 4, Tp. HCM</t>
  </si>
  <si>
    <t>392/12 Khu Phố 3, Phường Tân Hưng, Quận 7, HCM</t>
  </si>
  <si>
    <t>Ấp 2, Long Sơn, Cần Đước, Long An</t>
  </si>
  <si>
    <t>399/136 Lý Thái Tổ, phường 9, quận 10, TP. HCM</t>
  </si>
  <si>
    <t>302/67 Phan Huy Ích</t>
  </si>
  <si>
    <t>463/2A Cách Mạng Tháng Tám, hường 3, Quận 10, Tp. HCM</t>
  </si>
  <si>
    <t>70/9B KP4, Phường Tân Kiểng, Quận 7, TP. HCM</t>
  </si>
  <si>
    <t>266/94/20 Tôn Đản, phường 8, quận 4, TP. HCM</t>
  </si>
  <si>
    <t>21/5 Nam Thới Môn Hóc Môn, TPHCM</t>
  </si>
  <si>
    <t>Hiệp Nghĩa, Hiệp Ninh, Tp. Tây Ninh, Tây Ninh</t>
  </si>
  <si>
    <t>170/329 Bến Vân Đồn, phường 6, quận 4, Tp. HCM</t>
  </si>
  <si>
    <t>27/17/7 Nguyễn Văn Săng Tân Sưn Nhì, Tân Phú, TPHCM</t>
  </si>
  <si>
    <t>Trịnh Hoàng Hùng</t>
  </si>
  <si>
    <t>Nguyễn Văn Mẫn</t>
  </si>
  <si>
    <t>Lê Hoàng  Phương</t>
  </si>
  <si>
    <t>Nguyễn Bảo Long</t>
  </si>
  <si>
    <t>Diệp Quốc  Thái</t>
  </si>
  <si>
    <t>Nguyễn Văn Anh Tuấn</t>
  </si>
  <si>
    <t>Bùi Thiện  Nhân</t>
  </si>
  <si>
    <t>Nguyễn Văn Hải</t>
  </si>
  <si>
    <t>Lê Triệu  Phúc</t>
  </si>
  <si>
    <t>Lê Văn  Minh</t>
  </si>
  <si>
    <t>Nguyễn Phan Thanh Phong</t>
  </si>
  <si>
    <t>Nguyễn Văn Thuận</t>
  </si>
  <si>
    <t>Đinh Kim  Trung</t>
  </si>
  <si>
    <t>Nguyễn Trung  Phú</t>
  </si>
  <si>
    <t>Đồng Hương Đức Hiếu</t>
  </si>
  <si>
    <t>La Chí Thanh</t>
  </si>
  <si>
    <t>1709-011</t>
  </si>
  <si>
    <t>Hà Hoàng Quân</t>
  </si>
  <si>
    <t>Lê Đức Thọ</t>
  </si>
  <si>
    <t>Nguyễn Hiếu Trung</t>
  </si>
  <si>
    <t>Trần Văn  Minh</t>
  </si>
  <si>
    <t>Nguyễn Duy Cường</t>
  </si>
  <si>
    <t>Tôn Thất Sanh  Tú</t>
  </si>
  <si>
    <t>1802-020</t>
  </si>
  <si>
    <t xml:space="preserve">Nguyễn Bảo Kha </t>
  </si>
  <si>
    <t>Hứa Vĩnh Phước</t>
  </si>
  <si>
    <t>Nguyễn Quang Duy</t>
  </si>
  <si>
    <t>Lê Hải Sơn</t>
  </si>
  <si>
    <t>Hồ Hoàng Tân</t>
  </si>
  <si>
    <t>Nguyễn Hùng Duy</t>
  </si>
  <si>
    <t>1709-029</t>
  </si>
  <si>
    <t>Nguyễn Trương Thái Bạch</t>
  </si>
  <si>
    <t>Trần Văn Tấn Trực</t>
  </si>
  <si>
    <t xml:space="preserve">Lê Hồng Cường </t>
  </si>
  <si>
    <t>Nguyễn Quốc Năm</t>
  </si>
  <si>
    <t>Trần Vũ  Thanh</t>
  </si>
  <si>
    <t>Lâm Phú Quý</t>
  </si>
  <si>
    <t>Nguyễn Tấn Dũng</t>
  </si>
  <si>
    <t>Phạm Quốc Tấn</t>
  </si>
  <si>
    <t>Nguyễn Thanh Phong</t>
  </si>
  <si>
    <t>Ngô Hồng Lâm</t>
  </si>
  <si>
    <t>1710-001</t>
  </si>
  <si>
    <t>Khuất Bá Lịch</t>
  </si>
  <si>
    <t>Đoàn Đại Hải</t>
  </si>
  <si>
    <t>Phạm Quốc Trung</t>
  </si>
  <si>
    <t>Nguyễn Hoàng Hải</t>
  </si>
  <si>
    <t>Trần Minh  Tuấn</t>
  </si>
  <si>
    <t>Nguyễn Anh  Tuấn</t>
  </si>
  <si>
    <t>Trần Đăng Luân</t>
  </si>
  <si>
    <t>1708-054</t>
  </si>
  <si>
    <t>Lê Hoàng Nguyên</t>
  </si>
  <si>
    <t>Lê Hoàng Đạo</t>
  </si>
  <si>
    <t>1710-026</t>
  </si>
  <si>
    <t>Đặng Trần Hưng</t>
  </si>
  <si>
    <t>Lê Sỹ Dương</t>
  </si>
  <si>
    <t>Ngô Hoàng Duy Lâm</t>
  </si>
  <si>
    <t>Nguyễn Ngọc Khánh</t>
  </si>
  <si>
    <t>Ngô Trọng Đức</t>
  </si>
  <si>
    <t>Nguyễn Trường An</t>
  </si>
  <si>
    <t>Nguyễn Đình Phương</t>
  </si>
  <si>
    <t>Bùi Công Hoàng</t>
  </si>
  <si>
    <t>Nguyễn Thái Học</t>
  </si>
  <si>
    <t>1710-043</t>
  </si>
  <si>
    <t>Võ Minh  Thọ</t>
  </si>
  <si>
    <t>Đinh Hoàng  Long</t>
  </si>
  <si>
    <t>Nguyễn Văn Hào</t>
  </si>
  <si>
    <t>Phạm Văn  Hải</t>
  </si>
  <si>
    <t>Đỗ Chung  Hà</t>
  </si>
  <si>
    <t>Trần Bửu</t>
  </si>
  <si>
    <t>1711-001</t>
  </si>
  <si>
    <t>Vũ Quang Anh Vũ</t>
  </si>
  <si>
    <t>Lê Văn Phúc</t>
  </si>
  <si>
    <t>Trương Minh  Nhựt</t>
  </si>
  <si>
    <t>Nguyễn Văn Trung</t>
  </si>
  <si>
    <t>Huỳnh Quốc Dương</t>
  </si>
  <si>
    <t>Trần Hoàng Thanh</t>
  </si>
  <si>
    <t>Lê Minh  Tú</t>
  </si>
  <si>
    <t>Đỗ Thanh Sơn</t>
  </si>
  <si>
    <t>Trần Văn  Công</t>
  </si>
  <si>
    <t>Phạm Ngọc Giàu</t>
  </si>
  <si>
    <t>Trần Duy  Linh</t>
  </si>
  <si>
    <t>Nguyễn Thanh Sơn</t>
  </si>
  <si>
    <t>Nguyễn Trung  Hiếu</t>
  </si>
  <si>
    <t>Nguyễn Văn  Lộc</t>
  </si>
  <si>
    <t>Võ Huỳnh Quang  Khải</t>
  </si>
  <si>
    <t>Nguyễn Huy Cường</t>
  </si>
  <si>
    <t>Nguyễn Ngọc Tuấn</t>
  </si>
  <si>
    <t>Trần Văn  Hoàng</t>
  </si>
  <si>
    <t>Hồ Hoàng Phương</t>
  </si>
  <si>
    <t>Nguyễn Văn Ngoan</t>
  </si>
  <si>
    <t>Trần Đức  Lộc</t>
  </si>
  <si>
    <t>Võ Văn  Thanh</t>
  </si>
  <si>
    <t>Đặng Thanh  Hoàng</t>
  </si>
  <si>
    <t>Nguyễn Thanh Phương</t>
  </si>
  <si>
    <t>Lê Đức Dũng</t>
  </si>
  <si>
    <t>Lê Minh Tâm</t>
  </si>
  <si>
    <t>Nguyễn Thanh Tài</t>
  </si>
  <si>
    <t>Nguyễn Minh Nhựt</t>
  </si>
  <si>
    <t>Phạm Mạnh Hoàng</t>
  </si>
  <si>
    <t>Trương Hữu  Khương</t>
  </si>
  <si>
    <t>Nguyễn Ngọc  Bình</t>
  </si>
  <si>
    <t>Phạm Thanh Trung</t>
  </si>
  <si>
    <t>Ngô Thiên  Vũ</t>
  </si>
  <si>
    <t>Trương Hải Tiên</t>
  </si>
  <si>
    <t>Đăng Hoàng Anh</t>
  </si>
  <si>
    <t>1709-053</t>
  </si>
  <si>
    <t>Kiều Lê Anh Tuấn</t>
  </si>
  <si>
    <t>Nguyễn Minh Trung</t>
  </si>
  <si>
    <t>Võ Minh Hưng</t>
  </si>
  <si>
    <t>Đăng Tuấn Kiệt</t>
  </si>
  <si>
    <t>Nguyễn Hoàng Anh</t>
  </si>
  <si>
    <t>Trần Trung Hiếu</t>
  </si>
  <si>
    <t>Đặng Quang Hiệp</t>
  </si>
  <si>
    <t>Trần Hoàng Long</t>
  </si>
  <si>
    <t>Đoàn Quyết Thắng</t>
  </si>
  <si>
    <t>Nguyễn Tấn Hòa</t>
  </si>
  <si>
    <t>1805-010</t>
  </si>
  <si>
    <t>Nguyễn Tấn Cường</t>
  </si>
  <si>
    <t>Trần Văn Chiến</t>
  </si>
  <si>
    <t>Trần Hồng  Châu</t>
  </si>
  <si>
    <t>Lương Anh  Tuấn</t>
  </si>
  <si>
    <t>Nguyễn Đức  Vinh</t>
  </si>
  <si>
    <t>Đặng Đức Nhã</t>
  </si>
  <si>
    <t>Huỳnh Ngọc Tuấn Anh</t>
  </si>
  <si>
    <t>Quách Văn Hùng</t>
  </si>
  <si>
    <t>Nguyễn Hoàng Minh</t>
  </si>
  <si>
    <t>Nguyễn Hoàng Sơn</t>
  </si>
  <si>
    <t>Nguyễn Minh  Đạt</t>
  </si>
  <si>
    <t>Nguyễn Trọng  Hiền</t>
  </si>
  <si>
    <t>Nguyễn Hữu Ngọc</t>
  </si>
  <si>
    <t>Phạm Hoàng Duy Tuấn</t>
  </si>
  <si>
    <t>Lê Minh  Tuấn</t>
  </si>
  <si>
    <t>Dương Tấn Thành</t>
  </si>
  <si>
    <t>Nguyễn Thế Hiển</t>
  </si>
  <si>
    <t>Huỳnh Công Triều</t>
  </si>
  <si>
    <t>Nguyễn Hoàng Điệp</t>
  </si>
  <si>
    <t>Nguyễn Minh Lên</t>
  </si>
  <si>
    <t>Nguyễn Hồng Dũ</t>
  </si>
  <si>
    <t>Nguyễn Đức Cảm</t>
  </si>
  <si>
    <t>Nguyễn Mạnh Triển</t>
  </si>
  <si>
    <t>Vũ Hoài  Linh</t>
  </si>
  <si>
    <t>Trần Minh Trung</t>
  </si>
  <si>
    <t>Phạm Chí  Dũng</t>
  </si>
  <si>
    <t>Lê Văn Hữu</t>
  </si>
  <si>
    <t>Lương Trọng  Lợi</t>
  </si>
  <si>
    <t>Lê Đăng Khoa</t>
  </si>
  <si>
    <t>Đoàn Văn Minh</t>
  </si>
  <si>
    <t>Bùi Anh Tiến</t>
  </si>
  <si>
    <t>Nguyễn Văn  Trung</t>
  </si>
  <si>
    <t>Đinh Quang Hiếu</t>
  </si>
  <si>
    <t>Nguyễn Văn  Thuận</t>
  </si>
  <si>
    <t>Trần Văn  Nam</t>
  </si>
  <si>
    <t>Nguyễn Anh Chương</t>
  </si>
  <si>
    <t>Nguyễn Thanh  Hải</t>
  </si>
  <si>
    <t>Lâm Thương Hòa</t>
  </si>
  <si>
    <t>Nguyễn Thanh Tùng</t>
  </si>
  <si>
    <t>Phan Thành Nam</t>
  </si>
  <si>
    <t>Bùi Vũ Phương</t>
  </si>
  <si>
    <t>Trang Văn Tùng</t>
  </si>
  <si>
    <t>Nguyễn Thanh Tâm</t>
  </si>
  <si>
    <t>Nguyễn Hòa Hiệp</t>
  </si>
  <si>
    <t>Nguyễn Văn  Dũng</t>
  </si>
  <si>
    <t>Vũ Bá Hải</t>
  </si>
  <si>
    <t>Đặng Văn Thịnh</t>
  </si>
  <si>
    <t>Đoàn Minh Tèo</t>
  </si>
  <si>
    <t>Võ Minh Hiếu</t>
  </si>
  <si>
    <t>Ngô Phi  Long</t>
  </si>
  <si>
    <t>Võ Ngọc Tân</t>
  </si>
  <si>
    <t>Lê Văn Long</t>
  </si>
  <si>
    <t>Nguyễn Thanh  Tài</t>
  </si>
  <si>
    <t>Nguyễn Văn Hồng</t>
  </si>
  <si>
    <t>Dương Văn Tấn</t>
  </si>
  <si>
    <t>Đỗ Văn Thương</t>
  </si>
  <si>
    <t>Nguyễn Chính Linh</t>
  </si>
  <si>
    <t>Sao lưu từ sổ thăm gặp</t>
  </si>
  <si>
    <t>Sổ hộ khẩu</t>
  </si>
  <si>
    <t>S</t>
  </si>
  <si>
    <t>Giấy khai sinh của học viên và người thăm</t>
  </si>
  <si>
    <t>Xuất trình giấy khai sinh của con</t>
  </si>
  <si>
    <t>Xuất trình giấy khai sinh con</t>
  </si>
  <si>
    <t>Đơn ủy quyền và xác nhận sống chung như vợ chồng</t>
  </si>
  <si>
    <t>Xuất trình sổ hộ khẩu</t>
  </si>
  <si>
    <t>Sao lưu từ sổ thăm gặp, chưa có xác nhận CS</t>
  </si>
  <si>
    <t>Sao Lưu từ sổ tg</t>
  </si>
  <si>
    <t>Giấy Khai sinh</t>
  </si>
  <si>
    <t>Giấy Khai sinh của người thăm và học viên</t>
  </si>
  <si>
    <t>sao lưu từ sổ thăm gặp</t>
  </si>
  <si>
    <t>Giấy khai sinh của con, Đơn xác nhận mối quan hệ</t>
  </si>
  <si>
    <t>Trích lục kết hôn</t>
  </si>
  <si>
    <t>sổ hộ khẩu</t>
  </si>
  <si>
    <t>Sao lưu sổ thăm gặp</t>
  </si>
  <si>
    <t>Sổ Hô khẩu</t>
  </si>
  <si>
    <t>SỔ HỘ KHẨU</t>
  </si>
  <si>
    <t>SAO LƯU SỔ THĂM GẶP</t>
  </si>
  <si>
    <t>SỖ HỘ KHẨU</t>
  </si>
  <si>
    <t>Đơn Thăm nuôi</t>
  </si>
  <si>
    <t>Đơn thăm gặp</t>
  </si>
  <si>
    <t>Sổ hộ Khẩu</t>
  </si>
  <si>
    <t>Sao Lưu từ sổ thăm gặp</t>
  </si>
  <si>
    <t>Phường chứng sổ</t>
  </si>
  <si>
    <t>Phường chứng</t>
  </si>
  <si>
    <t>Sỏ hộ khẩu</t>
  </si>
  <si>
    <t>Giấy khai sinh con</t>
  </si>
  <si>
    <t>Sổ hộ khẩu (chủ hộ là ba học viên)</t>
  </si>
  <si>
    <t>Giấy Đăng kí kết hôn</t>
  </si>
  <si>
    <t>Chị Trịnh Thị Thu Vân ủy quền</t>
  </si>
  <si>
    <t>fgvfd</t>
  </si>
  <si>
    <t>g</t>
  </si>
  <si>
    <t>fd</t>
  </si>
  <si>
    <t>df</t>
  </si>
  <si>
    <t>f</t>
  </si>
  <si>
    <t>fv</t>
  </si>
  <si>
    <t>ádsd</t>
  </si>
  <si>
    <t>dssf</t>
  </si>
  <si>
    <t>dsfdf</t>
  </si>
  <si>
    <t>dfd</t>
  </si>
  <si>
    <t>dssfd</t>
  </si>
  <si>
    <t>212</t>
  </si>
  <si>
    <t>1987</t>
  </si>
  <si>
    <t>121</t>
  </si>
  <si>
    <t>4anh</t>
  </si>
  <si>
    <t>112</t>
  </si>
  <si>
    <t>sds</t>
  </si>
  <si>
    <t>sd</t>
  </si>
  <si>
    <t>scsff</t>
  </si>
  <si>
    <t>Sản phẩm học mót của chị đây:</t>
  </si>
  <si>
    <r>
      <t xml:space="preserve">Theo thực tế công việc thì một học viên được đăng kí tối đa 8 người thân thăm gặp thường xuyên. Vì vậy mỗi lần lưu thông tin xong sẽ không thoát userform (để tiện nhập thông tin người thăm tiếp theo).
</t>
    </r>
    <r>
      <rPr>
        <b/>
        <sz val="11"/>
        <color theme="1"/>
        <rFont val="Calibri"/>
        <family val="2"/>
        <scheme val="minor"/>
      </rPr>
      <t>Chị chưa làm được</t>
    </r>
    <r>
      <rPr>
        <sz val="11"/>
        <color theme="1"/>
        <rFont val="Calibri"/>
        <family val="2"/>
        <scheme val="minor"/>
      </rPr>
      <t xml:space="preserve">
1. txt </t>
    </r>
    <r>
      <rPr>
        <b/>
        <sz val="11"/>
        <color theme="1"/>
        <rFont val="Calibri"/>
        <family val="2"/>
        <scheme val="minor"/>
      </rPr>
      <t>số lượng người đăng kí</t>
    </r>
    <r>
      <rPr>
        <sz val="11"/>
        <color theme="1"/>
        <rFont val="Calibri"/>
        <family val="2"/>
        <scheme val="minor"/>
      </rPr>
      <t xml:space="preserve"> thăm gặp sẽ đếm số thân nhân đã đăng kí của học viên dựa vào cột L ở sheet này! nếu quá 8 người sẽ cảnh báo màu đỏ (Chỉ cảnh báo chứ không stop)
2. txt Cán bộ GQTG sẽ bằng giá trị của ô Q11 (sheet DuLieuThamNuoiNgay)
3. txt Ngày đăng kí  sẽ bằng giá trị của ô Q10 (sheet DuLieuThamNuoiNgay)</t>
    </r>
  </si>
  <si>
    <t>Test1</t>
  </si>
  <si>
    <t>06/07/2019</t>
  </si>
  <si>
    <t>Test2</t>
  </si>
  <si>
    <t>Test3</t>
  </si>
  <si>
    <t>Test4</t>
  </si>
  <si>
    <t>Test5</t>
  </si>
  <si>
    <t>Test6</t>
  </si>
  <si>
    <t>Test7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</si>
</sst>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(* #,##0_);_(* \(#,##0\);_(* &quot;-&quot;_);_(@_)"/>
    <numFmt numFmtId="165" formatCode="dd/mm/yyyy;@"/>
    <numFmt numFmtId="166" formatCode="_-* #,##0.00\ _₫_-;\-* #,##0.00\ _₫_-;_-* &quot;-&quot;??\ _₫_-;_-@_-"/>
    <numFmt numFmtId="167" formatCode="dd\/mm\/yy"/>
    <numFmt numFmtId="168" formatCode="dd/mm/yy"/>
  </numFmts>
  <fonts count="6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Times New Roman"/>
      <family val="1"/>
    </font>
    <font>
      <b/>
      <sz val="12"/>
      <color rgb="FF001982"/>
      <name val="Times New Roman"/>
      <family val="1"/>
    </font>
    <font>
      <b/>
      <sz val="14"/>
      <color rgb="FF001982"/>
      <name val="Times New Roman"/>
      <family val="1"/>
    </font>
    <font>
      <b/>
      <sz val="8"/>
      <color theme="0"/>
      <name val="Times New Roman"/>
      <family val="1"/>
    </font>
    <font>
      <b/>
      <sz val="8"/>
      <color theme="0"/>
      <name val="Calibri"/>
      <family val="2"/>
      <charset val="163"/>
      <scheme val="minor"/>
    </font>
    <font>
      <sz val="10"/>
      <color theme="1"/>
      <name val="Times New Roman"/>
      <family val="1"/>
    </font>
    <font>
      <b/>
      <sz val="7"/>
      <color theme="0"/>
      <name val="Times New Roman"/>
      <family val="1"/>
    </font>
    <font>
      <b/>
      <sz val="10"/>
      <color theme="0"/>
      <name val="Times New Roman"/>
      <family val="1"/>
    </font>
    <font>
      <b/>
      <sz val="11"/>
      <color theme="0"/>
      <name val="Times New Roman"/>
      <family val="1"/>
    </font>
    <font>
      <b/>
      <sz val="11"/>
      <color theme="0"/>
      <name val="Calibri"/>
      <family val="2"/>
      <charset val="163"/>
      <scheme val="minor"/>
    </font>
    <font>
      <sz val="10"/>
      <name val="Times New Roman"/>
      <family val="1"/>
    </font>
    <font>
      <b/>
      <sz val="11"/>
      <color theme="1"/>
      <name val="Calibri"/>
      <family val="2"/>
      <charset val="163"/>
      <scheme val="minor"/>
    </font>
    <font>
      <sz val="11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name val="Arial"/>
      <family val="2"/>
    </font>
    <font>
      <sz val="10"/>
      <color rgb="FFFF0000"/>
      <name val="Times New Roman"/>
      <family val="1"/>
    </font>
    <font>
      <b/>
      <sz val="11"/>
      <color theme="1"/>
      <name val="Times New Roman"/>
      <family val="1"/>
    </font>
    <font>
      <b/>
      <sz val="1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Tahoma"/>
      <family val="2"/>
    </font>
    <font>
      <b/>
      <sz val="14"/>
      <color rgb="FFFFC000"/>
      <name val="Tahoma"/>
      <family val="2"/>
    </font>
    <font>
      <b/>
      <sz val="14"/>
      <color theme="0"/>
      <name val="Tahoma"/>
      <family val="2"/>
    </font>
    <font>
      <b/>
      <sz val="11"/>
      <color rgb="FFFFC000"/>
      <name val="Tahoma"/>
      <family val="2"/>
    </font>
    <font>
      <b/>
      <sz val="9"/>
      <color rgb="FFFFC000"/>
      <name val="Tahoma"/>
      <family val="2"/>
    </font>
    <font>
      <b/>
      <sz val="10"/>
      <color rgb="FFFFC000"/>
      <name val="Tahoma"/>
      <family val="2"/>
    </font>
    <font>
      <b/>
      <sz val="15"/>
      <color rgb="FF002060"/>
      <name val="Calibri"/>
      <family val="2"/>
      <scheme val="minor"/>
    </font>
    <font>
      <b/>
      <sz val="30"/>
      <color rgb="FF002060"/>
      <name val="Calibri"/>
      <family val="2"/>
      <scheme val="minor"/>
    </font>
    <font>
      <b/>
      <u/>
      <sz val="9"/>
      <color rgb="FFFFC000"/>
      <name val="Calibri"/>
      <family val="2"/>
      <scheme val="minor"/>
    </font>
    <font>
      <b/>
      <sz val="12"/>
      <color rgb="FF002060"/>
      <name val="Tahoma"/>
      <family val="2"/>
    </font>
    <font>
      <b/>
      <u/>
      <sz val="8"/>
      <color rgb="FF002060"/>
      <name val="Tahoma"/>
      <family val="2"/>
    </font>
    <font>
      <b/>
      <sz val="8"/>
      <color rgb="FF002060"/>
      <name val="Tahoma"/>
      <family val="2"/>
    </font>
    <font>
      <b/>
      <sz val="10"/>
      <color rgb="FF002060"/>
      <name val="Tahoma"/>
      <family val="2"/>
    </font>
    <font>
      <b/>
      <sz val="20"/>
      <color rgb="FF002060"/>
      <name val="Tahoma"/>
      <family val="2"/>
    </font>
    <font>
      <b/>
      <sz val="12"/>
      <color theme="0"/>
      <name val="Tahoma"/>
      <family val="2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/>
      <name val="Tahoma"/>
      <family val="2"/>
    </font>
    <font>
      <sz val="11"/>
      <color rgb="FFFFC000"/>
      <name val="Tahoma"/>
      <family val="2"/>
    </font>
    <font>
      <b/>
      <sz val="20"/>
      <color rgb="FF002060"/>
      <name val="Calibri"/>
      <family val="2"/>
      <scheme val="minor"/>
    </font>
    <font>
      <b/>
      <sz val="8"/>
      <color rgb="FFFFC000"/>
      <name val="Tahoma"/>
      <family val="2"/>
    </font>
    <font>
      <b/>
      <sz val="8"/>
      <color theme="0"/>
      <name val="Tahoma"/>
      <family val="2"/>
    </font>
    <font>
      <b/>
      <sz val="8"/>
      <color rgb="FF002B7D"/>
      <name val="Tahoma"/>
      <family val="2"/>
    </font>
    <font>
      <sz val="11"/>
      <color rgb="FF002B7E"/>
      <name val="Calibri"/>
      <family val="2"/>
      <scheme val="minor"/>
    </font>
    <font>
      <sz val="11"/>
      <color rgb="FF002060"/>
      <name val="Calibri"/>
      <family val="2"/>
      <scheme val="minor"/>
    </font>
    <font>
      <sz val="9"/>
      <color rgb="FF002060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2060"/>
      <name val="Tahoma"/>
      <family val="2"/>
    </font>
    <font>
      <sz val="9"/>
      <color theme="1"/>
      <name val="Tahoma"/>
      <family val="2"/>
    </font>
    <font>
      <b/>
      <sz val="8"/>
      <color rgb="FF7030A0"/>
      <name val="Tahoma"/>
      <family val="2"/>
    </font>
    <font>
      <sz val="10"/>
      <color rgb="FF002060"/>
      <name val="Tahoma"/>
      <family val="2"/>
    </font>
    <font>
      <b/>
      <i/>
      <sz val="10"/>
      <color rgb="FF7030A0"/>
      <name val="Tahoma"/>
      <family val="2"/>
    </font>
    <font>
      <b/>
      <sz val="9"/>
      <color rgb="FF7030A0"/>
      <name val="Tahoma"/>
      <family val="2"/>
    </font>
    <font>
      <b/>
      <sz val="16"/>
      <color rgb="FF7030A0"/>
      <name val="Tahoma"/>
      <family val="2"/>
    </font>
    <font>
      <b/>
      <sz val="11"/>
      <color theme="1"/>
      <name val="Tahoma"/>
      <family val="2"/>
    </font>
    <font>
      <b/>
      <sz val="11"/>
      <color rgb="FF002060"/>
      <name val="Tahoma"/>
      <family val="2"/>
    </font>
    <font>
      <b/>
      <sz val="18"/>
      <color rgb="FF002060"/>
      <name val="Tahoma"/>
      <family val="2"/>
    </font>
    <font>
      <b/>
      <sz val="16"/>
      <color rgb="FF002060"/>
      <name val="Tahoma"/>
      <family val="2"/>
    </font>
    <font>
      <sz val="11"/>
      <color rgb="FF002B7E"/>
      <name val="Calibri"/>
      <scheme val="minor"/>
    </font>
    <font>
      <sz val="11"/>
      <color rgb="FF002060"/>
      <name val="Calibri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2060"/>
        <bgColor theme="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B7D"/>
        <bgColor indexed="64"/>
      </patternFill>
    </fill>
    <fill>
      <patternFill patternType="solid">
        <fgColor rgb="FF00297D"/>
        <bgColor indexed="64"/>
      </patternFill>
    </fill>
    <fill>
      <patternFill patternType="solid">
        <fgColor rgb="FF00319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hair">
        <color rgb="FF7030A0"/>
      </top>
      <bottom style="hair">
        <color rgb="FF7030A0"/>
      </bottom>
      <diagonal/>
    </border>
    <border>
      <left style="hair">
        <color rgb="FF7030A0"/>
      </left>
      <right/>
      <top style="hair">
        <color rgb="FF7030A0"/>
      </top>
      <bottom style="hair">
        <color rgb="FF7030A0"/>
      </bottom>
      <diagonal/>
    </border>
    <border>
      <left/>
      <right style="hair">
        <color rgb="FF7030A0"/>
      </right>
      <top style="hair">
        <color rgb="FF7030A0"/>
      </top>
      <bottom style="hair">
        <color rgb="FF7030A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theme="0"/>
      </top>
      <bottom/>
      <diagonal/>
    </border>
    <border>
      <left/>
      <right style="hair">
        <color rgb="FF7030A0"/>
      </right>
      <top style="hair">
        <color theme="0"/>
      </top>
      <bottom/>
      <diagonal/>
    </border>
    <border>
      <left style="hair">
        <color rgb="FF7030A0"/>
      </left>
      <right style="hair">
        <color rgb="FF7030A0"/>
      </right>
      <top style="hair">
        <color rgb="FF7030A0"/>
      </top>
      <bottom style="hair">
        <color rgb="FF7030A0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rgb="FF7030A0"/>
      </right>
      <top/>
      <bottom/>
      <diagonal/>
    </border>
    <border>
      <left/>
      <right/>
      <top/>
      <bottom style="hair">
        <color rgb="FF7030A0"/>
      </bottom>
      <diagonal/>
    </border>
    <border>
      <left/>
      <right style="hair">
        <color rgb="FF7030A0"/>
      </right>
      <top/>
      <bottom style="hair">
        <color rgb="FF7030A0"/>
      </bottom>
      <diagonal/>
    </border>
    <border>
      <left/>
      <right style="hair">
        <color rgb="FF7030A0"/>
      </right>
      <top style="hair">
        <color rgb="FF7030A0"/>
      </top>
      <bottom/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">
    <xf numFmtId="0" fontId="0" fillId="0" borderId="0"/>
    <xf numFmtId="166" fontId="20" fillId="0" borderId="0" applyFont="0" applyFill="0" applyBorder="0" applyAlignment="0" applyProtection="0"/>
    <xf numFmtId="0" fontId="16" fillId="0" borderId="0"/>
    <xf numFmtId="0" fontId="21" fillId="0" borderId="0"/>
    <xf numFmtId="0" fontId="20" fillId="0" borderId="0"/>
  </cellStyleXfs>
  <cellXfs count="275">
    <xf numFmtId="0" fontId="0" fillId="0" borderId="0" xfId="0"/>
    <xf numFmtId="0" fontId="0" fillId="0" borderId="0" xfId="0" applyFill="1"/>
    <xf numFmtId="0" fontId="2" fillId="0" borderId="0" xfId="0" applyFont="1" applyFill="1"/>
    <xf numFmtId="0" fontId="5" fillId="3" borderId="6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165" fontId="5" fillId="4" borderId="0" xfId="0" applyNumberFormat="1" applyFont="1" applyFill="1" applyAlignment="1">
      <alignment horizontal="center" vertical="center" wrapText="1"/>
    </xf>
    <xf numFmtId="165" fontId="6" fillId="4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Alignment="1">
      <alignment horizontal="center" vertical="center" wrapText="1"/>
    </xf>
    <xf numFmtId="0" fontId="2" fillId="0" borderId="0" xfId="0" applyFont="1"/>
    <xf numFmtId="0" fontId="7" fillId="0" borderId="7" xfId="0" applyFont="1" applyBorder="1" applyAlignment="1">
      <alignment horizontal="center"/>
    </xf>
    <xf numFmtId="0" fontId="7" fillId="0" borderId="8" xfId="0" applyFont="1" applyBorder="1" applyAlignment="1">
      <alignment wrapText="1"/>
    </xf>
    <xf numFmtId="165" fontId="7" fillId="0" borderId="8" xfId="0" applyNumberFormat="1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wrapText="1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8" fillId="3" borderId="9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 wrapText="1"/>
    </xf>
    <xf numFmtId="165" fontId="10" fillId="4" borderId="0" xfId="0" applyNumberFormat="1" applyFont="1" applyFill="1" applyAlignment="1">
      <alignment horizontal="center" vertical="center" wrapText="1"/>
    </xf>
    <xf numFmtId="165" fontId="9" fillId="4" borderId="0" xfId="0" applyNumberFormat="1" applyFont="1" applyFill="1" applyAlignment="1">
      <alignment horizontal="center" vertical="center" wrapText="1"/>
    </xf>
    <xf numFmtId="165" fontId="11" fillId="4" borderId="0" xfId="0" applyNumberFormat="1" applyFont="1" applyFill="1" applyAlignment="1">
      <alignment horizontal="center" vertical="center"/>
    </xf>
    <xf numFmtId="1" fontId="9" fillId="4" borderId="0" xfId="0" applyNumberFormat="1" applyFont="1" applyFill="1" applyAlignment="1">
      <alignment horizontal="center" vertical="center" wrapText="1"/>
    </xf>
    <xf numFmtId="0" fontId="2" fillId="5" borderId="0" xfId="0" applyFont="1" applyFill="1" applyAlignment="1">
      <alignment vertical="center"/>
    </xf>
    <xf numFmtId="0" fontId="12" fillId="0" borderId="8" xfId="0" applyFont="1" applyFill="1" applyBorder="1" applyAlignment="1">
      <alignment horizontal="center" vertical="center" wrapText="1"/>
    </xf>
    <xf numFmtId="0" fontId="12" fillId="0" borderId="8" xfId="0" applyFont="1" applyFill="1" applyBorder="1" applyAlignment="1">
      <alignment vertical="center" wrapText="1"/>
    </xf>
    <xf numFmtId="165" fontId="12" fillId="0" borderId="8" xfId="0" applyNumberFormat="1" applyFont="1" applyFill="1" applyBorder="1" applyAlignment="1">
      <alignment horizontal="center" vertical="center" wrapText="1"/>
    </xf>
    <xf numFmtId="1" fontId="12" fillId="0" borderId="8" xfId="0" applyNumberFormat="1" applyFont="1" applyFill="1" applyBorder="1" applyAlignment="1">
      <alignment horizontal="center" vertical="center" wrapText="1"/>
    </xf>
    <xf numFmtId="0" fontId="13" fillId="0" borderId="8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12" fillId="0" borderId="10" xfId="0" applyFont="1" applyFill="1" applyBorder="1" applyAlignment="1">
      <alignment horizontal="center" vertical="center" wrapText="1"/>
    </xf>
    <xf numFmtId="0" fontId="12" fillId="0" borderId="11" xfId="0" applyFont="1" applyFill="1" applyBorder="1" applyAlignment="1">
      <alignment vertical="center" wrapText="1"/>
    </xf>
    <xf numFmtId="0" fontId="12" fillId="0" borderId="11" xfId="0" applyFont="1" applyFill="1" applyBorder="1" applyAlignment="1">
      <alignment horizontal="center" vertical="center" wrapText="1"/>
    </xf>
    <xf numFmtId="165" fontId="14" fillId="0" borderId="11" xfId="0" applyNumberFormat="1" applyFont="1" applyFill="1" applyBorder="1" applyAlignment="1">
      <alignment horizontal="center" vertical="center" wrapText="1"/>
    </xf>
    <xf numFmtId="165" fontId="12" fillId="0" borderId="11" xfId="0" applyNumberFormat="1" applyFont="1" applyFill="1" applyBorder="1" applyAlignment="1">
      <alignment horizontal="center" vertical="center" wrapText="1"/>
    </xf>
    <xf numFmtId="165" fontId="0" fillId="0" borderId="11" xfId="0" applyNumberFormat="1" applyFill="1" applyBorder="1" applyAlignment="1">
      <alignment horizontal="center" vertical="center"/>
    </xf>
    <xf numFmtId="1" fontId="12" fillId="0" borderId="11" xfId="0" applyNumberFormat="1" applyFont="1" applyFill="1" applyBorder="1" applyAlignment="1">
      <alignment horizontal="center" vertical="center" wrapText="1"/>
    </xf>
    <xf numFmtId="0" fontId="13" fillId="0" borderId="11" xfId="0" applyFont="1" applyFill="1" applyBorder="1" applyAlignment="1">
      <alignment horizontal="center" vertical="center"/>
    </xf>
    <xf numFmtId="0" fontId="12" fillId="0" borderId="7" xfId="0" applyFont="1" applyFill="1" applyBorder="1" applyAlignment="1">
      <alignment horizontal="center" vertical="center" wrapText="1"/>
    </xf>
    <xf numFmtId="0" fontId="7" fillId="0" borderId="8" xfId="0" applyFont="1" applyFill="1" applyBorder="1" applyAlignment="1">
      <alignment vertical="center" wrapText="1"/>
    </xf>
    <xf numFmtId="0" fontId="7" fillId="0" borderId="8" xfId="0" applyFont="1" applyFill="1" applyBorder="1" applyAlignment="1">
      <alignment horizontal="center" vertical="center" wrapText="1"/>
    </xf>
    <xf numFmtId="165" fontId="7" fillId="0" borderId="8" xfId="0" applyNumberFormat="1" applyFont="1" applyFill="1" applyBorder="1" applyAlignment="1">
      <alignment horizontal="center" vertical="center" wrapText="1"/>
    </xf>
    <xf numFmtId="0" fontId="15" fillId="0" borderId="8" xfId="0" applyFont="1" applyFill="1" applyBorder="1" applyAlignment="1">
      <alignment horizontal="center" vertical="center" wrapText="1"/>
    </xf>
    <xf numFmtId="165" fontId="16" fillId="0" borderId="8" xfId="0" applyNumberFormat="1" applyFont="1" applyFill="1" applyBorder="1" applyAlignment="1">
      <alignment horizontal="center" vertical="center"/>
    </xf>
    <xf numFmtId="165" fontId="12" fillId="0" borderId="8" xfId="0" quotePrefix="1" applyNumberFormat="1" applyFont="1" applyFill="1" applyBorder="1" applyAlignment="1">
      <alignment horizontal="center" vertical="center" wrapText="1"/>
    </xf>
    <xf numFmtId="165" fontId="14" fillId="0" borderId="8" xfId="0" applyNumberFormat="1" applyFont="1" applyFill="1" applyBorder="1" applyAlignment="1">
      <alignment horizontal="center" vertical="center" wrapText="1"/>
    </xf>
    <xf numFmtId="165" fontId="0" fillId="0" borderId="8" xfId="0" applyNumberFormat="1" applyFill="1" applyBorder="1" applyAlignment="1">
      <alignment horizontal="center" vertical="center"/>
    </xf>
    <xf numFmtId="0" fontId="17" fillId="0" borderId="8" xfId="0" applyFont="1" applyFill="1" applyBorder="1" applyAlignment="1">
      <alignment vertical="center" wrapText="1"/>
    </xf>
    <xf numFmtId="0" fontId="0" fillId="0" borderId="8" xfId="0" applyFill="1" applyBorder="1" applyAlignment="1">
      <alignment horizontal="center" vertical="center" wrapText="1"/>
    </xf>
    <xf numFmtId="165" fontId="0" fillId="0" borderId="8" xfId="0" applyNumberFormat="1" applyFill="1" applyBorder="1" applyAlignment="1">
      <alignment horizontal="center" vertical="center" wrapText="1"/>
    </xf>
    <xf numFmtId="0" fontId="18" fillId="0" borderId="8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vertical="center"/>
    </xf>
    <xf numFmtId="0" fontId="1" fillId="0" borderId="8" xfId="0" applyFont="1" applyFill="1" applyBorder="1" applyAlignment="1">
      <alignment horizontal="center" vertical="center"/>
    </xf>
    <xf numFmtId="0" fontId="14" fillId="0" borderId="8" xfId="0" applyFont="1" applyFill="1" applyBorder="1" applyAlignment="1">
      <alignment vertical="center" wrapText="1"/>
    </xf>
    <xf numFmtId="0" fontId="14" fillId="0" borderId="8" xfId="0" applyFont="1" applyFill="1" applyBorder="1" applyAlignment="1">
      <alignment horizontal="center" vertical="center" wrapText="1"/>
    </xf>
    <xf numFmtId="0" fontId="12" fillId="0" borderId="8" xfId="0" applyNumberFormat="1" applyFont="1" applyFill="1" applyBorder="1" applyAlignment="1">
      <alignment horizontal="center" vertical="center" wrapText="1"/>
    </xf>
    <xf numFmtId="14" fontId="12" fillId="0" borderId="8" xfId="0" applyNumberFormat="1" applyFont="1" applyFill="1" applyBorder="1" applyAlignment="1">
      <alignment horizontal="center" vertical="center" wrapText="1"/>
    </xf>
    <xf numFmtId="165" fontId="0" fillId="0" borderId="8" xfId="0" quotePrefix="1" applyNumberFormat="1" applyFill="1" applyBorder="1" applyAlignment="1">
      <alignment horizontal="center" vertical="center" wrapText="1"/>
    </xf>
    <xf numFmtId="0" fontId="19" fillId="0" borderId="8" xfId="0" applyFont="1" applyFill="1" applyBorder="1" applyAlignment="1">
      <alignment horizontal="center" vertical="center"/>
    </xf>
    <xf numFmtId="165" fontId="7" fillId="0" borderId="8" xfId="0" quotePrefix="1" applyNumberFormat="1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vertical="center" wrapText="1"/>
    </xf>
    <xf numFmtId="165" fontId="14" fillId="0" borderId="0" xfId="0" applyNumberFormat="1" applyFont="1" applyFill="1" applyBorder="1" applyAlignment="1">
      <alignment horizontal="center" vertical="center" wrapText="1"/>
    </xf>
    <xf numFmtId="165" fontId="12" fillId="0" borderId="0" xfId="0" applyNumberFormat="1" applyFont="1" applyFill="1" applyBorder="1" applyAlignment="1">
      <alignment horizontal="center" vertical="center" wrapText="1"/>
    </xf>
    <xf numFmtId="165" fontId="0" fillId="0" borderId="0" xfId="0" applyNumberFormat="1" applyFill="1" applyBorder="1" applyAlignment="1">
      <alignment horizontal="center" vertical="center"/>
    </xf>
    <xf numFmtId="1" fontId="12" fillId="0" borderId="0" xfId="0" applyNumberFormat="1" applyFont="1" applyFill="1" applyBorder="1" applyAlignment="1">
      <alignment horizontal="center" vertical="center" wrapText="1"/>
    </xf>
    <xf numFmtId="0" fontId="13" fillId="0" borderId="8" xfId="0" applyFont="1" applyFill="1" applyBorder="1" applyAlignment="1">
      <alignment horizontal="center"/>
    </xf>
    <xf numFmtId="0" fontId="12" fillId="0" borderId="3" xfId="0" applyFont="1" applyFill="1" applyBorder="1" applyAlignment="1">
      <alignment horizontal="center" vertical="center" wrapText="1"/>
    </xf>
    <xf numFmtId="0" fontId="12" fillId="0" borderId="4" xfId="0" applyFont="1" applyFill="1" applyBorder="1" applyAlignment="1">
      <alignment vertical="center" wrapText="1"/>
    </xf>
    <xf numFmtId="0" fontId="12" fillId="0" borderId="4" xfId="0" applyFont="1" applyFill="1" applyBorder="1" applyAlignment="1">
      <alignment horizontal="center" vertical="center" wrapText="1"/>
    </xf>
    <xf numFmtId="165" fontId="12" fillId="0" borderId="4" xfId="0" applyNumberFormat="1" applyFont="1" applyFill="1" applyBorder="1" applyAlignment="1">
      <alignment horizontal="center" vertical="center" wrapText="1"/>
    </xf>
    <xf numFmtId="1" fontId="12" fillId="0" borderId="4" xfId="0" applyNumberFormat="1" applyFont="1" applyFill="1" applyBorder="1" applyAlignment="1">
      <alignment horizontal="center" vertical="center" wrapText="1"/>
    </xf>
    <xf numFmtId="165" fontId="7" fillId="0" borderId="8" xfId="0" applyNumberFormat="1" applyFont="1" applyFill="1" applyBorder="1" applyAlignment="1">
      <alignment horizontal="center" vertical="center"/>
    </xf>
    <xf numFmtId="0" fontId="15" fillId="0" borderId="8" xfId="0" applyFont="1" applyFill="1" applyBorder="1" applyAlignment="1">
      <alignment horizontal="center" vertical="center"/>
    </xf>
    <xf numFmtId="0" fontId="0" fillId="0" borderId="8" xfId="0" applyFill="1" applyBorder="1"/>
    <xf numFmtId="16" fontId="2" fillId="0" borderId="0" xfId="0" applyNumberFormat="1" applyFont="1"/>
    <xf numFmtId="0" fontId="7" fillId="0" borderId="8" xfId="0" applyFont="1" applyBorder="1" applyAlignment="1">
      <alignment horizontal="center" wrapText="1"/>
    </xf>
    <xf numFmtId="0" fontId="7" fillId="0" borderId="8" xfId="0" applyFont="1" applyBorder="1" applyAlignment="1">
      <alignment horizontal="center" vertical="center" wrapText="1"/>
    </xf>
    <xf numFmtId="164" fontId="7" fillId="0" borderId="8" xfId="0" applyNumberFormat="1" applyFont="1" applyBorder="1" applyAlignment="1">
      <alignment horizontal="center" vertical="center" wrapText="1"/>
    </xf>
    <xf numFmtId="14" fontId="7" fillId="0" borderId="8" xfId="0" applyNumberFormat="1" applyFont="1" applyBorder="1" applyAlignment="1">
      <alignment wrapText="1"/>
    </xf>
    <xf numFmtId="164" fontId="7" fillId="0" borderId="8" xfId="0" applyNumberFormat="1" applyFont="1" applyBorder="1" applyAlignment="1">
      <alignment wrapText="1"/>
    </xf>
    <xf numFmtId="14" fontId="7" fillId="0" borderId="8" xfId="0" applyNumberFormat="1" applyFont="1" applyBorder="1" applyAlignment="1">
      <alignment horizontal="center" vertical="center" wrapText="1"/>
    </xf>
    <xf numFmtId="14" fontId="2" fillId="0" borderId="8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wrapText="1"/>
    </xf>
    <xf numFmtId="0" fontId="7" fillId="0" borderId="4" xfId="0" applyFont="1" applyBorder="1" applyAlignment="1">
      <alignment horizontal="center" vertical="center" wrapText="1"/>
    </xf>
    <xf numFmtId="164" fontId="7" fillId="0" borderId="4" xfId="0" applyNumberFormat="1" applyFont="1" applyBorder="1" applyAlignment="1">
      <alignment horizontal="center" vertical="center" wrapText="1"/>
    </xf>
    <xf numFmtId="14" fontId="7" fillId="0" borderId="4" xfId="0" applyNumberFormat="1" applyFont="1" applyBorder="1" applyAlignment="1">
      <alignment wrapText="1"/>
    </xf>
    <xf numFmtId="164" fontId="7" fillId="0" borderId="4" xfId="0" applyNumberFormat="1" applyFont="1" applyBorder="1" applyAlignment="1">
      <alignment wrapText="1"/>
    </xf>
    <xf numFmtId="14" fontId="2" fillId="0" borderId="4" xfId="0" applyNumberFormat="1" applyFont="1" applyBorder="1" applyAlignment="1">
      <alignment horizontal="center" vertical="center" wrapText="1"/>
    </xf>
    <xf numFmtId="14" fontId="7" fillId="0" borderId="4" xfId="0" applyNumberFormat="1" applyFont="1" applyBorder="1" applyAlignment="1">
      <alignment horizontal="center" vertical="center" wrapText="1"/>
    </xf>
    <xf numFmtId="1" fontId="7" fillId="0" borderId="8" xfId="0" applyNumberFormat="1" applyFont="1" applyBorder="1" applyAlignment="1">
      <alignment horizontal="center" vertical="center" wrapText="1"/>
    </xf>
    <xf numFmtId="0" fontId="0" fillId="0" borderId="14" xfId="0" applyFill="1" applyBorder="1"/>
    <xf numFmtId="0" fontId="22" fillId="6" borderId="0" xfId="0" applyFont="1" applyFill="1" applyBorder="1" applyAlignment="1">
      <alignment horizontal="centerContinuous" vertical="center"/>
    </xf>
    <xf numFmtId="0" fontId="23" fillId="6" borderId="0" xfId="0" applyFont="1" applyFill="1" applyBorder="1" applyAlignment="1">
      <alignment horizontal="centerContinuous" vertical="center"/>
    </xf>
    <xf numFmtId="0" fontId="23" fillId="2" borderId="0" xfId="0" applyFont="1" applyFill="1" applyBorder="1" applyAlignment="1">
      <alignment vertical="center"/>
    </xf>
    <xf numFmtId="0" fontId="0" fillId="2" borderId="0" xfId="0" applyFill="1"/>
    <xf numFmtId="1" fontId="0" fillId="0" borderId="12" xfId="0" applyNumberFormat="1" applyFill="1" applyBorder="1"/>
    <xf numFmtId="0" fontId="25" fillId="7" borderId="18" xfId="0" applyFont="1" applyFill="1" applyBorder="1" applyAlignment="1">
      <alignment horizontal="left" vertical="center" indent="3"/>
    </xf>
    <xf numFmtId="0" fontId="26" fillId="7" borderId="18" xfId="0" applyFont="1" applyFill="1" applyBorder="1" applyAlignment="1">
      <alignment horizontal="left" vertical="center" indent="3"/>
    </xf>
    <xf numFmtId="0" fontId="0" fillId="2" borderId="0" xfId="0" applyFill="1" applyBorder="1"/>
    <xf numFmtId="0" fontId="27" fillId="0" borderId="19" xfId="0" applyFont="1" applyFill="1" applyBorder="1" applyAlignment="1">
      <alignment horizontal="center" vertical="center"/>
    </xf>
    <xf numFmtId="0" fontId="27" fillId="0" borderId="18" xfId="0" applyFont="1" applyFill="1" applyBorder="1" applyAlignment="1">
      <alignment horizontal="centerContinuous" vertical="center"/>
    </xf>
    <xf numFmtId="0" fontId="27" fillId="0" borderId="20" xfId="0" applyFont="1" applyFill="1" applyBorder="1" applyAlignment="1">
      <alignment horizontal="centerContinuous" vertical="center"/>
    </xf>
    <xf numFmtId="0" fontId="29" fillId="9" borderId="22" xfId="0" applyFont="1" applyFill="1" applyBorder="1" applyAlignment="1">
      <alignment horizontal="center" vertical="center"/>
    </xf>
    <xf numFmtId="0" fontId="31" fillId="10" borderId="25" xfId="0" applyFont="1" applyFill="1" applyBorder="1" applyAlignment="1">
      <alignment horizontal="center" vertical="center" wrapText="1"/>
    </xf>
    <xf numFmtId="0" fontId="31" fillId="10" borderId="25" xfId="0" applyFont="1" applyFill="1" applyBorder="1" applyAlignment="1">
      <alignment horizontal="centerContinuous" vertical="center" wrapText="1"/>
    </xf>
    <xf numFmtId="0" fontId="32" fillId="11" borderId="22" xfId="0" applyNumberFormat="1" applyFont="1" applyFill="1" applyBorder="1" applyAlignment="1">
      <alignment horizontal="left" vertical="center" shrinkToFit="1"/>
    </xf>
    <xf numFmtId="164" fontId="32" fillId="11" borderId="22" xfId="0" applyNumberFormat="1" applyFont="1" applyFill="1" applyBorder="1" applyAlignment="1">
      <alignment horizontal="centerContinuous" vertical="center" shrinkToFit="1"/>
    </xf>
    <xf numFmtId="164" fontId="32" fillId="11" borderId="28" xfId="0" applyNumberFormat="1" applyFont="1" applyFill="1" applyBorder="1" applyAlignment="1">
      <alignment horizontal="centerContinuous" vertical="center" shrinkToFit="1"/>
    </xf>
    <xf numFmtId="0" fontId="32" fillId="12" borderId="25" xfId="0" applyFont="1" applyFill="1" applyBorder="1" applyAlignment="1">
      <alignment horizontal="left" vertical="center" wrapText="1" indent="1"/>
    </xf>
    <xf numFmtId="0" fontId="33" fillId="12" borderId="25" xfId="0" applyFont="1" applyFill="1" applyBorder="1" applyAlignment="1">
      <alignment horizontal="center" vertical="center"/>
    </xf>
    <xf numFmtId="0" fontId="33" fillId="12" borderId="25" xfId="0" applyFont="1" applyFill="1" applyBorder="1" applyAlignment="1">
      <alignment horizontal="centerContinuous" vertical="center"/>
    </xf>
    <xf numFmtId="167" fontId="33" fillId="12" borderId="25" xfId="0" applyNumberFormat="1" applyFont="1" applyFill="1" applyBorder="1" applyAlignment="1">
      <alignment horizontal="centerContinuous" vertical="center"/>
    </xf>
    <xf numFmtId="0" fontId="32" fillId="13" borderId="22" xfId="0" applyNumberFormat="1" applyFont="1" applyFill="1" applyBorder="1" applyAlignment="1">
      <alignment horizontal="left" vertical="center" shrinkToFit="1"/>
    </xf>
    <xf numFmtId="0" fontId="32" fillId="13" borderId="22" xfId="0" applyNumberFormat="1" applyFont="1" applyFill="1" applyBorder="1" applyAlignment="1">
      <alignment horizontal="center" vertical="center" shrinkToFit="1"/>
    </xf>
    <xf numFmtId="0" fontId="32" fillId="13" borderId="28" xfId="0" applyNumberFormat="1" applyFont="1" applyFill="1" applyBorder="1" applyAlignment="1">
      <alignment horizontal="center" vertical="center" shrinkToFit="1"/>
    </xf>
    <xf numFmtId="0" fontId="0" fillId="0" borderId="13" xfId="0" applyFill="1" applyBorder="1"/>
    <xf numFmtId="0" fontId="0" fillId="0" borderId="12" xfId="0" applyFill="1" applyBorder="1"/>
    <xf numFmtId="0" fontId="36" fillId="2" borderId="0" xfId="0" applyFont="1" applyFill="1" applyAlignment="1">
      <alignment horizontal="left" indent="3"/>
    </xf>
    <xf numFmtId="0" fontId="37" fillId="2" borderId="0" xfId="0" applyFont="1" applyFill="1" applyAlignment="1">
      <alignment horizontal="left" indent="3"/>
    </xf>
    <xf numFmtId="1" fontId="38" fillId="2" borderId="0" xfId="0" applyNumberFormat="1" applyFont="1" applyFill="1" applyBorder="1" applyAlignment="1"/>
    <xf numFmtId="1" fontId="39" fillId="2" borderId="0" xfId="0" applyNumberFormat="1" applyFont="1" applyFill="1" applyBorder="1" applyAlignment="1"/>
    <xf numFmtId="0" fontId="31" fillId="10" borderId="25" xfId="0" applyFont="1" applyFill="1" applyBorder="1" applyAlignment="1">
      <alignment horizontal="center" vertical="center"/>
    </xf>
    <xf numFmtId="0" fontId="31" fillId="10" borderId="25" xfId="0" applyFont="1" applyFill="1" applyBorder="1" applyAlignment="1">
      <alignment horizontal="centerContinuous" vertical="center"/>
    </xf>
    <xf numFmtId="0" fontId="31" fillId="10" borderId="32" xfId="0" applyFont="1" applyFill="1" applyBorder="1" applyAlignment="1">
      <alignment horizontal="centerContinuous" vertical="center" wrapText="1"/>
    </xf>
    <xf numFmtId="0" fontId="33" fillId="12" borderId="25" xfId="0" quotePrefix="1" applyFont="1" applyFill="1" applyBorder="1" applyAlignment="1">
      <alignment horizontal="center" vertical="center" shrinkToFit="1"/>
    </xf>
    <xf numFmtId="0" fontId="33" fillId="12" borderId="18" xfId="0" applyFont="1" applyFill="1" applyBorder="1" applyAlignment="1">
      <alignment horizontal="centerContinuous" vertical="center"/>
    </xf>
    <xf numFmtId="0" fontId="25" fillId="6" borderId="18" xfId="0" applyFont="1" applyFill="1" applyBorder="1" applyAlignment="1">
      <alignment horizontal="left" vertical="center" indent="3"/>
    </xf>
    <xf numFmtId="0" fontId="25" fillId="8" borderId="34" xfId="0" applyFont="1" applyFill="1" applyBorder="1" applyAlignment="1">
      <alignment horizontal="left" vertical="center" indent="1"/>
    </xf>
    <xf numFmtId="14" fontId="33" fillId="12" borderId="34" xfId="0" applyNumberFormat="1" applyFont="1" applyFill="1" applyBorder="1" applyAlignment="1">
      <alignment horizontal="center" vertical="center"/>
    </xf>
    <xf numFmtId="0" fontId="33" fillId="12" borderId="19" xfId="0" applyFont="1" applyFill="1" applyBorder="1" applyAlignment="1">
      <alignment horizontal="centerContinuous" vertical="center"/>
    </xf>
    <xf numFmtId="0" fontId="0" fillId="0" borderId="0" xfId="0" applyFill="1" applyBorder="1"/>
    <xf numFmtId="49" fontId="42" fillId="4" borderId="0" xfId="0" applyNumberFormat="1" applyFont="1" applyFill="1" applyBorder="1" applyAlignment="1">
      <alignment horizontal="center" vertical="center" wrapText="1"/>
    </xf>
    <xf numFmtId="0" fontId="41" fillId="6" borderId="22" xfId="0" applyFont="1" applyFill="1" applyBorder="1" applyAlignment="1">
      <alignment horizontal="center" vertical="center" wrapText="1"/>
    </xf>
    <xf numFmtId="0" fontId="41" fillId="6" borderId="37" xfId="0" applyFont="1" applyFill="1" applyBorder="1" applyAlignment="1">
      <alignment horizontal="center" vertical="center" wrapText="1"/>
    </xf>
    <xf numFmtId="0" fontId="41" fillId="6" borderId="21" xfId="0" applyFont="1" applyFill="1" applyBorder="1" applyAlignment="1">
      <alignment horizontal="center" vertical="center" wrapText="1"/>
    </xf>
    <xf numFmtId="0" fontId="41" fillId="6" borderId="28" xfId="0" applyFont="1" applyFill="1" applyBorder="1" applyAlignment="1">
      <alignment horizontal="center" vertical="center" wrapText="1"/>
    </xf>
    <xf numFmtId="0" fontId="43" fillId="6" borderId="0" xfId="0" applyFont="1" applyFill="1" applyBorder="1" applyAlignment="1">
      <alignment horizontal="center" vertical="center" wrapText="1"/>
    </xf>
    <xf numFmtId="0" fontId="43" fillId="6" borderId="34" xfId="0" applyFont="1" applyFill="1" applyBorder="1" applyAlignment="1">
      <alignment horizontal="center" vertical="center" wrapText="1"/>
    </xf>
    <xf numFmtId="0" fontId="41" fillId="6" borderId="0" xfId="0" applyFont="1" applyFill="1" applyBorder="1" applyAlignment="1">
      <alignment horizontal="center" vertical="center" wrapText="1"/>
    </xf>
    <xf numFmtId="0" fontId="0" fillId="0" borderId="38" xfId="0" applyFill="1" applyBorder="1"/>
    <xf numFmtId="14" fontId="44" fillId="0" borderId="22" xfId="0" applyNumberFormat="1" applyFont="1" applyFill="1" applyBorder="1" applyAlignment="1">
      <alignment horizontal="left"/>
    </xf>
    <xf numFmtId="0" fontId="44" fillId="0" borderId="22" xfId="0" applyFont="1" applyFill="1" applyBorder="1" applyAlignment="1">
      <alignment horizontal="center" vertical="center"/>
    </xf>
    <xf numFmtId="0" fontId="44" fillId="0" borderId="37" xfId="0" applyFont="1" applyFill="1" applyBorder="1" applyAlignment="1">
      <alignment horizontal="centerContinuous"/>
    </xf>
    <xf numFmtId="0" fontId="44" fillId="0" borderId="21" xfId="0" applyFont="1" applyBorder="1" applyAlignment="1">
      <alignment horizontal="centerContinuous"/>
    </xf>
    <xf numFmtId="0" fontId="44" fillId="0" borderId="22" xfId="0" applyFont="1" applyFill="1" applyBorder="1" applyAlignment="1">
      <alignment horizontal="left"/>
    </xf>
    <xf numFmtId="0" fontId="44" fillId="0" borderId="28" xfId="0" applyFont="1" applyFill="1" applyBorder="1" applyAlignment="1">
      <alignment horizontal="left"/>
    </xf>
    <xf numFmtId="0" fontId="44" fillId="0" borderId="34" xfId="0" applyFont="1" applyFill="1" applyBorder="1" applyAlignment="1">
      <alignment horizontal="left"/>
    </xf>
    <xf numFmtId="0" fontId="44" fillId="0" borderId="34" xfId="0" applyFont="1" applyBorder="1" applyAlignment="1">
      <alignment horizontal="left"/>
    </xf>
    <xf numFmtId="0" fontId="44" fillId="0" borderId="39" xfId="0" applyFont="1" applyFill="1" applyBorder="1" applyAlignment="1">
      <alignment horizontal="left"/>
    </xf>
    <xf numFmtId="0" fontId="44" fillId="0" borderId="38" xfId="0" applyFont="1" applyFill="1" applyBorder="1" applyAlignment="1">
      <alignment horizontal="left"/>
    </xf>
    <xf numFmtId="0" fontId="0" fillId="13" borderId="0" xfId="0" applyFill="1"/>
    <xf numFmtId="0" fontId="44" fillId="0" borderId="40" xfId="0" applyFont="1" applyFill="1" applyBorder="1" applyAlignment="1">
      <alignment horizontal="centerContinuous"/>
    </xf>
    <xf numFmtId="0" fontId="44" fillId="0" borderId="33" xfId="0" applyFont="1" applyBorder="1" applyAlignment="1">
      <alignment horizontal="centerContinuous"/>
    </xf>
    <xf numFmtId="0" fontId="44" fillId="0" borderId="0" xfId="0" applyFont="1" applyFill="1" applyBorder="1" applyAlignment="1">
      <alignment horizontal="left"/>
    </xf>
    <xf numFmtId="0" fontId="0" fillId="0" borderId="33" xfId="0" applyFill="1" applyBorder="1"/>
    <xf numFmtId="14" fontId="44" fillId="0" borderId="35" xfId="0" applyNumberFormat="1" applyFont="1" applyFill="1" applyBorder="1" applyAlignment="1">
      <alignment horizontal="left"/>
    </xf>
    <xf numFmtId="0" fontId="44" fillId="0" borderId="35" xfId="0" applyFont="1" applyFill="1" applyBorder="1" applyAlignment="1">
      <alignment horizontal="center" vertical="center"/>
    </xf>
    <xf numFmtId="0" fontId="44" fillId="0" borderId="35" xfId="0" applyFont="1" applyFill="1" applyBorder="1" applyAlignment="1">
      <alignment horizontal="left"/>
    </xf>
    <xf numFmtId="0" fontId="44" fillId="0" borderId="37" xfId="0" applyFont="1" applyFill="1" applyBorder="1" applyAlignment="1">
      <alignment horizontal="left"/>
    </xf>
    <xf numFmtId="0" fontId="44" fillId="0" borderId="21" xfId="0" applyFont="1" applyFill="1" applyBorder="1" applyAlignment="1">
      <alignment horizontal="left"/>
    </xf>
    <xf numFmtId="0" fontId="44" fillId="0" borderId="21" xfId="0" applyFont="1" applyBorder="1" applyAlignment="1">
      <alignment horizontal="left"/>
    </xf>
    <xf numFmtId="0" fontId="44" fillId="0" borderId="37" xfId="0" applyFont="1" applyFill="1" applyBorder="1" applyAlignment="1">
      <alignment horizontal="center" vertical="center"/>
    </xf>
    <xf numFmtId="0" fontId="44" fillId="0" borderId="40" xfId="0" applyFont="1" applyFill="1" applyBorder="1" applyAlignment="1">
      <alignment horizontal="left"/>
    </xf>
    <xf numFmtId="0" fontId="45" fillId="2" borderId="0" xfId="0" applyFont="1" applyFill="1"/>
    <xf numFmtId="0" fontId="49" fillId="0" borderId="0" xfId="3" applyFont="1" applyProtection="1">
      <protection hidden="1"/>
    </xf>
    <xf numFmtId="0" fontId="0" fillId="0" borderId="0" xfId="0" applyProtection="1">
      <protection hidden="1"/>
    </xf>
    <xf numFmtId="0" fontId="49" fillId="0" borderId="13" xfId="3" applyFont="1" applyBorder="1" applyAlignment="1" applyProtection="1">
      <alignment horizontal="center" wrapText="1"/>
      <protection hidden="1"/>
    </xf>
    <xf numFmtId="0" fontId="0" fillId="0" borderId="13" xfId="0" applyBorder="1" applyAlignment="1" applyProtection="1">
      <alignment horizontal="center" wrapText="1"/>
      <protection hidden="1"/>
    </xf>
    <xf numFmtId="0" fontId="34" fillId="0" borderId="0" xfId="3" applyFont="1" applyFill="1" applyBorder="1" applyAlignment="1" applyProtection="1">
      <alignment vertical="center"/>
      <protection hidden="1"/>
    </xf>
    <xf numFmtId="0" fontId="50" fillId="5" borderId="5" xfId="0" applyFont="1" applyFill="1" applyBorder="1" applyAlignment="1" applyProtection="1">
      <alignment horizontal="center" vertical="center" wrapText="1"/>
      <protection locked="0"/>
    </xf>
    <xf numFmtId="0" fontId="51" fillId="2" borderId="8" xfId="0" applyFont="1" applyFill="1" applyBorder="1" applyAlignment="1" applyProtection="1">
      <alignment horizontal="center" vertical="center"/>
      <protection hidden="1"/>
    </xf>
    <xf numFmtId="0" fontId="45" fillId="0" borderId="8" xfId="0" applyFont="1" applyBorder="1" applyAlignment="1" applyProtection="1">
      <alignment horizontal="center" vertical="center"/>
      <protection hidden="1"/>
    </xf>
    <xf numFmtId="164" fontId="46" fillId="0" borderId="8" xfId="3" applyNumberFormat="1" applyFont="1" applyFill="1" applyBorder="1" applyAlignment="1" applyProtection="1">
      <alignment horizontal="center" vertical="center"/>
      <protection hidden="1"/>
    </xf>
    <xf numFmtId="0" fontId="52" fillId="14" borderId="8" xfId="0" applyFont="1" applyFill="1" applyBorder="1" applyAlignment="1" applyProtection="1">
      <alignment horizontal="center" vertical="center"/>
      <protection hidden="1"/>
    </xf>
    <xf numFmtId="164" fontId="46" fillId="14" borderId="8" xfId="0" applyNumberFormat="1" applyFont="1" applyFill="1" applyBorder="1" applyAlignment="1" applyProtection="1">
      <alignment horizontal="center" vertical="center"/>
      <protection hidden="1"/>
    </xf>
    <xf numFmtId="0" fontId="49" fillId="0" borderId="0" xfId="3" applyFont="1" applyFill="1" applyProtection="1">
      <protection hidden="1"/>
    </xf>
    <xf numFmtId="0" fontId="33" fillId="5" borderId="8" xfId="3" applyFont="1" applyFill="1" applyBorder="1" applyAlignment="1" applyProtection="1">
      <alignment horizontal="center" vertical="center" wrapText="1"/>
      <protection hidden="1"/>
    </xf>
    <xf numFmtId="0" fontId="49" fillId="0" borderId="8" xfId="3" applyFont="1" applyBorder="1" applyProtection="1">
      <protection hidden="1"/>
    </xf>
    <xf numFmtId="1" fontId="52" fillId="0" borderId="8" xfId="3" applyNumberFormat="1" applyFont="1" applyBorder="1" applyAlignment="1" applyProtection="1">
      <alignment horizontal="center" vertical="center"/>
      <protection hidden="1"/>
    </xf>
    <xf numFmtId="14" fontId="52" fillId="0" borderId="8" xfId="3" applyNumberFormat="1" applyFont="1" applyBorder="1" applyAlignment="1" applyProtection="1">
      <alignment horizontal="left"/>
      <protection hidden="1"/>
    </xf>
    <xf numFmtId="0" fontId="52" fillId="0" borderId="8" xfId="3" applyNumberFormat="1" applyFont="1" applyBorder="1" applyAlignment="1" applyProtection="1">
      <alignment horizontal="center" vertical="center"/>
      <protection hidden="1"/>
    </xf>
    <xf numFmtId="0" fontId="54" fillId="0" borderId="8" xfId="0" applyFont="1" applyFill="1" applyBorder="1" applyAlignment="1" applyProtection="1">
      <alignment horizontal="center" vertical="center"/>
      <protection hidden="1"/>
    </xf>
    <xf numFmtId="0" fontId="54" fillId="0" borderId="8" xfId="0" applyFont="1" applyBorder="1" applyAlignment="1" applyProtection="1">
      <alignment horizontal="center" vertical="center"/>
      <protection hidden="1"/>
    </xf>
    <xf numFmtId="0" fontId="54" fillId="2" borderId="8" xfId="0" applyFont="1" applyFill="1" applyBorder="1" applyAlignment="1" applyProtection="1">
      <alignment horizontal="center" vertical="center"/>
      <protection hidden="1"/>
    </xf>
    <xf numFmtId="0" fontId="49" fillId="0" borderId="44" xfId="3" applyFont="1" applyBorder="1" applyProtection="1">
      <protection hidden="1"/>
    </xf>
    <xf numFmtId="0" fontId="49" fillId="0" borderId="45" xfId="3" applyFont="1" applyBorder="1" applyProtection="1">
      <protection hidden="1"/>
    </xf>
    <xf numFmtId="0" fontId="49" fillId="0" borderId="46" xfId="3" applyFont="1" applyBorder="1" applyProtection="1">
      <protection hidden="1"/>
    </xf>
    <xf numFmtId="1" fontId="52" fillId="2" borderId="8" xfId="3" applyNumberFormat="1" applyFont="1" applyFill="1" applyBorder="1" applyAlignment="1" applyProtection="1">
      <alignment horizontal="center" vertical="center"/>
      <protection hidden="1"/>
    </xf>
    <xf numFmtId="14" fontId="52" fillId="2" borderId="8" xfId="3" applyNumberFormat="1" applyFont="1" applyFill="1" applyBorder="1" applyAlignment="1" applyProtection="1">
      <alignment horizontal="left"/>
      <protection hidden="1"/>
    </xf>
    <xf numFmtId="0" fontId="52" fillId="2" borderId="8" xfId="3" applyNumberFormat="1" applyFont="1" applyFill="1" applyBorder="1" applyAlignment="1" applyProtection="1">
      <alignment horizontal="center" vertical="center"/>
      <protection hidden="1"/>
    </xf>
    <xf numFmtId="14" fontId="52" fillId="0" borderId="8" xfId="3" applyNumberFormat="1" applyFont="1" applyFill="1" applyBorder="1" applyAlignment="1" applyProtection="1">
      <alignment horizontal="left"/>
      <protection hidden="1"/>
    </xf>
    <xf numFmtId="14" fontId="49" fillId="0" borderId="0" xfId="3" applyNumberFormat="1" applyFont="1" applyProtection="1">
      <protection hidden="1"/>
    </xf>
    <xf numFmtId="0" fontId="57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16" fontId="0" fillId="0" borderId="0" xfId="0" applyNumberFormat="1" applyBorder="1" applyAlignment="1">
      <alignment horizontal="center" vertical="center"/>
    </xf>
    <xf numFmtId="0" fontId="58" fillId="0" borderId="0" xfId="0" applyFont="1" applyBorder="1" applyAlignment="1">
      <alignment vertical="center"/>
    </xf>
    <xf numFmtId="0" fontId="60" fillId="0" borderId="40" xfId="0" applyFont="1" applyFill="1" applyBorder="1" applyAlignment="1">
      <alignment horizontal="centerContinuous"/>
    </xf>
    <xf numFmtId="0" fontId="60" fillId="0" borderId="33" xfId="0" applyFont="1" applyBorder="1" applyAlignment="1">
      <alignment horizontal="centerContinuous"/>
    </xf>
    <xf numFmtId="0" fontId="60" fillId="0" borderId="40" xfId="0" applyFont="1" applyFill="1" applyBorder="1" applyAlignment="1">
      <alignment horizontal="left"/>
    </xf>
    <xf numFmtId="14" fontId="60" fillId="0" borderId="35" xfId="0" applyNumberFormat="1" applyFont="1" applyFill="1" applyBorder="1" applyAlignment="1">
      <alignment horizontal="left"/>
    </xf>
    <xf numFmtId="0" fontId="60" fillId="0" borderId="35" xfId="0" applyFont="1" applyFill="1" applyBorder="1" applyAlignment="1">
      <alignment horizontal="center" vertical="center"/>
    </xf>
    <xf numFmtId="0" fontId="60" fillId="0" borderId="35" xfId="0" applyFont="1" applyFill="1" applyBorder="1" applyAlignment="1">
      <alignment horizontal="left"/>
    </xf>
    <xf numFmtId="0" fontId="60" fillId="0" borderId="37" xfId="0" applyFont="1" applyFill="1" applyBorder="1" applyAlignment="1">
      <alignment horizontal="left"/>
    </xf>
    <xf numFmtId="0" fontId="60" fillId="0" borderId="21" xfId="0" applyFont="1" applyFill="1" applyBorder="1" applyAlignment="1">
      <alignment horizontal="left"/>
    </xf>
    <xf numFmtId="0" fontId="60" fillId="0" borderId="21" xfId="0" applyFont="1" applyBorder="1" applyAlignment="1">
      <alignment horizontal="left"/>
    </xf>
    <xf numFmtId="0" fontId="60" fillId="0" borderId="38" xfId="0" applyFont="1" applyFill="1" applyBorder="1" applyAlignment="1">
      <alignment horizontal="left"/>
    </xf>
    <xf numFmtId="0" fontId="60" fillId="0" borderId="37" xfId="0" applyFont="1" applyFill="1" applyBorder="1" applyAlignment="1">
      <alignment horizontal="center" vertical="center"/>
    </xf>
    <xf numFmtId="0" fontId="25" fillId="4" borderId="0" xfId="0" applyFont="1" applyFill="1" applyBorder="1" applyAlignment="1">
      <alignment horizontal="center" vertical="center" wrapText="1"/>
    </xf>
    <xf numFmtId="0" fontId="25" fillId="4" borderId="5" xfId="0" applyFont="1" applyFill="1" applyBorder="1" applyAlignment="1">
      <alignment horizontal="center" vertical="center" wrapText="1"/>
    </xf>
    <xf numFmtId="0" fontId="45" fillId="0" borderId="0" xfId="0" applyFont="1" applyFill="1" applyBorder="1" applyAlignment="1">
      <alignment horizontal="center" vertical="center"/>
    </xf>
    <xf numFmtId="0" fontId="45" fillId="0" borderId="5" xfId="0" applyFont="1" applyFill="1" applyBorder="1"/>
    <xf numFmtId="0" fontId="61" fillId="0" borderId="47" xfId="0" applyFont="1" applyFill="1" applyBorder="1" applyAlignment="1">
      <alignment horizontal="center" vertical="center"/>
    </xf>
    <xf numFmtId="0" fontId="61" fillId="0" borderId="2" xfId="0" applyFont="1" applyFill="1" applyBorder="1"/>
    <xf numFmtId="0" fontId="61" fillId="0" borderId="4" xfId="0" applyFont="1" applyFill="1" applyBorder="1"/>
    <xf numFmtId="0" fontId="61" fillId="0" borderId="47" xfId="0" applyFont="1" applyFill="1" applyBorder="1"/>
    <xf numFmtId="0" fontId="56" fillId="2" borderId="42" xfId="0" applyFont="1" applyFill="1" applyBorder="1" applyAlignment="1" applyProtection="1">
      <alignment horizontal="center" vertical="center"/>
      <protection hidden="1"/>
    </xf>
    <xf numFmtId="0" fontId="56" fillId="2" borderId="43" xfId="0" applyFont="1" applyFill="1" applyBorder="1" applyAlignment="1" applyProtection="1">
      <alignment horizontal="center" vertical="center"/>
      <protection hidden="1"/>
    </xf>
    <xf numFmtId="0" fontId="56" fillId="2" borderId="6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53" fillId="2" borderId="14" xfId="0" applyFont="1" applyFill="1" applyBorder="1" applyAlignment="1" applyProtection="1">
      <alignment horizontal="center" vertical="center"/>
      <protection hidden="1"/>
    </xf>
    <xf numFmtId="0" fontId="53" fillId="2" borderId="41" xfId="0" applyFont="1" applyFill="1" applyBorder="1" applyAlignment="1" applyProtection="1">
      <alignment horizontal="center" vertical="center"/>
      <protection hidden="1"/>
    </xf>
    <xf numFmtId="0" fontId="53" fillId="2" borderId="7" xfId="0" applyFont="1" applyFill="1" applyBorder="1" applyAlignment="1" applyProtection="1">
      <alignment horizontal="center" vertical="center"/>
      <protection hidden="1"/>
    </xf>
    <xf numFmtId="14" fontId="52" fillId="0" borderId="14" xfId="3" applyNumberFormat="1" applyFont="1" applyBorder="1" applyAlignment="1" applyProtection="1">
      <alignment horizontal="center" vertical="center"/>
      <protection hidden="1"/>
    </xf>
    <xf numFmtId="14" fontId="52" fillId="0" borderId="41" xfId="3" applyNumberFormat="1" applyFont="1" applyBorder="1" applyAlignment="1" applyProtection="1">
      <alignment horizontal="center" vertical="center"/>
      <protection hidden="1"/>
    </xf>
    <xf numFmtId="14" fontId="52" fillId="0" borderId="7" xfId="3" applyNumberFormat="1" applyFont="1" applyBorder="1" applyAlignment="1" applyProtection="1">
      <alignment horizontal="center" vertical="center"/>
      <protection hidden="1"/>
    </xf>
    <xf numFmtId="1" fontId="55" fillId="2" borderId="14" xfId="0" applyNumberFormat="1" applyFont="1" applyFill="1" applyBorder="1" applyAlignment="1" applyProtection="1">
      <alignment horizontal="center" vertical="center"/>
      <protection hidden="1"/>
    </xf>
    <xf numFmtId="1" fontId="55" fillId="2" borderId="41" xfId="0" applyNumberFormat="1" applyFont="1" applyFill="1" applyBorder="1" applyAlignment="1" applyProtection="1">
      <alignment horizontal="center" vertical="center"/>
      <protection hidden="1"/>
    </xf>
    <xf numFmtId="1" fontId="55" fillId="2" borderId="7" xfId="0" applyNumberFormat="1" applyFont="1" applyFill="1" applyBorder="1" applyAlignment="1" applyProtection="1">
      <alignment horizontal="center" vertical="center"/>
      <protection hidden="1"/>
    </xf>
    <xf numFmtId="0" fontId="2" fillId="0" borderId="1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2" fillId="0" borderId="5" xfId="0" applyFont="1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25" fillId="6" borderId="0" xfId="0" applyFont="1" applyFill="1" applyBorder="1" applyAlignment="1">
      <alignment horizontal="left" vertical="center" wrapText="1" indent="3"/>
    </xf>
    <xf numFmtId="0" fontId="25" fillId="6" borderId="30" xfId="0" applyFont="1" applyFill="1" applyBorder="1" applyAlignment="1">
      <alignment horizontal="left" vertical="center" wrapText="1" indent="3"/>
    </xf>
    <xf numFmtId="0" fontId="33" fillId="12" borderId="0" xfId="0" applyFont="1" applyFill="1" applyBorder="1" applyAlignment="1">
      <alignment horizontal="center" vertical="center" shrinkToFit="1"/>
    </xf>
    <xf numFmtId="0" fontId="33" fillId="12" borderId="30" xfId="0" applyFont="1" applyFill="1" applyBorder="1" applyAlignment="1">
      <alignment horizontal="center" vertical="center" shrinkToFit="1"/>
    </xf>
    <xf numFmtId="0" fontId="25" fillId="8" borderId="21" xfId="0" applyFont="1" applyFill="1" applyBorder="1" applyAlignment="1">
      <alignment horizontal="left" vertical="center" wrapText="1" indent="1"/>
    </xf>
    <xf numFmtId="0" fontId="25" fillId="8" borderId="26" xfId="0" applyFont="1" applyFill="1" applyBorder="1" applyAlignment="1">
      <alignment horizontal="left" vertical="center" wrapText="1" indent="1"/>
    </xf>
    <xf numFmtId="1" fontId="40" fillId="12" borderId="21" xfId="0" applyNumberFormat="1" applyFont="1" applyFill="1" applyBorder="1" applyAlignment="1">
      <alignment horizontal="center" vertical="center"/>
    </xf>
    <xf numFmtId="1" fontId="40" fillId="12" borderId="33" xfId="0" applyNumberFormat="1" applyFont="1" applyFill="1" applyBorder="1" applyAlignment="1">
      <alignment horizontal="center" vertical="center"/>
    </xf>
    <xf numFmtId="0" fontId="41" fillId="8" borderId="33" xfId="0" applyFont="1" applyFill="1" applyBorder="1" applyAlignment="1">
      <alignment horizontal="left" vertical="center" wrapText="1" indent="1"/>
    </xf>
    <xf numFmtId="0" fontId="41" fillId="8" borderId="26" xfId="0" applyFont="1" applyFill="1" applyBorder="1" applyAlignment="1">
      <alignment horizontal="left" vertical="center" wrapText="1" indent="1"/>
    </xf>
    <xf numFmtId="0" fontId="33" fillId="12" borderId="35" xfId="0" applyFont="1" applyFill="1" applyBorder="1" applyAlignment="1">
      <alignment horizontal="center" vertical="center" shrinkToFit="1"/>
    </xf>
    <xf numFmtId="0" fontId="33" fillId="12" borderId="36" xfId="0" applyFont="1" applyFill="1" applyBorder="1" applyAlignment="1">
      <alignment horizontal="center" vertical="center" shrinkToFit="1"/>
    </xf>
    <xf numFmtId="0" fontId="24" fillId="6" borderId="15" xfId="0" applyFont="1" applyFill="1" applyBorder="1" applyAlignment="1">
      <alignment horizontal="center" vertical="center"/>
    </xf>
    <xf numFmtId="0" fontId="24" fillId="6" borderId="16" xfId="0" applyFont="1" applyFill="1" applyBorder="1" applyAlignment="1">
      <alignment horizontal="center" vertical="center"/>
    </xf>
    <xf numFmtId="0" fontId="24" fillId="6" borderId="17" xfId="0" applyFont="1" applyFill="1" applyBorder="1" applyAlignment="1">
      <alignment horizontal="center" vertical="center"/>
    </xf>
    <xf numFmtId="0" fontId="28" fillId="0" borderId="4" xfId="0" applyFont="1" applyFill="1" applyBorder="1" applyAlignment="1">
      <alignment horizontal="center" vertical="center"/>
    </xf>
    <xf numFmtId="0" fontId="28" fillId="0" borderId="27" xfId="0" applyFont="1" applyFill="1" applyBorder="1" applyAlignment="1">
      <alignment horizontal="center" vertical="center"/>
    </xf>
    <xf numFmtId="0" fontId="28" fillId="0" borderId="11" xfId="0" applyFont="1" applyFill="1" applyBorder="1" applyAlignment="1">
      <alignment horizontal="center" vertical="center"/>
    </xf>
    <xf numFmtId="0" fontId="25" fillId="7" borderId="23" xfId="0" applyFont="1" applyFill="1" applyBorder="1" applyAlignment="1">
      <alignment horizontal="left" vertical="center" wrapText="1" indent="3"/>
    </xf>
    <xf numFmtId="0" fontId="25" fillId="7" borderId="24" xfId="0" applyFont="1" applyFill="1" applyBorder="1" applyAlignment="1">
      <alignment horizontal="left" vertical="center" wrapText="1" indent="3"/>
    </xf>
    <xf numFmtId="0" fontId="25" fillId="7" borderId="0" xfId="0" applyFont="1" applyFill="1" applyBorder="1" applyAlignment="1">
      <alignment horizontal="left" vertical="center" wrapText="1" indent="3"/>
    </xf>
    <xf numFmtId="0" fontId="25" fillId="7" borderId="29" xfId="0" applyFont="1" applyFill="1" applyBorder="1" applyAlignment="1">
      <alignment horizontal="left" vertical="center" wrapText="1" indent="3"/>
    </xf>
    <xf numFmtId="0" fontId="25" fillId="7" borderId="30" xfId="0" applyFont="1" applyFill="1" applyBorder="1" applyAlignment="1">
      <alignment horizontal="left" vertical="center" wrapText="1" indent="3"/>
    </xf>
    <xf numFmtId="0" fontId="25" fillId="7" borderId="31" xfId="0" applyFont="1" applyFill="1" applyBorder="1" applyAlignment="1">
      <alignment horizontal="left" vertical="center" wrapText="1" indent="3"/>
    </xf>
    <xf numFmtId="0" fontId="30" fillId="0" borderId="25" xfId="0" applyFont="1" applyFill="1" applyBorder="1" applyAlignment="1">
      <alignment horizontal="center" vertical="center"/>
    </xf>
    <xf numFmtId="0" fontId="34" fillId="0" borderId="8" xfId="0" applyFont="1" applyFill="1" applyBorder="1" applyAlignment="1">
      <alignment horizontal="center" vertical="center"/>
    </xf>
    <xf numFmtId="1" fontId="35" fillId="12" borderId="19" xfId="0" applyNumberFormat="1" applyFont="1" applyFill="1" applyBorder="1" applyAlignment="1">
      <alignment horizontal="center" vertical="center"/>
    </xf>
    <xf numFmtId="1" fontId="35" fillId="12" borderId="18" xfId="0" applyNumberFormat="1" applyFont="1" applyFill="1" applyBorder="1" applyAlignment="1">
      <alignment horizontal="center" vertical="center"/>
    </xf>
    <xf numFmtId="1" fontId="35" fillId="12" borderId="20" xfId="0" applyNumberFormat="1" applyFont="1" applyFill="1" applyBorder="1" applyAlignment="1">
      <alignment horizontal="center" vertical="center"/>
    </xf>
    <xf numFmtId="0" fontId="57" fillId="0" borderId="0" xfId="0" applyFont="1" applyAlignment="1">
      <alignment horizontal="left" vertical="center"/>
    </xf>
    <xf numFmtId="0" fontId="59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68" fontId="60" fillId="0" borderId="35" xfId="0" applyNumberFormat="1" applyFont="1" applyFill="1" applyBorder="1" applyAlignment="1">
      <alignment horizontal="left"/>
    </xf>
    <xf numFmtId="0" fontId="45" fillId="0" borderId="47" xfId="0" applyFont="1" applyFill="1" applyBorder="1" applyAlignment="1">
      <alignment horizontal="center" vertical="center"/>
    </xf>
    <xf numFmtId="0" fontId="45" fillId="0" borderId="2" xfId="0" applyFont="1" applyFill="1" applyBorder="1"/>
    <xf numFmtId="0" fontId="45" fillId="0" borderId="4" xfId="0" applyFont="1" applyFill="1" applyBorder="1"/>
    <xf numFmtId="0" fontId="45" fillId="0" borderId="47" xfId="0" applyFont="1" applyFill="1" applyBorder="1"/>
  </cellXfs>
  <cellStyles count="5">
    <cellStyle name="Comma 2" xfId="1"/>
    <cellStyle name="Normal" xfId="0" builtinId="0"/>
    <cellStyle name="Normal 2" xfId="2"/>
    <cellStyle name="Normal 3" xfId="3"/>
    <cellStyle name="Normal 4" xfId="4"/>
  </cellStyles>
  <dxfs count="66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C000"/>
        <name val="Tahoma"/>
        <scheme val="none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left" vertical="bottom" textRotation="0" wrapText="0" indent="0" justifyLastLine="0" shrinkToFit="0" readingOrder="0"/>
      <border outline="0">
        <left style="hair">
          <color auto="1"/>
        </left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centerContinuous" vertical="bottom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centerContinuous" vertical="bottom" textRotation="0" wrapText="0" indent="0" justifyLastLine="0" shrinkToFit="0" readingOrder="0"/>
      <border diagonalUp="0" diagonalDown="0" outline="0">
        <left style="hair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u val="none"/>
        <vertAlign val="baseline"/>
        <sz val="11"/>
        <color rgb="FF002B7E"/>
        <name val="Calibri"/>
        <scheme val="minor"/>
      </font>
      <numFmt numFmtId="168" formatCode="dd/mm/yy"/>
      <alignment horizontal="left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 outline="0">
        <right style="hair">
          <color auto="1"/>
        </right>
      </border>
    </dxf>
    <dxf>
      <border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ahoma"/>
        <scheme val="none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numFmt numFmtId="164" formatCode="_(* #,##0_);_(* \(#,##0\);_(* &quot;-&quot;_);_(@_)"/>
      <alignment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numFmt numFmtId="164" formatCode="_(* #,##0_);_(* \(#,##0\);_(* &quot;-&quot;_);_(@_)"/>
      <alignment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numFmt numFmtId="168" formatCode="dd/mm/yy"/>
      <alignment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numFmt numFmtId="164" formatCode="_(* #,##0_);_(* \(#,##0\);_(* &quot;-&quot;_);_(@_)"/>
      <alignment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numFmt numFmtId="168" formatCode="dd/mm/yy"/>
      <alignment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numFmt numFmtId="164" formatCode="_(* #,##0_);_(* \(#,##0\);_(* &quot;-&quot;_);_(@_)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alignment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alignment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alignment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alignment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alignment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alignment horizontal="center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alignment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Times New Roman"/>
        <scheme val="none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7030A0"/>
                </a:solidFill>
              </a:defRPr>
            </a:pPr>
            <a:r>
              <a:rPr lang="en-US" sz="1000">
                <a:solidFill>
                  <a:srgbClr val="7030A0"/>
                </a:solidFill>
              </a:rPr>
              <a:t>BIỂU</a:t>
            </a:r>
            <a:r>
              <a:rPr lang="en-US" sz="1000" baseline="0">
                <a:solidFill>
                  <a:srgbClr val="7030A0"/>
                </a:solidFill>
              </a:rPr>
              <a:t> ĐỒ </a:t>
            </a:r>
            <a:r>
              <a:rPr lang="en-US" sz="1000">
                <a:solidFill>
                  <a:srgbClr val="7030A0"/>
                </a:solidFill>
              </a:rPr>
              <a:t>THỐNG</a:t>
            </a:r>
            <a:r>
              <a:rPr lang="en-US" sz="1000" baseline="0">
                <a:solidFill>
                  <a:srgbClr val="7030A0"/>
                </a:solidFill>
              </a:rPr>
              <a:t> KÊ THĂM NUÔI CÁC NĂM</a:t>
            </a:r>
            <a:endParaRPr lang="en-US" sz="1000">
              <a:solidFill>
                <a:srgbClr val="7030A0"/>
              </a:solidFill>
            </a:endParaRPr>
          </a:p>
        </c:rich>
      </c:tx>
      <c:layout>
        <c:manualLayout>
          <c:xMode val="edge"/>
          <c:yMode val="edge"/>
          <c:x val="0.38973074237279981"/>
          <c:y val="1.1111111111111125E-2"/>
        </c:manualLayout>
      </c:layout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5.2115856261977296E-2"/>
          <c:y val="0.16065048118985126"/>
          <c:w val="0.90861499193334749"/>
          <c:h val="0.71186045494313555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Baocao!$I$4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>
                <a:lumMod val="75000"/>
                <a:alpha val="79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Baocao!$H$5:$H$16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Baocao!$I$5:$I$16</c:f>
              <c:numCache>
                <c:formatCode>_(* #\ ##0_);_(* \(#\ ##0\);_(* "-"_);_(@_)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164</c:v>
                </c:pt>
                <c:pt idx="6">
                  <c:v>378</c:v>
                </c:pt>
                <c:pt idx="7">
                  <c:v>283</c:v>
                </c:pt>
                <c:pt idx="8">
                  <c:v>376</c:v>
                </c:pt>
                <c:pt idx="9">
                  <c:v>287</c:v>
                </c:pt>
                <c:pt idx="10">
                  <c:v>278</c:v>
                </c:pt>
                <c:pt idx="11">
                  <c:v>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1C-41B4-982D-9F4CAF4F0319}"/>
            </c:ext>
          </c:extLst>
        </c:ser>
        <c:ser>
          <c:idx val="2"/>
          <c:order val="1"/>
          <c:tx>
            <c:strRef>
              <c:f>Baocao!$J$4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rgbClr val="00B050">
                <a:alpha val="81000"/>
              </a:srgb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rgbClr val="7030A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Baocao!$H$5:$H$16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Baocao!$J$5:$J$16</c:f>
              <c:numCache>
                <c:formatCode>_(* #\ ##0_);_(* \(#\ ##0\);_(* "-"_);_(@_)</c:formatCode>
                <c:ptCount val="12"/>
                <c:pt idx="0">
                  <c:v>230</c:v>
                </c:pt>
                <c:pt idx="1">
                  <c:v>425</c:v>
                </c:pt>
                <c:pt idx="2">
                  <c:v>248</c:v>
                </c:pt>
                <c:pt idx="3">
                  <c:v>229</c:v>
                </c:pt>
                <c:pt idx="4">
                  <c:v>192</c:v>
                </c:pt>
                <c:pt idx="5">
                  <c:v>234</c:v>
                </c:pt>
                <c:pt idx="6">
                  <c:v>178</c:v>
                </c:pt>
                <c:pt idx="7">
                  <c:v>182</c:v>
                </c:pt>
                <c:pt idx="8">
                  <c:v>211</c:v>
                </c:pt>
                <c:pt idx="9">
                  <c:v>163</c:v>
                </c:pt>
                <c:pt idx="10">
                  <c:v>161</c:v>
                </c:pt>
                <c:pt idx="11">
                  <c:v>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1C-41B4-982D-9F4CAF4F0319}"/>
            </c:ext>
          </c:extLst>
        </c:ser>
        <c:ser>
          <c:idx val="3"/>
          <c:order val="2"/>
          <c:tx>
            <c:strRef>
              <c:f>Baocao!$K$4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rgbClr val="7030A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Baocao!$H$5:$H$16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Baocao!$K$5:$K$16</c:f>
              <c:numCache>
                <c:formatCode>_(* #\ ##0_);_(* \(#\ ##0\);_(* "-"_);_(@_)</c:formatCode>
                <c:ptCount val="12"/>
                <c:pt idx="0">
                  <c:v>135</c:v>
                </c:pt>
                <c:pt idx="1">
                  <c:v>249</c:v>
                </c:pt>
                <c:pt idx="2">
                  <c:v>157</c:v>
                </c:pt>
                <c:pt idx="3">
                  <c:v>126</c:v>
                </c:pt>
                <c:pt idx="4">
                  <c:v>111</c:v>
                </c:pt>
                <c:pt idx="5">
                  <c:v>142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1C-41B4-982D-9F4CAF4F0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gapDepth val="205"/>
        <c:shape val="box"/>
        <c:axId val="193820160"/>
        <c:axId val="192612608"/>
        <c:axId val="0"/>
      </c:bar3DChart>
      <c:catAx>
        <c:axId val="193820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rgbClr val="002060"/>
                </a:solidFill>
              </a:defRPr>
            </a:pPr>
            <a:endParaRPr lang="fr-FR"/>
          </a:p>
        </c:txPr>
        <c:crossAx val="192612608"/>
        <c:crosses val="autoZero"/>
        <c:auto val="1"/>
        <c:lblAlgn val="ctr"/>
        <c:lblOffset val="100"/>
        <c:noMultiLvlLbl val="0"/>
      </c:catAx>
      <c:valAx>
        <c:axId val="192612608"/>
        <c:scaling>
          <c:orientation val="minMax"/>
        </c:scaling>
        <c:delete val="0"/>
        <c:axPos val="l"/>
        <c:majorGridlines/>
        <c:numFmt formatCode="_(* #\ ##0_);_(* \(#\ ##0\);_(* &quot;-&quot;_);_(@_)" sourceLinked="1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rgbClr val="7030A0"/>
                </a:solidFill>
              </a:defRPr>
            </a:pPr>
            <a:endParaRPr lang="fr-FR"/>
          </a:p>
        </c:txPr>
        <c:crossAx val="193820160"/>
        <c:crosses val="autoZero"/>
        <c:crossBetween val="between"/>
        <c:majorUnit val="100"/>
      </c:valAx>
      <c:spPr>
        <a:scene3d>
          <a:camera prst="orthographicFront"/>
          <a:lightRig rig="threePt" dir="t"/>
        </a:scene3d>
        <a:sp3d>
          <a:bevelB/>
        </a:sp3d>
      </c:spPr>
    </c:plotArea>
    <c:legend>
      <c:legendPos val="r"/>
      <c:layout>
        <c:manualLayout>
          <c:xMode val="edge"/>
          <c:yMode val="edge"/>
          <c:x val="6.3057653749862101E-3"/>
          <c:y val="6.3913792115482821E-4"/>
          <c:w val="0.26947078129886226"/>
          <c:h val="9.4174561513144225E-2"/>
        </c:manualLayout>
      </c:layout>
      <c:overlay val="0"/>
      <c:txPr>
        <a:bodyPr/>
        <a:lstStyle/>
        <a:p>
          <a:pPr>
            <a:defRPr>
              <a:solidFill>
                <a:srgbClr val="7030A0"/>
              </a:solidFill>
            </a:defRPr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>
                <a:solidFill>
                  <a:srgbClr val="7030A0"/>
                </a:solidFill>
                <a:latin typeface="Tahoma" pitchFamily="34" charset="0"/>
                <a:ea typeface="Tahoma" pitchFamily="34" charset="0"/>
                <a:cs typeface="Tahoma" pitchFamily="34" charset="0"/>
              </a:defRPr>
            </a:pPr>
            <a:r>
              <a:rPr lang="en-US" sz="800">
                <a:solidFill>
                  <a:srgbClr val="7030A0"/>
                </a:solidFill>
                <a:latin typeface="Tahoma" pitchFamily="34" charset="0"/>
                <a:ea typeface="Tahoma" pitchFamily="34" charset="0"/>
                <a:cs typeface="Tahoma" pitchFamily="34" charset="0"/>
              </a:rPr>
              <a:t>BIỂU ĐỒ THỐNG KÊ LƯỢT THĂM NUÔI 2019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3887565802856872E-2"/>
          <c:y val="9.0242157230346079E-2"/>
          <c:w val="0.92184710057310681"/>
          <c:h val="0.73811930197086839"/>
        </c:manualLayout>
      </c:layout>
      <c:barChart>
        <c:barDir val="col"/>
        <c:grouping val="clustered"/>
        <c:varyColors val="0"/>
        <c:ser>
          <c:idx val="1"/>
          <c:order val="0"/>
          <c:spPr>
            <a:scene3d>
              <a:camera prst="orthographicFront"/>
              <a:lightRig rig="threePt" dir="t"/>
            </a:scene3d>
            <a:sp3d>
              <a:bevelT/>
              <a:bevelB w="139700" prst="cross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rgbClr val="7030A0"/>
                    </a:solidFill>
                    <a:latin typeface="Tahoma" pitchFamily="34" charset="0"/>
                    <a:ea typeface="Tahoma" pitchFamily="34" charset="0"/>
                    <a:cs typeface="Tahoma" pitchFamily="34" charset="0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Baocao!$K$5:$K$16</c:f>
              <c:numCache>
                <c:formatCode>_(* #\ ##0_);_(* \(#\ ##0\);_(* "-"_);_(@_)</c:formatCode>
                <c:ptCount val="12"/>
                <c:pt idx="0">
                  <c:v>135</c:v>
                </c:pt>
                <c:pt idx="1">
                  <c:v>249</c:v>
                </c:pt>
                <c:pt idx="2">
                  <c:v>157</c:v>
                </c:pt>
                <c:pt idx="3">
                  <c:v>126</c:v>
                </c:pt>
                <c:pt idx="4">
                  <c:v>111</c:v>
                </c:pt>
                <c:pt idx="5">
                  <c:v>142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F2-43B9-B231-09F563207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495040"/>
        <c:axId val="192614912"/>
      </c:barChart>
      <c:lineChart>
        <c:grouping val="standard"/>
        <c:varyColors val="0"/>
        <c:ser>
          <c:idx val="0"/>
          <c:order val="1"/>
          <c:spPr>
            <a:ln w="34925">
              <a:solidFill>
                <a:srgbClr val="00B050"/>
              </a:solidFill>
            </a:ln>
          </c:spPr>
          <c:marker>
            <c:symbol val="circle"/>
            <c:size val="3"/>
            <c:spPr>
              <a:solidFill>
                <a:srgbClr val="FFC000"/>
              </a:solidFill>
            </c:spPr>
          </c:marker>
          <c:val>
            <c:numRef>
              <c:f>Baocao!$K$5:$K$16</c:f>
              <c:numCache>
                <c:formatCode>_(* #\ ##0_);_(* \(#\ ##0\);_(* "-"_);_(@_)</c:formatCode>
                <c:ptCount val="12"/>
                <c:pt idx="0">
                  <c:v>135</c:v>
                </c:pt>
                <c:pt idx="1">
                  <c:v>249</c:v>
                </c:pt>
                <c:pt idx="2">
                  <c:v>157</c:v>
                </c:pt>
                <c:pt idx="3">
                  <c:v>126</c:v>
                </c:pt>
                <c:pt idx="4">
                  <c:v>111</c:v>
                </c:pt>
                <c:pt idx="5">
                  <c:v>142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8F2-43B9-B231-09F563207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495040"/>
        <c:axId val="192614912"/>
      </c:lineChart>
      <c:catAx>
        <c:axId val="193495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Tahoma" pitchFamily="34" charset="0"/>
                <a:ea typeface="Tahoma" pitchFamily="34" charset="0"/>
                <a:cs typeface="Tahoma" pitchFamily="34" charset="0"/>
              </a:defRPr>
            </a:pPr>
            <a:endParaRPr lang="fr-FR"/>
          </a:p>
        </c:txPr>
        <c:crossAx val="192614912"/>
        <c:crosses val="autoZero"/>
        <c:auto val="1"/>
        <c:lblAlgn val="ctr"/>
        <c:lblOffset val="100"/>
        <c:noMultiLvlLbl val="0"/>
      </c:catAx>
      <c:valAx>
        <c:axId val="192614912"/>
        <c:scaling>
          <c:orientation val="minMax"/>
          <c:max val="200"/>
          <c:min val="0"/>
        </c:scaling>
        <c:delete val="0"/>
        <c:axPos val="l"/>
        <c:numFmt formatCode="_(* #\ ##0_);_(* \(#\ ##0\);_(* &quot;-&quot;_);_(@_)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7030A0"/>
                </a:solidFill>
              </a:defRPr>
            </a:pPr>
            <a:endParaRPr lang="fr-FR"/>
          </a:p>
        </c:txPr>
        <c:crossAx val="193495040"/>
        <c:crosses val="autoZero"/>
        <c:crossBetween val="between"/>
        <c:majorUnit val="200"/>
      </c:valAx>
    </c:plotArea>
    <c:plotVisOnly val="1"/>
    <c:dispBlanksAs val="gap"/>
    <c:showDLblsOverMax val="0"/>
  </c:chart>
  <c:spPr>
    <a:scene3d>
      <a:camera prst="orthographicFront"/>
      <a:lightRig rig="threePt" dir="t"/>
    </a:scene3d>
    <a:sp3d>
      <a:bevelT w="38100" h="38100"/>
      <a:bevelB w="38100" h="38100" prst="relaxedInset"/>
    </a:sp3d>
  </c:spPr>
  <c:txPr>
    <a:bodyPr/>
    <a:lstStyle/>
    <a:p>
      <a:pPr>
        <a:defRPr sz="800"/>
      </a:pPr>
      <a:endParaRPr lang="fr-F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DanhSachAll!D2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hyperlink" Target="#BangNhapLieu!G2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3</xdr:row>
      <xdr:rowOff>9525</xdr:rowOff>
    </xdr:from>
    <xdr:to>
      <xdr:col>20</xdr:col>
      <xdr:colOff>676275</xdr:colOff>
      <xdr:row>14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133350</xdr:colOff>
      <xdr:row>14</xdr:row>
      <xdr:rowOff>161925</xdr:rowOff>
    </xdr:from>
    <xdr:to>
      <xdr:col>20</xdr:col>
      <xdr:colOff>666749</xdr:colOff>
      <xdr:row>20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200024</xdr:colOff>
      <xdr:row>0</xdr:row>
      <xdr:rowOff>161925</xdr:rowOff>
    </xdr:from>
    <xdr:to>
      <xdr:col>8</xdr:col>
      <xdr:colOff>380999</xdr:colOff>
      <xdr:row>1</xdr:row>
      <xdr:rowOff>28575</xdr:rowOff>
    </xdr:to>
    <xdr:sp macro="" textlink="">
      <xdr:nvSpPr>
        <xdr:cNvPr id="4" name="Right Arrow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28699" y="161925"/>
          <a:ext cx="180975" cy="247650"/>
        </a:xfrm>
        <a:prstGeom prst="rightArrow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409574</xdr:colOff>
      <xdr:row>0</xdr:row>
      <xdr:rowOff>47626</xdr:rowOff>
    </xdr:from>
    <xdr:to>
      <xdr:col>11</xdr:col>
      <xdr:colOff>9525</xdr:colOff>
      <xdr:row>0</xdr:row>
      <xdr:rowOff>266700</xdr:rowOff>
    </xdr:to>
    <xdr:sp macro="" textlink="">
      <xdr:nvSpPr>
        <xdr:cNvPr id="5" name="Flowchart: Alternate Proces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238249" y="47626"/>
          <a:ext cx="1371601" cy="219074"/>
        </a:xfrm>
        <a:prstGeom prst="flowChartAlternateProcess">
          <a:avLst/>
        </a:prstGeom>
        <a:solidFill>
          <a:srgbClr val="7030A0"/>
        </a:solidFill>
        <a:ln>
          <a:noFill/>
        </a:ln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1">
              <a:solidFill>
                <a:schemeClr val="bg1"/>
              </a:solidFill>
            </a:rPr>
            <a:t> </a:t>
          </a:r>
          <a:r>
            <a:rPr lang="en-US" sz="1050" b="1" i="1">
              <a:solidFill>
                <a:schemeClr val="bg1"/>
              </a:solidFill>
            </a:rPr>
            <a:t>Về</a:t>
          </a:r>
          <a:r>
            <a:rPr lang="en-US" sz="1050" b="1" i="1" baseline="0">
              <a:solidFill>
                <a:schemeClr val="bg1"/>
              </a:solidFill>
            </a:rPr>
            <a:t> </a:t>
          </a:r>
          <a:r>
            <a:rPr lang="en-US" sz="1050" b="1" i="1">
              <a:solidFill>
                <a:schemeClr val="bg1"/>
              </a:solidFill>
            </a:rPr>
            <a:t>DanhSachAll</a:t>
          </a:r>
        </a:p>
      </xdr:txBody>
    </xdr:sp>
    <xdr:clientData/>
  </xdr:twoCellAnchor>
  <xdr:twoCellAnchor>
    <xdr:from>
      <xdr:col>8</xdr:col>
      <xdr:colOff>419102</xdr:colOff>
      <xdr:row>0</xdr:row>
      <xdr:rowOff>344277</xdr:rowOff>
    </xdr:from>
    <xdr:to>
      <xdr:col>11</xdr:col>
      <xdr:colOff>11476</xdr:colOff>
      <xdr:row>1</xdr:row>
      <xdr:rowOff>172138</xdr:rowOff>
    </xdr:to>
    <xdr:sp macro="" textlink="">
      <xdr:nvSpPr>
        <xdr:cNvPr id="6" name="Flowchart: Alternate Proces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47777" y="344277"/>
          <a:ext cx="1364024" cy="208861"/>
        </a:xfrm>
        <a:prstGeom prst="flowChartAlternateProcess">
          <a:avLst/>
        </a:prstGeom>
        <a:solidFill>
          <a:srgbClr val="7030A0"/>
        </a:solidFill>
        <a:ln>
          <a:noFill/>
        </a:ln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 i="1">
              <a:solidFill>
                <a:schemeClr val="bg1"/>
              </a:solidFill>
            </a:rPr>
            <a:t>Về</a:t>
          </a:r>
          <a:r>
            <a:rPr lang="en-US" sz="1050" b="1" i="1" baseline="0">
              <a:solidFill>
                <a:schemeClr val="bg1"/>
              </a:solidFill>
            </a:rPr>
            <a:t> </a:t>
          </a:r>
          <a:r>
            <a:rPr lang="en-US" sz="1050" b="1" i="1">
              <a:solidFill>
                <a:schemeClr val="bg1"/>
              </a:solidFill>
            </a:rPr>
            <a:t>Bảng Nhập</a:t>
          </a:r>
          <a:r>
            <a:rPr lang="en-US" sz="1050" b="1" i="1" baseline="0">
              <a:solidFill>
                <a:schemeClr val="bg1"/>
              </a:solidFill>
            </a:rPr>
            <a:t> Liệu</a:t>
          </a:r>
          <a:endParaRPr lang="en-US" sz="1050" b="1" i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123826</xdr:colOff>
      <xdr:row>0</xdr:row>
      <xdr:rowOff>95250</xdr:rowOff>
    </xdr:from>
    <xdr:to>
      <xdr:col>20</xdr:col>
      <xdr:colOff>676276</xdr:colOff>
      <xdr:row>1</xdr:row>
      <xdr:rowOff>57149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724151" y="95250"/>
          <a:ext cx="5095875" cy="342899"/>
        </a:xfrm>
        <a:prstGeom prst="rect">
          <a:avLst/>
        </a:prstGeom>
        <a:solidFill>
          <a:srgbClr val="FFC000"/>
        </a:solidFill>
        <a:ln w="6350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1600" b="1">
              <a:solidFill>
                <a:srgbClr val="7030A0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BẢNG BÁO CÁO SỐ LƯỢT THĂM NUÔI CÁC NĂM</a:t>
          </a:r>
          <a:endParaRPr lang="en-US" sz="1600" b="1">
            <a:solidFill>
              <a:srgbClr val="7030A0"/>
            </a:solidFill>
            <a:latin typeface="Tahoma" pitchFamily="34" charset="0"/>
            <a:ea typeface="Tahoma" pitchFamily="34" charset="0"/>
            <a:cs typeface="Tahoma" pitchFamily="34" charset="0"/>
          </a:endParaRPr>
        </a:p>
      </xdr:txBody>
    </xdr:sp>
    <xdr:clientData/>
  </xdr:twoCellAnchor>
  <xdr:twoCellAnchor>
    <xdr:from>
      <xdr:col>6</xdr:col>
      <xdr:colOff>123824</xdr:colOff>
      <xdr:row>0</xdr:row>
      <xdr:rowOff>38100</xdr:rowOff>
    </xdr:from>
    <xdr:to>
      <xdr:col>8</xdr:col>
      <xdr:colOff>171449</xdr:colOff>
      <xdr:row>1</xdr:row>
      <xdr:rowOff>161926</xdr:rowOff>
    </xdr:to>
    <xdr:sp macro="" textlink="">
      <xdr:nvSpPr>
        <xdr:cNvPr id="8" name="Flowchart: Alternate Proces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23824" y="38100"/>
          <a:ext cx="876300" cy="504826"/>
        </a:xfrm>
        <a:prstGeom prst="flowChartAlternateProcess">
          <a:avLst/>
        </a:prstGeom>
        <a:solidFill>
          <a:srgbClr val="7030A0"/>
        </a:solidFill>
        <a:ln>
          <a:noFill/>
        </a:ln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1">
              <a:solidFill>
                <a:schemeClr val="bg1"/>
              </a:solidFill>
            </a:rPr>
            <a:t> </a:t>
          </a:r>
          <a:r>
            <a:rPr lang="en-US" sz="1000" b="1" i="1">
              <a:solidFill>
                <a:schemeClr val="bg1"/>
              </a:solidFill>
            </a:rPr>
            <a:t>BẢNG ĐIỀU KHIỂN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12</xdr:row>
      <xdr:rowOff>70484</xdr:rowOff>
    </xdr:from>
    <xdr:to>
      <xdr:col>6</xdr:col>
      <xdr:colOff>123825</xdr:colOff>
      <xdr:row>12</xdr:row>
      <xdr:rowOff>457200</xdr:rowOff>
    </xdr:to>
    <xdr:sp macro="[0]!nhap_lieu_tu_dong1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019300" y="2385059"/>
          <a:ext cx="1285875" cy="386716"/>
        </a:xfrm>
        <a:prstGeom prst="flowChartAlternateProcess">
          <a:avLst/>
        </a:prstGeom>
        <a:solidFill>
          <a:srgbClr val="002B7D"/>
        </a:solidFill>
        <a:ln>
          <a:noFill/>
        </a:ln>
        <a:scene3d>
          <a:camera prst="orthographicFront"/>
          <a:lightRig rig="threePt" dir="t"/>
        </a:scene3d>
        <a:sp3d>
          <a:bevelT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>
              <a:solidFill>
                <a:srgbClr val="FFC000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 NHẬP</a:t>
          </a:r>
          <a:r>
            <a:rPr lang="en-US" sz="1200" b="1" i="0" baseline="0">
              <a:solidFill>
                <a:srgbClr val="FFC000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 LIỆU XUỐNG</a:t>
          </a:r>
          <a:endParaRPr lang="en-US" sz="1200" b="1" i="0">
            <a:solidFill>
              <a:srgbClr val="FFC000"/>
            </a:solidFill>
            <a:latin typeface="Tahoma" pitchFamily="34" charset="0"/>
            <a:ea typeface="Tahoma" pitchFamily="34" charset="0"/>
            <a:cs typeface="Tahoma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342900</xdr:colOff>
      <xdr:row>1</xdr:row>
      <xdr:rowOff>9525</xdr:rowOff>
    </xdr:from>
    <xdr:to>
      <xdr:col>9</xdr:col>
      <xdr:colOff>723900</xdr:colOff>
      <xdr:row>2</xdr:row>
      <xdr:rowOff>9525</xdr:rowOff>
    </xdr:to>
    <xdr:sp macro="[0]!goiba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9391650" y="257175"/>
          <a:ext cx="1581150" cy="666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itchFamily="18" charset="0"/>
              <a:cs typeface="Times New Roman" pitchFamily="18" charset="0"/>
            </a:rPr>
            <a:t>BẢNG</a:t>
          </a:r>
          <a:r>
            <a:rPr lang="en-US" sz="1100" b="1" baseline="0">
              <a:latin typeface="Times New Roman" pitchFamily="18" charset="0"/>
              <a:cs typeface="Times New Roman" pitchFamily="18" charset="0"/>
            </a:rPr>
            <a:t> ĐĂNG KÍ THĂM GẶP</a:t>
          </a:r>
          <a:endParaRPr lang="en-US" sz="1100" b="1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 editAs="oneCell">
    <xdr:from>
      <xdr:col>14</xdr:col>
      <xdr:colOff>200025</xdr:colOff>
      <xdr:row>0</xdr:row>
      <xdr:rowOff>0</xdr:rowOff>
    </xdr:from>
    <xdr:to>
      <xdr:col>30</xdr:col>
      <xdr:colOff>112059</xdr:colOff>
      <xdr:row>4</xdr:row>
      <xdr:rowOff>67234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27731" y="0"/>
          <a:ext cx="9593916" cy="2846293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1</xdr:row>
      <xdr:rowOff>171449</xdr:rowOff>
    </xdr:from>
    <xdr:to>
      <xdr:col>25</xdr:col>
      <xdr:colOff>76200</xdr:colOff>
      <xdr:row>2</xdr:row>
      <xdr:rowOff>171449</xdr:rowOff>
    </xdr:to>
    <xdr:sp macro="" textlink="">
      <xdr:nvSpPr>
        <xdr:cNvPr id="5" name="Down Arrow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 rot="1547391">
          <a:off x="23812500" y="419099"/>
          <a:ext cx="581025" cy="523875"/>
        </a:xfrm>
        <a:prstGeom prst="down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500"/>
            <a:t>1</a:t>
          </a:r>
        </a:p>
      </xdr:txBody>
    </xdr:sp>
    <xdr:clientData/>
  </xdr:twoCellAnchor>
  <xdr:twoCellAnchor>
    <xdr:from>
      <xdr:col>26</xdr:col>
      <xdr:colOff>323848</xdr:colOff>
      <xdr:row>1</xdr:row>
      <xdr:rowOff>152401</xdr:rowOff>
    </xdr:from>
    <xdr:to>
      <xdr:col>27</xdr:col>
      <xdr:colOff>295273</xdr:colOff>
      <xdr:row>2</xdr:row>
      <xdr:rowOff>152401</xdr:rowOff>
    </xdr:to>
    <xdr:sp macro="" textlink="">
      <xdr:nvSpPr>
        <xdr:cNvPr id="6" name="Down Arrow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 rot="1547391">
          <a:off x="25250773" y="400051"/>
          <a:ext cx="581025" cy="523875"/>
        </a:xfrm>
        <a:prstGeom prst="down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500"/>
            <a:t>2</a:t>
          </a:r>
        </a:p>
      </xdr:txBody>
    </xdr:sp>
    <xdr:clientData/>
  </xdr:twoCellAnchor>
  <xdr:twoCellAnchor>
    <xdr:from>
      <xdr:col>28</xdr:col>
      <xdr:colOff>495298</xdr:colOff>
      <xdr:row>1</xdr:row>
      <xdr:rowOff>257175</xdr:rowOff>
    </xdr:from>
    <xdr:to>
      <xdr:col>29</xdr:col>
      <xdr:colOff>466723</xdr:colOff>
      <xdr:row>2</xdr:row>
      <xdr:rowOff>257175</xdr:rowOff>
    </xdr:to>
    <xdr:sp macro="" textlink="">
      <xdr:nvSpPr>
        <xdr:cNvPr id="13" name="Down Arrow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 rot="1547391">
          <a:off x="26641423" y="504825"/>
          <a:ext cx="581025" cy="523875"/>
        </a:xfrm>
        <a:prstGeom prst="down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500"/>
            <a:t>3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9.6.19file%20tham%20nuoi%20cai%20cach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DuLieuThamNuoi"/>
      <sheetName val="DangKiThamGap"/>
      <sheetName val="XuatDuLieu"/>
    </sheetNames>
    <sheetDataSet>
      <sheetData sheetId="0">
        <row r="1">
          <cell r="D1" t="str">
            <v>biển</v>
          </cell>
          <cell r="J1" t="str">
            <v>CÓ 2 HỌC VIÊN TÊN BIỂN</v>
          </cell>
        </row>
        <row r="2">
          <cell r="C2" t="str">
            <v>Danh số</v>
          </cell>
          <cell r="D2" t="str">
            <v>Họ</v>
          </cell>
          <cell r="E2" t="str">
            <v>Tên</v>
          </cell>
          <cell r="F2" t="str">
            <v>Năm sinh</v>
          </cell>
          <cell r="G2" t="str">
            <v>Khu</v>
          </cell>
          <cell r="H2" t="str">
            <v>Ngày nhập CSXH</v>
          </cell>
          <cell r="I2" t="str">
            <v>Ngày nhập CS</v>
          </cell>
          <cell r="J2" t="str">
            <v>Ngày chấp hành xong</v>
          </cell>
          <cell r="K2" t="str">
            <v>Thời hạn</v>
          </cell>
          <cell r="L2" t="str">
            <v>HiỆN DiỆN THỰC TẾ</v>
          </cell>
          <cell r="M2" t="str">
            <v>Ngày đi KL</v>
          </cell>
          <cell r="N2" t="str">
            <v>Số ngày</v>
          </cell>
          <cell r="O2" t="str">
            <v>Ngày về khu</v>
          </cell>
          <cell r="P2" t="str">
            <v xml:space="preserve">Tháng/ năm
họp xét </v>
          </cell>
          <cell r="Q2" t="str">
            <v>Tháng/ năm
về sau KT</v>
          </cell>
        </row>
        <row r="3">
          <cell r="C3" t="str">
            <v>1810-023</v>
          </cell>
          <cell r="D3" t="str">
            <v>Phạm</v>
          </cell>
          <cell r="E3" t="str">
            <v>Biển</v>
          </cell>
          <cell r="F3">
            <v>1986</v>
          </cell>
          <cell r="G3" t="str">
            <v>E</v>
          </cell>
          <cell r="H3">
            <v>43303</v>
          </cell>
          <cell r="I3">
            <v>43399</v>
          </cell>
          <cell r="J3">
            <v>43852</v>
          </cell>
          <cell r="K3">
            <v>0</v>
          </cell>
          <cell r="L3">
            <v>0</v>
          </cell>
          <cell r="M3"/>
          <cell r="N3">
            <v>0</v>
          </cell>
          <cell r="O3"/>
          <cell r="P3">
            <v>0</v>
          </cell>
          <cell r="Q3">
            <v>0</v>
          </cell>
        </row>
        <row r="4">
          <cell r="C4" t="str">
            <v>1906-021</v>
          </cell>
          <cell r="D4" t="str">
            <v>Lê Sóng</v>
          </cell>
          <cell r="E4" t="str">
            <v>Biển</v>
          </cell>
          <cell r="F4">
            <v>1987</v>
          </cell>
          <cell r="G4" t="str">
            <v>B</v>
          </cell>
          <cell r="H4">
            <v>43532</v>
          </cell>
          <cell r="I4">
            <v>43630</v>
          </cell>
          <cell r="J4">
            <v>44143</v>
          </cell>
          <cell r="K4">
            <v>0</v>
          </cell>
          <cell r="L4">
            <v>0</v>
          </cell>
          <cell r="M4"/>
          <cell r="N4">
            <v>0</v>
          </cell>
          <cell r="O4"/>
          <cell r="P4">
            <v>0</v>
          </cell>
          <cell r="Q4">
            <v>0</v>
          </cell>
        </row>
        <row r="5">
          <cell r="C5"/>
          <cell r="D5"/>
          <cell r="E5"/>
          <cell r="F5"/>
          <cell r="G5"/>
          <cell r="H5"/>
          <cell r="I5"/>
          <cell r="J5"/>
          <cell r="K5"/>
          <cell r="L5"/>
          <cell r="M5"/>
          <cell r="N5"/>
          <cell r="O5"/>
          <cell r="P5"/>
          <cell r="Q5"/>
        </row>
        <row r="6">
          <cell r="C6"/>
          <cell r="D6"/>
          <cell r="E6"/>
          <cell r="F6"/>
          <cell r="G6"/>
          <cell r="H6"/>
          <cell r="I6"/>
          <cell r="J6"/>
          <cell r="K6"/>
          <cell r="L6"/>
          <cell r="M6"/>
          <cell r="N6"/>
          <cell r="O6"/>
          <cell r="P6"/>
          <cell r="Q6"/>
        </row>
        <row r="7">
          <cell r="C7"/>
          <cell r="D7"/>
          <cell r="E7"/>
          <cell r="F7"/>
          <cell r="G7"/>
          <cell r="H7"/>
          <cell r="I7"/>
          <cell r="J7"/>
          <cell r="K7"/>
          <cell r="L7"/>
          <cell r="M7"/>
          <cell r="N7"/>
          <cell r="O7"/>
          <cell r="P7"/>
          <cell r="Q7"/>
        </row>
        <row r="8">
          <cell r="C8"/>
          <cell r="D8"/>
          <cell r="E8"/>
          <cell r="F8"/>
          <cell r="G8"/>
          <cell r="H8"/>
          <cell r="I8"/>
          <cell r="J8"/>
          <cell r="K8"/>
          <cell r="L8"/>
          <cell r="M8"/>
          <cell r="N8"/>
          <cell r="O8"/>
          <cell r="P8"/>
          <cell r="Q8"/>
        </row>
        <row r="9">
          <cell r="C9"/>
          <cell r="D9"/>
          <cell r="E9"/>
          <cell r="F9"/>
          <cell r="G9"/>
          <cell r="H9"/>
          <cell r="I9"/>
          <cell r="J9"/>
          <cell r="K9"/>
          <cell r="L9"/>
          <cell r="M9"/>
          <cell r="N9"/>
          <cell r="O9"/>
          <cell r="P9"/>
          <cell r="Q9"/>
        </row>
        <row r="10">
          <cell r="C10"/>
          <cell r="D10"/>
          <cell r="E10"/>
          <cell r="F10"/>
          <cell r="G10"/>
          <cell r="H10"/>
          <cell r="I10"/>
          <cell r="J10"/>
          <cell r="K10"/>
          <cell r="L10"/>
          <cell r="M10"/>
          <cell r="N10"/>
          <cell r="O10"/>
          <cell r="P10"/>
          <cell r="Q10"/>
        </row>
        <row r="11">
          <cell r="C11"/>
          <cell r="D11"/>
          <cell r="E11"/>
          <cell r="F11"/>
          <cell r="G11"/>
          <cell r="H11"/>
          <cell r="I11"/>
          <cell r="J11"/>
          <cell r="K11"/>
          <cell r="L11"/>
          <cell r="M11"/>
          <cell r="N11"/>
          <cell r="O11"/>
          <cell r="P11"/>
          <cell r="Q11"/>
        </row>
        <row r="12">
          <cell r="C12"/>
          <cell r="D12"/>
          <cell r="E12"/>
          <cell r="F12"/>
          <cell r="G12"/>
          <cell r="H12"/>
          <cell r="I12"/>
          <cell r="J12"/>
          <cell r="K12"/>
          <cell r="L12"/>
          <cell r="M12"/>
          <cell r="N12"/>
          <cell r="O12"/>
          <cell r="P12"/>
          <cell r="Q12"/>
        </row>
        <row r="13">
          <cell r="C13"/>
          <cell r="D13"/>
          <cell r="E13"/>
          <cell r="F13"/>
          <cell r="G13"/>
          <cell r="H13"/>
          <cell r="I13"/>
          <cell r="J13"/>
          <cell r="K13"/>
          <cell r="L13"/>
          <cell r="M13"/>
          <cell r="N13"/>
          <cell r="O13"/>
          <cell r="P13"/>
          <cell r="Q13"/>
        </row>
        <row r="14">
          <cell r="C14"/>
          <cell r="D14"/>
          <cell r="E14"/>
          <cell r="F14"/>
          <cell r="G14"/>
          <cell r="H14"/>
          <cell r="I14"/>
          <cell r="J14"/>
          <cell r="K14"/>
          <cell r="L14"/>
          <cell r="M14"/>
          <cell r="N14"/>
          <cell r="O14"/>
          <cell r="P14"/>
          <cell r="Q14"/>
        </row>
        <row r="15">
          <cell r="C15"/>
          <cell r="D15"/>
          <cell r="E15"/>
          <cell r="F15"/>
          <cell r="G15"/>
          <cell r="H15"/>
          <cell r="I15"/>
          <cell r="J15"/>
          <cell r="K15"/>
          <cell r="L15"/>
          <cell r="M15"/>
          <cell r="N15"/>
          <cell r="O15"/>
          <cell r="P15"/>
          <cell r="Q15"/>
        </row>
        <row r="16">
          <cell r="C16"/>
          <cell r="D16"/>
          <cell r="E16"/>
          <cell r="F16"/>
          <cell r="G16"/>
          <cell r="H16"/>
          <cell r="I16"/>
          <cell r="J16"/>
          <cell r="K16"/>
          <cell r="L16"/>
          <cell r="M16"/>
          <cell r="N16"/>
          <cell r="O16"/>
          <cell r="P16"/>
          <cell r="Q16"/>
        </row>
        <row r="17">
          <cell r="C17"/>
          <cell r="D17"/>
          <cell r="E17"/>
          <cell r="F17"/>
          <cell r="G17"/>
          <cell r="H17"/>
          <cell r="I17"/>
          <cell r="J17"/>
          <cell r="K17"/>
          <cell r="L17"/>
          <cell r="M17"/>
          <cell r="N17"/>
          <cell r="O17"/>
          <cell r="P17"/>
          <cell r="Q17"/>
        </row>
        <row r="18">
          <cell r="C18"/>
          <cell r="D18"/>
          <cell r="E18"/>
          <cell r="F18"/>
          <cell r="G18"/>
          <cell r="H18"/>
          <cell r="I18"/>
          <cell r="J18"/>
          <cell r="K18"/>
          <cell r="L18"/>
          <cell r="M18"/>
          <cell r="N18"/>
          <cell r="O18"/>
          <cell r="P18"/>
          <cell r="Q18"/>
        </row>
        <row r="19">
          <cell r="C19"/>
          <cell r="D19"/>
          <cell r="E19"/>
          <cell r="F19"/>
          <cell r="G19"/>
          <cell r="H19"/>
          <cell r="I19"/>
          <cell r="J19"/>
          <cell r="K19"/>
          <cell r="L19"/>
          <cell r="M19"/>
          <cell r="N19"/>
          <cell r="O19"/>
          <cell r="P19"/>
          <cell r="Q19"/>
        </row>
        <row r="20">
          <cell r="C20"/>
          <cell r="D20"/>
          <cell r="E20"/>
          <cell r="F20"/>
          <cell r="G20"/>
          <cell r="H20"/>
          <cell r="I20"/>
          <cell r="J20"/>
          <cell r="K20"/>
          <cell r="L20"/>
          <cell r="M20"/>
          <cell r="N20"/>
          <cell r="O20"/>
          <cell r="P20"/>
          <cell r="Q20"/>
        </row>
        <row r="21">
          <cell r="C21"/>
          <cell r="D21"/>
          <cell r="E21"/>
          <cell r="F21"/>
          <cell r="G21"/>
          <cell r="H21"/>
          <cell r="I21"/>
          <cell r="J21"/>
          <cell r="K21"/>
          <cell r="L21"/>
          <cell r="M21"/>
          <cell r="N21"/>
          <cell r="O21"/>
          <cell r="P21"/>
          <cell r="Q21"/>
        </row>
        <row r="22">
          <cell r="C22"/>
          <cell r="D22"/>
          <cell r="E22"/>
          <cell r="F22"/>
          <cell r="G22"/>
          <cell r="H22"/>
          <cell r="I22"/>
          <cell r="J22"/>
          <cell r="K22"/>
          <cell r="L22"/>
          <cell r="M22"/>
          <cell r="N22"/>
          <cell r="O22"/>
          <cell r="P22"/>
          <cell r="Q22"/>
        </row>
        <row r="23">
          <cell r="C23"/>
          <cell r="D23"/>
          <cell r="E23"/>
          <cell r="F23"/>
          <cell r="G23"/>
          <cell r="H23"/>
          <cell r="I23"/>
          <cell r="J23"/>
          <cell r="K23"/>
          <cell r="L23"/>
          <cell r="M23"/>
          <cell r="N23"/>
          <cell r="O23"/>
          <cell r="P23"/>
          <cell r="Q23"/>
        </row>
        <row r="24">
          <cell r="C24"/>
          <cell r="D24"/>
          <cell r="E24"/>
          <cell r="F24"/>
          <cell r="G24"/>
          <cell r="H24"/>
          <cell r="I24"/>
          <cell r="J24"/>
          <cell r="K24"/>
          <cell r="L24"/>
          <cell r="M24"/>
          <cell r="N24"/>
          <cell r="O24"/>
          <cell r="P24"/>
          <cell r="Q24"/>
        </row>
        <row r="25">
          <cell r="C25"/>
          <cell r="D25"/>
          <cell r="E25"/>
          <cell r="F25"/>
          <cell r="G25"/>
          <cell r="H25"/>
          <cell r="I25"/>
          <cell r="J25"/>
          <cell r="K25"/>
          <cell r="L25"/>
          <cell r="M25"/>
          <cell r="N25"/>
          <cell r="O25"/>
          <cell r="P25"/>
          <cell r="Q25"/>
        </row>
        <row r="26">
          <cell r="C26"/>
          <cell r="D26"/>
          <cell r="E26"/>
          <cell r="F26"/>
          <cell r="G26"/>
          <cell r="H26"/>
          <cell r="I26"/>
          <cell r="J26"/>
          <cell r="K26"/>
          <cell r="L26"/>
          <cell r="M26"/>
          <cell r="N26"/>
          <cell r="O26"/>
          <cell r="P26"/>
          <cell r="Q26"/>
        </row>
        <row r="27">
          <cell r="C27"/>
          <cell r="D27"/>
          <cell r="E27"/>
          <cell r="F27"/>
          <cell r="G27"/>
          <cell r="H27"/>
          <cell r="I27"/>
          <cell r="J27"/>
          <cell r="K27"/>
          <cell r="L27"/>
          <cell r="M27"/>
          <cell r="N27"/>
          <cell r="O27"/>
          <cell r="P27"/>
          <cell r="Q27"/>
        </row>
        <row r="29">
          <cell r="C29" t="str">
            <v>Danh số</v>
          </cell>
          <cell r="D29" t="str">
            <v>Họ</v>
          </cell>
          <cell r="E29" t="str">
            <v>Tên</v>
          </cell>
          <cell r="F29" t="str">
            <v>Năm sinh</v>
          </cell>
          <cell r="G29" t="str">
            <v>Khu</v>
          </cell>
          <cell r="H29" t="str">
            <v>Ngày nhập CSXH</v>
          </cell>
          <cell r="I29" t="str">
            <v>Ngày nhập CS</v>
          </cell>
          <cell r="J29" t="str">
            <v>Ngày chấp hành xong</v>
          </cell>
          <cell r="K29" t="str">
            <v>Thời hạn</v>
          </cell>
          <cell r="L29" t="str">
            <v>HIỆN DIỆN THỰC TẾ</v>
          </cell>
          <cell r="M29" t="str">
            <v>Ngày đi KL</v>
          </cell>
          <cell r="N29" t="str">
            <v>Số ngày</v>
          </cell>
          <cell r="O29" t="str">
            <v>Ngày về khu</v>
          </cell>
          <cell r="P29" t="str">
            <v xml:space="preserve">Tháng/ năm
họp xét </v>
          </cell>
          <cell r="Q29" t="str">
            <v>Tháng/ năm
về sau KT</v>
          </cell>
        </row>
        <row r="30">
          <cell r="C30" t="str">
            <v>1707-003</v>
          </cell>
          <cell r="D30" t="str">
            <v>Nguyễn Hà Thái</v>
          </cell>
          <cell r="E30" t="str">
            <v>Bình</v>
          </cell>
          <cell r="F30">
            <v>1973</v>
          </cell>
          <cell r="G30" t="str">
            <v>D</v>
          </cell>
          <cell r="H30">
            <v>42920</v>
          </cell>
          <cell r="I30">
            <v>42920</v>
          </cell>
          <cell r="J30">
            <v>43650</v>
          </cell>
        </row>
        <row r="31">
          <cell r="C31" t="str">
            <v>1707-090</v>
          </cell>
          <cell r="D31" t="str">
            <v xml:space="preserve">Trần Minh </v>
          </cell>
          <cell r="E31" t="str">
            <v>Hoàng</v>
          </cell>
          <cell r="F31">
            <v>1967</v>
          </cell>
          <cell r="G31" t="str">
            <v>B</v>
          </cell>
          <cell r="H31">
            <v>42933</v>
          </cell>
          <cell r="I31">
            <v>42933</v>
          </cell>
          <cell r="J31">
            <v>43663</v>
          </cell>
        </row>
        <row r="32">
          <cell r="C32" t="str">
            <v>1707-138</v>
          </cell>
          <cell r="D32" t="str">
            <v>Huỳnh Kim</v>
          </cell>
          <cell r="E32" t="str">
            <v>Bằng</v>
          </cell>
          <cell r="F32">
            <v>1990</v>
          </cell>
          <cell r="G32" t="str">
            <v>E</v>
          </cell>
          <cell r="H32">
            <v>42941</v>
          </cell>
          <cell r="I32">
            <v>42941</v>
          </cell>
          <cell r="J32">
            <v>43671</v>
          </cell>
        </row>
        <row r="33">
          <cell r="C33" t="str">
            <v>1708-015</v>
          </cell>
          <cell r="D33" t="str">
            <v>Đoàn Quyết</v>
          </cell>
          <cell r="E33" t="str">
            <v>Thắng</v>
          </cell>
          <cell r="F33">
            <v>1986</v>
          </cell>
          <cell r="G33" t="str">
            <v>B</v>
          </cell>
          <cell r="H33">
            <v>42950</v>
          </cell>
          <cell r="I33">
            <v>42950</v>
          </cell>
          <cell r="J33">
            <v>43680</v>
          </cell>
        </row>
        <row r="34">
          <cell r="C34" t="str">
            <v>1708-016</v>
          </cell>
          <cell r="D34" t="str">
            <v>Huỳnh Ngọc Tuấn</v>
          </cell>
          <cell r="E34" t="str">
            <v>Anh</v>
          </cell>
          <cell r="F34">
            <v>1984</v>
          </cell>
          <cell r="G34" t="str">
            <v>B</v>
          </cell>
          <cell r="H34">
            <v>42950</v>
          </cell>
          <cell r="I34">
            <v>42950</v>
          </cell>
          <cell r="J34">
            <v>43680</v>
          </cell>
        </row>
        <row r="35">
          <cell r="C35" t="str">
            <v>1708-064</v>
          </cell>
          <cell r="D35" t="str">
            <v xml:space="preserve">Lư Minh </v>
          </cell>
          <cell r="E35" t="str">
            <v>Vũ</v>
          </cell>
          <cell r="F35">
            <v>1979</v>
          </cell>
          <cell r="G35" t="str">
            <v>D</v>
          </cell>
          <cell r="H35">
            <v>42939</v>
          </cell>
          <cell r="I35">
            <v>42972</v>
          </cell>
          <cell r="J35">
            <v>43669</v>
          </cell>
        </row>
        <row r="36">
          <cell r="C36" t="str">
            <v>1709-010</v>
          </cell>
          <cell r="D36" t="str">
            <v xml:space="preserve">Vũ Duy </v>
          </cell>
          <cell r="E36" t="str">
            <v>Trường</v>
          </cell>
          <cell r="F36">
            <v>1975</v>
          </cell>
          <cell r="G36" t="str">
            <v>A</v>
          </cell>
          <cell r="H36">
            <v>42957</v>
          </cell>
          <cell r="I36">
            <v>42985</v>
          </cell>
          <cell r="J36">
            <v>43687</v>
          </cell>
        </row>
        <row r="37">
          <cell r="C37" t="str">
            <v>1709-012</v>
          </cell>
          <cell r="D37" t="str">
            <v>Đặng Đức</v>
          </cell>
          <cell r="E37" t="str">
            <v>Nhã</v>
          </cell>
          <cell r="F37">
            <v>1987</v>
          </cell>
          <cell r="G37" t="str">
            <v>D</v>
          </cell>
          <cell r="H37">
            <v>42966</v>
          </cell>
          <cell r="I37">
            <v>42985</v>
          </cell>
          <cell r="J37">
            <v>43696</v>
          </cell>
        </row>
        <row r="38">
          <cell r="C38" t="str">
            <v>1709-013</v>
          </cell>
          <cell r="D38" t="str">
            <v>Hồ Hoàng</v>
          </cell>
          <cell r="E38" t="str">
            <v>Hiệp</v>
          </cell>
          <cell r="F38">
            <v>1992</v>
          </cell>
          <cell r="G38" t="str">
            <v>D</v>
          </cell>
          <cell r="H38">
            <v>42968</v>
          </cell>
          <cell r="I38">
            <v>42985</v>
          </cell>
          <cell r="J38">
            <v>43698</v>
          </cell>
        </row>
        <row r="39">
          <cell r="C39" t="str">
            <v>1709-014</v>
          </cell>
          <cell r="D39" t="str">
            <v>Ngô Hoàng</v>
          </cell>
          <cell r="E39" t="str">
            <v>Khiết</v>
          </cell>
          <cell r="F39">
            <v>1981</v>
          </cell>
          <cell r="G39" t="str">
            <v>D</v>
          </cell>
          <cell r="H39">
            <v>42969</v>
          </cell>
          <cell r="I39">
            <v>42985</v>
          </cell>
          <cell r="J39">
            <v>43668</v>
          </cell>
        </row>
        <row r="40">
          <cell r="C40" t="str">
            <v>1709-015</v>
          </cell>
          <cell r="D40" t="str">
            <v>Huỳnh Văn Tiến</v>
          </cell>
          <cell r="E40" t="str">
            <v>Dũng</v>
          </cell>
          <cell r="F40">
            <v>1975</v>
          </cell>
          <cell r="G40" t="str">
            <v>D</v>
          </cell>
          <cell r="H40">
            <v>42969</v>
          </cell>
          <cell r="I40">
            <v>42985</v>
          </cell>
          <cell r="J40">
            <v>43699</v>
          </cell>
        </row>
        <row r="41">
          <cell r="C41" t="str">
            <v>1709-016</v>
          </cell>
          <cell r="D41" t="str">
            <v>Nguyễn An</v>
          </cell>
          <cell r="E41" t="str">
            <v>Duy</v>
          </cell>
          <cell r="F41">
            <v>1982</v>
          </cell>
          <cell r="G41" t="str">
            <v>D</v>
          </cell>
          <cell r="H41">
            <v>42973</v>
          </cell>
          <cell r="I41">
            <v>42985</v>
          </cell>
          <cell r="J41">
            <v>43703</v>
          </cell>
        </row>
        <row r="42">
          <cell r="C42" t="str">
            <v>1709-063</v>
          </cell>
          <cell r="D42" t="str">
            <v xml:space="preserve">Võ Văn </v>
          </cell>
          <cell r="E42" t="str">
            <v>Lợi</v>
          </cell>
          <cell r="F42">
            <v>1966</v>
          </cell>
          <cell r="G42" t="str">
            <v>B</v>
          </cell>
          <cell r="H42">
            <v>42927</v>
          </cell>
          <cell r="I42">
            <v>43000</v>
          </cell>
          <cell r="J42">
            <v>43657</v>
          </cell>
          <cell r="L42" t="str">
            <v>YT</v>
          </cell>
          <cell r="M42">
            <v>43522</v>
          </cell>
        </row>
        <row r="43">
          <cell r="C43" t="str">
            <v>1709-064</v>
          </cell>
          <cell r="D43" t="str">
            <v>Nguyễn Văn</v>
          </cell>
          <cell r="E43" t="str">
            <v>Được</v>
          </cell>
          <cell r="F43">
            <v>1965</v>
          </cell>
          <cell r="G43" t="str">
            <v>B</v>
          </cell>
          <cell r="H43">
            <v>42921</v>
          </cell>
          <cell r="I43">
            <v>43000</v>
          </cell>
          <cell r="J43">
            <v>43651</v>
          </cell>
        </row>
        <row r="44">
          <cell r="C44" t="str">
            <v>1709-065</v>
          </cell>
          <cell r="D44" t="str">
            <v>Trần Thanh</v>
          </cell>
          <cell r="E44" t="str">
            <v>Huyền</v>
          </cell>
          <cell r="F44">
            <v>1986</v>
          </cell>
          <cell r="G44" t="str">
            <v>B</v>
          </cell>
          <cell r="H44">
            <v>42923</v>
          </cell>
          <cell r="I44">
            <v>43000</v>
          </cell>
          <cell r="J44">
            <v>43653</v>
          </cell>
        </row>
        <row r="45">
          <cell r="C45" t="str">
            <v>1709-073</v>
          </cell>
          <cell r="D45" t="str">
            <v xml:space="preserve">Võ </v>
          </cell>
          <cell r="E45" t="str">
            <v>Thông</v>
          </cell>
          <cell r="F45">
            <v>1980</v>
          </cell>
          <cell r="G45" t="str">
            <v>E</v>
          </cell>
          <cell r="H45">
            <v>42939</v>
          </cell>
          <cell r="I45">
            <v>43007</v>
          </cell>
          <cell r="J45">
            <v>43669</v>
          </cell>
        </row>
        <row r="46">
          <cell r="C46" t="str">
            <v>1710-010</v>
          </cell>
          <cell r="D46" t="str">
            <v>Vũ Hoàng</v>
          </cell>
          <cell r="E46" t="str">
            <v>Hiệp</v>
          </cell>
          <cell r="F46">
            <v>1971</v>
          </cell>
          <cell r="G46" t="str">
            <v>C</v>
          </cell>
          <cell r="H46">
            <v>42956</v>
          </cell>
          <cell r="I46">
            <v>43013</v>
          </cell>
          <cell r="J46">
            <v>43686</v>
          </cell>
        </row>
        <row r="47">
          <cell r="C47" t="str">
            <v>1710-016</v>
          </cell>
          <cell r="D47" t="str">
            <v xml:space="preserve">Võ Minh </v>
          </cell>
          <cell r="E47" t="str">
            <v>Huy</v>
          </cell>
          <cell r="F47">
            <v>1990</v>
          </cell>
          <cell r="G47" t="str">
            <v>A</v>
          </cell>
          <cell r="H47">
            <v>42927</v>
          </cell>
          <cell r="I47">
            <v>43013</v>
          </cell>
          <cell r="J47">
            <v>43657</v>
          </cell>
        </row>
        <row r="48">
          <cell r="C48" t="str">
            <v>1710-024</v>
          </cell>
          <cell r="D48" t="str">
            <v xml:space="preserve">Nguyễn Trung </v>
          </cell>
          <cell r="E48" t="str">
            <v>Phú</v>
          </cell>
          <cell r="F48">
            <v>1990</v>
          </cell>
          <cell r="G48" t="str">
            <v>D</v>
          </cell>
          <cell r="H48">
            <v>42942</v>
          </cell>
          <cell r="I48">
            <v>43019</v>
          </cell>
          <cell r="J48">
            <v>43672</v>
          </cell>
        </row>
        <row r="49">
          <cell r="C49" t="str">
            <v>1710-027</v>
          </cell>
          <cell r="D49" t="str">
            <v xml:space="preserve">Huỳnh Kim </v>
          </cell>
          <cell r="E49" t="str">
            <v>Lăng</v>
          </cell>
          <cell r="F49">
            <v>1991</v>
          </cell>
          <cell r="G49" t="str">
            <v>D</v>
          </cell>
          <cell r="H49">
            <v>43003</v>
          </cell>
          <cell r="I49">
            <v>43020</v>
          </cell>
          <cell r="J49">
            <v>43733</v>
          </cell>
        </row>
        <row r="50">
          <cell r="C50" t="str">
            <v>1710-028</v>
          </cell>
          <cell r="D50" t="str">
            <v>Đặng Quang</v>
          </cell>
          <cell r="E50" t="str">
            <v>Hiệp</v>
          </cell>
          <cell r="F50">
            <v>1984</v>
          </cell>
          <cell r="G50" t="str">
            <v>D</v>
          </cell>
          <cell r="H50">
            <v>42996</v>
          </cell>
          <cell r="I50">
            <v>43020</v>
          </cell>
          <cell r="J50">
            <v>43726</v>
          </cell>
        </row>
        <row r="51">
          <cell r="C51" t="str">
            <v>1710-034</v>
          </cell>
          <cell r="D51" t="str">
            <v xml:space="preserve">Trần </v>
          </cell>
          <cell r="E51" t="str">
            <v>Hùng</v>
          </cell>
          <cell r="F51">
            <v>1974</v>
          </cell>
          <cell r="G51" t="str">
            <v>B</v>
          </cell>
          <cell r="H51">
            <v>42947</v>
          </cell>
          <cell r="I51">
            <v>43027</v>
          </cell>
          <cell r="J51">
            <v>43677</v>
          </cell>
          <cell r="L51" t="str">
            <v>KL</v>
          </cell>
          <cell r="M51">
            <v>43577</v>
          </cell>
          <cell r="N51">
            <v>95</v>
          </cell>
          <cell r="O51">
            <v>43672</v>
          </cell>
        </row>
        <row r="52">
          <cell r="C52" t="str">
            <v>1710-046</v>
          </cell>
          <cell r="D52" t="str">
            <v>Nguyễn Hòa</v>
          </cell>
          <cell r="E52" t="str">
            <v>Hiệp</v>
          </cell>
          <cell r="F52">
            <v>1971</v>
          </cell>
          <cell r="G52" t="str">
            <v>A</v>
          </cell>
          <cell r="H52">
            <v>42939</v>
          </cell>
          <cell r="I52">
            <v>43028</v>
          </cell>
          <cell r="J52">
            <v>43669</v>
          </cell>
        </row>
        <row r="53">
          <cell r="C53" t="str">
            <v>1710-047</v>
          </cell>
          <cell r="D53" t="str">
            <v xml:space="preserve">Đinh Kim </v>
          </cell>
          <cell r="E53" t="str">
            <v>Trung</v>
          </cell>
          <cell r="F53">
            <v>1959</v>
          </cell>
          <cell r="G53" t="str">
            <v>D</v>
          </cell>
          <cell r="H53">
            <v>42930</v>
          </cell>
          <cell r="I53">
            <v>43032</v>
          </cell>
          <cell r="J53">
            <v>43660</v>
          </cell>
        </row>
        <row r="54">
          <cell r="C54" t="str">
            <v>1710-056</v>
          </cell>
          <cell r="D54" t="str">
            <v>Trần Tuấn</v>
          </cell>
          <cell r="E54" t="str">
            <v>An</v>
          </cell>
          <cell r="F54">
            <v>1979</v>
          </cell>
          <cell r="G54" t="str">
            <v>E</v>
          </cell>
          <cell r="H54">
            <v>42943</v>
          </cell>
          <cell r="I54">
            <v>43035</v>
          </cell>
          <cell r="J54">
            <v>43673</v>
          </cell>
          <cell r="L54" t="str">
            <v>KL</v>
          </cell>
          <cell r="M54">
            <v>43503</v>
          </cell>
          <cell r="N54">
            <v>185</v>
          </cell>
          <cell r="O54">
            <v>43688</v>
          </cell>
        </row>
        <row r="55">
          <cell r="C55" t="str">
            <v>1710-057</v>
          </cell>
          <cell r="D55" t="str">
            <v>Trần Văn Hồng</v>
          </cell>
          <cell r="E55" t="str">
            <v>Nhựt</v>
          </cell>
          <cell r="F55">
            <v>1988</v>
          </cell>
          <cell r="G55" t="str">
            <v>E</v>
          </cell>
          <cell r="H55">
            <v>42936</v>
          </cell>
          <cell r="I55">
            <v>43035</v>
          </cell>
          <cell r="J55">
            <v>43666</v>
          </cell>
        </row>
        <row r="56">
          <cell r="C56" t="str">
            <v>1710-058</v>
          </cell>
          <cell r="D56" t="str">
            <v>Nguyễn Văn</v>
          </cell>
          <cell r="E56" t="str">
            <v>Chung</v>
          </cell>
          <cell r="F56">
            <v>1982</v>
          </cell>
          <cell r="G56" t="str">
            <v>A</v>
          </cell>
          <cell r="H56">
            <v>42951</v>
          </cell>
          <cell r="I56">
            <v>43035</v>
          </cell>
          <cell r="J56">
            <v>43681</v>
          </cell>
        </row>
        <row r="57">
          <cell r="C57" t="str">
            <v>1710-061</v>
          </cell>
          <cell r="D57" t="str">
            <v>Nguyễn Anh</v>
          </cell>
          <cell r="E57" t="str">
            <v>Kiệt</v>
          </cell>
          <cell r="F57">
            <v>1979</v>
          </cell>
          <cell r="G57" t="str">
            <v>E</v>
          </cell>
          <cell r="H57">
            <v>42929</v>
          </cell>
          <cell r="I57">
            <v>43035</v>
          </cell>
          <cell r="J57">
            <v>43659</v>
          </cell>
        </row>
        <row r="58">
          <cell r="C58" t="str">
            <v>1710-062</v>
          </cell>
          <cell r="D58" t="str">
            <v>Nguyễn Vũ Hoàng</v>
          </cell>
          <cell r="E58" t="str">
            <v>Sơn</v>
          </cell>
          <cell r="F58">
            <v>1983</v>
          </cell>
          <cell r="G58" t="str">
            <v>E</v>
          </cell>
          <cell r="H58">
            <v>42984</v>
          </cell>
          <cell r="I58">
            <v>43035</v>
          </cell>
          <cell r="J58">
            <v>43714</v>
          </cell>
        </row>
        <row r="59">
          <cell r="C59" t="str">
            <v>1711-003</v>
          </cell>
          <cell r="D59" t="str">
            <v>Nguyễn Văn</v>
          </cell>
          <cell r="E59" t="str">
            <v>Tiến</v>
          </cell>
          <cell r="F59">
            <v>1989</v>
          </cell>
          <cell r="G59" t="str">
            <v>C</v>
          </cell>
          <cell r="H59">
            <v>42958</v>
          </cell>
          <cell r="I59">
            <v>43040</v>
          </cell>
          <cell r="J59">
            <v>43688</v>
          </cell>
        </row>
        <row r="60">
          <cell r="C60" t="str">
            <v>1711-004</v>
          </cell>
          <cell r="D60" t="str">
            <v>Lê Hoàng</v>
          </cell>
          <cell r="E60" t="str">
            <v>Đạo</v>
          </cell>
          <cell r="F60">
            <v>1989</v>
          </cell>
          <cell r="G60" t="str">
            <v>D</v>
          </cell>
          <cell r="H60">
            <v>42938</v>
          </cell>
          <cell r="I60">
            <v>43042</v>
          </cell>
          <cell r="J60">
            <v>43668</v>
          </cell>
          <cell r="L60" t="str">
            <v>KL</v>
          </cell>
          <cell r="M60">
            <v>43613</v>
          </cell>
          <cell r="N60">
            <v>35</v>
          </cell>
          <cell r="O60">
            <v>43648</v>
          </cell>
        </row>
        <row r="61">
          <cell r="C61" t="str">
            <v>1711-011</v>
          </cell>
          <cell r="D61" t="str">
            <v>Huỳnh Văn</v>
          </cell>
          <cell r="E61" t="str">
            <v>Toàn</v>
          </cell>
          <cell r="F61">
            <v>1978</v>
          </cell>
          <cell r="G61" t="str">
            <v>B</v>
          </cell>
          <cell r="H61">
            <v>42962</v>
          </cell>
          <cell r="I61">
            <v>43042</v>
          </cell>
          <cell r="J61">
            <v>43692</v>
          </cell>
        </row>
        <row r="62">
          <cell r="C62" t="str">
            <v>1711-012</v>
          </cell>
          <cell r="D62" t="str">
            <v>Trần Quốc</v>
          </cell>
          <cell r="E62" t="str">
            <v>Dũng</v>
          </cell>
          <cell r="F62">
            <v>1982</v>
          </cell>
          <cell r="G62" t="str">
            <v>B</v>
          </cell>
          <cell r="H62">
            <v>42966</v>
          </cell>
          <cell r="I62">
            <v>43042</v>
          </cell>
          <cell r="J62">
            <v>43696</v>
          </cell>
        </row>
        <row r="63">
          <cell r="C63" t="str">
            <v>1711-013</v>
          </cell>
          <cell r="D63" t="str">
            <v xml:space="preserve">Dương Minh </v>
          </cell>
          <cell r="E63" t="str">
            <v>Lâm</v>
          </cell>
          <cell r="F63">
            <v>1986</v>
          </cell>
          <cell r="G63" t="str">
            <v>A</v>
          </cell>
          <cell r="H63">
            <v>43025</v>
          </cell>
          <cell r="I63">
            <v>43046</v>
          </cell>
          <cell r="J63">
            <v>43755</v>
          </cell>
        </row>
        <row r="64">
          <cell r="C64" t="str">
            <v>1711-014</v>
          </cell>
          <cell r="D64" t="str">
            <v xml:space="preserve">Lương Minh </v>
          </cell>
          <cell r="E64" t="str">
            <v>Lộc</v>
          </cell>
          <cell r="F64">
            <v>1986</v>
          </cell>
          <cell r="G64" t="str">
            <v>A</v>
          </cell>
          <cell r="H64">
            <v>43014</v>
          </cell>
          <cell r="I64">
            <v>43046</v>
          </cell>
          <cell r="J64">
            <v>43744</v>
          </cell>
        </row>
        <row r="65">
          <cell r="C65" t="str">
            <v>1711-015</v>
          </cell>
          <cell r="D65" t="str">
            <v xml:space="preserve">Mohamad </v>
          </cell>
          <cell r="E65" t="str">
            <v xml:space="preserve"> Hô Sên</v>
          </cell>
          <cell r="F65">
            <v>1979</v>
          </cell>
          <cell r="G65" t="str">
            <v>A</v>
          </cell>
          <cell r="H65">
            <v>43024</v>
          </cell>
          <cell r="I65">
            <v>43046</v>
          </cell>
          <cell r="J65">
            <v>43754</v>
          </cell>
        </row>
        <row r="66">
          <cell r="C66" t="str">
            <v>1711-016</v>
          </cell>
          <cell r="D66" t="str">
            <v>Trần Hoàng</v>
          </cell>
          <cell r="E66" t="str">
            <v>Lâm</v>
          </cell>
          <cell r="F66">
            <v>1983</v>
          </cell>
          <cell r="G66" t="str">
            <v>A</v>
          </cell>
          <cell r="H66">
            <v>43014</v>
          </cell>
          <cell r="I66">
            <v>43046</v>
          </cell>
          <cell r="J66">
            <v>43744</v>
          </cell>
        </row>
        <row r="67">
          <cell r="C67" t="str">
            <v>1711-017</v>
          </cell>
          <cell r="D67" t="str">
            <v xml:space="preserve">Tôn Thất Sanh </v>
          </cell>
          <cell r="E67" t="str">
            <v>Tú</v>
          </cell>
          <cell r="F67">
            <v>1977</v>
          </cell>
          <cell r="G67" t="str">
            <v>D</v>
          </cell>
          <cell r="H67">
            <v>43020</v>
          </cell>
          <cell r="I67">
            <v>43046</v>
          </cell>
          <cell r="J67">
            <v>43658</v>
          </cell>
        </row>
        <row r="68">
          <cell r="C68" t="str">
            <v>1711-020</v>
          </cell>
          <cell r="D68" t="str">
            <v>Vũ Trường</v>
          </cell>
          <cell r="E68" t="str">
            <v>Giang</v>
          </cell>
          <cell r="F68">
            <v>1980</v>
          </cell>
          <cell r="G68" t="str">
            <v>A</v>
          </cell>
          <cell r="H68">
            <v>42958</v>
          </cell>
          <cell r="I68">
            <v>43049</v>
          </cell>
          <cell r="J68">
            <v>43688</v>
          </cell>
        </row>
        <row r="69">
          <cell r="C69" t="str">
            <v>1711-021</v>
          </cell>
          <cell r="D69" t="str">
            <v>Nguyễn Thiện</v>
          </cell>
          <cell r="E69" t="str">
            <v>Sơn</v>
          </cell>
          <cell r="F69">
            <v>1979</v>
          </cell>
          <cell r="G69" t="str">
            <v>A</v>
          </cell>
          <cell r="H69">
            <v>42965</v>
          </cell>
          <cell r="I69">
            <v>43049</v>
          </cell>
          <cell r="J69">
            <v>43695</v>
          </cell>
        </row>
        <row r="70">
          <cell r="C70" t="str">
            <v>1711-022</v>
          </cell>
          <cell r="D70" t="str">
            <v xml:space="preserve">Nguyễn Minh </v>
          </cell>
          <cell r="E70" t="str">
            <v>Đạt</v>
          </cell>
          <cell r="F70">
            <v>1971</v>
          </cell>
          <cell r="G70" t="str">
            <v>B</v>
          </cell>
          <cell r="H70">
            <v>42964</v>
          </cell>
          <cell r="I70">
            <v>43056</v>
          </cell>
          <cell r="J70">
            <v>43694</v>
          </cell>
        </row>
        <row r="71">
          <cell r="C71" t="str">
            <v>1711-023</v>
          </cell>
          <cell r="D71" t="str">
            <v xml:space="preserve">Nguyễn Thanh </v>
          </cell>
          <cell r="E71" t="str">
            <v>Hùng</v>
          </cell>
          <cell r="F71">
            <v>1975</v>
          </cell>
          <cell r="G71" t="str">
            <v>B</v>
          </cell>
          <cell r="H71">
            <v>42953</v>
          </cell>
          <cell r="I71">
            <v>43056</v>
          </cell>
          <cell r="J71">
            <v>43683</v>
          </cell>
        </row>
        <row r="72">
          <cell r="C72" t="str">
            <v>1711-024</v>
          </cell>
          <cell r="D72" t="str">
            <v>Nguyễn Minh</v>
          </cell>
          <cell r="E72" t="str">
            <v>Trung</v>
          </cell>
          <cell r="F72">
            <v>1987</v>
          </cell>
          <cell r="G72" t="str">
            <v>B</v>
          </cell>
          <cell r="H72">
            <v>42985</v>
          </cell>
          <cell r="I72">
            <v>43056</v>
          </cell>
          <cell r="J72">
            <v>43715</v>
          </cell>
        </row>
        <row r="73">
          <cell r="C73" t="str">
            <v>1711-028</v>
          </cell>
          <cell r="D73" t="str">
            <v>Trần Văn</v>
          </cell>
          <cell r="E73" t="str">
            <v>Chiến</v>
          </cell>
          <cell r="F73">
            <v>1988</v>
          </cell>
          <cell r="G73" t="str">
            <v>C</v>
          </cell>
          <cell r="H73">
            <v>42996</v>
          </cell>
          <cell r="I73">
            <v>43063</v>
          </cell>
          <cell r="J73">
            <v>43726</v>
          </cell>
          <cell r="L73" t="str">
            <v>KL</v>
          </cell>
          <cell r="M73">
            <v>43604</v>
          </cell>
          <cell r="N73">
            <v>45</v>
          </cell>
          <cell r="O73">
            <v>43649</v>
          </cell>
        </row>
        <row r="74">
          <cell r="C74" t="str">
            <v>1712-002</v>
          </cell>
          <cell r="D74" t="str">
            <v>Nguyễn Văn</v>
          </cell>
          <cell r="E74" t="str">
            <v>Thiện</v>
          </cell>
          <cell r="F74">
            <v>1974</v>
          </cell>
          <cell r="G74" t="str">
            <v>C</v>
          </cell>
          <cell r="H74">
            <v>42977</v>
          </cell>
          <cell r="I74">
            <v>43070</v>
          </cell>
          <cell r="J74">
            <v>43676</v>
          </cell>
        </row>
        <row r="75">
          <cell r="C75" t="str">
            <v>1712-003</v>
          </cell>
          <cell r="D75" t="str">
            <v xml:space="preserve">Vũ Đình </v>
          </cell>
          <cell r="E75" t="str">
            <v>Trường</v>
          </cell>
          <cell r="F75">
            <v>1986</v>
          </cell>
          <cell r="G75" t="str">
            <v>E</v>
          </cell>
          <cell r="H75">
            <v>43002</v>
          </cell>
          <cell r="I75">
            <v>43070</v>
          </cell>
          <cell r="J75">
            <v>43732</v>
          </cell>
        </row>
        <row r="76">
          <cell r="C76" t="str">
            <v>1712-004</v>
          </cell>
          <cell r="D76" t="str">
            <v>Vũ Ngọc</v>
          </cell>
          <cell r="E76" t="str">
            <v>Tài</v>
          </cell>
          <cell r="F76">
            <v>1976</v>
          </cell>
          <cell r="G76" t="str">
            <v>E</v>
          </cell>
          <cell r="H76">
            <v>43001</v>
          </cell>
          <cell r="I76">
            <v>43070</v>
          </cell>
          <cell r="J76">
            <v>43731</v>
          </cell>
        </row>
        <row r="77">
          <cell r="C77" t="str">
            <v>1712-006</v>
          </cell>
          <cell r="D77" t="str">
            <v xml:space="preserve">Huỳnh Văn </v>
          </cell>
          <cell r="E77" t="str">
            <v>Giàu</v>
          </cell>
          <cell r="F77">
            <v>1965</v>
          </cell>
          <cell r="G77" t="str">
            <v>E</v>
          </cell>
          <cell r="H77">
            <v>43009</v>
          </cell>
          <cell r="I77">
            <v>43070</v>
          </cell>
          <cell r="J77">
            <v>43709</v>
          </cell>
        </row>
        <row r="78">
          <cell r="C78" t="str">
            <v>1712-007</v>
          </cell>
          <cell r="D78" t="str">
            <v xml:space="preserve">Phạm Tấn </v>
          </cell>
          <cell r="E78" t="str">
            <v>Sơn</v>
          </cell>
          <cell r="F78">
            <v>1991</v>
          </cell>
          <cell r="G78" t="str">
            <v>E</v>
          </cell>
          <cell r="H78">
            <v>43013</v>
          </cell>
          <cell r="I78">
            <v>43070</v>
          </cell>
          <cell r="J78">
            <v>43651</v>
          </cell>
        </row>
        <row r="79">
          <cell r="C79" t="str">
            <v>1712-010</v>
          </cell>
          <cell r="D79" t="str">
            <v>Trần Thiện</v>
          </cell>
          <cell r="E79" t="str">
            <v>Tâm</v>
          </cell>
          <cell r="F79">
            <v>1989</v>
          </cell>
          <cell r="G79" t="str">
            <v>D</v>
          </cell>
          <cell r="H79">
            <v>42968</v>
          </cell>
          <cell r="I79">
            <v>43075</v>
          </cell>
          <cell r="J79">
            <v>43698</v>
          </cell>
        </row>
        <row r="80">
          <cell r="C80" t="str">
            <v>1712-011</v>
          </cell>
          <cell r="D80" t="str">
            <v>Trương Hải</v>
          </cell>
          <cell r="E80" t="str">
            <v>Tiên</v>
          </cell>
          <cell r="F80">
            <v>1986</v>
          </cell>
          <cell r="G80" t="str">
            <v>B</v>
          </cell>
          <cell r="H80">
            <v>43052</v>
          </cell>
          <cell r="I80">
            <v>43082</v>
          </cell>
          <cell r="J80">
            <v>43782</v>
          </cell>
        </row>
        <row r="81">
          <cell r="C81" t="str">
            <v>1712-012</v>
          </cell>
          <cell r="D81" t="str">
            <v>Nguyễn Ân</v>
          </cell>
          <cell r="E81" t="str">
            <v>Hùng</v>
          </cell>
          <cell r="F81">
            <v>1975</v>
          </cell>
          <cell r="G81" t="str">
            <v>B</v>
          </cell>
          <cell r="H81">
            <v>43059</v>
          </cell>
          <cell r="I81">
            <v>43082</v>
          </cell>
          <cell r="J81">
            <v>43697</v>
          </cell>
        </row>
        <row r="82">
          <cell r="C82" t="str">
            <v>1712-013</v>
          </cell>
          <cell r="D82" t="str">
            <v>Nguyễn Văn</v>
          </cell>
          <cell r="E82" t="str">
            <v>Tính</v>
          </cell>
          <cell r="F82">
            <v>1978</v>
          </cell>
          <cell r="G82" t="str">
            <v>B</v>
          </cell>
          <cell r="H82">
            <v>42981</v>
          </cell>
          <cell r="I82">
            <v>43084</v>
          </cell>
          <cell r="J82">
            <v>43711</v>
          </cell>
        </row>
        <row r="83">
          <cell r="C83" t="str">
            <v>1712-017</v>
          </cell>
          <cell r="D83" t="str">
            <v xml:space="preserve">Huỳnh Thanh </v>
          </cell>
          <cell r="E83" t="str">
            <v>Sơn</v>
          </cell>
          <cell r="F83">
            <v>1986</v>
          </cell>
          <cell r="G83" t="str">
            <v>A</v>
          </cell>
          <cell r="H83">
            <v>43013</v>
          </cell>
          <cell r="I83">
            <v>43084</v>
          </cell>
          <cell r="J83">
            <v>43743</v>
          </cell>
        </row>
        <row r="84">
          <cell r="C84" t="str">
            <v>1712-020</v>
          </cell>
          <cell r="D84" t="str">
            <v xml:space="preserve">Trần Văn </v>
          </cell>
          <cell r="E84" t="str">
            <v>Hoàng</v>
          </cell>
          <cell r="F84">
            <v>1965</v>
          </cell>
          <cell r="G84" t="str">
            <v>A</v>
          </cell>
          <cell r="H84">
            <v>43032</v>
          </cell>
          <cell r="I84">
            <v>43088</v>
          </cell>
          <cell r="J84">
            <v>43762</v>
          </cell>
        </row>
        <row r="85">
          <cell r="C85" t="str">
            <v>1712-021</v>
          </cell>
          <cell r="D85" t="str">
            <v>Đặng</v>
          </cell>
          <cell r="E85" t="str">
            <v>Quang</v>
          </cell>
          <cell r="F85">
            <v>1978</v>
          </cell>
          <cell r="G85" t="str">
            <v>A</v>
          </cell>
          <cell r="H85">
            <v>43032</v>
          </cell>
          <cell r="I85">
            <v>43088</v>
          </cell>
          <cell r="J85">
            <v>43762</v>
          </cell>
        </row>
        <row r="86">
          <cell r="C86" t="str">
            <v>1712-022</v>
          </cell>
          <cell r="D86" t="str">
            <v>Nguyễn Văn</v>
          </cell>
          <cell r="E86" t="str">
            <v>Đường</v>
          </cell>
          <cell r="F86">
            <v>1981</v>
          </cell>
          <cell r="G86" t="str">
            <v>A</v>
          </cell>
          <cell r="H86">
            <v>43035</v>
          </cell>
          <cell r="I86">
            <v>43088</v>
          </cell>
          <cell r="J86">
            <v>43673</v>
          </cell>
        </row>
        <row r="87">
          <cell r="C87" t="str">
            <v>1712-023</v>
          </cell>
          <cell r="D87" t="str">
            <v>Nguyễn Văn</v>
          </cell>
          <cell r="E87" t="str">
            <v>Thuận</v>
          </cell>
          <cell r="F87">
            <v>1993</v>
          </cell>
          <cell r="G87" t="str">
            <v>C</v>
          </cell>
          <cell r="H87">
            <v>42998</v>
          </cell>
          <cell r="I87">
            <v>43091</v>
          </cell>
          <cell r="J87">
            <v>43728</v>
          </cell>
        </row>
        <row r="88">
          <cell r="C88" t="str">
            <v>1712-025</v>
          </cell>
          <cell r="D88" t="str">
            <v xml:space="preserve">Võ Văn </v>
          </cell>
          <cell r="E88" t="str">
            <v>Bảy</v>
          </cell>
          <cell r="F88">
            <v>1974</v>
          </cell>
          <cell r="G88" t="str">
            <v>C</v>
          </cell>
          <cell r="H88">
            <v>43035</v>
          </cell>
          <cell r="I88">
            <v>43091</v>
          </cell>
          <cell r="J88">
            <v>43765</v>
          </cell>
        </row>
        <row r="89">
          <cell r="C89" t="str">
            <v>1712-026</v>
          </cell>
          <cell r="D89" t="str">
            <v>Võ Hữu</v>
          </cell>
          <cell r="E89" t="str">
            <v>Tươi</v>
          </cell>
          <cell r="F89">
            <v>1992</v>
          </cell>
          <cell r="G89" t="str">
            <v>D</v>
          </cell>
          <cell r="H89">
            <v>43042</v>
          </cell>
          <cell r="I89">
            <v>43096</v>
          </cell>
          <cell r="J89">
            <v>43680</v>
          </cell>
        </row>
        <row r="90">
          <cell r="C90" t="str">
            <v>1712-027</v>
          </cell>
          <cell r="D90" t="str">
            <v xml:space="preserve">Mai Thế </v>
          </cell>
          <cell r="E90" t="str">
            <v>Ngọc</v>
          </cell>
          <cell r="F90">
            <v>1987</v>
          </cell>
          <cell r="G90" t="str">
            <v>B</v>
          </cell>
          <cell r="H90">
            <v>42992</v>
          </cell>
          <cell r="I90">
            <v>43098</v>
          </cell>
          <cell r="J90">
            <v>43722</v>
          </cell>
        </row>
        <row r="91">
          <cell r="C91" t="str">
            <v>1712-029</v>
          </cell>
          <cell r="D91" t="str">
            <v>Lê Hoàng</v>
          </cell>
          <cell r="E91" t="str">
            <v>Vũ</v>
          </cell>
          <cell r="F91">
            <v>1977</v>
          </cell>
          <cell r="G91" t="str">
            <v>B</v>
          </cell>
          <cell r="H91">
            <v>43006</v>
          </cell>
          <cell r="I91">
            <v>43098</v>
          </cell>
          <cell r="J91">
            <v>43736</v>
          </cell>
        </row>
        <row r="92">
          <cell r="C92" t="str">
            <v>1712-030</v>
          </cell>
          <cell r="D92" t="str">
            <v>Nguyễn Văn</v>
          </cell>
          <cell r="E92" t="str">
            <v>Hưng</v>
          </cell>
          <cell r="F92">
            <v>1968</v>
          </cell>
          <cell r="G92" t="str">
            <v>B</v>
          </cell>
          <cell r="H92">
            <v>43005</v>
          </cell>
          <cell r="I92">
            <v>43098</v>
          </cell>
          <cell r="J92">
            <v>43735</v>
          </cell>
        </row>
        <row r="93">
          <cell r="C93" t="str">
            <v>1801-001</v>
          </cell>
          <cell r="D93" t="str">
            <v>Phan Hoàng</v>
          </cell>
          <cell r="E93" t="str">
            <v>Phong</v>
          </cell>
          <cell r="F93">
            <v>1973</v>
          </cell>
          <cell r="G93" t="str">
            <v>D</v>
          </cell>
          <cell r="H93">
            <v>42986</v>
          </cell>
          <cell r="I93">
            <v>43104</v>
          </cell>
          <cell r="J93">
            <v>43716</v>
          </cell>
        </row>
        <row r="94">
          <cell r="C94" t="str">
            <v>1801-002</v>
          </cell>
          <cell r="D94" t="str">
            <v>Hồ Hoàng</v>
          </cell>
          <cell r="E94" t="str">
            <v>Phương</v>
          </cell>
          <cell r="F94">
            <v>1974</v>
          </cell>
          <cell r="G94" t="str">
            <v>D</v>
          </cell>
          <cell r="H94">
            <v>43026</v>
          </cell>
          <cell r="I94">
            <v>43104</v>
          </cell>
          <cell r="J94">
            <v>43756</v>
          </cell>
        </row>
        <row r="95">
          <cell r="C95" t="str">
            <v>1801-003</v>
          </cell>
          <cell r="D95" t="str">
            <v>Đỗ Trọng</v>
          </cell>
          <cell r="E95" t="str">
            <v>Hoàng</v>
          </cell>
          <cell r="F95">
            <v>1962</v>
          </cell>
          <cell r="G95" t="str">
            <v>D</v>
          </cell>
          <cell r="H95">
            <v>43000</v>
          </cell>
          <cell r="I95">
            <v>43104</v>
          </cell>
          <cell r="J95">
            <v>43730</v>
          </cell>
        </row>
        <row r="96">
          <cell r="C96" t="str">
            <v>1801-004</v>
          </cell>
          <cell r="D96" t="str">
            <v>Nguyễn Trí</v>
          </cell>
          <cell r="E96" t="str">
            <v>Phương</v>
          </cell>
          <cell r="F96">
            <v>1983</v>
          </cell>
          <cell r="G96" t="str">
            <v>D</v>
          </cell>
          <cell r="H96">
            <v>43038</v>
          </cell>
          <cell r="I96">
            <v>43104</v>
          </cell>
          <cell r="J96">
            <v>43676</v>
          </cell>
        </row>
        <row r="97">
          <cell r="C97" t="str">
            <v>1801-005</v>
          </cell>
          <cell r="D97" t="str">
            <v>Lương Thế</v>
          </cell>
          <cell r="E97" t="str">
            <v>Trung</v>
          </cell>
          <cell r="F97">
            <v>1980</v>
          </cell>
          <cell r="G97" t="str">
            <v>D</v>
          </cell>
          <cell r="H97">
            <v>43075</v>
          </cell>
          <cell r="I97">
            <v>43104</v>
          </cell>
          <cell r="J97">
            <v>43805</v>
          </cell>
        </row>
        <row r="98">
          <cell r="C98" t="str">
            <v>1801-006</v>
          </cell>
          <cell r="D98" t="str">
            <v>Nguyễn Ngọc</v>
          </cell>
          <cell r="E98" t="str">
            <v>Vũ</v>
          </cell>
          <cell r="F98">
            <v>1982</v>
          </cell>
          <cell r="G98" t="str">
            <v>D</v>
          </cell>
          <cell r="H98">
            <v>43012</v>
          </cell>
          <cell r="I98">
            <v>43104</v>
          </cell>
          <cell r="J98">
            <v>43681</v>
          </cell>
        </row>
        <row r="99">
          <cell r="C99" t="str">
            <v>1801-010</v>
          </cell>
          <cell r="D99" t="str">
            <v xml:space="preserve">Nguyễn Hồng </v>
          </cell>
          <cell r="E99" t="str">
            <v>Phát</v>
          </cell>
          <cell r="F99">
            <v>1990</v>
          </cell>
          <cell r="G99" t="str">
            <v>D</v>
          </cell>
          <cell r="H99">
            <v>42984</v>
          </cell>
          <cell r="I99">
            <v>43106</v>
          </cell>
          <cell r="J99">
            <v>43714</v>
          </cell>
        </row>
        <row r="100">
          <cell r="C100" t="str">
            <v>1801-011</v>
          </cell>
          <cell r="D100" t="str">
            <v>Phạm Quốc</v>
          </cell>
          <cell r="E100" t="str">
            <v>Tấn</v>
          </cell>
          <cell r="F100">
            <v>1979</v>
          </cell>
          <cell r="G100" t="str">
            <v>D</v>
          </cell>
          <cell r="H100">
            <v>43080</v>
          </cell>
          <cell r="I100">
            <v>43109</v>
          </cell>
          <cell r="J100">
            <v>43810</v>
          </cell>
        </row>
        <row r="101">
          <cell r="C101" t="str">
            <v>1801-012</v>
          </cell>
          <cell r="D101" t="str">
            <v>Phạm Huỳnh Minh</v>
          </cell>
          <cell r="E101" t="str">
            <v>Hoàng</v>
          </cell>
          <cell r="F101">
            <v>1975</v>
          </cell>
          <cell r="G101" t="str">
            <v>A</v>
          </cell>
          <cell r="H101">
            <v>43044</v>
          </cell>
          <cell r="I101">
            <v>43112</v>
          </cell>
          <cell r="J101">
            <v>43713</v>
          </cell>
        </row>
        <row r="102">
          <cell r="C102" t="str">
            <v>1801-014</v>
          </cell>
          <cell r="D102" t="str">
            <v xml:space="preserve">Nguyễn </v>
          </cell>
          <cell r="E102" t="str">
            <v>Hương</v>
          </cell>
          <cell r="F102">
            <v>1970</v>
          </cell>
          <cell r="G102" t="str">
            <v>D</v>
          </cell>
          <cell r="H102">
            <v>43033</v>
          </cell>
          <cell r="I102">
            <v>43112</v>
          </cell>
          <cell r="J102">
            <v>43671</v>
          </cell>
        </row>
        <row r="103">
          <cell r="C103" t="str">
            <v>1801-015</v>
          </cell>
          <cell r="D103" t="str">
            <v xml:space="preserve">Phan Tử </v>
          </cell>
          <cell r="E103" t="str">
            <v>Vũ</v>
          </cell>
          <cell r="F103">
            <v>1980</v>
          </cell>
          <cell r="G103" t="str">
            <v>D</v>
          </cell>
          <cell r="H103">
            <v>43056</v>
          </cell>
          <cell r="I103">
            <v>43112</v>
          </cell>
          <cell r="J103">
            <v>43663</v>
          </cell>
        </row>
        <row r="104">
          <cell r="C104" t="str">
            <v>1801-016</v>
          </cell>
          <cell r="D104" t="str">
            <v>Trần Quang</v>
          </cell>
          <cell r="E104" t="str">
            <v>Vinh</v>
          </cell>
          <cell r="F104">
            <v>1978</v>
          </cell>
          <cell r="G104" t="str">
            <v>B</v>
          </cell>
          <cell r="H104">
            <v>43062</v>
          </cell>
          <cell r="I104">
            <v>43117</v>
          </cell>
          <cell r="J104">
            <v>43700</v>
          </cell>
        </row>
        <row r="105">
          <cell r="C105" t="str">
            <v>1801-017</v>
          </cell>
          <cell r="D105" t="str">
            <v>Nguyễn Văn Anh</v>
          </cell>
          <cell r="E105" t="str">
            <v>Tuấn</v>
          </cell>
          <cell r="F105">
            <v>1971</v>
          </cell>
          <cell r="G105" t="str">
            <v>B</v>
          </cell>
          <cell r="H105">
            <v>43063</v>
          </cell>
          <cell r="I105">
            <v>43117</v>
          </cell>
          <cell r="J105">
            <v>43701</v>
          </cell>
        </row>
        <row r="106">
          <cell r="C106" t="str">
            <v>1801-018</v>
          </cell>
          <cell r="D106" t="str">
            <v>Phạm Thế</v>
          </cell>
          <cell r="E106" t="str">
            <v>Việt</v>
          </cell>
          <cell r="F106">
            <v>1987</v>
          </cell>
          <cell r="G106" t="str">
            <v>B</v>
          </cell>
          <cell r="H106">
            <v>43062</v>
          </cell>
          <cell r="I106">
            <v>43117</v>
          </cell>
          <cell r="J106">
            <v>43700</v>
          </cell>
        </row>
        <row r="107">
          <cell r="C107" t="str">
            <v>1801-019</v>
          </cell>
          <cell r="D107" t="str">
            <v>Nguyễn Bảo</v>
          </cell>
          <cell r="E107" t="str">
            <v>Long</v>
          </cell>
          <cell r="F107">
            <v>1976</v>
          </cell>
          <cell r="G107" t="str">
            <v>B</v>
          </cell>
          <cell r="H107">
            <v>43028</v>
          </cell>
          <cell r="I107">
            <v>43117</v>
          </cell>
          <cell r="J107">
            <v>43758</v>
          </cell>
        </row>
        <row r="108">
          <cell r="C108" t="str">
            <v>1801-020</v>
          </cell>
          <cell r="D108" t="str">
            <v>Nguyễn Văn</v>
          </cell>
          <cell r="E108" t="str">
            <v>Chung</v>
          </cell>
          <cell r="F108">
            <v>1978</v>
          </cell>
          <cell r="G108" t="str">
            <v>B</v>
          </cell>
          <cell r="H108">
            <v>43022</v>
          </cell>
          <cell r="I108">
            <v>43117</v>
          </cell>
          <cell r="J108">
            <v>43660</v>
          </cell>
        </row>
        <row r="109">
          <cell r="C109" t="str">
            <v>1801-021</v>
          </cell>
          <cell r="D109" t="str">
            <v>Vũ Ngọc</v>
          </cell>
          <cell r="E109" t="str">
            <v>Hải</v>
          </cell>
          <cell r="F109">
            <v>1983</v>
          </cell>
          <cell r="G109" t="str">
            <v>B</v>
          </cell>
          <cell r="H109">
            <v>43055</v>
          </cell>
          <cell r="I109">
            <v>43118</v>
          </cell>
          <cell r="J109">
            <v>43754</v>
          </cell>
        </row>
        <row r="110">
          <cell r="C110" t="str">
            <v>1801-022</v>
          </cell>
          <cell r="D110" t="str">
            <v>Phạm Tấn</v>
          </cell>
          <cell r="E110" t="str">
            <v>Trung</v>
          </cell>
          <cell r="F110">
            <v>1981</v>
          </cell>
          <cell r="G110" t="str">
            <v>B</v>
          </cell>
          <cell r="H110">
            <v>43060</v>
          </cell>
          <cell r="I110">
            <v>43118</v>
          </cell>
          <cell r="J110">
            <v>43729</v>
          </cell>
        </row>
        <row r="111">
          <cell r="C111" t="str">
            <v>1801-023</v>
          </cell>
          <cell r="D111" t="str">
            <v>Võ Hoàng</v>
          </cell>
          <cell r="E111" t="str">
            <v>Phước</v>
          </cell>
          <cell r="F111">
            <v>1995</v>
          </cell>
          <cell r="G111" t="str">
            <v>B</v>
          </cell>
          <cell r="H111">
            <v>43021</v>
          </cell>
          <cell r="I111">
            <v>43118</v>
          </cell>
          <cell r="J111">
            <v>43659</v>
          </cell>
        </row>
        <row r="112">
          <cell r="C112" t="str">
            <v>1801-025</v>
          </cell>
          <cell r="D112" t="str">
            <v>Nguyễn Hải</v>
          </cell>
          <cell r="E112" t="str">
            <v>Hồ</v>
          </cell>
          <cell r="F112">
            <v>1988</v>
          </cell>
          <cell r="G112" t="str">
            <v>A</v>
          </cell>
          <cell r="H112">
            <v>43038</v>
          </cell>
          <cell r="I112">
            <v>43123</v>
          </cell>
          <cell r="J112">
            <v>43676</v>
          </cell>
        </row>
        <row r="113">
          <cell r="C113" t="str">
            <v>1801-026</v>
          </cell>
          <cell r="D113" t="str">
            <v>Trương Minh</v>
          </cell>
          <cell r="E113" t="str">
            <v>Chánh</v>
          </cell>
          <cell r="F113">
            <v>1981</v>
          </cell>
          <cell r="G113" t="str">
            <v>C</v>
          </cell>
          <cell r="H113">
            <v>43067</v>
          </cell>
          <cell r="I113">
            <v>43123</v>
          </cell>
          <cell r="J113">
            <v>43705</v>
          </cell>
          <cell r="L113" t="str">
            <v>NA</v>
          </cell>
        </row>
        <row r="114">
          <cell r="C114" t="str">
            <v>1801-027</v>
          </cell>
          <cell r="D114" t="str">
            <v>Nguyễn Quang</v>
          </cell>
          <cell r="E114" t="str">
            <v>Thu</v>
          </cell>
          <cell r="F114">
            <v>1968</v>
          </cell>
          <cell r="G114" t="str">
            <v>C</v>
          </cell>
          <cell r="H114">
            <v>43096</v>
          </cell>
          <cell r="I114">
            <v>43124</v>
          </cell>
          <cell r="J114">
            <v>43735</v>
          </cell>
        </row>
        <row r="115">
          <cell r="C115" t="str">
            <v>1801-030</v>
          </cell>
          <cell r="D115" t="str">
            <v>Phan Anh</v>
          </cell>
          <cell r="E115" t="str">
            <v>Tuấn</v>
          </cell>
          <cell r="F115">
            <v>1973</v>
          </cell>
          <cell r="G115" t="str">
            <v>C</v>
          </cell>
          <cell r="H115">
            <v>43045</v>
          </cell>
          <cell r="I115">
            <v>43126</v>
          </cell>
          <cell r="J115">
            <v>43775</v>
          </cell>
        </row>
        <row r="116">
          <cell r="C116" t="str">
            <v>1802-001</v>
          </cell>
          <cell r="D116" t="str">
            <v>Nguyễn Văn</v>
          </cell>
          <cell r="E116" t="str">
            <v>Dũng</v>
          </cell>
          <cell r="F116">
            <v>1989</v>
          </cell>
          <cell r="G116" t="str">
            <v>C</v>
          </cell>
          <cell r="H116">
            <v>43074</v>
          </cell>
          <cell r="I116">
            <v>43137</v>
          </cell>
          <cell r="J116">
            <v>43804</v>
          </cell>
        </row>
        <row r="117">
          <cell r="C117" t="str">
            <v>1802-002</v>
          </cell>
          <cell r="D117" t="str">
            <v>Trần Văn</v>
          </cell>
          <cell r="E117" t="str">
            <v>Tuấn</v>
          </cell>
          <cell r="F117">
            <v>1982</v>
          </cell>
          <cell r="G117" t="str">
            <v>C</v>
          </cell>
          <cell r="H117">
            <v>43100</v>
          </cell>
          <cell r="I117">
            <v>43137</v>
          </cell>
          <cell r="J117">
            <v>43799</v>
          </cell>
        </row>
        <row r="118">
          <cell r="C118" t="str">
            <v>1802-003</v>
          </cell>
          <cell r="D118" t="str">
            <v>Dương Thanh</v>
          </cell>
          <cell r="E118" t="str">
            <v>Tâm</v>
          </cell>
          <cell r="F118">
            <v>1964</v>
          </cell>
          <cell r="G118" t="str">
            <v>E</v>
          </cell>
          <cell r="H118">
            <v>43110</v>
          </cell>
          <cell r="I118">
            <v>43139</v>
          </cell>
          <cell r="J118">
            <v>43718</v>
          </cell>
        </row>
        <row r="119">
          <cell r="C119" t="str">
            <v>1802-004</v>
          </cell>
          <cell r="D119" t="str">
            <v>Nguyễn Văn</v>
          </cell>
          <cell r="E119" t="str">
            <v>Lộc</v>
          </cell>
          <cell r="F119">
            <v>1967</v>
          </cell>
          <cell r="G119" t="str">
            <v>E</v>
          </cell>
          <cell r="H119">
            <v>43083</v>
          </cell>
          <cell r="I119">
            <v>43139</v>
          </cell>
          <cell r="J119">
            <v>43813</v>
          </cell>
        </row>
        <row r="120">
          <cell r="C120" t="str">
            <v>1802-005</v>
          </cell>
          <cell r="D120" t="str">
            <v>Nguyễn Minh</v>
          </cell>
          <cell r="E120" t="str">
            <v>Nhựt</v>
          </cell>
          <cell r="F120">
            <v>1992</v>
          </cell>
          <cell r="G120" t="str">
            <v>E</v>
          </cell>
          <cell r="H120">
            <v>43040</v>
          </cell>
          <cell r="I120">
            <v>43139</v>
          </cell>
          <cell r="J120">
            <v>43770</v>
          </cell>
        </row>
        <row r="121">
          <cell r="C121" t="str">
            <v>1802-006</v>
          </cell>
          <cell r="D121" t="str">
            <v>Dương Tấn</v>
          </cell>
          <cell r="E121" t="str">
            <v>Thành</v>
          </cell>
          <cell r="F121">
            <v>1985</v>
          </cell>
          <cell r="G121" t="str">
            <v>E</v>
          </cell>
          <cell r="H121">
            <v>43090</v>
          </cell>
          <cell r="I121">
            <v>43139</v>
          </cell>
          <cell r="J121">
            <v>43729</v>
          </cell>
        </row>
        <row r="122">
          <cell r="C122" t="str">
            <v>1802-007</v>
          </cell>
          <cell r="D122" t="str">
            <v>Vũ Bá</v>
          </cell>
          <cell r="E122" t="str">
            <v>Hải</v>
          </cell>
          <cell r="F122">
            <v>1984</v>
          </cell>
          <cell r="G122" t="str">
            <v>E</v>
          </cell>
          <cell r="H122">
            <v>43087</v>
          </cell>
          <cell r="I122">
            <v>43139</v>
          </cell>
          <cell r="J122">
            <v>43817</v>
          </cell>
        </row>
        <row r="123">
          <cell r="C123" t="str">
            <v>1802-009</v>
          </cell>
          <cell r="D123" t="str">
            <v>Lý Văn</v>
          </cell>
          <cell r="E123" t="str">
            <v>Phát</v>
          </cell>
          <cell r="F123">
            <v>1973</v>
          </cell>
          <cell r="G123" t="str">
            <v>E</v>
          </cell>
          <cell r="H123">
            <v>43074</v>
          </cell>
          <cell r="I123">
            <v>43140</v>
          </cell>
          <cell r="J123">
            <v>43713</v>
          </cell>
          <cell r="L123" t="str">
            <v>NA</v>
          </cell>
        </row>
        <row r="124">
          <cell r="C124" t="str">
            <v>1802-010</v>
          </cell>
          <cell r="D124" t="str">
            <v>Nguyễn Ngọc</v>
          </cell>
          <cell r="E124" t="str">
            <v>Long</v>
          </cell>
          <cell r="F124">
            <v>1984</v>
          </cell>
          <cell r="G124" t="str">
            <v>A</v>
          </cell>
          <cell r="H124">
            <v>43048</v>
          </cell>
          <cell r="I124">
            <v>43144</v>
          </cell>
          <cell r="J124">
            <v>43778</v>
          </cell>
        </row>
        <row r="125">
          <cell r="C125" t="str">
            <v>1802-011</v>
          </cell>
          <cell r="D125" t="str">
            <v>Thạch Văn</v>
          </cell>
          <cell r="E125" t="str">
            <v>Hải</v>
          </cell>
          <cell r="F125">
            <v>1975</v>
          </cell>
          <cell r="G125" t="str">
            <v>A</v>
          </cell>
          <cell r="H125">
            <v>43093</v>
          </cell>
          <cell r="I125">
            <v>43144</v>
          </cell>
          <cell r="J125">
            <v>43823</v>
          </cell>
        </row>
        <row r="126">
          <cell r="C126" t="str">
            <v>1802-012</v>
          </cell>
          <cell r="D126" t="str">
            <v xml:space="preserve">Nguyễn Phương </v>
          </cell>
          <cell r="E126" t="str">
            <v>Bảo</v>
          </cell>
          <cell r="F126">
            <v>1980</v>
          </cell>
          <cell r="G126" t="str">
            <v>A</v>
          </cell>
          <cell r="H126">
            <v>43049</v>
          </cell>
          <cell r="I126">
            <v>43144</v>
          </cell>
          <cell r="J126">
            <v>43687</v>
          </cell>
          <cell r="L126" t="str">
            <v>NA</v>
          </cell>
        </row>
        <row r="127">
          <cell r="C127" t="str">
            <v>1802-013</v>
          </cell>
          <cell r="D127" t="str">
            <v>Nguyễn Anh</v>
          </cell>
          <cell r="E127" t="str">
            <v>Tuấn</v>
          </cell>
          <cell r="F127">
            <v>1991</v>
          </cell>
          <cell r="G127" t="str">
            <v>A</v>
          </cell>
          <cell r="H127">
            <v>43106</v>
          </cell>
          <cell r="I127">
            <v>43144</v>
          </cell>
          <cell r="J127">
            <v>43744</v>
          </cell>
        </row>
        <row r="128">
          <cell r="C128" t="str">
            <v>1802-014</v>
          </cell>
          <cell r="D128" t="str">
            <v>Lâm Phú</v>
          </cell>
          <cell r="E128" t="str">
            <v>Quý</v>
          </cell>
          <cell r="F128">
            <v>1967</v>
          </cell>
          <cell r="G128" t="str">
            <v>E</v>
          </cell>
          <cell r="H128">
            <v>43040</v>
          </cell>
          <cell r="I128">
            <v>43146</v>
          </cell>
          <cell r="J128">
            <v>43678</v>
          </cell>
        </row>
        <row r="129">
          <cell r="C129" t="str">
            <v>1802-015</v>
          </cell>
          <cell r="D129" t="str">
            <v>Nguyễn Hoàng Nhật</v>
          </cell>
          <cell r="E129" t="str">
            <v>Tân</v>
          </cell>
          <cell r="F129">
            <v>1994</v>
          </cell>
          <cell r="G129" t="str">
            <v>E</v>
          </cell>
          <cell r="H129">
            <v>43072</v>
          </cell>
          <cell r="I129">
            <v>43146</v>
          </cell>
          <cell r="J129">
            <v>43711</v>
          </cell>
        </row>
        <row r="130">
          <cell r="C130" t="str">
            <v>1802-018</v>
          </cell>
          <cell r="D130" t="str">
            <v>Châu Hoàng</v>
          </cell>
          <cell r="E130" t="str">
            <v>Hậu</v>
          </cell>
          <cell r="F130">
            <v>1983</v>
          </cell>
          <cell r="G130" t="str">
            <v>C</v>
          </cell>
          <cell r="H130">
            <v>43080</v>
          </cell>
          <cell r="I130">
            <v>43146</v>
          </cell>
          <cell r="J130">
            <v>43688</v>
          </cell>
        </row>
        <row r="131">
          <cell r="C131" t="str">
            <v>1802-023</v>
          </cell>
          <cell r="D131" t="str">
            <v>Đặng Thế</v>
          </cell>
          <cell r="E131" t="str">
            <v>Hải</v>
          </cell>
          <cell r="F131">
            <v>1984</v>
          </cell>
          <cell r="G131" t="str">
            <v>B</v>
          </cell>
          <cell r="H131">
            <v>43067</v>
          </cell>
          <cell r="I131">
            <v>43158</v>
          </cell>
          <cell r="J131">
            <v>43705</v>
          </cell>
        </row>
        <row r="132">
          <cell r="C132" t="str">
            <v>1803-001</v>
          </cell>
          <cell r="D132" t="str">
            <v>Huỳnh Chí</v>
          </cell>
          <cell r="E132" t="str">
            <v>Công</v>
          </cell>
          <cell r="F132">
            <v>1992</v>
          </cell>
          <cell r="G132" t="str">
            <v>A</v>
          </cell>
          <cell r="H132">
            <v>43138</v>
          </cell>
          <cell r="I132">
            <v>43165</v>
          </cell>
          <cell r="J132">
            <v>43868</v>
          </cell>
        </row>
        <row r="133">
          <cell r="C133" t="str">
            <v>1803-002</v>
          </cell>
          <cell r="D133" t="str">
            <v>Đỗ Đức</v>
          </cell>
          <cell r="E133" t="str">
            <v>Tú</v>
          </cell>
          <cell r="F133">
            <v>1987</v>
          </cell>
          <cell r="G133" t="str">
            <v>A</v>
          </cell>
          <cell r="H133">
            <v>43137</v>
          </cell>
          <cell r="I133">
            <v>43165</v>
          </cell>
          <cell r="J133">
            <v>43775</v>
          </cell>
        </row>
        <row r="134">
          <cell r="C134" t="str">
            <v>1803-004</v>
          </cell>
          <cell r="D134" t="str">
            <v>Nguyễn Thanh</v>
          </cell>
          <cell r="E134" t="str">
            <v>Hùng</v>
          </cell>
          <cell r="F134">
            <v>1991</v>
          </cell>
          <cell r="G134" t="str">
            <v>E</v>
          </cell>
          <cell r="H134">
            <v>43073</v>
          </cell>
          <cell r="I134">
            <v>43166</v>
          </cell>
          <cell r="J134">
            <v>43803</v>
          </cell>
        </row>
        <row r="135">
          <cell r="C135" t="str">
            <v>1803-005</v>
          </cell>
          <cell r="D135" t="str">
            <v>Nguyễn Viết</v>
          </cell>
          <cell r="E135" t="str">
            <v>Phong</v>
          </cell>
          <cell r="F135">
            <v>1977</v>
          </cell>
          <cell r="G135" t="str">
            <v>D</v>
          </cell>
          <cell r="H135">
            <v>43088</v>
          </cell>
          <cell r="I135">
            <v>43167</v>
          </cell>
          <cell r="J135">
            <v>43818</v>
          </cell>
        </row>
        <row r="136">
          <cell r="C136" t="str">
            <v>1803-006</v>
          </cell>
          <cell r="D136" t="str">
            <v>Nguyễn Minh</v>
          </cell>
          <cell r="E136" t="str">
            <v>Phụng</v>
          </cell>
          <cell r="F136">
            <v>1986</v>
          </cell>
          <cell r="G136" t="str">
            <v>D</v>
          </cell>
          <cell r="H136">
            <v>43084</v>
          </cell>
          <cell r="I136">
            <v>43167</v>
          </cell>
          <cell r="J136">
            <v>43723</v>
          </cell>
        </row>
        <row r="137">
          <cell r="C137" t="str">
            <v>1803-007</v>
          </cell>
          <cell r="D137" t="str">
            <v>Lê Hồng</v>
          </cell>
          <cell r="E137" t="str">
            <v>Cường</v>
          </cell>
          <cell r="F137">
            <v>1991</v>
          </cell>
          <cell r="G137" t="str">
            <v>D</v>
          </cell>
          <cell r="H137">
            <v>43109</v>
          </cell>
          <cell r="I137">
            <v>43167</v>
          </cell>
          <cell r="J137">
            <v>43747</v>
          </cell>
        </row>
        <row r="138">
          <cell r="C138" t="str">
            <v>1803-008</v>
          </cell>
          <cell r="D138" t="str">
            <v>Lưu Văn</v>
          </cell>
          <cell r="E138" t="str">
            <v>Hoàng</v>
          </cell>
          <cell r="F138">
            <v>1979</v>
          </cell>
          <cell r="G138" t="str">
            <v>D</v>
          </cell>
          <cell r="H138">
            <v>43090</v>
          </cell>
          <cell r="I138">
            <v>43167</v>
          </cell>
          <cell r="J138">
            <v>43820</v>
          </cell>
        </row>
        <row r="139">
          <cell r="C139" t="str">
            <v>1803-009</v>
          </cell>
          <cell r="D139" t="str">
            <v xml:space="preserve">Đàm Cẩm </v>
          </cell>
          <cell r="E139" t="str">
            <v>Hùng</v>
          </cell>
          <cell r="F139">
            <v>1988</v>
          </cell>
          <cell r="G139" t="str">
            <v>D</v>
          </cell>
          <cell r="H139">
            <v>43100</v>
          </cell>
          <cell r="I139">
            <v>43167</v>
          </cell>
          <cell r="J139">
            <v>43738</v>
          </cell>
        </row>
        <row r="140">
          <cell r="C140" t="str">
            <v>1803-010</v>
          </cell>
          <cell r="D140" t="str">
            <v>Tiêu Hoài</v>
          </cell>
          <cell r="E140" t="str">
            <v>Thanh</v>
          </cell>
          <cell r="F140">
            <v>1986</v>
          </cell>
          <cell r="G140" t="str">
            <v>A</v>
          </cell>
          <cell r="H140">
            <v>43100</v>
          </cell>
          <cell r="I140">
            <v>43174</v>
          </cell>
          <cell r="J140">
            <v>43830</v>
          </cell>
        </row>
        <row r="141">
          <cell r="C141" t="str">
            <v>1803-011</v>
          </cell>
          <cell r="D141" t="str">
            <v>La Chí</v>
          </cell>
          <cell r="E141" t="str">
            <v>Thanh</v>
          </cell>
          <cell r="F141">
            <v>1987</v>
          </cell>
          <cell r="G141" t="str">
            <v>A</v>
          </cell>
          <cell r="H141">
            <v>43109</v>
          </cell>
          <cell r="I141">
            <v>43174</v>
          </cell>
          <cell r="J141">
            <v>43655</v>
          </cell>
        </row>
        <row r="142">
          <cell r="C142" t="str">
            <v>1803-013</v>
          </cell>
          <cell r="D142" t="str">
            <v>Nguyễn Ngọc</v>
          </cell>
          <cell r="E142" t="str">
            <v>Bộ</v>
          </cell>
          <cell r="F142">
            <v>1966</v>
          </cell>
          <cell r="G142" t="str">
            <v>A</v>
          </cell>
          <cell r="H142">
            <v>43111</v>
          </cell>
          <cell r="I142">
            <v>43174</v>
          </cell>
          <cell r="J142">
            <v>43810</v>
          </cell>
        </row>
        <row r="143">
          <cell r="C143" t="str">
            <v>1803-015</v>
          </cell>
          <cell r="D143" t="str">
            <v>Huỳnh Anh</v>
          </cell>
          <cell r="E143" t="str">
            <v>Phát</v>
          </cell>
          <cell r="F143">
            <v>1983</v>
          </cell>
          <cell r="G143" t="str">
            <v>A</v>
          </cell>
          <cell r="H143">
            <v>43107</v>
          </cell>
          <cell r="I143">
            <v>43174</v>
          </cell>
          <cell r="J143">
            <v>43745</v>
          </cell>
          <cell r="L143" t="str">
            <v>YT</v>
          </cell>
          <cell r="M143">
            <v>43359</v>
          </cell>
        </row>
        <row r="144">
          <cell r="C144" t="str">
            <v>1803-016</v>
          </cell>
          <cell r="D144" t="str">
            <v>Nguyễn Thế</v>
          </cell>
          <cell r="E144" t="str">
            <v>Vinh</v>
          </cell>
          <cell r="F144">
            <v>1971</v>
          </cell>
          <cell r="G144" t="str">
            <v>A</v>
          </cell>
          <cell r="H144">
            <v>43073</v>
          </cell>
          <cell r="I144">
            <v>43175</v>
          </cell>
          <cell r="J144">
            <v>43803</v>
          </cell>
          <cell r="L144" t="str">
            <v>NA</v>
          </cell>
        </row>
        <row r="145">
          <cell r="C145" t="str">
            <v>1803-019</v>
          </cell>
          <cell r="D145" t="str">
            <v xml:space="preserve">Nguyễn Đức </v>
          </cell>
          <cell r="E145" t="str">
            <v>Vinh</v>
          </cell>
          <cell r="F145">
            <v>1980</v>
          </cell>
          <cell r="G145" t="str">
            <v>C</v>
          </cell>
          <cell r="H145">
            <v>43073</v>
          </cell>
          <cell r="I145">
            <v>43182</v>
          </cell>
          <cell r="J145">
            <v>43803</v>
          </cell>
        </row>
        <row r="146">
          <cell r="C146" t="str">
            <v>1803-020</v>
          </cell>
          <cell r="D146" t="str">
            <v xml:space="preserve">Võ Phong </v>
          </cell>
          <cell r="E146" t="str">
            <v>Nam</v>
          </cell>
          <cell r="F146">
            <v>1969</v>
          </cell>
          <cell r="G146" t="str">
            <v>C</v>
          </cell>
          <cell r="H146">
            <v>43085</v>
          </cell>
          <cell r="I146">
            <v>43182</v>
          </cell>
          <cell r="J146">
            <v>43815</v>
          </cell>
        </row>
        <row r="147">
          <cell r="C147" t="str">
            <v>1803-021</v>
          </cell>
          <cell r="D147" t="str">
            <v xml:space="preserve">Đỗ Như </v>
          </cell>
          <cell r="E147" t="str">
            <v>Hùng</v>
          </cell>
          <cell r="F147">
            <v>1984</v>
          </cell>
          <cell r="G147" t="str">
            <v>C</v>
          </cell>
          <cell r="H147">
            <v>43115</v>
          </cell>
          <cell r="I147">
            <v>43182</v>
          </cell>
          <cell r="J147">
            <v>43845</v>
          </cell>
        </row>
        <row r="148">
          <cell r="C148" t="str">
            <v>1803-022</v>
          </cell>
          <cell r="D148" t="str">
            <v xml:space="preserve">Lê Văn </v>
          </cell>
          <cell r="E148" t="str">
            <v>Sang</v>
          </cell>
          <cell r="F148">
            <v>1980</v>
          </cell>
          <cell r="G148" t="str">
            <v>C</v>
          </cell>
          <cell r="H148">
            <v>43107</v>
          </cell>
          <cell r="I148">
            <v>43182</v>
          </cell>
          <cell r="J148">
            <v>43837</v>
          </cell>
          <cell r="L148" t="str">
            <v>NA</v>
          </cell>
        </row>
        <row r="149">
          <cell r="C149" t="str">
            <v>1803-023</v>
          </cell>
          <cell r="D149" t="str">
            <v xml:space="preserve">Nguyễn Thành </v>
          </cell>
          <cell r="E149" t="str">
            <v>Nam</v>
          </cell>
          <cell r="F149">
            <v>1989</v>
          </cell>
          <cell r="G149" t="str">
            <v>C</v>
          </cell>
          <cell r="H149">
            <v>43075</v>
          </cell>
          <cell r="I149">
            <v>43182</v>
          </cell>
          <cell r="J149">
            <v>43714</v>
          </cell>
          <cell r="L149" t="str">
            <v>KL</v>
          </cell>
          <cell r="M149">
            <v>43629</v>
          </cell>
          <cell r="N149">
            <v>20</v>
          </cell>
          <cell r="O149">
            <v>43649</v>
          </cell>
        </row>
        <row r="150">
          <cell r="C150" t="str">
            <v>1803-025</v>
          </cell>
          <cell r="D150" t="str">
            <v>Trương Hải</v>
          </cell>
          <cell r="E150" t="str">
            <v>Lâm</v>
          </cell>
          <cell r="F150">
            <v>1983</v>
          </cell>
          <cell r="G150" t="str">
            <v>A</v>
          </cell>
          <cell r="H150">
            <v>43091</v>
          </cell>
          <cell r="I150">
            <v>43188</v>
          </cell>
          <cell r="J150">
            <v>43821</v>
          </cell>
        </row>
        <row r="151">
          <cell r="C151" t="str">
            <v>1803-026</v>
          </cell>
          <cell r="D151" t="str">
            <v>Nguyễn Thanh</v>
          </cell>
          <cell r="E151" t="str">
            <v>Long</v>
          </cell>
          <cell r="F151">
            <v>1988</v>
          </cell>
          <cell r="G151" t="str">
            <v>B</v>
          </cell>
          <cell r="H151">
            <v>43097</v>
          </cell>
          <cell r="I151">
            <v>43188</v>
          </cell>
          <cell r="J151">
            <v>43736</v>
          </cell>
        </row>
        <row r="152">
          <cell r="C152" t="str">
            <v>1803-027</v>
          </cell>
          <cell r="D152" t="str">
            <v>Trần Văn Tấn</v>
          </cell>
          <cell r="E152" t="str">
            <v>Trực</v>
          </cell>
          <cell r="F152">
            <v>1987</v>
          </cell>
          <cell r="G152" t="str">
            <v>B</v>
          </cell>
          <cell r="H152">
            <v>43112</v>
          </cell>
          <cell r="I152">
            <v>43189</v>
          </cell>
          <cell r="J152">
            <v>43842</v>
          </cell>
        </row>
        <row r="153">
          <cell r="C153" t="str">
            <v>1804-001</v>
          </cell>
          <cell r="D153" t="str">
            <v>Nguyễn Ngọc</v>
          </cell>
          <cell r="E153" t="str">
            <v>Đại</v>
          </cell>
          <cell r="F153">
            <v>1977</v>
          </cell>
          <cell r="G153" t="str">
            <v>B</v>
          </cell>
          <cell r="H153">
            <v>43102</v>
          </cell>
          <cell r="I153">
            <v>43195</v>
          </cell>
          <cell r="J153">
            <v>43740</v>
          </cell>
        </row>
        <row r="154">
          <cell r="C154" t="str">
            <v>1804-002</v>
          </cell>
          <cell r="D154" t="str">
            <v>Ngô Minh</v>
          </cell>
          <cell r="E154" t="str">
            <v>Thảo</v>
          </cell>
          <cell r="F154">
            <v>1975</v>
          </cell>
          <cell r="G154" t="str">
            <v>B</v>
          </cell>
          <cell r="H154">
            <v>43099</v>
          </cell>
          <cell r="I154">
            <v>43195</v>
          </cell>
          <cell r="J154">
            <v>43738</v>
          </cell>
        </row>
        <row r="155">
          <cell r="C155" t="str">
            <v>1804-003</v>
          </cell>
          <cell r="D155" t="str">
            <v>Trương Văn</v>
          </cell>
          <cell r="E155" t="str">
            <v>Thu</v>
          </cell>
          <cell r="F155">
            <v>1968</v>
          </cell>
          <cell r="G155" t="str">
            <v>B</v>
          </cell>
          <cell r="H155">
            <v>43116</v>
          </cell>
          <cell r="I155">
            <v>43195</v>
          </cell>
          <cell r="J155">
            <v>43785</v>
          </cell>
        </row>
        <row r="156">
          <cell r="C156" t="str">
            <v>1804-004</v>
          </cell>
          <cell r="D156" t="str">
            <v>Phạm Ngọc</v>
          </cell>
          <cell r="E156" t="str">
            <v>Tuấn</v>
          </cell>
          <cell r="F156">
            <v>1986</v>
          </cell>
          <cell r="G156" t="str">
            <v>B</v>
          </cell>
          <cell r="H156">
            <v>43122</v>
          </cell>
          <cell r="I156">
            <v>43200</v>
          </cell>
          <cell r="J156">
            <v>43668</v>
          </cell>
        </row>
        <row r="157">
          <cell r="C157" t="str">
            <v>1804-005</v>
          </cell>
          <cell r="D157" t="str">
            <v>Lê Hải</v>
          </cell>
          <cell r="E157" t="str">
            <v>Sơn</v>
          </cell>
          <cell r="F157">
            <v>1986</v>
          </cell>
          <cell r="G157" t="str">
            <v>B</v>
          </cell>
          <cell r="H157">
            <v>43172</v>
          </cell>
          <cell r="I157">
            <v>43202</v>
          </cell>
          <cell r="J157">
            <v>43812</v>
          </cell>
        </row>
        <row r="158">
          <cell r="C158" t="str">
            <v>1804-006</v>
          </cell>
          <cell r="D158" t="str">
            <v>Cổ Gia</v>
          </cell>
          <cell r="E158" t="str">
            <v>Thắng</v>
          </cell>
          <cell r="F158">
            <v>1965</v>
          </cell>
          <cell r="G158" t="str">
            <v>B</v>
          </cell>
          <cell r="H158">
            <v>43110</v>
          </cell>
          <cell r="I158">
            <v>43203</v>
          </cell>
          <cell r="J158">
            <v>43748</v>
          </cell>
        </row>
        <row r="159">
          <cell r="C159" t="str">
            <v>1804-007</v>
          </cell>
          <cell r="D159" t="str">
            <v>Nguyễn Thanh</v>
          </cell>
          <cell r="E159" t="str">
            <v>Sơn</v>
          </cell>
          <cell r="F159">
            <v>1979</v>
          </cell>
          <cell r="G159" t="str">
            <v>B</v>
          </cell>
          <cell r="H159">
            <v>43117</v>
          </cell>
          <cell r="I159">
            <v>43203</v>
          </cell>
          <cell r="J159">
            <v>43755</v>
          </cell>
        </row>
        <row r="160">
          <cell r="C160" t="str">
            <v>1804-008</v>
          </cell>
          <cell r="D160" t="str">
            <v>Nguyễn Thành</v>
          </cell>
          <cell r="E160" t="str">
            <v>Nam</v>
          </cell>
          <cell r="F160">
            <v>1975</v>
          </cell>
          <cell r="G160" t="str">
            <v>A</v>
          </cell>
          <cell r="H160">
            <v>43116</v>
          </cell>
          <cell r="I160">
            <v>43203</v>
          </cell>
          <cell r="J160">
            <v>43846</v>
          </cell>
        </row>
        <row r="161">
          <cell r="C161" t="str">
            <v>1804-009</v>
          </cell>
          <cell r="D161" t="str">
            <v>Nguyễn Thanh</v>
          </cell>
          <cell r="E161" t="str">
            <v>Phong</v>
          </cell>
          <cell r="F161">
            <v>1979</v>
          </cell>
          <cell r="G161" t="str">
            <v>A</v>
          </cell>
          <cell r="H161">
            <v>43123</v>
          </cell>
          <cell r="I161">
            <v>43203</v>
          </cell>
          <cell r="J161">
            <v>43761</v>
          </cell>
        </row>
        <row r="162">
          <cell r="C162" t="str">
            <v>1804-010</v>
          </cell>
          <cell r="D162" t="str">
            <v>Phan Minh</v>
          </cell>
          <cell r="E162" t="str">
            <v>Hiền</v>
          </cell>
          <cell r="F162">
            <v>1991</v>
          </cell>
          <cell r="G162" t="str">
            <v>C</v>
          </cell>
          <cell r="H162">
            <v>43130</v>
          </cell>
          <cell r="I162">
            <v>43203</v>
          </cell>
          <cell r="J162">
            <v>43768</v>
          </cell>
        </row>
        <row r="163">
          <cell r="C163" t="str">
            <v>1804-014</v>
          </cell>
          <cell r="D163" t="str">
            <v>Nguyễn Văn</v>
          </cell>
          <cell r="E163" t="str">
            <v>Thanh</v>
          </cell>
          <cell r="F163">
            <v>1987</v>
          </cell>
          <cell r="G163" t="str">
            <v>D</v>
          </cell>
          <cell r="H163">
            <v>43114</v>
          </cell>
          <cell r="I163">
            <v>43208</v>
          </cell>
          <cell r="J163">
            <v>43660</v>
          </cell>
        </row>
        <row r="164">
          <cell r="C164" t="str">
            <v>1804-017</v>
          </cell>
          <cell r="D164" t="str">
            <v xml:space="preserve">Lê Minh </v>
          </cell>
          <cell r="E164" t="str">
            <v>Tú</v>
          </cell>
          <cell r="F164">
            <v>1993</v>
          </cell>
          <cell r="G164" t="str">
            <v>D</v>
          </cell>
          <cell r="H164">
            <v>43130</v>
          </cell>
          <cell r="I164">
            <v>43214</v>
          </cell>
          <cell r="J164">
            <v>43860</v>
          </cell>
        </row>
        <row r="165">
          <cell r="C165" t="str">
            <v>1804-018</v>
          </cell>
          <cell r="D165" t="str">
            <v>Phan Vũ</v>
          </cell>
          <cell r="E165" t="str">
            <v>Linh</v>
          </cell>
          <cell r="F165">
            <v>1994</v>
          </cell>
          <cell r="G165" t="str">
            <v>D</v>
          </cell>
          <cell r="H165">
            <v>43156</v>
          </cell>
          <cell r="I165">
            <v>43214</v>
          </cell>
          <cell r="J165">
            <v>43794</v>
          </cell>
        </row>
        <row r="166">
          <cell r="C166" t="str">
            <v>1804-019</v>
          </cell>
          <cell r="D166" t="str">
            <v>Lâm Thương</v>
          </cell>
          <cell r="E166" t="str">
            <v>Hòa</v>
          </cell>
          <cell r="F166">
            <v>1967</v>
          </cell>
          <cell r="G166" t="str">
            <v>D</v>
          </cell>
          <cell r="H166">
            <v>43119</v>
          </cell>
          <cell r="I166">
            <v>43214</v>
          </cell>
          <cell r="J166">
            <v>43665</v>
          </cell>
        </row>
        <row r="167">
          <cell r="C167" t="str">
            <v>1804-020</v>
          </cell>
          <cell r="D167" t="str">
            <v xml:space="preserve">Lê Văn </v>
          </cell>
          <cell r="E167" t="str">
            <v>Tới</v>
          </cell>
          <cell r="F167">
            <v>1992</v>
          </cell>
          <cell r="G167" t="str">
            <v>C</v>
          </cell>
          <cell r="H167">
            <v>43068</v>
          </cell>
          <cell r="I167">
            <v>43214</v>
          </cell>
          <cell r="J167">
            <v>43706</v>
          </cell>
        </row>
        <row r="168">
          <cell r="C168" t="str">
            <v>1804-022</v>
          </cell>
          <cell r="D168" t="str">
            <v>Nguyễn Tấn</v>
          </cell>
          <cell r="E168" t="str">
            <v>Dũng</v>
          </cell>
          <cell r="F168">
            <v>1984</v>
          </cell>
          <cell r="G168" t="str">
            <v>D</v>
          </cell>
          <cell r="H168">
            <v>43192</v>
          </cell>
          <cell r="I168">
            <v>43215</v>
          </cell>
          <cell r="J168">
            <v>43923</v>
          </cell>
        </row>
        <row r="169">
          <cell r="C169" t="str">
            <v>1804-023</v>
          </cell>
          <cell r="D169" t="str">
            <v>Lê Văn</v>
          </cell>
          <cell r="E169" t="str">
            <v>Long</v>
          </cell>
          <cell r="F169">
            <v>1969</v>
          </cell>
          <cell r="G169" t="str">
            <v>B</v>
          </cell>
          <cell r="H169">
            <v>43134</v>
          </cell>
          <cell r="I169">
            <v>43216</v>
          </cell>
          <cell r="J169">
            <v>43680</v>
          </cell>
        </row>
        <row r="170">
          <cell r="C170" t="str">
            <v>1804-025</v>
          </cell>
          <cell r="D170" t="str">
            <v>Nguyễn Minh</v>
          </cell>
          <cell r="E170" t="str">
            <v>Hải</v>
          </cell>
          <cell r="F170">
            <v>1974</v>
          </cell>
          <cell r="G170" t="str">
            <v>B</v>
          </cell>
          <cell r="H170">
            <v>43127</v>
          </cell>
          <cell r="I170">
            <v>43216</v>
          </cell>
          <cell r="J170">
            <v>43765</v>
          </cell>
        </row>
        <row r="171">
          <cell r="C171" t="str">
            <v>1805-001</v>
          </cell>
          <cell r="D171" t="str">
            <v xml:space="preserve">Lê Ngọc </v>
          </cell>
          <cell r="E171" t="str">
            <v>Châu</v>
          </cell>
          <cell r="F171">
            <v>1988</v>
          </cell>
          <cell r="G171" t="str">
            <v>B</v>
          </cell>
          <cell r="H171">
            <v>43141</v>
          </cell>
          <cell r="I171">
            <v>43223</v>
          </cell>
          <cell r="J171">
            <v>43748</v>
          </cell>
        </row>
        <row r="172">
          <cell r="C172" t="str">
            <v>1805-002</v>
          </cell>
          <cell r="D172" t="str">
            <v>Trần Đoàn</v>
          </cell>
          <cell r="E172" t="str">
            <v>Cương</v>
          </cell>
          <cell r="F172">
            <v>1976</v>
          </cell>
          <cell r="G172" t="str">
            <v>B</v>
          </cell>
          <cell r="H172">
            <v>43151</v>
          </cell>
          <cell r="I172">
            <v>43224</v>
          </cell>
          <cell r="J172">
            <v>43789</v>
          </cell>
        </row>
        <row r="173">
          <cell r="C173" t="str">
            <v>1805-003</v>
          </cell>
          <cell r="D173" t="str">
            <v xml:space="preserve">Nguyễn Huỳnh </v>
          </cell>
          <cell r="E173" t="str">
            <v>Kỳ</v>
          </cell>
          <cell r="F173">
            <v>1976</v>
          </cell>
          <cell r="G173" t="str">
            <v>B</v>
          </cell>
          <cell r="H173">
            <v>43154</v>
          </cell>
          <cell r="I173">
            <v>43224</v>
          </cell>
          <cell r="J173">
            <v>43761</v>
          </cell>
        </row>
        <row r="174">
          <cell r="C174" t="str">
            <v>1805-004</v>
          </cell>
          <cell r="D174" t="str">
            <v>Bùi Phạm Trường</v>
          </cell>
          <cell r="E174" t="str">
            <v>Giang</v>
          </cell>
          <cell r="F174">
            <v>1973</v>
          </cell>
          <cell r="G174" t="str">
            <v>B</v>
          </cell>
          <cell r="H174">
            <v>43131</v>
          </cell>
          <cell r="I174">
            <v>43225</v>
          </cell>
          <cell r="J174">
            <v>43861</v>
          </cell>
        </row>
        <row r="175">
          <cell r="C175" t="str">
            <v>1805-005</v>
          </cell>
          <cell r="D175" t="str">
            <v>Nguyễn Duy</v>
          </cell>
          <cell r="E175" t="str">
            <v>Cường</v>
          </cell>
          <cell r="F175">
            <v>1985</v>
          </cell>
          <cell r="G175" t="str">
            <v>E</v>
          </cell>
          <cell r="H175">
            <v>43164</v>
          </cell>
          <cell r="I175">
            <v>43231</v>
          </cell>
          <cell r="J175">
            <v>43895</v>
          </cell>
        </row>
        <row r="176">
          <cell r="C176" t="str">
            <v>1805-006</v>
          </cell>
          <cell r="D176" t="str">
            <v>Nguyễn Tấn</v>
          </cell>
          <cell r="E176" t="str">
            <v>Hiếu</v>
          </cell>
          <cell r="F176">
            <v>1965</v>
          </cell>
          <cell r="G176" t="str">
            <v>E</v>
          </cell>
          <cell r="H176">
            <v>43081</v>
          </cell>
          <cell r="I176">
            <v>43231</v>
          </cell>
          <cell r="J176">
            <v>43750</v>
          </cell>
        </row>
        <row r="177">
          <cell r="C177" t="str">
            <v>1805-007</v>
          </cell>
          <cell r="D177" t="str">
            <v>Nguyễn Quang</v>
          </cell>
          <cell r="E177" t="str">
            <v>Duy</v>
          </cell>
          <cell r="F177">
            <v>1987</v>
          </cell>
          <cell r="G177" t="str">
            <v>C</v>
          </cell>
          <cell r="H177">
            <v>43209</v>
          </cell>
          <cell r="I177">
            <v>43236</v>
          </cell>
          <cell r="J177">
            <v>43757</v>
          </cell>
        </row>
        <row r="178">
          <cell r="C178" t="str">
            <v>1805-008</v>
          </cell>
          <cell r="D178" t="str">
            <v>Nguyễn Văn</v>
          </cell>
          <cell r="E178" t="str">
            <v>Hòa</v>
          </cell>
          <cell r="F178">
            <v>1995</v>
          </cell>
          <cell r="G178" t="str">
            <v>C</v>
          </cell>
          <cell r="H178">
            <v>43206</v>
          </cell>
          <cell r="I178">
            <v>43236</v>
          </cell>
          <cell r="J178">
            <v>43937</v>
          </cell>
        </row>
        <row r="179">
          <cell r="C179" t="str">
            <v>1805-011</v>
          </cell>
          <cell r="D179" t="str">
            <v>Châu Đức</v>
          </cell>
          <cell r="E179" t="str">
            <v>Minh</v>
          </cell>
          <cell r="F179">
            <v>1970</v>
          </cell>
          <cell r="G179" t="str">
            <v>C</v>
          </cell>
          <cell r="H179">
            <v>43105</v>
          </cell>
          <cell r="I179">
            <v>43238</v>
          </cell>
          <cell r="J179">
            <v>43651</v>
          </cell>
        </row>
        <row r="180">
          <cell r="C180" t="str">
            <v>1805-012</v>
          </cell>
          <cell r="D180" t="str">
            <v xml:space="preserve">Nguyễn Trung </v>
          </cell>
          <cell r="E180" t="str">
            <v>Hiếu</v>
          </cell>
          <cell r="F180">
            <v>1975</v>
          </cell>
          <cell r="G180" t="str">
            <v>C</v>
          </cell>
          <cell r="H180">
            <v>43173</v>
          </cell>
          <cell r="I180">
            <v>43238</v>
          </cell>
          <cell r="J180">
            <v>43904</v>
          </cell>
        </row>
        <row r="181">
          <cell r="C181" t="str">
            <v>1805-013</v>
          </cell>
          <cell r="D181" t="str">
            <v>Phan Văn</v>
          </cell>
          <cell r="E181" t="str">
            <v>Sơn</v>
          </cell>
          <cell r="F181">
            <v>1982</v>
          </cell>
          <cell r="G181" t="str">
            <v>A</v>
          </cell>
          <cell r="H181">
            <v>43144</v>
          </cell>
          <cell r="I181">
            <v>43238</v>
          </cell>
          <cell r="J181">
            <v>43690</v>
          </cell>
        </row>
        <row r="182">
          <cell r="C182" t="str">
            <v>1805-014</v>
          </cell>
          <cell r="D182" t="str">
            <v>Nguyễn Quốc</v>
          </cell>
          <cell r="E182" t="str">
            <v>Bình</v>
          </cell>
          <cell r="F182">
            <v>1979</v>
          </cell>
          <cell r="G182" t="str">
            <v>C</v>
          </cell>
          <cell r="H182">
            <v>43144</v>
          </cell>
          <cell r="I182">
            <v>43238</v>
          </cell>
          <cell r="J182">
            <v>43782</v>
          </cell>
          <cell r="L182" t="str">
            <v>KL</v>
          </cell>
          <cell r="M182">
            <v>43629</v>
          </cell>
          <cell r="N182">
            <v>20</v>
          </cell>
          <cell r="O182">
            <v>43649</v>
          </cell>
        </row>
        <row r="183">
          <cell r="C183" t="str">
            <v>1805-015</v>
          </cell>
          <cell r="D183" t="str">
            <v>Bùi Văn</v>
          </cell>
          <cell r="E183" t="str">
            <v>Mai</v>
          </cell>
          <cell r="F183">
            <v>1967</v>
          </cell>
          <cell r="G183" t="str">
            <v>C</v>
          </cell>
          <cell r="H183">
            <v>43173</v>
          </cell>
          <cell r="I183">
            <v>43238</v>
          </cell>
          <cell r="J183">
            <v>43904</v>
          </cell>
        </row>
        <row r="184">
          <cell r="C184" t="str">
            <v>1805-016</v>
          </cell>
          <cell r="D184" t="str">
            <v>Phạm Phi</v>
          </cell>
          <cell r="E184" t="str">
            <v>Long</v>
          </cell>
          <cell r="F184">
            <v>1969</v>
          </cell>
          <cell r="G184" t="str">
            <v>C</v>
          </cell>
          <cell r="H184">
            <v>43164</v>
          </cell>
          <cell r="I184">
            <v>43238</v>
          </cell>
          <cell r="J184">
            <v>43895</v>
          </cell>
        </row>
        <row r="185">
          <cell r="C185" t="str">
            <v>1805-017</v>
          </cell>
          <cell r="D185" t="str">
            <v>Huỳnh Tuấn</v>
          </cell>
          <cell r="E185" t="str">
            <v>Thuận</v>
          </cell>
          <cell r="F185">
            <v>1983</v>
          </cell>
          <cell r="G185" t="str">
            <v>C</v>
          </cell>
          <cell r="H185">
            <v>43120</v>
          </cell>
          <cell r="I185">
            <v>43238</v>
          </cell>
          <cell r="J185">
            <v>43850</v>
          </cell>
        </row>
        <row r="186">
          <cell r="C186" t="str">
            <v>1805-018</v>
          </cell>
          <cell r="D186" t="str">
            <v xml:space="preserve">Long Chí </v>
          </cell>
          <cell r="E186" t="str">
            <v>Hiếu</v>
          </cell>
          <cell r="F186">
            <v>1976</v>
          </cell>
          <cell r="G186" t="str">
            <v>C</v>
          </cell>
          <cell r="H186">
            <v>43180</v>
          </cell>
          <cell r="I186">
            <v>43238</v>
          </cell>
          <cell r="J186">
            <v>43911</v>
          </cell>
        </row>
        <row r="187">
          <cell r="C187" t="str">
            <v>1805-019</v>
          </cell>
          <cell r="D187" t="str">
            <v>Võ Quốc</v>
          </cell>
          <cell r="E187" t="str">
            <v>Dương</v>
          </cell>
          <cell r="F187">
            <v>1987</v>
          </cell>
          <cell r="G187" t="str">
            <v>C</v>
          </cell>
          <cell r="H187">
            <v>43175</v>
          </cell>
          <cell r="I187">
            <v>43242</v>
          </cell>
          <cell r="J187">
            <v>43815</v>
          </cell>
        </row>
        <row r="188">
          <cell r="C188" t="str">
            <v>1805-020</v>
          </cell>
          <cell r="D188" t="str">
            <v xml:space="preserve">Nguyễn Ngọc </v>
          </cell>
          <cell r="E188" t="str">
            <v>Bình</v>
          </cell>
          <cell r="F188">
            <v>1977</v>
          </cell>
          <cell r="G188" t="str">
            <v>C</v>
          </cell>
          <cell r="H188">
            <v>43173</v>
          </cell>
          <cell r="I188">
            <v>43242</v>
          </cell>
          <cell r="J188">
            <v>43904</v>
          </cell>
        </row>
        <row r="189">
          <cell r="C189" t="str">
            <v>1805-021</v>
          </cell>
          <cell r="D189" t="str">
            <v>Trương Đình</v>
          </cell>
          <cell r="E189" t="str">
            <v>Dũng</v>
          </cell>
          <cell r="F189">
            <v>1966</v>
          </cell>
          <cell r="G189" t="str">
            <v>A</v>
          </cell>
          <cell r="H189">
            <v>43168</v>
          </cell>
          <cell r="I189">
            <v>43244</v>
          </cell>
          <cell r="J189">
            <v>43839</v>
          </cell>
        </row>
        <row r="190">
          <cell r="C190" t="str">
            <v>1805-022</v>
          </cell>
          <cell r="D190" t="str">
            <v>Nguyễn Ngọc</v>
          </cell>
          <cell r="E190" t="str">
            <v>Tuấn</v>
          </cell>
          <cell r="F190">
            <v>1975</v>
          </cell>
          <cell r="G190" t="str">
            <v>C</v>
          </cell>
          <cell r="H190">
            <v>43158</v>
          </cell>
          <cell r="I190">
            <v>43244</v>
          </cell>
          <cell r="J190">
            <v>43796</v>
          </cell>
        </row>
        <row r="191">
          <cell r="C191" t="str">
            <v>1805-023</v>
          </cell>
          <cell r="D191" t="str">
            <v>Trần Hoàng</v>
          </cell>
          <cell r="E191" t="str">
            <v>Long</v>
          </cell>
          <cell r="F191">
            <v>1990</v>
          </cell>
          <cell r="G191" t="str">
            <v>C</v>
          </cell>
          <cell r="H191">
            <v>43158</v>
          </cell>
          <cell r="I191">
            <v>43244</v>
          </cell>
          <cell r="J191">
            <v>43704</v>
          </cell>
        </row>
        <row r="192">
          <cell r="C192" t="str">
            <v>1805-024</v>
          </cell>
          <cell r="D192" t="str">
            <v>Lâm Thành</v>
          </cell>
          <cell r="E192" t="str">
            <v>Sương</v>
          </cell>
          <cell r="F192">
            <v>1971</v>
          </cell>
          <cell r="G192" t="str">
            <v>B</v>
          </cell>
          <cell r="H192">
            <v>43172</v>
          </cell>
          <cell r="I192">
            <v>43245</v>
          </cell>
          <cell r="J192">
            <v>43721</v>
          </cell>
        </row>
        <row r="193">
          <cell r="C193" t="str">
            <v>1806-001</v>
          </cell>
          <cell r="D193" t="str">
            <v>Ngô Minh Việt</v>
          </cell>
          <cell r="E193" t="str">
            <v>Tài</v>
          </cell>
          <cell r="F193">
            <v>1979</v>
          </cell>
          <cell r="G193" t="str">
            <v>A</v>
          </cell>
          <cell r="H193">
            <v>43161</v>
          </cell>
          <cell r="I193">
            <v>43252</v>
          </cell>
          <cell r="J193">
            <v>43801</v>
          </cell>
        </row>
        <row r="194">
          <cell r="C194" t="str">
            <v>1806-002</v>
          </cell>
          <cell r="D194" t="str">
            <v xml:space="preserve">Nguyễn Quang </v>
          </cell>
          <cell r="E194" t="str">
            <v>Dự</v>
          </cell>
          <cell r="F194">
            <v>1989</v>
          </cell>
          <cell r="G194" t="str">
            <v>A</v>
          </cell>
          <cell r="H194">
            <v>43178</v>
          </cell>
          <cell r="I194">
            <v>43252</v>
          </cell>
          <cell r="J194">
            <v>43818</v>
          </cell>
          <cell r="L194" t="str">
            <v>KL</v>
          </cell>
          <cell r="M194">
            <v>43600</v>
          </cell>
          <cell r="N194">
            <v>50</v>
          </cell>
          <cell r="O194">
            <v>43650</v>
          </cell>
        </row>
        <row r="195">
          <cell r="C195" t="str">
            <v>1806-003</v>
          </cell>
          <cell r="D195" t="str">
            <v>Lê Khánh</v>
          </cell>
          <cell r="E195" t="str">
            <v>Thành</v>
          </cell>
          <cell r="F195">
            <v>1982</v>
          </cell>
          <cell r="G195" t="str">
            <v>A</v>
          </cell>
          <cell r="H195">
            <v>43021</v>
          </cell>
          <cell r="I195">
            <v>43256</v>
          </cell>
          <cell r="J195">
            <v>43751</v>
          </cell>
        </row>
        <row r="196">
          <cell r="C196" t="str">
            <v>1806-005</v>
          </cell>
          <cell r="D196" t="str">
            <v>Ngô Nhựt</v>
          </cell>
          <cell r="E196" t="str">
            <v>Vĩnh</v>
          </cell>
          <cell r="F196">
            <v>1973</v>
          </cell>
          <cell r="G196" t="str">
            <v>D</v>
          </cell>
          <cell r="H196">
            <v>43230</v>
          </cell>
          <cell r="I196">
            <v>43257</v>
          </cell>
          <cell r="J196">
            <v>43961</v>
          </cell>
        </row>
        <row r="197">
          <cell r="C197" t="str">
            <v>1806-007</v>
          </cell>
          <cell r="D197" t="str">
            <v xml:space="preserve">Lý Hồng </v>
          </cell>
          <cell r="E197" t="str">
            <v>Trương</v>
          </cell>
          <cell r="F197">
            <v>1981</v>
          </cell>
          <cell r="G197" t="str">
            <v>D</v>
          </cell>
          <cell r="H197">
            <v>43201</v>
          </cell>
          <cell r="I197">
            <v>43259</v>
          </cell>
          <cell r="J197">
            <v>43841</v>
          </cell>
        </row>
        <row r="198">
          <cell r="C198" t="str">
            <v>1806-008</v>
          </cell>
          <cell r="D198" t="str">
            <v xml:space="preserve">Lê Minh </v>
          </cell>
          <cell r="E198" t="str">
            <v>Dũng</v>
          </cell>
          <cell r="F198">
            <v>1979</v>
          </cell>
          <cell r="G198" t="str">
            <v>E</v>
          </cell>
          <cell r="H198">
            <v>42895</v>
          </cell>
          <cell r="I198">
            <v>43261</v>
          </cell>
          <cell r="J198">
            <v>43781</v>
          </cell>
        </row>
        <row r="199">
          <cell r="C199" t="str">
            <v>1806-009</v>
          </cell>
          <cell r="D199" t="str">
            <v xml:space="preserve">Lê Văn </v>
          </cell>
          <cell r="E199" t="str">
            <v>Nhàn</v>
          </cell>
          <cell r="F199">
            <v>1973</v>
          </cell>
          <cell r="G199" t="str">
            <v>A</v>
          </cell>
          <cell r="H199">
            <v>43167</v>
          </cell>
          <cell r="I199">
            <v>43263</v>
          </cell>
          <cell r="J199">
            <v>43898</v>
          </cell>
        </row>
        <row r="200">
          <cell r="C200" t="str">
            <v>1806-010</v>
          </cell>
          <cell r="D200" t="str">
            <v>Nguyễn Thanh</v>
          </cell>
          <cell r="E200" t="str">
            <v>Tuấn</v>
          </cell>
          <cell r="F200">
            <v>1992</v>
          </cell>
          <cell r="G200" t="str">
            <v>A</v>
          </cell>
          <cell r="H200">
            <v>43168</v>
          </cell>
          <cell r="I200">
            <v>43263</v>
          </cell>
          <cell r="J200">
            <v>43899</v>
          </cell>
          <cell r="L200" t="str">
            <v>KL</v>
          </cell>
          <cell r="M200">
            <v>43625</v>
          </cell>
          <cell r="N200">
            <v>95</v>
          </cell>
          <cell r="O200">
            <v>43720</v>
          </cell>
        </row>
        <row r="201">
          <cell r="C201" t="str">
            <v>1806-011</v>
          </cell>
          <cell r="D201" t="str">
            <v>Nguyễn Văn</v>
          </cell>
          <cell r="E201" t="str">
            <v>Hải</v>
          </cell>
          <cell r="F201">
            <v>1973</v>
          </cell>
          <cell r="G201" t="str">
            <v>A</v>
          </cell>
          <cell r="H201">
            <v>43234</v>
          </cell>
          <cell r="I201">
            <v>43264</v>
          </cell>
          <cell r="J201">
            <v>43965</v>
          </cell>
        </row>
        <row r="202">
          <cell r="C202" t="str">
            <v>1806-012</v>
          </cell>
          <cell r="D202" t="str">
            <v>Hoàng Mạnh</v>
          </cell>
          <cell r="E202" t="str">
            <v>Khương</v>
          </cell>
          <cell r="F202">
            <v>1972</v>
          </cell>
          <cell r="G202" t="str">
            <v>A</v>
          </cell>
          <cell r="H202">
            <v>43237</v>
          </cell>
          <cell r="I202">
            <v>43264</v>
          </cell>
          <cell r="J202">
            <v>43786</v>
          </cell>
        </row>
        <row r="203">
          <cell r="C203" t="str">
            <v>1806-013</v>
          </cell>
          <cell r="D203" t="str">
            <v>Trương Tuấn</v>
          </cell>
          <cell r="E203" t="str">
            <v>Anh</v>
          </cell>
          <cell r="F203">
            <v>1979</v>
          </cell>
          <cell r="G203" t="str">
            <v>E</v>
          </cell>
          <cell r="H203">
            <v>43147</v>
          </cell>
          <cell r="I203">
            <v>43265</v>
          </cell>
          <cell r="J203">
            <v>43877</v>
          </cell>
          <cell r="L203" t="str">
            <v>KL</v>
          </cell>
          <cell r="M203">
            <v>43571</v>
          </cell>
          <cell r="N203">
            <v>315</v>
          </cell>
          <cell r="O203">
            <v>43886</v>
          </cell>
        </row>
        <row r="204">
          <cell r="C204" t="str">
            <v>1806-014</v>
          </cell>
          <cell r="D204" t="str">
            <v>Phan Huỳnh Ngọc</v>
          </cell>
          <cell r="E204" t="str">
            <v>Sơn</v>
          </cell>
          <cell r="F204">
            <v>1981</v>
          </cell>
          <cell r="G204" t="str">
            <v>E</v>
          </cell>
          <cell r="H204">
            <v>43188</v>
          </cell>
          <cell r="I204">
            <v>43265</v>
          </cell>
          <cell r="J204">
            <v>43919</v>
          </cell>
        </row>
        <row r="205">
          <cell r="C205" t="str">
            <v>1806-015</v>
          </cell>
          <cell r="D205" t="str">
            <v>Huỳnh Bá</v>
          </cell>
          <cell r="E205" t="str">
            <v>Tòng</v>
          </cell>
          <cell r="F205">
            <v>1968</v>
          </cell>
          <cell r="G205" t="str">
            <v>E</v>
          </cell>
          <cell r="H205">
            <v>43187</v>
          </cell>
          <cell r="I205">
            <v>43265</v>
          </cell>
          <cell r="J205">
            <v>43918</v>
          </cell>
        </row>
        <row r="206">
          <cell r="C206" t="str">
            <v>1806-016</v>
          </cell>
          <cell r="D206" t="str">
            <v>Nguyễn Trần Ngọc</v>
          </cell>
          <cell r="E206" t="str">
            <v>Thạch</v>
          </cell>
          <cell r="F206">
            <v>1992</v>
          </cell>
          <cell r="G206" t="str">
            <v>E</v>
          </cell>
          <cell r="H206">
            <v>43170</v>
          </cell>
          <cell r="I206">
            <v>43266</v>
          </cell>
          <cell r="J206">
            <v>43901</v>
          </cell>
        </row>
        <row r="207">
          <cell r="C207" t="str">
            <v>1806-017</v>
          </cell>
          <cell r="D207" t="str">
            <v>Lê Đức</v>
          </cell>
          <cell r="E207" t="str">
            <v>Thọ</v>
          </cell>
          <cell r="F207">
            <v>1976</v>
          </cell>
          <cell r="G207" t="str">
            <v>E</v>
          </cell>
          <cell r="H207">
            <v>43207</v>
          </cell>
          <cell r="I207">
            <v>43266</v>
          </cell>
          <cell r="J207">
            <v>43755</v>
          </cell>
        </row>
        <row r="208">
          <cell r="C208" t="str">
            <v>1806-018</v>
          </cell>
          <cell r="D208" t="str">
            <v>Bùi Anh</v>
          </cell>
          <cell r="E208" t="str">
            <v>Hoàng</v>
          </cell>
          <cell r="F208">
            <v>1988</v>
          </cell>
          <cell r="G208" t="str">
            <v>E</v>
          </cell>
          <cell r="H208">
            <v>43126</v>
          </cell>
          <cell r="I208">
            <v>43266</v>
          </cell>
          <cell r="J208">
            <v>43856</v>
          </cell>
        </row>
        <row r="209">
          <cell r="C209" t="str">
            <v>1806-020</v>
          </cell>
          <cell r="D209" t="str">
            <v>Nguyễn Thành</v>
          </cell>
          <cell r="E209" t="str">
            <v>Nhân</v>
          </cell>
          <cell r="F209">
            <v>1990</v>
          </cell>
          <cell r="G209" t="str">
            <v>E</v>
          </cell>
          <cell r="H209">
            <v>43192</v>
          </cell>
          <cell r="I209">
            <v>43272</v>
          </cell>
          <cell r="J209">
            <v>43923</v>
          </cell>
        </row>
        <row r="210">
          <cell r="C210" t="str">
            <v>1806-021</v>
          </cell>
          <cell r="D210" t="str">
            <v>Phạm Quốc</v>
          </cell>
          <cell r="E210" t="str">
            <v>Trung</v>
          </cell>
          <cell r="F210">
            <v>1981</v>
          </cell>
          <cell r="G210" t="str">
            <v>E</v>
          </cell>
          <cell r="H210">
            <v>43193</v>
          </cell>
          <cell r="I210">
            <v>43272</v>
          </cell>
          <cell r="J210">
            <v>43833</v>
          </cell>
        </row>
        <row r="211">
          <cell r="C211" t="str">
            <v>1806-022</v>
          </cell>
          <cell r="D211" t="str">
            <v>Nguyễn Ngọc</v>
          </cell>
          <cell r="E211" t="str">
            <v>Hòa</v>
          </cell>
          <cell r="F211">
            <v>1975</v>
          </cell>
          <cell r="G211" t="str">
            <v>E</v>
          </cell>
          <cell r="H211">
            <v>43207</v>
          </cell>
          <cell r="I211">
            <v>43272</v>
          </cell>
          <cell r="J211">
            <v>43755</v>
          </cell>
          <cell r="L211" t="str">
            <v>KL</v>
          </cell>
          <cell r="M211">
            <v>43612</v>
          </cell>
          <cell r="N211">
            <v>65</v>
          </cell>
          <cell r="O211">
            <v>43677</v>
          </cell>
        </row>
        <row r="212">
          <cell r="C212" t="str">
            <v>1806-023</v>
          </cell>
          <cell r="D212" t="str">
            <v xml:space="preserve">Trần Trung </v>
          </cell>
          <cell r="E212" t="str">
            <v>Hiếu</v>
          </cell>
          <cell r="F212">
            <v>1980</v>
          </cell>
          <cell r="G212" t="str">
            <v>E</v>
          </cell>
          <cell r="H212">
            <v>43202</v>
          </cell>
          <cell r="I212">
            <v>43273</v>
          </cell>
          <cell r="J212">
            <v>43750</v>
          </cell>
        </row>
        <row r="213">
          <cell r="C213" t="str">
            <v>1806-024</v>
          </cell>
          <cell r="D213" t="str">
            <v>Phạm Hiếu</v>
          </cell>
          <cell r="E213" t="str">
            <v>Thành</v>
          </cell>
          <cell r="F213">
            <v>1978</v>
          </cell>
          <cell r="G213" t="str">
            <v>E</v>
          </cell>
          <cell r="H213">
            <v>43203</v>
          </cell>
          <cell r="I213">
            <v>43273</v>
          </cell>
          <cell r="J213">
            <v>43934</v>
          </cell>
        </row>
        <row r="214">
          <cell r="C214" t="str">
            <v>1806-025</v>
          </cell>
          <cell r="D214" t="str">
            <v xml:space="preserve">Trần Hồng </v>
          </cell>
          <cell r="E214" t="str">
            <v>Châu</v>
          </cell>
          <cell r="F214">
            <v>1987</v>
          </cell>
          <cell r="G214" t="str">
            <v>E</v>
          </cell>
          <cell r="H214">
            <v>43177</v>
          </cell>
          <cell r="I214">
            <v>43273</v>
          </cell>
          <cell r="J214">
            <v>43726</v>
          </cell>
        </row>
        <row r="215">
          <cell r="C215" t="str">
            <v>1806-027</v>
          </cell>
          <cell r="D215" t="str">
            <v>Huỳnh Ngọc Quốc</v>
          </cell>
          <cell r="E215" t="str">
            <v>Bảo</v>
          </cell>
          <cell r="F215">
            <v>1971</v>
          </cell>
          <cell r="G215" t="str">
            <v>E</v>
          </cell>
          <cell r="H215">
            <v>43210</v>
          </cell>
          <cell r="I215">
            <v>43273</v>
          </cell>
          <cell r="J215">
            <v>43941</v>
          </cell>
        </row>
        <row r="216">
          <cell r="C216" t="str">
            <v>1806-028</v>
          </cell>
          <cell r="D216" t="str">
            <v>Hồ Hoàng</v>
          </cell>
          <cell r="E216" t="str">
            <v>Tân</v>
          </cell>
          <cell r="F216">
            <v>1976</v>
          </cell>
          <cell r="G216" t="str">
            <v>B</v>
          </cell>
          <cell r="H216">
            <v>43249</v>
          </cell>
          <cell r="I216">
            <v>43277</v>
          </cell>
          <cell r="J216">
            <v>43890</v>
          </cell>
        </row>
        <row r="217">
          <cell r="C217" t="str">
            <v>1806-029</v>
          </cell>
          <cell r="D217" t="str">
            <v>Hoàng Anh</v>
          </cell>
          <cell r="E217" t="str">
            <v>Tuấn</v>
          </cell>
          <cell r="F217">
            <v>1966</v>
          </cell>
          <cell r="G217" t="str">
            <v>B</v>
          </cell>
          <cell r="H217">
            <v>43251</v>
          </cell>
          <cell r="I217">
            <v>43277</v>
          </cell>
          <cell r="J217">
            <v>43890</v>
          </cell>
        </row>
        <row r="218">
          <cell r="C218" t="str">
            <v>1806-030</v>
          </cell>
          <cell r="D218" t="str">
            <v>Phan Đức</v>
          </cell>
          <cell r="E218" t="str">
            <v>Anh</v>
          </cell>
          <cell r="F218">
            <v>1972</v>
          </cell>
          <cell r="G218" t="str">
            <v>B</v>
          </cell>
          <cell r="H218">
            <v>43205</v>
          </cell>
          <cell r="I218">
            <v>43279</v>
          </cell>
          <cell r="J218">
            <v>43753</v>
          </cell>
        </row>
        <row r="219">
          <cell r="C219" t="str">
            <v>1806-031</v>
          </cell>
          <cell r="D219" t="str">
            <v xml:space="preserve">Lê Thanh </v>
          </cell>
          <cell r="E219" t="str">
            <v>Lâm</v>
          </cell>
          <cell r="F219">
            <v>1983</v>
          </cell>
          <cell r="G219" t="str">
            <v>B</v>
          </cell>
          <cell r="H219">
            <v>43215</v>
          </cell>
          <cell r="I219">
            <v>43280</v>
          </cell>
          <cell r="J219">
            <v>43763</v>
          </cell>
        </row>
        <row r="220">
          <cell r="C220" t="str">
            <v>1806-032</v>
          </cell>
          <cell r="D220" t="str">
            <v>Phạm Ngọc</v>
          </cell>
          <cell r="E220" t="str">
            <v>Giàu</v>
          </cell>
          <cell r="F220">
            <v>1990</v>
          </cell>
          <cell r="G220" t="str">
            <v>B</v>
          </cell>
          <cell r="H220">
            <v>43189</v>
          </cell>
          <cell r="I220">
            <v>43280</v>
          </cell>
          <cell r="J220">
            <v>43829</v>
          </cell>
        </row>
        <row r="221">
          <cell r="C221" t="str">
            <v>1807-001</v>
          </cell>
          <cell r="D221" t="str">
            <v>Nguyễn Thanh</v>
          </cell>
          <cell r="E221" t="str">
            <v>Phong</v>
          </cell>
          <cell r="F221">
            <v>1986</v>
          </cell>
          <cell r="G221" t="str">
            <v>B</v>
          </cell>
          <cell r="H221">
            <v>43193</v>
          </cell>
          <cell r="I221">
            <v>43287</v>
          </cell>
          <cell r="J221">
            <v>43802</v>
          </cell>
        </row>
        <row r="222">
          <cell r="C222" t="str">
            <v>1807-002</v>
          </cell>
          <cell r="D222" t="str">
            <v>Nguyễn Văn</v>
          </cell>
          <cell r="E222" t="str">
            <v>Bô</v>
          </cell>
          <cell r="F222">
            <v>1966</v>
          </cell>
          <cell r="G222" t="str">
            <v>B</v>
          </cell>
          <cell r="H222">
            <v>43217</v>
          </cell>
          <cell r="I222">
            <v>43287</v>
          </cell>
          <cell r="J222">
            <v>43948</v>
          </cell>
          <cell r="L222" t="str">
            <v>KL</v>
          </cell>
          <cell r="M222">
            <v>43542</v>
          </cell>
          <cell r="N222">
            <v>130</v>
          </cell>
          <cell r="O222">
            <v>43672</v>
          </cell>
        </row>
        <row r="223">
          <cell r="C223" t="str">
            <v>1807-003</v>
          </cell>
          <cell r="D223" t="str">
            <v>Võ Minh</v>
          </cell>
          <cell r="E223" t="str">
            <v>Hưng</v>
          </cell>
          <cell r="F223">
            <v>1985</v>
          </cell>
          <cell r="G223" t="str">
            <v>B</v>
          </cell>
          <cell r="H223">
            <v>43211</v>
          </cell>
          <cell r="I223">
            <v>43291</v>
          </cell>
          <cell r="J223">
            <v>43851</v>
          </cell>
          <cell r="L223" t="str">
            <v>YT</v>
          </cell>
          <cell r="M223">
            <v>43529</v>
          </cell>
        </row>
        <row r="224">
          <cell r="C224" t="str">
            <v>1807-004</v>
          </cell>
          <cell r="D224" t="str">
            <v>Nguyễn Thành</v>
          </cell>
          <cell r="E224" t="str">
            <v>Công</v>
          </cell>
          <cell r="F224">
            <v>1989</v>
          </cell>
          <cell r="G224" t="str">
            <v>B</v>
          </cell>
          <cell r="H224">
            <v>43224</v>
          </cell>
          <cell r="I224">
            <v>43291</v>
          </cell>
          <cell r="J224">
            <v>43955</v>
          </cell>
        </row>
        <row r="225">
          <cell r="C225" t="str">
            <v>1807-005</v>
          </cell>
          <cell r="D225" t="str">
            <v>Nguyễn Hoàng</v>
          </cell>
          <cell r="E225" t="str">
            <v>Sinh</v>
          </cell>
          <cell r="F225">
            <v>1970</v>
          </cell>
          <cell r="G225" t="str">
            <v>B</v>
          </cell>
          <cell r="H225">
            <v>43225</v>
          </cell>
          <cell r="I225">
            <v>43291</v>
          </cell>
          <cell r="J225">
            <v>43866</v>
          </cell>
        </row>
        <row r="226">
          <cell r="C226" t="str">
            <v>1807-006</v>
          </cell>
          <cell r="D226" t="str">
            <v>Ngô Hồng</v>
          </cell>
          <cell r="E226" t="str">
            <v>Lâm</v>
          </cell>
          <cell r="F226">
            <v>1981</v>
          </cell>
          <cell r="G226" t="str">
            <v>B</v>
          </cell>
          <cell r="H226">
            <v>43268</v>
          </cell>
          <cell r="I226">
            <v>43292</v>
          </cell>
          <cell r="J226">
            <v>43999</v>
          </cell>
        </row>
        <row r="227">
          <cell r="C227" t="str">
            <v>1807-007</v>
          </cell>
          <cell r="D227" t="str">
            <v>Nguyễn Huy</v>
          </cell>
          <cell r="E227" t="str">
            <v>Cường</v>
          </cell>
          <cell r="F227">
            <v>1980</v>
          </cell>
          <cell r="G227" t="str">
            <v>B</v>
          </cell>
          <cell r="H227">
            <v>43265</v>
          </cell>
          <cell r="I227">
            <v>43292</v>
          </cell>
          <cell r="J227">
            <v>43996</v>
          </cell>
          <cell r="L227" t="str">
            <v>YT</v>
          </cell>
          <cell r="M227">
            <v>43610</v>
          </cell>
        </row>
        <row r="228">
          <cell r="C228" t="str">
            <v>1807-008</v>
          </cell>
          <cell r="D228" t="str">
            <v>Trần</v>
          </cell>
          <cell r="E228" t="str">
            <v>Bửu</v>
          </cell>
          <cell r="F228">
            <v>1979</v>
          </cell>
          <cell r="G228" t="str">
            <v>B</v>
          </cell>
          <cell r="H228">
            <v>43209</v>
          </cell>
          <cell r="I228" t="str">
            <v>12/07/2018</v>
          </cell>
          <cell r="J228">
            <v>43757</v>
          </cell>
        </row>
        <row r="229">
          <cell r="C229" t="str">
            <v>1807-009</v>
          </cell>
          <cell r="D229" t="str">
            <v xml:space="preserve">Lê Minh </v>
          </cell>
          <cell r="E229" t="str">
            <v>Hoàng</v>
          </cell>
          <cell r="F229">
            <v>1978</v>
          </cell>
          <cell r="G229" t="str">
            <v>B</v>
          </cell>
          <cell r="H229">
            <v>43225</v>
          </cell>
          <cell r="I229" t="str">
            <v>12/07/2018</v>
          </cell>
          <cell r="J229">
            <v>43682</v>
          </cell>
        </row>
        <row r="230">
          <cell r="C230" t="str">
            <v>1807-010</v>
          </cell>
          <cell r="D230" t="str">
            <v>Nguyễn Văn</v>
          </cell>
          <cell r="E230" t="str">
            <v>Mẫn</v>
          </cell>
          <cell r="F230">
            <v>1978</v>
          </cell>
          <cell r="G230" t="str">
            <v>A</v>
          </cell>
          <cell r="H230">
            <v>43221</v>
          </cell>
          <cell r="I230" t="str">
            <v>12/07/2018</v>
          </cell>
          <cell r="J230">
            <v>43952</v>
          </cell>
        </row>
        <row r="231">
          <cell r="C231" t="str">
            <v>1807-011</v>
          </cell>
          <cell r="D231" t="str">
            <v>Nguyễn Đức</v>
          </cell>
          <cell r="E231" t="str">
            <v>Duy</v>
          </cell>
          <cell r="F231">
            <v>1977</v>
          </cell>
          <cell r="G231" t="str">
            <v>B</v>
          </cell>
          <cell r="H231">
            <v>43201</v>
          </cell>
          <cell r="I231" t="str">
            <v>12/07/2018</v>
          </cell>
          <cell r="J231">
            <v>43932</v>
          </cell>
        </row>
        <row r="232">
          <cell r="C232" t="str">
            <v>1807-012</v>
          </cell>
          <cell r="D232" t="str">
            <v>Nguyễn Hoàng</v>
          </cell>
          <cell r="E232" t="str">
            <v>Anh</v>
          </cell>
          <cell r="F232">
            <v>1984</v>
          </cell>
          <cell r="G232" t="str">
            <v>B</v>
          </cell>
          <cell r="H232">
            <v>43225</v>
          </cell>
          <cell r="I232" t="str">
            <v>12/07/2018</v>
          </cell>
          <cell r="J232">
            <v>43956</v>
          </cell>
        </row>
        <row r="233">
          <cell r="C233" t="str">
            <v>1807-013</v>
          </cell>
          <cell r="D233" t="str">
            <v>Nguyễn Thế</v>
          </cell>
          <cell r="E233" t="str">
            <v>Hiển</v>
          </cell>
          <cell r="F233">
            <v>1972</v>
          </cell>
          <cell r="G233" t="str">
            <v>B</v>
          </cell>
          <cell r="H233">
            <v>43194</v>
          </cell>
          <cell r="I233">
            <v>43294</v>
          </cell>
          <cell r="J233">
            <v>43925</v>
          </cell>
        </row>
        <row r="234">
          <cell r="C234" t="str">
            <v>1807-014</v>
          </cell>
          <cell r="D234" t="str">
            <v xml:space="preserve">Nguyễn An </v>
          </cell>
          <cell r="E234" t="str">
            <v>Tân</v>
          </cell>
          <cell r="F234">
            <v>1975</v>
          </cell>
          <cell r="G234" t="str">
            <v>B</v>
          </cell>
          <cell r="H234">
            <v>43198</v>
          </cell>
          <cell r="I234">
            <v>43294</v>
          </cell>
          <cell r="J234">
            <v>43746</v>
          </cell>
        </row>
        <row r="235">
          <cell r="C235" t="str">
            <v>1807-015</v>
          </cell>
          <cell r="D235" t="str">
            <v>Liêng Vĩ</v>
          </cell>
          <cell r="E235" t="str">
            <v>Hùng</v>
          </cell>
          <cell r="F235">
            <v>1986</v>
          </cell>
          <cell r="G235" t="str">
            <v>C</v>
          </cell>
          <cell r="H235">
            <v>43216</v>
          </cell>
          <cell r="I235">
            <v>43300</v>
          </cell>
          <cell r="J235">
            <v>43856</v>
          </cell>
        </row>
        <row r="236">
          <cell r="C236" t="str">
            <v>1807-016</v>
          </cell>
          <cell r="D236" t="str">
            <v>Nguyễn Huỳnh Tấn</v>
          </cell>
          <cell r="E236" t="str">
            <v>Đạt</v>
          </cell>
          <cell r="F236">
            <v>1993</v>
          </cell>
          <cell r="G236" t="str">
            <v>C</v>
          </cell>
          <cell r="H236">
            <v>43223</v>
          </cell>
          <cell r="I236">
            <v>43300</v>
          </cell>
          <cell r="J236">
            <v>43864</v>
          </cell>
        </row>
        <row r="237">
          <cell r="C237" t="str">
            <v>1807-017</v>
          </cell>
          <cell r="D237" t="str">
            <v>Du Duy</v>
          </cell>
          <cell r="E237" t="str">
            <v>Phương</v>
          </cell>
          <cell r="F237">
            <v>1983</v>
          </cell>
          <cell r="G237" t="str">
            <v>C</v>
          </cell>
          <cell r="H237">
            <v>43231</v>
          </cell>
          <cell r="I237">
            <v>43300</v>
          </cell>
          <cell r="J237">
            <v>43962</v>
          </cell>
        </row>
        <row r="238">
          <cell r="C238" t="str">
            <v>1807-018</v>
          </cell>
          <cell r="D238" t="str">
            <v>Lu Vỹ</v>
          </cell>
          <cell r="E238" t="str">
            <v>Cường</v>
          </cell>
          <cell r="F238">
            <v>1985</v>
          </cell>
          <cell r="G238" t="str">
            <v>C</v>
          </cell>
          <cell r="H238">
            <v>43219</v>
          </cell>
          <cell r="I238">
            <v>43300</v>
          </cell>
          <cell r="J238">
            <v>43950</v>
          </cell>
        </row>
        <row r="239">
          <cell r="C239" t="str">
            <v>1807-019</v>
          </cell>
          <cell r="D239" t="str">
            <v xml:space="preserve">Lê Hữu </v>
          </cell>
          <cell r="E239" t="str">
            <v>Phước</v>
          </cell>
          <cell r="F239">
            <v>1990</v>
          </cell>
          <cell r="G239" t="str">
            <v>C</v>
          </cell>
          <cell r="H239">
            <v>43220</v>
          </cell>
          <cell r="I239">
            <v>43301</v>
          </cell>
          <cell r="J239">
            <v>43768</v>
          </cell>
        </row>
        <row r="240">
          <cell r="C240" t="str">
            <v>1807-020</v>
          </cell>
          <cell r="D240" t="str">
            <v>Đặng Thành</v>
          </cell>
          <cell r="E240" t="str">
            <v>Thảo</v>
          </cell>
          <cell r="F240">
            <v>1981</v>
          </cell>
          <cell r="G240" t="str">
            <v>D</v>
          </cell>
          <cell r="H240">
            <v>43278</v>
          </cell>
          <cell r="I240">
            <v>43306</v>
          </cell>
          <cell r="J240">
            <v>43917</v>
          </cell>
        </row>
        <row r="241">
          <cell r="C241" t="str">
            <v>1807-021</v>
          </cell>
          <cell r="D241" t="str">
            <v>Nguyễn Hoàng</v>
          </cell>
          <cell r="E241" t="str">
            <v>Minh</v>
          </cell>
          <cell r="F241">
            <v>1986</v>
          </cell>
          <cell r="G241" t="str">
            <v>D</v>
          </cell>
          <cell r="H241">
            <v>43224</v>
          </cell>
          <cell r="I241">
            <v>43307</v>
          </cell>
          <cell r="J241">
            <v>43955</v>
          </cell>
        </row>
        <row r="242">
          <cell r="C242" t="str">
            <v>1807-022</v>
          </cell>
          <cell r="D242" t="str">
            <v>Nguyễn Phan Thanh</v>
          </cell>
          <cell r="E242" t="str">
            <v>Phong</v>
          </cell>
          <cell r="F242">
            <v>1987</v>
          </cell>
          <cell r="G242" t="str">
            <v>D</v>
          </cell>
          <cell r="H242">
            <v>43241</v>
          </cell>
          <cell r="I242">
            <v>43307</v>
          </cell>
          <cell r="J242">
            <v>43851</v>
          </cell>
        </row>
        <row r="243">
          <cell r="C243" t="str">
            <v>1807-023</v>
          </cell>
          <cell r="D243" t="str">
            <v>Võ Thanh</v>
          </cell>
          <cell r="E243" t="str">
            <v>Hùng</v>
          </cell>
          <cell r="F243">
            <v>1960</v>
          </cell>
          <cell r="G243" t="str">
            <v>D</v>
          </cell>
          <cell r="H243">
            <v>43251</v>
          </cell>
          <cell r="I243">
            <v>43307</v>
          </cell>
          <cell r="J243">
            <v>43799</v>
          </cell>
        </row>
        <row r="244">
          <cell r="C244" t="str">
            <v>1807-024</v>
          </cell>
          <cell r="D244" t="str">
            <v>Trần Đăng</v>
          </cell>
          <cell r="E244" t="str">
            <v>Luân</v>
          </cell>
          <cell r="F244">
            <v>1980</v>
          </cell>
          <cell r="G244" t="str">
            <v>D</v>
          </cell>
          <cell r="H244">
            <v>43216</v>
          </cell>
          <cell r="I244">
            <v>43307</v>
          </cell>
          <cell r="J244">
            <v>43825</v>
          </cell>
        </row>
        <row r="245">
          <cell r="C245" t="str">
            <v>1807-025</v>
          </cell>
          <cell r="D245" t="str">
            <v xml:space="preserve">Võ Đình </v>
          </cell>
          <cell r="E245" t="str">
            <v>Tài</v>
          </cell>
          <cell r="F245">
            <v>1983</v>
          </cell>
          <cell r="G245" t="str">
            <v>D</v>
          </cell>
          <cell r="H245">
            <v>43235</v>
          </cell>
          <cell r="I245">
            <v>43312</v>
          </cell>
          <cell r="J245">
            <v>43966</v>
          </cell>
        </row>
        <row r="246">
          <cell r="C246" t="str">
            <v>1807-026</v>
          </cell>
          <cell r="D246" t="str">
            <v>Nguyễn Văn</v>
          </cell>
          <cell r="E246" t="str">
            <v>Hồng</v>
          </cell>
          <cell r="F246">
            <v>1970</v>
          </cell>
          <cell r="G246" t="str">
            <v>D</v>
          </cell>
          <cell r="H246">
            <v>43219</v>
          </cell>
          <cell r="I246">
            <v>43312</v>
          </cell>
          <cell r="J246">
            <v>43950</v>
          </cell>
        </row>
        <row r="247">
          <cell r="C247" t="str">
            <v>1807-027</v>
          </cell>
          <cell r="D247" t="str">
            <v>Ngô Viết</v>
          </cell>
          <cell r="E247" t="str">
            <v>Bình</v>
          </cell>
          <cell r="F247">
            <v>1973</v>
          </cell>
          <cell r="G247" t="str">
            <v>D</v>
          </cell>
          <cell r="H247">
            <v>43243</v>
          </cell>
          <cell r="I247">
            <v>43312</v>
          </cell>
          <cell r="J247">
            <v>43792</v>
          </cell>
        </row>
        <row r="248">
          <cell r="C248" t="str">
            <v>1807-028</v>
          </cell>
          <cell r="D248" t="str">
            <v>Phạm Tùng</v>
          </cell>
          <cell r="E248" t="str">
            <v>Như</v>
          </cell>
          <cell r="F248">
            <v>1970</v>
          </cell>
          <cell r="G248" t="str">
            <v>D</v>
          </cell>
          <cell r="H248">
            <v>43236</v>
          </cell>
          <cell r="I248">
            <v>43312</v>
          </cell>
          <cell r="J248">
            <v>43785</v>
          </cell>
        </row>
        <row r="249">
          <cell r="C249" t="str">
            <v>1807-029</v>
          </cell>
          <cell r="D249" t="str">
            <v>Nguyễn Lương Minh</v>
          </cell>
          <cell r="E249" t="str">
            <v>Trung</v>
          </cell>
          <cell r="F249">
            <v>1973</v>
          </cell>
          <cell r="G249" t="str">
            <v>D</v>
          </cell>
          <cell r="H249">
            <v>43250</v>
          </cell>
          <cell r="I249">
            <v>43312</v>
          </cell>
          <cell r="J249">
            <v>43707</v>
          </cell>
          <cell r="L249" t="str">
            <v>NA</v>
          </cell>
        </row>
        <row r="250">
          <cell r="C250" t="str">
            <v>1807-030</v>
          </cell>
          <cell r="D250" t="str">
            <v>Lâm Văn</v>
          </cell>
          <cell r="E250" t="str">
            <v>Tiến</v>
          </cell>
          <cell r="F250">
            <v>1965</v>
          </cell>
          <cell r="G250" t="str">
            <v>D</v>
          </cell>
          <cell r="H250">
            <v>43229</v>
          </cell>
          <cell r="I250">
            <v>43312</v>
          </cell>
          <cell r="J250">
            <v>43686</v>
          </cell>
        </row>
        <row r="251">
          <cell r="C251" t="str">
            <v>1807-031</v>
          </cell>
          <cell r="D251" t="str">
            <v>Nguyễn Văn</v>
          </cell>
          <cell r="E251" t="str">
            <v>Thọ</v>
          </cell>
          <cell r="F251">
            <v>1964</v>
          </cell>
          <cell r="G251" t="str">
            <v>D</v>
          </cell>
          <cell r="H251">
            <v>43249</v>
          </cell>
          <cell r="I251">
            <v>43312</v>
          </cell>
          <cell r="J251">
            <v>43890</v>
          </cell>
        </row>
        <row r="252">
          <cell r="C252" t="str">
            <v>1807-032</v>
          </cell>
          <cell r="D252" t="str">
            <v>Dường Phát</v>
          </cell>
          <cell r="E252" t="str">
            <v>Siếng</v>
          </cell>
          <cell r="F252">
            <v>1990</v>
          </cell>
          <cell r="G252" t="str">
            <v>D</v>
          </cell>
          <cell r="H252">
            <v>43243</v>
          </cell>
          <cell r="I252">
            <v>43312</v>
          </cell>
          <cell r="J252">
            <v>43792</v>
          </cell>
        </row>
        <row r="253">
          <cell r="C253" t="str">
            <v>1807-033</v>
          </cell>
          <cell r="D253" t="str">
            <v>Nguyễn Văn</v>
          </cell>
          <cell r="E253" t="str">
            <v>No</v>
          </cell>
          <cell r="F253">
            <v>1985</v>
          </cell>
          <cell r="G253" t="str">
            <v>D</v>
          </cell>
          <cell r="H253">
            <v>43257</v>
          </cell>
          <cell r="I253">
            <v>43312</v>
          </cell>
          <cell r="J253">
            <v>43896</v>
          </cell>
        </row>
        <row r="254">
          <cell r="C254" t="str">
            <v>1807-034</v>
          </cell>
          <cell r="D254" t="str">
            <v>Hoàng Văn</v>
          </cell>
          <cell r="E254" t="str">
            <v>Linh</v>
          </cell>
          <cell r="F254">
            <v>1994</v>
          </cell>
          <cell r="G254" t="str">
            <v>D</v>
          </cell>
          <cell r="H254">
            <v>43248</v>
          </cell>
          <cell r="I254">
            <v>43312</v>
          </cell>
          <cell r="J254">
            <v>43889</v>
          </cell>
        </row>
        <row r="255">
          <cell r="C255" t="str">
            <v>1807-035</v>
          </cell>
          <cell r="D255" t="str">
            <v>Nguyễn Phúc</v>
          </cell>
          <cell r="E255" t="str">
            <v>Thịnh</v>
          </cell>
          <cell r="F255">
            <v>1969</v>
          </cell>
          <cell r="G255" t="str">
            <v>D</v>
          </cell>
          <cell r="H255">
            <v>43237</v>
          </cell>
          <cell r="I255">
            <v>43312</v>
          </cell>
          <cell r="J255">
            <v>43968</v>
          </cell>
        </row>
        <row r="256">
          <cell r="C256" t="str">
            <v>1808-001</v>
          </cell>
          <cell r="D256" t="str">
            <v xml:space="preserve">Trương Hữu </v>
          </cell>
          <cell r="E256" t="str">
            <v>Khương</v>
          </cell>
          <cell r="F256">
            <v>1977</v>
          </cell>
          <cell r="G256" t="str">
            <v>D</v>
          </cell>
          <cell r="H256">
            <v>43298</v>
          </cell>
          <cell r="I256">
            <v>43313</v>
          </cell>
          <cell r="J256">
            <v>44029</v>
          </cell>
        </row>
        <row r="257">
          <cell r="C257" t="str">
            <v>1808-002</v>
          </cell>
          <cell r="D257" t="str">
            <v>Mai Hữu</v>
          </cell>
          <cell r="E257" t="str">
            <v>Trí</v>
          </cell>
          <cell r="F257">
            <v>1984</v>
          </cell>
          <cell r="G257" t="str">
            <v>A</v>
          </cell>
          <cell r="H257">
            <v>43274</v>
          </cell>
          <cell r="I257">
            <v>43314</v>
          </cell>
          <cell r="J257">
            <v>43913</v>
          </cell>
        </row>
        <row r="258">
          <cell r="C258" t="str">
            <v>1808-003</v>
          </cell>
          <cell r="D258" t="str">
            <v xml:space="preserve">Lý Cẩm </v>
          </cell>
          <cell r="E258" t="str">
            <v>Bình</v>
          </cell>
          <cell r="F258">
            <v>1975</v>
          </cell>
          <cell r="G258" t="str">
            <v>A</v>
          </cell>
          <cell r="H258">
            <v>43250</v>
          </cell>
          <cell r="I258">
            <v>43316</v>
          </cell>
          <cell r="J258">
            <v>43799</v>
          </cell>
        </row>
        <row r="259">
          <cell r="C259" t="str">
            <v>1808-004</v>
          </cell>
          <cell r="D259" t="str">
            <v>Nguyễn Thanh</v>
          </cell>
          <cell r="E259" t="str">
            <v>Sơn</v>
          </cell>
          <cell r="F259">
            <v>1975</v>
          </cell>
          <cell r="G259" t="str">
            <v>A</v>
          </cell>
          <cell r="H259">
            <v>43240</v>
          </cell>
          <cell r="I259">
            <v>43316</v>
          </cell>
          <cell r="J259">
            <v>43881</v>
          </cell>
        </row>
        <row r="260">
          <cell r="C260" t="str">
            <v>1808-005</v>
          </cell>
          <cell r="D260" t="str">
            <v xml:space="preserve">Trịnh Văn </v>
          </cell>
          <cell r="E260" t="str">
            <v>Ngoãn</v>
          </cell>
          <cell r="F260">
            <v>1965</v>
          </cell>
          <cell r="G260" t="str">
            <v>A</v>
          </cell>
          <cell r="H260">
            <v>43232</v>
          </cell>
          <cell r="I260">
            <v>43319</v>
          </cell>
          <cell r="J260">
            <v>43873</v>
          </cell>
        </row>
        <row r="261">
          <cell r="C261" t="str">
            <v>1808-006</v>
          </cell>
          <cell r="D261" t="str">
            <v xml:space="preserve">Hồ Quốc </v>
          </cell>
          <cell r="E261" t="str">
            <v>Bảo</v>
          </cell>
          <cell r="F261">
            <v>1981</v>
          </cell>
          <cell r="G261" t="str">
            <v>C</v>
          </cell>
          <cell r="H261">
            <v>43224</v>
          </cell>
          <cell r="I261">
            <v>43319</v>
          </cell>
          <cell r="J261">
            <v>43865</v>
          </cell>
        </row>
        <row r="262">
          <cell r="C262" t="str">
            <v>1808-007</v>
          </cell>
          <cell r="D262" t="str">
            <v xml:space="preserve">Thái Duy </v>
          </cell>
          <cell r="E262" t="str">
            <v>Đức</v>
          </cell>
          <cell r="F262">
            <v>1990</v>
          </cell>
          <cell r="G262" t="str">
            <v>A</v>
          </cell>
          <cell r="H262">
            <v>43257</v>
          </cell>
          <cell r="I262">
            <v>43319</v>
          </cell>
          <cell r="J262">
            <v>43988</v>
          </cell>
        </row>
        <row r="263">
          <cell r="C263" t="str">
            <v>1808-008</v>
          </cell>
          <cell r="D263" t="str">
            <v>Nguyễn Tấn</v>
          </cell>
          <cell r="E263" t="str">
            <v>Thuận</v>
          </cell>
          <cell r="F263">
            <v>1985</v>
          </cell>
          <cell r="G263" t="str">
            <v>A</v>
          </cell>
          <cell r="H263">
            <v>43257</v>
          </cell>
          <cell r="I263">
            <v>43319</v>
          </cell>
          <cell r="J263">
            <v>43805</v>
          </cell>
        </row>
        <row r="264">
          <cell r="C264" t="str">
            <v>1808-009</v>
          </cell>
          <cell r="D264" t="str">
            <v xml:space="preserve">Đặng Hoàng </v>
          </cell>
          <cell r="E264" t="str">
            <v>Anh</v>
          </cell>
          <cell r="F264">
            <v>1986</v>
          </cell>
          <cell r="G264" t="str">
            <v>B</v>
          </cell>
          <cell r="H264">
            <v>43124</v>
          </cell>
          <cell r="I264">
            <v>43319</v>
          </cell>
          <cell r="J264">
            <v>43854</v>
          </cell>
          <cell r="L264" t="str">
            <v>KL</v>
          </cell>
          <cell r="M264">
            <v>43620</v>
          </cell>
          <cell r="N264">
            <v>95</v>
          </cell>
          <cell r="O264">
            <v>43715</v>
          </cell>
        </row>
        <row r="265">
          <cell r="C265" t="str">
            <v>1808-010</v>
          </cell>
          <cell r="D265" t="str">
            <v>Dương Quốc</v>
          </cell>
          <cell r="E265" t="str">
            <v>Hiền</v>
          </cell>
          <cell r="F265">
            <v>1971</v>
          </cell>
          <cell r="G265" t="str">
            <v>D</v>
          </cell>
          <cell r="H265">
            <v>43259</v>
          </cell>
          <cell r="I265">
            <v>43320</v>
          </cell>
          <cell r="J265">
            <v>43898</v>
          </cell>
        </row>
        <row r="266">
          <cell r="C266" t="str">
            <v>1808-011</v>
          </cell>
          <cell r="D266" t="str">
            <v>Trần Văn</v>
          </cell>
          <cell r="E266" t="str">
            <v>Hữu</v>
          </cell>
          <cell r="F266">
            <v>1967</v>
          </cell>
          <cell r="G266" t="str">
            <v>A</v>
          </cell>
          <cell r="H266">
            <v>43244</v>
          </cell>
          <cell r="I266">
            <v>43320</v>
          </cell>
          <cell r="J266">
            <v>43885</v>
          </cell>
        </row>
        <row r="267">
          <cell r="C267" t="str">
            <v>1808-012</v>
          </cell>
          <cell r="D267" t="str">
            <v>Vương Trí</v>
          </cell>
          <cell r="E267" t="str">
            <v>Cẩm</v>
          </cell>
          <cell r="F267">
            <v>1973</v>
          </cell>
          <cell r="G267" t="str">
            <v>A</v>
          </cell>
          <cell r="H267">
            <v>43275</v>
          </cell>
          <cell r="I267">
            <v>43326</v>
          </cell>
          <cell r="J267">
            <v>44006</v>
          </cell>
        </row>
        <row r="268">
          <cell r="C268" t="str">
            <v>1808-013</v>
          </cell>
          <cell r="D268" t="str">
            <v>Trần Đình</v>
          </cell>
          <cell r="E268" t="str">
            <v>Kiệt</v>
          </cell>
          <cell r="F268">
            <v>1981</v>
          </cell>
          <cell r="G268" t="str">
            <v>A</v>
          </cell>
          <cell r="H268">
            <v>43260</v>
          </cell>
          <cell r="I268">
            <v>43326</v>
          </cell>
          <cell r="J268">
            <v>43899</v>
          </cell>
          <cell r="L268" t="str">
            <v>KL</v>
          </cell>
          <cell r="M268">
            <v>43620</v>
          </cell>
          <cell r="N268">
            <v>65</v>
          </cell>
          <cell r="O268">
            <v>43685</v>
          </cell>
        </row>
        <row r="269">
          <cell r="C269" t="str">
            <v>1808-014</v>
          </cell>
          <cell r="D269" t="str">
            <v>Trịnh Văn 
(Phan Văn)</v>
          </cell>
          <cell r="E269" t="str">
            <v>Tuấn
(Giao)</v>
          </cell>
          <cell r="F269" t="str">
            <v>1990
(1985)</v>
          </cell>
          <cell r="G269" t="str">
            <v>A</v>
          </cell>
          <cell r="H269">
            <v>43257</v>
          </cell>
          <cell r="I269">
            <v>43326</v>
          </cell>
          <cell r="J269">
            <v>43805</v>
          </cell>
        </row>
        <row r="270">
          <cell r="C270" t="str">
            <v>1808-015</v>
          </cell>
          <cell r="D270" t="str">
            <v>Hồ Thanh Phụng</v>
          </cell>
          <cell r="E270" t="str">
            <v>Em</v>
          </cell>
          <cell r="F270">
            <v>1985</v>
          </cell>
          <cell r="G270" t="str">
            <v>A</v>
          </cell>
          <cell r="H270">
            <v>43265</v>
          </cell>
          <cell r="I270">
            <v>43326</v>
          </cell>
          <cell r="J270">
            <v>43813</v>
          </cell>
        </row>
        <row r="271">
          <cell r="C271" t="str">
            <v>1808-016</v>
          </cell>
          <cell r="D271" t="str">
            <v xml:space="preserve">Nguyễn Văn </v>
          </cell>
          <cell r="E271" t="str">
            <v>Sơn</v>
          </cell>
          <cell r="F271">
            <v>1977</v>
          </cell>
          <cell r="G271" t="str">
            <v>E</v>
          </cell>
          <cell r="H271">
            <v>43259</v>
          </cell>
          <cell r="I271">
            <v>43328</v>
          </cell>
          <cell r="J271">
            <v>43898</v>
          </cell>
        </row>
        <row r="272">
          <cell r="C272" t="str">
            <v>1808-017</v>
          </cell>
          <cell r="D272" t="str">
            <v>Lê Sỹ</v>
          </cell>
          <cell r="E272" t="str">
            <v>Dương</v>
          </cell>
          <cell r="F272">
            <v>1979</v>
          </cell>
          <cell r="G272" t="str">
            <v>A</v>
          </cell>
          <cell r="H272">
            <v>43222</v>
          </cell>
          <cell r="I272">
            <v>43328</v>
          </cell>
          <cell r="J272">
            <v>43953</v>
          </cell>
        </row>
        <row r="273">
          <cell r="C273" t="str">
            <v>1808-018</v>
          </cell>
          <cell r="D273" t="str">
            <v>Lê Anh</v>
          </cell>
          <cell r="E273" t="str">
            <v>Dũng</v>
          </cell>
          <cell r="F273">
            <v>1975</v>
          </cell>
          <cell r="G273" t="str">
            <v>A</v>
          </cell>
          <cell r="H273">
            <v>43276</v>
          </cell>
          <cell r="I273">
            <v>43329</v>
          </cell>
          <cell r="J273">
            <v>44007</v>
          </cell>
        </row>
        <row r="274">
          <cell r="C274" t="str">
            <v>1808-019</v>
          </cell>
          <cell r="D274" t="str">
            <v>Huỳnh Quốc</v>
          </cell>
          <cell r="E274" t="str">
            <v>Dương</v>
          </cell>
          <cell r="F274">
            <v>1980</v>
          </cell>
          <cell r="G274" t="str">
            <v>A</v>
          </cell>
          <cell r="H274">
            <v>43209</v>
          </cell>
          <cell r="I274">
            <v>43329</v>
          </cell>
          <cell r="J274">
            <v>43940</v>
          </cell>
        </row>
        <row r="275">
          <cell r="C275" t="str">
            <v>1808-020</v>
          </cell>
          <cell r="D275" t="str">
            <v>Đỗ Văn</v>
          </cell>
          <cell r="E275" t="str">
            <v>Xuân</v>
          </cell>
          <cell r="F275">
            <v>1982</v>
          </cell>
          <cell r="G275" t="str">
            <v>A</v>
          </cell>
          <cell r="H275">
            <v>43218</v>
          </cell>
          <cell r="I275">
            <v>43329</v>
          </cell>
          <cell r="J275">
            <v>43949</v>
          </cell>
        </row>
        <row r="276">
          <cell r="C276" t="str">
            <v>1808-021</v>
          </cell>
          <cell r="D276" t="str">
            <v>Nguyễn Quốc</v>
          </cell>
          <cell r="E276" t="str">
            <v>Phương</v>
          </cell>
          <cell r="F276">
            <v>1981</v>
          </cell>
          <cell r="G276" t="str">
            <v>A</v>
          </cell>
          <cell r="H276">
            <v>43234</v>
          </cell>
          <cell r="I276">
            <v>43334</v>
          </cell>
          <cell r="J276">
            <v>43875</v>
          </cell>
        </row>
        <row r="277">
          <cell r="C277" t="str">
            <v>1808-022</v>
          </cell>
          <cell r="D277" t="str">
            <v>Đỗ Phú Tiến</v>
          </cell>
          <cell r="E277" t="str">
            <v>Hoài</v>
          </cell>
          <cell r="F277">
            <v>1988</v>
          </cell>
          <cell r="G277" t="str">
            <v>A</v>
          </cell>
          <cell r="H277">
            <v>43210</v>
          </cell>
          <cell r="I277">
            <v>43334</v>
          </cell>
          <cell r="J277">
            <v>43850</v>
          </cell>
        </row>
        <row r="278">
          <cell r="C278" t="str">
            <v>1808-023</v>
          </cell>
          <cell r="D278" t="str">
            <v>Nguyễn Văn</v>
          </cell>
          <cell r="E278" t="str">
            <v>Quả</v>
          </cell>
          <cell r="F278">
            <v>1986</v>
          </cell>
          <cell r="G278" t="str">
            <v>A</v>
          </cell>
          <cell r="H278">
            <v>43242</v>
          </cell>
          <cell r="I278">
            <v>43334</v>
          </cell>
          <cell r="J278">
            <v>43791</v>
          </cell>
        </row>
        <row r="279">
          <cell r="C279" t="str">
            <v>1808-024</v>
          </cell>
          <cell r="D279" t="str">
            <v>Cao Dư</v>
          </cell>
          <cell r="E279" t="str">
            <v>Huấn</v>
          </cell>
          <cell r="F279">
            <v>1976</v>
          </cell>
          <cell r="G279" t="str">
            <v>A</v>
          </cell>
          <cell r="H279">
            <v>43242</v>
          </cell>
          <cell r="I279">
            <v>43334</v>
          </cell>
          <cell r="J279">
            <v>43883</v>
          </cell>
        </row>
        <row r="280">
          <cell r="C280" t="str">
            <v>1808-025</v>
          </cell>
          <cell r="D280" t="str">
            <v>Trần Văn</v>
          </cell>
          <cell r="E280" t="str">
            <v>Dũng</v>
          </cell>
          <cell r="F280">
            <v>1967</v>
          </cell>
          <cell r="G280" t="str">
            <v>A</v>
          </cell>
          <cell r="H280">
            <v>43250</v>
          </cell>
          <cell r="I280">
            <v>43336</v>
          </cell>
          <cell r="J280">
            <v>43890</v>
          </cell>
        </row>
        <row r="281">
          <cell r="C281" t="str">
            <v>1808-026</v>
          </cell>
          <cell r="D281" t="str">
            <v xml:space="preserve">Lê </v>
          </cell>
          <cell r="E281" t="str">
            <v>Minh</v>
          </cell>
          <cell r="F281">
            <v>1980</v>
          </cell>
          <cell r="G281" t="str">
            <v>E</v>
          </cell>
          <cell r="H281">
            <v>43312</v>
          </cell>
          <cell r="I281">
            <v>43340</v>
          </cell>
          <cell r="J281">
            <v>44043</v>
          </cell>
        </row>
        <row r="282">
          <cell r="C282" t="str">
            <v>1808-027</v>
          </cell>
          <cell r="D282" t="str">
            <v>Phạm Thanh</v>
          </cell>
          <cell r="E282" t="str">
            <v>Trung</v>
          </cell>
          <cell r="F282">
            <v>1991</v>
          </cell>
          <cell r="G282" t="str">
            <v>E</v>
          </cell>
          <cell r="H282">
            <v>43250</v>
          </cell>
          <cell r="I282">
            <v>43340</v>
          </cell>
          <cell r="J282">
            <v>43890</v>
          </cell>
        </row>
        <row r="283">
          <cell r="C283" t="str">
            <v>1808-028</v>
          </cell>
          <cell r="D283" t="str">
            <v>Vũ Đình</v>
          </cell>
          <cell r="E283" t="str">
            <v>Khương</v>
          </cell>
          <cell r="F283">
            <v>1979</v>
          </cell>
          <cell r="G283" t="str">
            <v>E</v>
          </cell>
          <cell r="H283">
            <v>43278</v>
          </cell>
          <cell r="I283">
            <v>43340</v>
          </cell>
          <cell r="J283">
            <v>43917</v>
          </cell>
        </row>
        <row r="284">
          <cell r="C284" t="str">
            <v>1808-029</v>
          </cell>
          <cell r="D284" t="str">
            <v>Nguyễn Hoàng Minh</v>
          </cell>
          <cell r="E284" t="str">
            <v>Tâm</v>
          </cell>
          <cell r="F284">
            <v>1989</v>
          </cell>
          <cell r="G284" t="str">
            <v>C</v>
          </cell>
          <cell r="H284">
            <v>43255</v>
          </cell>
          <cell r="I284">
            <v>43341</v>
          </cell>
          <cell r="J284">
            <v>43894</v>
          </cell>
        </row>
        <row r="285">
          <cell r="C285" t="str">
            <v>1808-030</v>
          </cell>
          <cell r="D285" t="str">
            <v>Nguyễn Văn</v>
          </cell>
          <cell r="E285" t="str">
            <v>Út</v>
          </cell>
          <cell r="F285">
            <v>1975</v>
          </cell>
          <cell r="G285" t="str">
            <v>C</v>
          </cell>
          <cell r="H285">
            <v>43286</v>
          </cell>
          <cell r="I285">
            <v>43341</v>
          </cell>
          <cell r="J285">
            <v>43835</v>
          </cell>
        </row>
        <row r="286">
          <cell r="C286" t="str">
            <v>1808-032</v>
          </cell>
          <cell r="D286" t="str">
            <v>Nguyễn Tấn</v>
          </cell>
          <cell r="E286" t="str">
            <v>Hòa</v>
          </cell>
          <cell r="F286">
            <v>1980</v>
          </cell>
          <cell r="G286" t="str">
            <v>C</v>
          </cell>
          <cell r="H286">
            <v>43265</v>
          </cell>
          <cell r="I286">
            <v>43342</v>
          </cell>
          <cell r="J286">
            <v>43813</v>
          </cell>
        </row>
        <row r="287">
          <cell r="C287" t="str">
            <v>1808-033</v>
          </cell>
          <cell r="D287" t="str">
            <v>Trần Văn</v>
          </cell>
          <cell r="E287" t="str">
            <v>Cam</v>
          </cell>
          <cell r="F287">
            <v>1968</v>
          </cell>
          <cell r="G287" t="str">
            <v>C</v>
          </cell>
          <cell r="H287">
            <v>43248</v>
          </cell>
          <cell r="I287">
            <v>43342</v>
          </cell>
          <cell r="J287">
            <v>43979</v>
          </cell>
          <cell r="L287" t="str">
            <v>KL</v>
          </cell>
          <cell r="M287">
            <v>43630</v>
          </cell>
          <cell r="N287">
            <v>35</v>
          </cell>
          <cell r="O287">
            <v>43665</v>
          </cell>
        </row>
        <row r="288">
          <cell r="C288" t="str">
            <v>1808-034</v>
          </cell>
          <cell r="D288" t="str">
            <v>Đặng Đình</v>
          </cell>
          <cell r="E288" t="str">
            <v>Lâm</v>
          </cell>
          <cell r="F288">
            <v>1979</v>
          </cell>
          <cell r="G288" t="str">
            <v>C</v>
          </cell>
          <cell r="H288">
            <v>43275</v>
          </cell>
          <cell r="I288">
            <v>43343</v>
          </cell>
          <cell r="J288">
            <v>43732</v>
          </cell>
        </row>
        <row r="289">
          <cell r="C289" t="str">
            <v>1808-035</v>
          </cell>
          <cell r="D289" t="str">
            <v>Võ Thanh</v>
          </cell>
          <cell r="E289" t="str">
            <v>Hùng</v>
          </cell>
          <cell r="F289">
            <v>1988</v>
          </cell>
          <cell r="G289" t="str">
            <v>C</v>
          </cell>
          <cell r="H289">
            <v>43276</v>
          </cell>
          <cell r="I289">
            <v>43343</v>
          </cell>
          <cell r="J289">
            <v>43733</v>
          </cell>
        </row>
        <row r="290">
          <cell r="C290" t="str">
            <v>1808-036</v>
          </cell>
          <cell r="D290" t="str">
            <v>Trần Văn</v>
          </cell>
          <cell r="E290" t="str">
            <v>Vàng</v>
          </cell>
          <cell r="F290">
            <v>1986</v>
          </cell>
          <cell r="G290" t="str">
            <v>C</v>
          </cell>
          <cell r="H290">
            <v>43254</v>
          </cell>
          <cell r="I290">
            <v>43343</v>
          </cell>
          <cell r="J290">
            <v>43893</v>
          </cell>
        </row>
        <row r="291">
          <cell r="C291" t="str">
            <v>1809-001</v>
          </cell>
          <cell r="D291" t="str">
            <v>Nguyễn Trường</v>
          </cell>
          <cell r="E291" t="str">
            <v>An</v>
          </cell>
          <cell r="F291">
            <v>1987</v>
          </cell>
          <cell r="G291" t="str">
            <v>A</v>
          </cell>
          <cell r="H291">
            <v>43259</v>
          </cell>
          <cell r="I291">
            <v>43354</v>
          </cell>
          <cell r="J291">
            <v>43807</v>
          </cell>
        </row>
        <row r="292">
          <cell r="C292" t="str">
            <v>1809-002</v>
          </cell>
          <cell r="D292" t="str">
            <v>Hoàng Tiến</v>
          </cell>
          <cell r="E292" t="str">
            <v>Dũng</v>
          </cell>
          <cell r="F292">
            <v>1992</v>
          </cell>
          <cell r="G292" t="str">
            <v>C</v>
          </cell>
          <cell r="H292">
            <v>43297</v>
          </cell>
          <cell r="I292">
            <v>43354</v>
          </cell>
          <cell r="J292">
            <v>43846</v>
          </cell>
        </row>
        <row r="293">
          <cell r="C293" t="str">
            <v>1809-003</v>
          </cell>
          <cell r="D293" t="str">
            <v>Nguyễn Hữu</v>
          </cell>
          <cell r="E293" t="str">
            <v>Phan</v>
          </cell>
          <cell r="F293">
            <v>1960</v>
          </cell>
          <cell r="G293" t="str">
            <v>C</v>
          </cell>
          <cell r="H293">
            <v>43265</v>
          </cell>
          <cell r="I293">
            <v>43354</v>
          </cell>
          <cell r="J293">
            <v>43813</v>
          </cell>
        </row>
        <row r="294">
          <cell r="C294" t="str">
            <v>1809-004</v>
          </cell>
          <cell r="D294" t="str">
            <v>Trịnh Hoàng</v>
          </cell>
          <cell r="E294" t="str">
            <v>Hùng</v>
          </cell>
          <cell r="F294">
            <v>1970</v>
          </cell>
          <cell r="G294" t="str">
            <v>C</v>
          </cell>
          <cell r="H294">
            <v>43327</v>
          </cell>
          <cell r="I294">
            <v>43356</v>
          </cell>
          <cell r="J294">
            <v>44058</v>
          </cell>
        </row>
        <row r="295">
          <cell r="C295" t="str">
            <v>1809-005</v>
          </cell>
          <cell r="D295" t="str">
            <v xml:space="preserve">Bùi Phương </v>
          </cell>
          <cell r="E295" t="str">
            <v>Tiến</v>
          </cell>
          <cell r="F295">
            <v>1986</v>
          </cell>
          <cell r="G295" t="str">
            <v>C</v>
          </cell>
          <cell r="H295">
            <v>43265</v>
          </cell>
          <cell r="I295">
            <v>43357</v>
          </cell>
          <cell r="J295">
            <v>43813</v>
          </cell>
          <cell r="L295" t="str">
            <v>NA</v>
          </cell>
        </row>
        <row r="296">
          <cell r="C296" t="str">
            <v>1809-006</v>
          </cell>
          <cell r="D296" t="str">
            <v xml:space="preserve">Cao Anh </v>
          </cell>
          <cell r="E296" t="str">
            <v>Huy</v>
          </cell>
          <cell r="F296">
            <v>1978</v>
          </cell>
          <cell r="G296" t="str">
            <v>C</v>
          </cell>
          <cell r="H296">
            <v>43248</v>
          </cell>
          <cell r="I296">
            <v>43357</v>
          </cell>
          <cell r="J296">
            <v>43797</v>
          </cell>
          <cell r="L296" t="str">
            <v>NA</v>
          </cell>
        </row>
        <row r="297">
          <cell r="C297" t="str">
            <v>1809-007</v>
          </cell>
          <cell r="D297" t="str">
            <v xml:space="preserve">Trần Duy </v>
          </cell>
          <cell r="E297" t="str">
            <v>Linh</v>
          </cell>
          <cell r="F297">
            <v>1990</v>
          </cell>
          <cell r="G297" t="str">
            <v>C</v>
          </cell>
          <cell r="H297">
            <v>43259</v>
          </cell>
          <cell r="I297">
            <v>43357</v>
          </cell>
          <cell r="J297">
            <v>43716</v>
          </cell>
        </row>
        <row r="298">
          <cell r="C298" t="str">
            <v>1809-008</v>
          </cell>
          <cell r="D298" t="str">
            <v xml:space="preserve">Võ Hoàng Quốc </v>
          </cell>
          <cell r="E298" t="str">
            <v>Cường</v>
          </cell>
          <cell r="F298">
            <v>1992</v>
          </cell>
          <cell r="G298" t="str">
            <v>C</v>
          </cell>
          <cell r="H298">
            <v>43269</v>
          </cell>
          <cell r="I298">
            <v>43357</v>
          </cell>
          <cell r="J298">
            <v>43817</v>
          </cell>
        </row>
        <row r="299">
          <cell r="C299" t="str">
            <v>1809-009</v>
          </cell>
          <cell r="D299" t="str">
            <v xml:space="preserve">Phạm Anh </v>
          </cell>
          <cell r="E299" t="str">
            <v>Tuấn</v>
          </cell>
          <cell r="F299">
            <v>1970</v>
          </cell>
          <cell r="G299" t="str">
            <v>C</v>
          </cell>
          <cell r="H299">
            <v>43276</v>
          </cell>
          <cell r="I299">
            <v>43357</v>
          </cell>
          <cell r="J299">
            <v>43915</v>
          </cell>
        </row>
        <row r="300">
          <cell r="C300" t="str">
            <v>1809-010</v>
          </cell>
          <cell r="D300" t="str">
            <v xml:space="preserve">Đinh Hoàng </v>
          </cell>
          <cell r="E300" t="str">
            <v>Long</v>
          </cell>
          <cell r="F300">
            <v>1989</v>
          </cell>
          <cell r="G300" t="str">
            <v>C</v>
          </cell>
          <cell r="H300">
            <v>43287</v>
          </cell>
          <cell r="I300">
            <v>43357</v>
          </cell>
          <cell r="J300">
            <v>43896</v>
          </cell>
        </row>
        <row r="301">
          <cell r="C301" t="str">
            <v>1809-011</v>
          </cell>
          <cell r="D301" t="str">
            <v xml:space="preserve">Nguyễn Tiến </v>
          </cell>
          <cell r="E301" t="str">
            <v>Lợi</v>
          </cell>
          <cell r="F301">
            <v>1987</v>
          </cell>
          <cell r="G301" t="str">
            <v>C</v>
          </cell>
          <cell r="H301">
            <v>43284</v>
          </cell>
          <cell r="I301">
            <v>43357</v>
          </cell>
          <cell r="J301">
            <v>44015</v>
          </cell>
          <cell r="L301" t="str">
            <v>KL</v>
          </cell>
          <cell r="M301">
            <v>43506</v>
          </cell>
          <cell r="N301">
            <v>185</v>
          </cell>
          <cell r="O301">
            <v>43691</v>
          </cell>
        </row>
        <row r="302">
          <cell r="C302" t="str">
            <v>1809-012</v>
          </cell>
          <cell r="D302" t="str">
            <v xml:space="preserve">Nguyễn Văn </v>
          </cell>
          <cell r="E302" t="str">
            <v>Minh</v>
          </cell>
          <cell r="F302">
            <v>1968</v>
          </cell>
          <cell r="G302" t="str">
            <v>C</v>
          </cell>
          <cell r="H302">
            <v>43265</v>
          </cell>
          <cell r="I302">
            <v>43361</v>
          </cell>
          <cell r="J302">
            <v>43904</v>
          </cell>
          <cell r="L302" t="str">
            <v>KL</v>
          </cell>
          <cell r="M302">
            <v>43586</v>
          </cell>
          <cell r="N302">
            <v>85</v>
          </cell>
          <cell r="O302">
            <v>43671</v>
          </cell>
        </row>
        <row r="303">
          <cell r="C303" t="str">
            <v>1809-013</v>
          </cell>
          <cell r="D303" t="str">
            <v xml:space="preserve">Nguyễn Thế </v>
          </cell>
          <cell r="E303" t="str">
            <v>Chương</v>
          </cell>
          <cell r="F303">
            <v>1972</v>
          </cell>
          <cell r="G303" t="str">
            <v>C</v>
          </cell>
          <cell r="H303">
            <v>43285</v>
          </cell>
          <cell r="I303">
            <v>43363</v>
          </cell>
          <cell r="J303">
            <v>43955</v>
          </cell>
        </row>
        <row r="304">
          <cell r="C304" t="str">
            <v>1809-014</v>
          </cell>
          <cell r="D304" t="str">
            <v xml:space="preserve">Trịnh Tuấn </v>
          </cell>
          <cell r="E304" t="str">
            <v>Anh</v>
          </cell>
          <cell r="F304">
            <v>1988</v>
          </cell>
          <cell r="G304" t="str">
            <v>C</v>
          </cell>
          <cell r="H304">
            <v>43285</v>
          </cell>
          <cell r="I304">
            <v>43363</v>
          </cell>
          <cell r="J304">
            <v>43834</v>
          </cell>
          <cell r="L304" t="str">
            <v>NA</v>
          </cell>
        </row>
        <row r="305">
          <cell r="C305" t="str">
            <v>1809-015</v>
          </cell>
          <cell r="D305" t="str">
            <v xml:space="preserve">Nguyễn Văn </v>
          </cell>
          <cell r="E305" t="str">
            <v>Trung</v>
          </cell>
          <cell r="F305">
            <v>1986</v>
          </cell>
          <cell r="G305" t="str">
            <v>C</v>
          </cell>
          <cell r="H305">
            <v>43277</v>
          </cell>
          <cell r="I305">
            <v>43363</v>
          </cell>
          <cell r="J305">
            <v>43825</v>
          </cell>
        </row>
        <row r="306">
          <cell r="C306" t="str">
            <v>1809-016</v>
          </cell>
          <cell r="D306" t="str">
            <v>Nguyễn Thành</v>
          </cell>
          <cell r="E306" t="str">
            <v>Tâm</v>
          </cell>
          <cell r="F306">
            <v>1975</v>
          </cell>
          <cell r="G306" t="str">
            <v>A</v>
          </cell>
          <cell r="H306">
            <v>43300</v>
          </cell>
          <cell r="I306">
            <v>43364</v>
          </cell>
          <cell r="J306">
            <v>43849</v>
          </cell>
        </row>
        <row r="307">
          <cell r="C307" t="str">
            <v>1809-017</v>
          </cell>
          <cell r="D307" t="str">
            <v>Trần Khả</v>
          </cell>
          <cell r="E307" t="str">
            <v>Sơn</v>
          </cell>
          <cell r="F307">
            <v>1972</v>
          </cell>
          <cell r="G307" t="str">
            <v>C</v>
          </cell>
          <cell r="H307">
            <v>43304</v>
          </cell>
          <cell r="I307">
            <v>43364</v>
          </cell>
          <cell r="J307">
            <v>43944</v>
          </cell>
        </row>
        <row r="308">
          <cell r="C308" t="str">
            <v>1809-018</v>
          </cell>
          <cell r="D308" t="str">
            <v xml:space="preserve">Đoàn Công </v>
          </cell>
          <cell r="E308" t="str">
            <v>Đức</v>
          </cell>
          <cell r="F308">
            <v>1986</v>
          </cell>
          <cell r="G308" t="str">
            <v>C</v>
          </cell>
          <cell r="H308">
            <v>43280</v>
          </cell>
          <cell r="I308">
            <v>43369</v>
          </cell>
          <cell r="J308">
            <v>43919</v>
          </cell>
        </row>
        <row r="309">
          <cell r="C309" t="str">
            <v>1809-019</v>
          </cell>
          <cell r="D309" t="str">
            <v>Quách Triệu</v>
          </cell>
          <cell r="E309" t="str">
            <v>Hưng</v>
          </cell>
          <cell r="F309">
            <v>1983</v>
          </cell>
          <cell r="G309" t="str">
            <v>C</v>
          </cell>
          <cell r="H309">
            <v>43302</v>
          </cell>
          <cell r="I309">
            <v>43371</v>
          </cell>
          <cell r="J309">
            <v>43942</v>
          </cell>
        </row>
        <row r="310">
          <cell r="C310" t="str">
            <v>1809-020</v>
          </cell>
          <cell r="D310" t="str">
            <v xml:space="preserve">Quách Quang </v>
          </cell>
          <cell r="E310" t="str">
            <v>Bình</v>
          </cell>
          <cell r="F310">
            <v>1980</v>
          </cell>
          <cell r="G310" t="str">
            <v>C</v>
          </cell>
          <cell r="H310">
            <v>43284</v>
          </cell>
          <cell r="I310">
            <v>43371</v>
          </cell>
          <cell r="J310">
            <v>43924</v>
          </cell>
        </row>
        <row r="311">
          <cell r="C311" t="str">
            <v>1809-021</v>
          </cell>
          <cell r="D311" t="str">
            <v>Hứa Vĩnh</v>
          </cell>
          <cell r="E311" t="str">
            <v>Phước</v>
          </cell>
          <cell r="F311">
            <v>1967</v>
          </cell>
          <cell r="G311" t="str">
            <v>C</v>
          </cell>
          <cell r="H311">
            <v>43310</v>
          </cell>
          <cell r="I311">
            <v>43371</v>
          </cell>
          <cell r="J311">
            <v>43950</v>
          </cell>
        </row>
        <row r="312">
          <cell r="C312" t="str">
            <v>1810-001</v>
          </cell>
          <cell r="D312" t="str">
            <v>Đỗ Lập</v>
          </cell>
          <cell r="E312" t="str">
            <v xml:space="preserve"> Đức</v>
          </cell>
          <cell r="F312">
            <v>1977</v>
          </cell>
          <cell r="G312" t="str">
            <v>C</v>
          </cell>
          <cell r="H312">
            <v>43292</v>
          </cell>
          <cell r="I312">
            <v>43376</v>
          </cell>
          <cell r="J312">
            <v>43841</v>
          </cell>
        </row>
        <row r="313">
          <cell r="C313" t="str">
            <v>1810-002</v>
          </cell>
          <cell r="D313" t="str">
            <v>Nguyễn Văn</v>
          </cell>
          <cell r="E313" t="str">
            <v>Hào</v>
          </cell>
          <cell r="F313">
            <v>1976</v>
          </cell>
          <cell r="G313" t="str">
            <v>C</v>
          </cell>
          <cell r="H313" t="str">
            <v>07/07/2018</v>
          </cell>
          <cell r="I313">
            <v>43376</v>
          </cell>
          <cell r="J313">
            <v>43928</v>
          </cell>
        </row>
        <row r="314">
          <cell r="C314" t="str">
            <v>1810-003</v>
          </cell>
          <cell r="D314" t="str">
            <v>Trần Quốc</v>
          </cell>
          <cell r="E314" t="str">
            <v>Thắng</v>
          </cell>
          <cell r="F314">
            <v>1987</v>
          </cell>
          <cell r="G314" t="str">
            <v>C</v>
          </cell>
          <cell r="H314" t="str">
            <v>18/07/2018</v>
          </cell>
          <cell r="I314">
            <v>43377</v>
          </cell>
          <cell r="J314">
            <v>43848</v>
          </cell>
          <cell r="L314" t="str">
            <v>YT</v>
          </cell>
          <cell r="M314">
            <v>43488</v>
          </cell>
        </row>
        <row r="315">
          <cell r="C315" t="str">
            <v>1810-004</v>
          </cell>
          <cell r="D315" t="str">
            <v>Ngô Hoàng Duy</v>
          </cell>
          <cell r="E315" t="str">
            <v>Lâm</v>
          </cell>
          <cell r="F315">
            <v>1984</v>
          </cell>
          <cell r="G315" t="str">
            <v>C</v>
          </cell>
          <cell r="H315" t="str">
            <v>12/07/2018</v>
          </cell>
          <cell r="I315">
            <v>43377</v>
          </cell>
          <cell r="J315">
            <v>43842</v>
          </cell>
        </row>
        <row r="316">
          <cell r="C316" t="str">
            <v>1810-005</v>
          </cell>
          <cell r="D316" t="str">
            <v>Nguyễn Đức</v>
          </cell>
          <cell r="E316" t="str">
            <v>Lâm</v>
          </cell>
          <cell r="F316">
            <v>1973</v>
          </cell>
          <cell r="G316" t="str">
            <v>D</v>
          </cell>
          <cell r="H316" t="str">
            <v>24/07/2018</v>
          </cell>
          <cell r="I316">
            <v>43377</v>
          </cell>
          <cell r="J316">
            <v>43854</v>
          </cell>
        </row>
        <row r="317">
          <cell r="C317" t="str">
            <v>1810-006</v>
          </cell>
          <cell r="D317" t="str">
            <v>Nguyễn Hoàng Hải</v>
          </cell>
          <cell r="E317" t="str">
            <v>Huy</v>
          </cell>
          <cell r="F317">
            <v>1977</v>
          </cell>
          <cell r="G317" t="str">
            <v>C</v>
          </cell>
          <cell r="H317" t="str">
            <v>19/07/2018</v>
          </cell>
          <cell r="I317">
            <v>43377</v>
          </cell>
          <cell r="J317">
            <v>43849</v>
          </cell>
          <cell r="L317" t="str">
            <v>YT</v>
          </cell>
          <cell r="M317">
            <v>43616</v>
          </cell>
        </row>
        <row r="318">
          <cell r="C318" t="str">
            <v>1810-007</v>
          </cell>
          <cell r="D318" t="str">
            <v>Nguyễn Trần</v>
          </cell>
          <cell r="E318" t="str">
            <v>Long</v>
          </cell>
          <cell r="F318">
            <v>1974</v>
          </cell>
          <cell r="G318" t="str">
            <v>C</v>
          </cell>
          <cell r="H318">
            <v>43264</v>
          </cell>
          <cell r="I318">
            <v>43377</v>
          </cell>
          <cell r="J318">
            <v>43812</v>
          </cell>
        </row>
        <row r="319">
          <cell r="C319" t="str">
            <v>1810-008</v>
          </cell>
          <cell r="D319" t="str">
            <v>Huỳnh Tấn</v>
          </cell>
          <cell r="E319" t="str">
            <v>Tài</v>
          </cell>
          <cell r="F319">
            <v>1977</v>
          </cell>
          <cell r="G319" t="str">
            <v>C</v>
          </cell>
          <cell r="H319">
            <v>43301</v>
          </cell>
          <cell r="I319">
            <v>43378</v>
          </cell>
          <cell r="J319">
            <v>43850</v>
          </cell>
          <cell r="L319" t="str">
            <v>DL</v>
          </cell>
        </row>
        <row r="320">
          <cell r="C320" t="str">
            <v>1810-009</v>
          </cell>
          <cell r="D320" t="str">
            <v>Huỳnh Quốc</v>
          </cell>
          <cell r="E320" t="str">
            <v>Huy</v>
          </cell>
          <cell r="F320">
            <v>1988</v>
          </cell>
          <cell r="G320" t="str">
            <v>C</v>
          </cell>
          <cell r="H320">
            <v>43295</v>
          </cell>
          <cell r="I320">
            <v>43378</v>
          </cell>
          <cell r="J320">
            <v>43844</v>
          </cell>
        </row>
        <row r="321">
          <cell r="C321" t="str">
            <v>1810-010</v>
          </cell>
          <cell r="D321" t="str">
            <v xml:space="preserve">Bùi Minh </v>
          </cell>
          <cell r="E321" t="str">
            <v>Hiếu</v>
          </cell>
          <cell r="F321">
            <v>1981</v>
          </cell>
          <cell r="G321" t="str">
            <v>E</v>
          </cell>
          <cell r="H321">
            <v>43355</v>
          </cell>
          <cell r="I321">
            <v>43383</v>
          </cell>
          <cell r="J321">
            <v>43902</v>
          </cell>
        </row>
        <row r="322">
          <cell r="C322" t="str">
            <v>1810-011</v>
          </cell>
          <cell r="D322" t="str">
            <v>Trần Hoàng</v>
          </cell>
          <cell r="E322" t="str">
            <v>Phú</v>
          </cell>
          <cell r="F322">
            <v>1980</v>
          </cell>
          <cell r="G322" t="str">
            <v>E</v>
          </cell>
          <cell r="H322">
            <v>43306</v>
          </cell>
          <cell r="I322">
            <v>43389</v>
          </cell>
          <cell r="J322">
            <v>43855</v>
          </cell>
        </row>
        <row r="323">
          <cell r="C323" t="str">
            <v>1810-012</v>
          </cell>
          <cell r="D323" t="str">
            <v>Châu Thế</v>
          </cell>
          <cell r="E323" t="str">
            <v>Hào</v>
          </cell>
          <cell r="F323">
            <v>1967</v>
          </cell>
          <cell r="G323" t="str">
            <v>E</v>
          </cell>
          <cell r="H323">
            <v>43330</v>
          </cell>
          <cell r="I323">
            <v>43389</v>
          </cell>
          <cell r="J323">
            <v>43879</v>
          </cell>
        </row>
        <row r="324">
          <cell r="C324" t="str">
            <v>1810-013</v>
          </cell>
          <cell r="D324" t="str">
            <v>Phan Văn</v>
          </cell>
          <cell r="E324" t="str">
            <v>Sị</v>
          </cell>
          <cell r="F324">
            <v>1983</v>
          </cell>
          <cell r="G324" t="str">
            <v>E</v>
          </cell>
          <cell r="H324">
            <v>43318</v>
          </cell>
          <cell r="I324">
            <v>43390</v>
          </cell>
          <cell r="J324">
            <v>43957</v>
          </cell>
        </row>
        <row r="325">
          <cell r="C325" t="str">
            <v>1810-014</v>
          </cell>
          <cell r="D325" t="str">
            <v xml:space="preserve">Võ Văn </v>
          </cell>
          <cell r="E325" t="str">
            <v>Minh</v>
          </cell>
          <cell r="F325">
            <v>1974</v>
          </cell>
          <cell r="G325" t="str">
            <v>A</v>
          </cell>
          <cell r="H325">
            <v>43320</v>
          </cell>
          <cell r="I325">
            <v>43390</v>
          </cell>
          <cell r="J325">
            <v>43990</v>
          </cell>
          <cell r="L325" t="str">
            <v>KL</v>
          </cell>
          <cell r="M325">
            <v>43638</v>
          </cell>
        </row>
        <row r="326">
          <cell r="C326" t="str">
            <v>1810-015</v>
          </cell>
          <cell r="D326" t="str">
            <v>Nguyễn Quốc</v>
          </cell>
          <cell r="E326" t="str">
            <v>Năm</v>
          </cell>
          <cell r="F326">
            <v>1994</v>
          </cell>
          <cell r="G326" t="str">
            <v>E</v>
          </cell>
          <cell r="H326">
            <v>43363</v>
          </cell>
          <cell r="I326">
            <v>43330</v>
          </cell>
          <cell r="J326">
            <v>43971</v>
          </cell>
        </row>
        <row r="327">
          <cell r="C327" t="str">
            <v>1810-016</v>
          </cell>
          <cell r="D327" t="str">
            <v>Ngô Trọng</v>
          </cell>
          <cell r="E327" t="str">
            <v>Đức</v>
          </cell>
          <cell r="F327">
            <v>1980</v>
          </cell>
          <cell r="G327" t="str">
            <v>E</v>
          </cell>
          <cell r="H327">
            <v>43363</v>
          </cell>
          <cell r="I327">
            <v>43330</v>
          </cell>
          <cell r="J327">
            <v>44002</v>
          </cell>
          <cell r="L327" t="str">
            <v>KL</v>
          </cell>
          <cell r="M327">
            <v>43588</v>
          </cell>
          <cell r="N327">
            <v>95</v>
          </cell>
          <cell r="O327">
            <v>43683</v>
          </cell>
        </row>
        <row r="328">
          <cell r="C328" t="str">
            <v>1810-017</v>
          </cell>
          <cell r="D328" t="str">
            <v>Vũ Đức</v>
          </cell>
          <cell r="E328" t="str">
            <v>Hùng</v>
          </cell>
          <cell r="F328">
            <v>1986</v>
          </cell>
          <cell r="G328" t="str">
            <v>E</v>
          </cell>
          <cell r="H328">
            <v>43300</v>
          </cell>
          <cell r="I328">
            <v>43392</v>
          </cell>
          <cell r="J328">
            <v>43940</v>
          </cell>
        </row>
        <row r="329">
          <cell r="C329" t="str">
            <v>1810-018</v>
          </cell>
          <cell r="D329" t="str">
            <v>Nguyễn Minh</v>
          </cell>
          <cell r="E329" t="str">
            <v>Thống</v>
          </cell>
          <cell r="F329">
            <v>1979</v>
          </cell>
          <cell r="G329" t="str">
            <v>E</v>
          </cell>
          <cell r="H329">
            <v>43303</v>
          </cell>
          <cell r="I329">
            <v>43397</v>
          </cell>
          <cell r="J329">
            <v>43852</v>
          </cell>
        </row>
        <row r="330">
          <cell r="C330" t="str">
            <v>1810-019</v>
          </cell>
          <cell r="D330" t="str">
            <v xml:space="preserve">Nguyễn Hồng </v>
          </cell>
          <cell r="E330" t="str">
            <v>Nghệ</v>
          </cell>
          <cell r="F330">
            <v>1969</v>
          </cell>
          <cell r="G330" t="str">
            <v>E</v>
          </cell>
          <cell r="H330">
            <v>43326</v>
          </cell>
          <cell r="I330">
            <v>43397</v>
          </cell>
          <cell r="J330">
            <v>43813</v>
          </cell>
          <cell r="L330" t="str">
            <v>YT</v>
          </cell>
          <cell r="M330">
            <v>43458</v>
          </cell>
        </row>
        <row r="331">
          <cell r="C331" t="str">
            <v>1810-020</v>
          </cell>
          <cell r="D331" t="str">
            <v>Đỗ Thanh</v>
          </cell>
          <cell r="E331" t="str">
            <v>Sơn</v>
          </cell>
          <cell r="F331">
            <v>1979</v>
          </cell>
          <cell r="G331" t="str">
            <v>E</v>
          </cell>
          <cell r="H331">
            <v>43314</v>
          </cell>
          <cell r="I331">
            <v>43397</v>
          </cell>
          <cell r="J331">
            <v>43771</v>
          </cell>
        </row>
        <row r="332">
          <cell r="C332" t="str">
            <v>1810-021</v>
          </cell>
          <cell r="D332" t="str">
            <v>Từ Chí</v>
          </cell>
          <cell r="E332" t="str">
            <v>Hùng</v>
          </cell>
          <cell r="F332">
            <v>1981</v>
          </cell>
          <cell r="G332" t="str">
            <v>B</v>
          </cell>
          <cell r="H332">
            <v>43310</v>
          </cell>
          <cell r="I332">
            <v>43397</v>
          </cell>
          <cell r="J332">
            <v>43828</v>
          </cell>
        </row>
        <row r="333">
          <cell r="C333" t="str">
            <v>1810-022</v>
          </cell>
          <cell r="D333" t="str">
            <v xml:space="preserve">Lê Minh </v>
          </cell>
          <cell r="E333" t="str">
            <v>Thắng</v>
          </cell>
          <cell r="F333">
            <v>1979</v>
          </cell>
          <cell r="G333" t="str">
            <v>E</v>
          </cell>
          <cell r="H333">
            <v>43312</v>
          </cell>
          <cell r="I333">
            <v>43399</v>
          </cell>
          <cell r="J333">
            <v>43951</v>
          </cell>
        </row>
        <row r="334">
          <cell r="C334" t="str">
            <v>1810-023</v>
          </cell>
          <cell r="D334" t="str">
            <v>Phạm</v>
          </cell>
          <cell r="E334" t="str">
            <v>Biển</v>
          </cell>
          <cell r="F334">
            <v>1986</v>
          </cell>
          <cell r="G334" t="str">
            <v>E</v>
          </cell>
          <cell r="H334">
            <v>43303</v>
          </cell>
          <cell r="I334">
            <v>43399</v>
          </cell>
          <cell r="J334">
            <v>43852</v>
          </cell>
        </row>
        <row r="335">
          <cell r="C335" t="str">
            <v>1810-024</v>
          </cell>
          <cell r="D335" t="str">
            <v xml:space="preserve">Nguyễn Minh </v>
          </cell>
          <cell r="E335" t="str">
            <v>Nghĩa</v>
          </cell>
          <cell r="F335">
            <v>1982</v>
          </cell>
          <cell r="G335" t="str">
            <v>E</v>
          </cell>
          <cell r="H335">
            <v>43319</v>
          </cell>
          <cell r="I335">
            <v>43403</v>
          </cell>
          <cell r="J335">
            <v>43776</v>
          </cell>
        </row>
        <row r="336">
          <cell r="C336" t="str">
            <v>1810-025</v>
          </cell>
          <cell r="D336" t="str">
            <v xml:space="preserve">Trần Hiếu </v>
          </cell>
          <cell r="E336" t="str">
            <v>Trung</v>
          </cell>
          <cell r="F336">
            <v>1987</v>
          </cell>
          <cell r="G336" t="str">
            <v>E</v>
          </cell>
          <cell r="H336">
            <v>43327</v>
          </cell>
          <cell r="I336">
            <v>43404</v>
          </cell>
          <cell r="J336">
            <v>43966</v>
          </cell>
        </row>
        <row r="337">
          <cell r="C337" t="str">
            <v>1810-026</v>
          </cell>
          <cell r="D337" t="str">
            <v xml:space="preserve">Nguyễn Long  </v>
          </cell>
          <cell r="E337" t="str">
            <v>Hồ</v>
          </cell>
          <cell r="F337">
            <v>1991</v>
          </cell>
          <cell r="G337" t="str">
            <v>E</v>
          </cell>
          <cell r="H337">
            <v>43334</v>
          </cell>
          <cell r="I337">
            <v>43404</v>
          </cell>
          <cell r="J337">
            <v>43973</v>
          </cell>
        </row>
        <row r="338">
          <cell r="C338" t="str">
            <v>1811-001</v>
          </cell>
          <cell r="D338" t="str">
            <v xml:space="preserve">Huỳnh Quang </v>
          </cell>
          <cell r="E338" t="str">
            <v>Minh</v>
          </cell>
          <cell r="F338">
            <v>1979</v>
          </cell>
          <cell r="G338" t="str">
            <v>E</v>
          </cell>
          <cell r="H338">
            <v>43326</v>
          </cell>
          <cell r="I338">
            <v>43405</v>
          </cell>
          <cell r="J338">
            <v>43875</v>
          </cell>
        </row>
        <row r="339">
          <cell r="C339" t="str">
            <v>1811-002</v>
          </cell>
          <cell r="D339" t="str">
            <v xml:space="preserve">Nguyễn Trọng </v>
          </cell>
          <cell r="E339" t="str">
            <v>Hiền</v>
          </cell>
          <cell r="F339">
            <v>1970</v>
          </cell>
          <cell r="G339" t="str">
            <v>E</v>
          </cell>
          <cell r="H339">
            <v>43330</v>
          </cell>
          <cell r="I339">
            <v>43405</v>
          </cell>
          <cell r="J339">
            <v>44000</v>
          </cell>
        </row>
        <row r="340">
          <cell r="C340" t="str">
            <v>1811-003</v>
          </cell>
          <cell r="D340" t="str">
            <v xml:space="preserve">Võ Thành </v>
          </cell>
          <cell r="E340" t="str">
            <v>Tân</v>
          </cell>
          <cell r="F340">
            <v>1992</v>
          </cell>
          <cell r="G340" t="str">
            <v>A</v>
          </cell>
          <cell r="H340">
            <v>43314</v>
          </cell>
          <cell r="I340">
            <v>43406</v>
          </cell>
          <cell r="J340">
            <v>43863</v>
          </cell>
        </row>
        <row r="341">
          <cell r="C341" t="str">
            <v>1811-004</v>
          </cell>
          <cell r="D341" t="str">
            <v>Nguyễn Thái</v>
          </cell>
          <cell r="E341" t="str">
            <v>Học</v>
          </cell>
          <cell r="F341">
            <v>1987</v>
          </cell>
          <cell r="G341" t="str">
            <v>B</v>
          </cell>
          <cell r="H341">
            <v>43334</v>
          </cell>
          <cell r="I341">
            <v>43410</v>
          </cell>
          <cell r="J341">
            <v>44065</v>
          </cell>
        </row>
        <row r="342">
          <cell r="C342" t="str">
            <v>1811-005</v>
          </cell>
          <cell r="D342" t="str">
            <v>Phạm Hoàng Duy</v>
          </cell>
          <cell r="E342" t="str">
            <v>Tuấn</v>
          </cell>
          <cell r="F342">
            <v>1984</v>
          </cell>
          <cell r="G342" t="str">
            <v>B</v>
          </cell>
          <cell r="H342">
            <v>43320</v>
          </cell>
          <cell r="I342">
            <v>43410</v>
          </cell>
          <cell r="J342">
            <v>43777</v>
          </cell>
        </row>
        <row r="343">
          <cell r="C343" t="str">
            <v>1811-006</v>
          </cell>
          <cell r="D343" t="str">
            <v xml:space="preserve">Nguyễn Đức </v>
          </cell>
          <cell r="E343" t="str">
            <v>Hùng</v>
          </cell>
          <cell r="F343">
            <v>1978</v>
          </cell>
          <cell r="G343" t="str">
            <v>B</v>
          </cell>
          <cell r="H343">
            <v>43344</v>
          </cell>
          <cell r="I343">
            <v>43410</v>
          </cell>
          <cell r="J343">
            <v>43800</v>
          </cell>
        </row>
        <row r="344">
          <cell r="C344" t="str">
            <v>1811-007</v>
          </cell>
          <cell r="D344" t="str">
            <v xml:space="preserve">Cao Trần </v>
          </cell>
          <cell r="E344" t="str">
            <v>Long</v>
          </cell>
          <cell r="F344">
            <v>1981</v>
          </cell>
          <cell r="G344" t="str">
            <v>B</v>
          </cell>
          <cell r="H344">
            <v>43313</v>
          </cell>
          <cell r="I344">
            <v>43410</v>
          </cell>
          <cell r="J344">
            <v>43952</v>
          </cell>
        </row>
        <row r="345">
          <cell r="C345" t="str">
            <v>1811-008</v>
          </cell>
          <cell r="D345" t="str">
            <v xml:space="preserve">Huỳnh Thanh </v>
          </cell>
          <cell r="E345" t="str">
            <v>Liêm</v>
          </cell>
          <cell r="F345">
            <v>1982</v>
          </cell>
          <cell r="G345" t="str">
            <v>B</v>
          </cell>
          <cell r="H345">
            <v>43313</v>
          </cell>
          <cell r="I345">
            <v>43411</v>
          </cell>
          <cell r="J345">
            <v>43862</v>
          </cell>
          <cell r="L345" t="str">
            <v>NA</v>
          </cell>
        </row>
        <row r="346">
          <cell r="C346" t="str">
            <v>1811-009</v>
          </cell>
          <cell r="D346" t="str">
            <v xml:space="preserve">Đinh Công </v>
          </cell>
          <cell r="E346" t="str">
            <v>Chánh</v>
          </cell>
          <cell r="F346">
            <v>1967</v>
          </cell>
          <cell r="G346" t="str">
            <v>B</v>
          </cell>
          <cell r="H346">
            <v>43313</v>
          </cell>
          <cell r="I346">
            <v>43411</v>
          </cell>
          <cell r="J346">
            <v>44044</v>
          </cell>
        </row>
        <row r="347">
          <cell r="C347" t="str">
            <v>1811-010</v>
          </cell>
          <cell r="D347" t="str">
            <v xml:space="preserve">Nguyễn Ngọc </v>
          </cell>
          <cell r="E347" t="str">
            <v>Trung</v>
          </cell>
          <cell r="F347">
            <v>1971</v>
          </cell>
          <cell r="G347" t="str">
            <v>B</v>
          </cell>
          <cell r="H347">
            <v>43309</v>
          </cell>
          <cell r="I347">
            <v>43411</v>
          </cell>
          <cell r="J347">
            <v>44040</v>
          </cell>
        </row>
        <row r="348">
          <cell r="C348" t="str">
            <v>1811-011</v>
          </cell>
          <cell r="D348" t="str">
            <v xml:space="preserve">Bùi Thiện </v>
          </cell>
          <cell r="E348" t="str">
            <v>Nhân</v>
          </cell>
          <cell r="F348">
            <v>1977</v>
          </cell>
          <cell r="G348" t="str">
            <v>B</v>
          </cell>
          <cell r="H348">
            <v>43334</v>
          </cell>
          <cell r="I348">
            <v>43411</v>
          </cell>
          <cell r="J348">
            <v>43973</v>
          </cell>
        </row>
        <row r="349">
          <cell r="C349" t="str">
            <v>1811-012</v>
          </cell>
          <cell r="D349" t="str">
            <v>Phạm Mạnh</v>
          </cell>
          <cell r="E349" t="str">
            <v>Hoàng</v>
          </cell>
          <cell r="F349">
            <v>1983</v>
          </cell>
          <cell r="G349" t="str">
            <v>B</v>
          </cell>
          <cell r="H349">
            <v>43318</v>
          </cell>
          <cell r="I349">
            <v>43411</v>
          </cell>
          <cell r="J349">
            <v>43867</v>
          </cell>
        </row>
        <row r="350">
          <cell r="C350" t="str">
            <v>1811-013</v>
          </cell>
          <cell r="D350" t="str">
            <v xml:space="preserve">Nguyễn Tấn </v>
          </cell>
          <cell r="E350" t="str">
            <v>Tài</v>
          </cell>
          <cell r="F350">
            <v>1980</v>
          </cell>
          <cell r="G350" t="str">
            <v>B</v>
          </cell>
          <cell r="H350">
            <v>43345</v>
          </cell>
          <cell r="I350">
            <v>43412</v>
          </cell>
          <cell r="J350">
            <v>43892</v>
          </cell>
        </row>
        <row r="351">
          <cell r="C351" t="str">
            <v>1811-014</v>
          </cell>
          <cell r="D351" t="str">
            <v>Trang Văn</v>
          </cell>
          <cell r="E351" t="str">
            <v>Tùng</v>
          </cell>
          <cell r="F351">
            <v>1985</v>
          </cell>
          <cell r="G351" t="str">
            <v>B</v>
          </cell>
          <cell r="H351">
            <v>43293</v>
          </cell>
          <cell r="I351">
            <v>43412</v>
          </cell>
          <cell r="J351">
            <v>43933</v>
          </cell>
        </row>
        <row r="352">
          <cell r="C352" t="str">
            <v>1811-015</v>
          </cell>
          <cell r="D352" t="str">
            <v xml:space="preserve">Hà Huy </v>
          </cell>
          <cell r="E352" t="str">
            <v>Giáp</v>
          </cell>
          <cell r="F352">
            <v>1985</v>
          </cell>
          <cell r="G352" t="str">
            <v>E</v>
          </cell>
          <cell r="H352">
            <v>43307</v>
          </cell>
          <cell r="I352">
            <v>43412</v>
          </cell>
          <cell r="J352">
            <v>43856</v>
          </cell>
        </row>
        <row r="353">
          <cell r="C353" t="str">
            <v>1811-016</v>
          </cell>
          <cell r="D353" t="str">
            <v>Trần Văn</v>
          </cell>
          <cell r="E353" t="str">
            <v>Minh</v>
          </cell>
          <cell r="F353">
            <v>1992</v>
          </cell>
          <cell r="G353" t="str">
            <v>B</v>
          </cell>
          <cell r="H353">
            <v>43350</v>
          </cell>
          <cell r="I353">
            <v>43418</v>
          </cell>
          <cell r="J353">
            <v>43806</v>
          </cell>
        </row>
        <row r="354">
          <cell r="C354" t="str">
            <v>1811-017</v>
          </cell>
          <cell r="D354" t="str">
            <v xml:space="preserve">Huỳnh Tuấn </v>
          </cell>
          <cell r="E354" t="str">
            <v>Hoàng</v>
          </cell>
          <cell r="F354">
            <v>1990</v>
          </cell>
          <cell r="G354" t="str">
            <v>B</v>
          </cell>
          <cell r="H354">
            <v>43340</v>
          </cell>
          <cell r="I354">
            <v>43418</v>
          </cell>
          <cell r="J354">
            <v>43797</v>
          </cell>
          <cell r="L354" t="str">
            <v>DL</v>
          </cell>
        </row>
        <row r="355">
          <cell r="C355" t="str">
            <v>1811-018</v>
          </cell>
          <cell r="D355" t="str">
            <v xml:space="preserve">Lê Triệu </v>
          </cell>
          <cell r="E355" t="str">
            <v>Phúc</v>
          </cell>
          <cell r="F355">
            <v>1987</v>
          </cell>
          <cell r="G355" t="str">
            <v>B</v>
          </cell>
          <cell r="H355">
            <v>43327</v>
          </cell>
          <cell r="I355">
            <v>43421</v>
          </cell>
          <cell r="J355">
            <v>43966</v>
          </cell>
        </row>
        <row r="356">
          <cell r="C356" t="str">
            <v>1811-019</v>
          </cell>
          <cell r="D356" t="str">
            <v xml:space="preserve">Đỗ Hoài </v>
          </cell>
          <cell r="E356" t="str">
            <v>Tân</v>
          </cell>
          <cell r="F356">
            <v>1982</v>
          </cell>
          <cell r="G356" t="str">
            <v>B</v>
          </cell>
          <cell r="H356">
            <v>43332</v>
          </cell>
          <cell r="I356">
            <v>43418</v>
          </cell>
          <cell r="J356">
            <v>43881</v>
          </cell>
        </row>
        <row r="357">
          <cell r="C357" t="str">
            <v>1811-020</v>
          </cell>
          <cell r="D357" t="str">
            <v>Nguyễn Văn</v>
          </cell>
          <cell r="E357" t="str">
            <v>Thạch</v>
          </cell>
          <cell r="F357">
            <v>1975</v>
          </cell>
          <cell r="G357" t="str">
            <v>B</v>
          </cell>
          <cell r="H357">
            <v>43325</v>
          </cell>
          <cell r="I357">
            <v>43418</v>
          </cell>
          <cell r="J357">
            <v>43874</v>
          </cell>
        </row>
        <row r="358">
          <cell r="C358" t="str">
            <v>1811-021</v>
          </cell>
          <cell r="D358" t="str">
            <v xml:space="preserve">Ngô Thiên </v>
          </cell>
          <cell r="E358" t="str">
            <v>Vũ</v>
          </cell>
          <cell r="F358">
            <v>1980</v>
          </cell>
          <cell r="G358" t="str">
            <v>C</v>
          </cell>
          <cell r="H358">
            <v>43320</v>
          </cell>
          <cell r="I358">
            <v>43420</v>
          </cell>
          <cell r="J358">
            <v>43869</v>
          </cell>
          <cell r="L358" t="str">
            <v>KL</v>
          </cell>
          <cell r="M358">
            <v>43630</v>
          </cell>
          <cell r="N358">
            <v>35</v>
          </cell>
          <cell r="O358">
            <v>43665</v>
          </cell>
        </row>
        <row r="359">
          <cell r="C359" t="str">
            <v>1811-022</v>
          </cell>
          <cell r="D359" t="str">
            <v>Trần Hoàng</v>
          </cell>
          <cell r="E359" t="str">
            <v>Thanh</v>
          </cell>
          <cell r="F359">
            <v>1980</v>
          </cell>
          <cell r="G359" t="str">
            <v>B</v>
          </cell>
          <cell r="H359">
            <v>43326</v>
          </cell>
          <cell r="I359">
            <v>43420</v>
          </cell>
          <cell r="J359">
            <v>43965</v>
          </cell>
        </row>
        <row r="360">
          <cell r="C360" t="str">
            <v>1811-023</v>
          </cell>
          <cell r="D360" t="str">
            <v xml:space="preserve">Thái Hồng </v>
          </cell>
          <cell r="E360" t="str">
            <v>Trường</v>
          </cell>
          <cell r="F360">
            <v>1976</v>
          </cell>
          <cell r="G360" t="str">
            <v>B</v>
          </cell>
          <cell r="H360">
            <v>43329</v>
          </cell>
          <cell r="I360">
            <v>43420</v>
          </cell>
          <cell r="J360">
            <v>43938</v>
          </cell>
        </row>
        <row r="361">
          <cell r="C361" t="str">
            <v>1811-024</v>
          </cell>
          <cell r="D361" t="str">
            <v xml:space="preserve">Nguyễn Thanh </v>
          </cell>
          <cell r="E361" t="str">
            <v>Hoàng</v>
          </cell>
          <cell r="F361">
            <v>1988</v>
          </cell>
          <cell r="G361" t="str">
            <v>B</v>
          </cell>
          <cell r="H361">
            <v>43354</v>
          </cell>
          <cell r="I361">
            <v>43420</v>
          </cell>
          <cell r="J361">
            <v>43993</v>
          </cell>
        </row>
        <row r="362">
          <cell r="C362" t="str">
            <v>1811-025</v>
          </cell>
          <cell r="D362" t="str">
            <v>Nguyễn Nhật</v>
          </cell>
          <cell r="E362" t="str">
            <v>Trường</v>
          </cell>
          <cell r="F362">
            <v>1980</v>
          </cell>
          <cell r="G362" t="str">
            <v>B</v>
          </cell>
          <cell r="H362">
            <v>43319</v>
          </cell>
          <cell r="I362">
            <v>43420</v>
          </cell>
          <cell r="J362">
            <v>43958</v>
          </cell>
        </row>
        <row r="363">
          <cell r="C363" t="str">
            <v>1811-026</v>
          </cell>
          <cell r="D363" t="str">
            <v xml:space="preserve">Trần Đức </v>
          </cell>
          <cell r="E363" t="str">
            <v>Lộc</v>
          </cell>
          <cell r="F363">
            <v>1993</v>
          </cell>
          <cell r="G363" t="str">
            <v>B</v>
          </cell>
          <cell r="H363">
            <v>43319</v>
          </cell>
          <cell r="I363">
            <v>43420</v>
          </cell>
          <cell r="J363">
            <v>44050</v>
          </cell>
        </row>
        <row r="364">
          <cell r="C364" t="str">
            <v>1811-027</v>
          </cell>
          <cell r="D364" t="str">
            <v xml:space="preserve">Lê Lý Công </v>
          </cell>
          <cell r="E364" t="str">
            <v>Khanh</v>
          </cell>
          <cell r="F364">
            <v>1983</v>
          </cell>
          <cell r="G364" t="str">
            <v>B</v>
          </cell>
          <cell r="H364">
            <v>43324</v>
          </cell>
          <cell r="I364">
            <v>43420</v>
          </cell>
          <cell r="J364">
            <v>43963</v>
          </cell>
        </row>
        <row r="365">
          <cell r="C365" t="str">
            <v>1811-028</v>
          </cell>
          <cell r="D365" t="str">
            <v xml:space="preserve">Đặng Văn </v>
          </cell>
          <cell r="E365" t="str">
            <v>Thành</v>
          </cell>
          <cell r="F365">
            <v>1982</v>
          </cell>
          <cell r="G365" t="str">
            <v>B</v>
          </cell>
          <cell r="H365">
            <v>43328</v>
          </cell>
          <cell r="I365">
            <v>43420</v>
          </cell>
          <cell r="J365">
            <v>43967</v>
          </cell>
        </row>
        <row r="366">
          <cell r="C366" t="str">
            <v>1811-029</v>
          </cell>
          <cell r="D366" t="str">
            <v xml:space="preserve">Nguyễn Văn </v>
          </cell>
          <cell r="E366" t="str">
            <v>Nam</v>
          </cell>
          <cell r="F366">
            <v>1971</v>
          </cell>
          <cell r="G366" t="str">
            <v>B</v>
          </cell>
          <cell r="H366">
            <v>43340</v>
          </cell>
          <cell r="I366">
            <v>43420</v>
          </cell>
          <cell r="J366">
            <v>44071</v>
          </cell>
        </row>
        <row r="367">
          <cell r="C367" t="str">
            <v>1811-030</v>
          </cell>
          <cell r="D367" t="str">
            <v>Nguyễn Văn</v>
          </cell>
          <cell r="E367" t="str">
            <v>Tư</v>
          </cell>
          <cell r="F367">
            <v>1965</v>
          </cell>
          <cell r="G367" t="str">
            <v>B</v>
          </cell>
          <cell r="H367">
            <v>43321</v>
          </cell>
          <cell r="I367">
            <v>43420</v>
          </cell>
          <cell r="J367">
            <v>43870</v>
          </cell>
        </row>
        <row r="368">
          <cell r="C368" t="str">
            <v>1811-031</v>
          </cell>
          <cell r="D368" t="str">
            <v xml:space="preserve">Vũ Văn </v>
          </cell>
          <cell r="E368" t="str">
            <v>Tuyên</v>
          </cell>
          <cell r="F368">
            <v>1973</v>
          </cell>
          <cell r="G368" t="str">
            <v>B</v>
          </cell>
          <cell r="H368">
            <v>43329</v>
          </cell>
          <cell r="I368">
            <v>43420</v>
          </cell>
          <cell r="J368">
            <v>44060</v>
          </cell>
        </row>
        <row r="369">
          <cell r="C369" t="str">
            <v>1811-032</v>
          </cell>
          <cell r="D369" t="str">
            <v xml:space="preserve">Võ Văn </v>
          </cell>
          <cell r="E369" t="str">
            <v>Thanh</v>
          </cell>
          <cell r="F369">
            <v>1982</v>
          </cell>
          <cell r="G369" t="str">
            <v>B</v>
          </cell>
          <cell r="H369">
            <v>43348</v>
          </cell>
          <cell r="I369">
            <v>43420</v>
          </cell>
          <cell r="J369">
            <v>43895</v>
          </cell>
        </row>
        <row r="370">
          <cell r="C370" t="str">
            <v>1811-033</v>
          </cell>
          <cell r="D370" t="str">
            <v xml:space="preserve">Bùi Quang </v>
          </cell>
          <cell r="E370" t="str">
            <v>Thái</v>
          </cell>
          <cell r="F370">
            <v>1980</v>
          </cell>
          <cell r="G370" t="str">
            <v>A</v>
          </cell>
          <cell r="H370">
            <v>43398</v>
          </cell>
          <cell r="I370">
            <v>43425</v>
          </cell>
          <cell r="J370">
            <v>44129</v>
          </cell>
        </row>
        <row r="371">
          <cell r="C371" t="str">
            <v>1811-034</v>
          </cell>
          <cell r="D371" t="str">
            <v xml:space="preserve">Thái Ngọc </v>
          </cell>
          <cell r="E371" t="str">
            <v>Tâm</v>
          </cell>
          <cell r="F371">
            <v>1979</v>
          </cell>
          <cell r="G371" t="str">
            <v>A</v>
          </cell>
          <cell r="H371">
            <v>43399</v>
          </cell>
          <cell r="I371">
            <v>43425</v>
          </cell>
          <cell r="J371">
            <v>44038</v>
          </cell>
        </row>
        <row r="372">
          <cell r="C372" t="str">
            <v>1811-035</v>
          </cell>
          <cell r="D372" t="str">
            <v>Nguyễn Mạnh</v>
          </cell>
          <cell r="E372" t="str">
            <v>Phi</v>
          </cell>
          <cell r="F372">
            <v>1991</v>
          </cell>
          <cell r="G372" t="str">
            <v>A</v>
          </cell>
          <cell r="H372">
            <v>43350</v>
          </cell>
          <cell r="I372">
            <v>43425</v>
          </cell>
          <cell r="J372">
            <v>43958</v>
          </cell>
          <cell r="M372">
            <v>43546</v>
          </cell>
          <cell r="N372">
            <v>25</v>
          </cell>
          <cell r="O372">
            <v>43571</v>
          </cell>
        </row>
        <row r="373">
          <cell r="C373" t="str">
            <v>1811-036</v>
          </cell>
          <cell r="D373" t="str">
            <v>Lê Văn</v>
          </cell>
          <cell r="E373" t="str">
            <v>Phúc</v>
          </cell>
          <cell r="F373">
            <v>1978</v>
          </cell>
          <cell r="G373" t="str">
            <v>A</v>
          </cell>
          <cell r="H373">
            <v>43312</v>
          </cell>
          <cell r="I373">
            <v>43425</v>
          </cell>
          <cell r="J373">
            <v>43951</v>
          </cell>
        </row>
        <row r="374">
          <cell r="C374" t="str">
            <v>1811-037</v>
          </cell>
          <cell r="D374" t="str">
            <v xml:space="preserve">Trần Hoàng </v>
          </cell>
          <cell r="E374" t="str">
            <v>Vân</v>
          </cell>
          <cell r="F374">
            <v>1971</v>
          </cell>
          <cell r="G374" t="str">
            <v>A</v>
          </cell>
          <cell r="H374">
            <v>43337</v>
          </cell>
          <cell r="I374">
            <v>43425</v>
          </cell>
          <cell r="J374">
            <v>43946</v>
          </cell>
        </row>
        <row r="375">
          <cell r="C375" t="str">
            <v>1811-038</v>
          </cell>
          <cell r="D375" t="str">
            <v>Huỳnh Văn</v>
          </cell>
          <cell r="E375" t="str">
            <v>Toán</v>
          </cell>
          <cell r="F375">
            <v>1987</v>
          </cell>
          <cell r="G375" t="str">
            <v>A</v>
          </cell>
          <cell r="H375">
            <v>43341</v>
          </cell>
          <cell r="I375">
            <v>43425</v>
          </cell>
          <cell r="J375">
            <v>43950</v>
          </cell>
        </row>
        <row r="376">
          <cell r="C376" t="str">
            <v>1811-039</v>
          </cell>
          <cell r="D376" t="str">
            <v xml:space="preserve">Lê Minh </v>
          </cell>
          <cell r="E376" t="str">
            <v>Thắng</v>
          </cell>
          <cell r="F376">
            <v>1971</v>
          </cell>
          <cell r="G376" t="str">
            <v>D</v>
          </cell>
          <cell r="H376">
            <v>43342</v>
          </cell>
          <cell r="I376">
            <v>43427</v>
          </cell>
          <cell r="J376">
            <v>44073</v>
          </cell>
        </row>
        <row r="377">
          <cell r="C377" t="str">
            <v>1811-040</v>
          </cell>
          <cell r="D377" t="str">
            <v>Nguyễn Văn</v>
          </cell>
          <cell r="E377" t="str">
            <v>Mỹ</v>
          </cell>
          <cell r="F377">
            <v>1980</v>
          </cell>
          <cell r="G377" t="str">
            <v>A</v>
          </cell>
          <cell r="H377">
            <v>43338</v>
          </cell>
          <cell r="I377">
            <v>43427</v>
          </cell>
          <cell r="J377">
            <v>43977</v>
          </cell>
        </row>
        <row r="378">
          <cell r="C378" t="str">
            <v>1811-041</v>
          </cell>
          <cell r="D378" t="str">
            <v>Võ Hưng Huyền</v>
          </cell>
          <cell r="E378" t="str">
            <v>Hòa</v>
          </cell>
          <cell r="F378">
            <v>1980</v>
          </cell>
          <cell r="G378" t="str">
            <v>A</v>
          </cell>
          <cell r="H378">
            <v>43346</v>
          </cell>
          <cell r="I378">
            <v>43431</v>
          </cell>
          <cell r="J378">
            <v>44077</v>
          </cell>
        </row>
        <row r="379">
          <cell r="C379" t="str">
            <v>1811-042</v>
          </cell>
          <cell r="D379" t="str">
            <v xml:space="preserve">Lê Khắc </v>
          </cell>
          <cell r="E379" t="str">
            <v>Nam</v>
          </cell>
          <cell r="F379">
            <v>1965</v>
          </cell>
          <cell r="G379" t="str">
            <v>A</v>
          </cell>
          <cell r="H379">
            <v>43353</v>
          </cell>
          <cell r="I379">
            <v>43431</v>
          </cell>
          <cell r="J379">
            <v>43900</v>
          </cell>
        </row>
        <row r="380">
          <cell r="C380" t="str">
            <v>1811-043</v>
          </cell>
          <cell r="D380" t="str">
            <v>Nguyễn Thương Như</v>
          </cell>
          <cell r="E380" t="str">
            <v>Vũ</v>
          </cell>
          <cell r="F380">
            <v>1991</v>
          </cell>
          <cell r="G380" t="str">
            <v>A</v>
          </cell>
          <cell r="H380">
            <v>43358</v>
          </cell>
          <cell r="I380">
            <v>43431</v>
          </cell>
          <cell r="J380">
            <v>43905</v>
          </cell>
        </row>
        <row r="381">
          <cell r="C381" t="str">
            <v>1811-044</v>
          </cell>
          <cell r="D381" t="str">
            <v>Nguyễn Văn</v>
          </cell>
          <cell r="E381" t="str">
            <v>Danh</v>
          </cell>
          <cell r="F381">
            <v>1983</v>
          </cell>
          <cell r="G381" t="str">
            <v>A</v>
          </cell>
          <cell r="H381">
            <v>43326</v>
          </cell>
          <cell r="I381">
            <v>43431</v>
          </cell>
          <cell r="J381">
            <v>43965</v>
          </cell>
        </row>
        <row r="382">
          <cell r="C382" t="str">
            <v>1811-045</v>
          </cell>
          <cell r="D382" t="str">
            <v xml:space="preserve">Phạm Chí </v>
          </cell>
          <cell r="E382" t="str">
            <v>Dũng</v>
          </cell>
          <cell r="F382">
            <v>1987</v>
          </cell>
          <cell r="G382" t="str">
            <v>A</v>
          </cell>
          <cell r="H382">
            <v>43362</v>
          </cell>
          <cell r="I382">
            <v>43431</v>
          </cell>
          <cell r="J382">
            <v>43727</v>
          </cell>
        </row>
        <row r="383">
          <cell r="C383" t="str">
            <v>1811-046</v>
          </cell>
          <cell r="D383" t="str">
            <v xml:space="preserve">Đặng Thanh </v>
          </cell>
          <cell r="E383" t="str">
            <v>Hoàng</v>
          </cell>
          <cell r="F383">
            <v>1973</v>
          </cell>
          <cell r="G383" t="str">
            <v>A</v>
          </cell>
          <cell r="H383">
            <v>43362</v>
          </cell>
          <cell r="I383">
            <v>43431</v>
          </cell>
          <cell r="J383">
            <v>44093</v>
          </cell>
        </row>
        <row r="384">
          <cell r="C384" t="str">
            <v>1811-047</v>
          </cell>
          <cell r="D384" t="str">
            <v xml:space="preserve">Lương Trọng </v>
          </cell>
          <cell r="E384" t="str">
            <v>Lợi</v>
          </cell>
          <cell r="F384">
            <v>1988</v>
          </cell>
          <cell r="G384" t="str">
            <v>A</v>
          </cell>
          <cell r="H384">
            <v>43363</v>
          </cell>
          <cell r="I384">
            <v>43431</v>
          </cell>
          <cell r="J384">
            <v>44094</v>
          </cell>
        </row>
        <row r="385">
          <cell r="C385" t="str">
            <v>1811-048</v>
          </cell>
          <cell r="D385" t="str">
            <v>Nguyễn Bảo</v>
          </cell>
          <cell r="E385" t="str">
            <v>Long</v>
          </cell>
          <cell r="F385">
            <v>1976</v>
          </cell>
          <cell r="G385" t="str">
            <v>A</v>
          </cell>
          <cell r="H385">
            <v>43365</v>
          </cell>
          <cell r="I385">
            <v>43431</v>
          </cell>
          <cell r="J385">
            <v>43912</v>
          </cell>
        </row>
        <row r="386">
          <cell r="C386" t="str">
            <v>1811-049</v>
          </cell>
          <cell r="D386" t="str">
            <v>Bùi Công</v>
          </cell>
          <cell r="E386" t="str">
            <v>Hoàng</v>
          </cell>
          <cell r="F386">
            <v>1989</v>
          </cell>
          <cell r="G386" t="str">
            <v>A</v>
          </cell>
          <cell r="H386">
            <v>43366</v>
          </cell>
          <cell r="I386">
            <v>43431</v>
          </cell>
          <cell r="J386">
            <v>44097</v>
          </cell>
          <cell r="M386">
            <v>43546</v>
          </cell>
          <cell r="N386">
            <v>25</v>
          </cell>
          <cell r="O386">
            <v>43571</v>
          </cell>
        </row>
        <row r="387">
          <cell r="C387" t="str">
            <v>1811-050</v>
          </cell>
          <cell r="D387" t="str">
            <v>Lâm Chiêu</v>
          </cell>
          <cell r="E387" t="str">
            <v>Hỷ</v>
          </cell>
          <cell r="F387">
            <v>1974</v>
          </cell>
          <cell r="G387" t="str">
            <v>A</v>
          </cell>
          <cell r="H387">
            <v>43371</v>
          </cell>
          <cell r="I387">
            <v>43431</v>
          </cell>
          <cell r="J387">
            <v>44102</v>
          </cell>
        </row>
        <row r="388">
          <cell r="C388" t="str">
            <v>1811-051</v>
          </cell>
          <cell r="D388" t="str">
            <v xml:space="preserve">Phạm Văn </v>
          </cell>
          <cell r="E388" t="str">
            <v>Hải</v>
          </cell>
          <cell r="F388">
            <v>1987</v>
          </cell>
          <cell r="G388" t="str">
            <v>A</v>
          </cell>
          <cell r="H388">
            <v>43381</v>
          </cell>
          <cell r="I388">
            <v>43434</v>
          </cell>
          <cell r="J388">
            <v>43929</v>
          </cell>
        </row>
        <row r="389">
          <cell r="C389" t="str">
            <v>1811-052</v>
          </cell>
          <cell r="D389" t="str">
            <v xml:space="preserve">Lê Minh </v>
          </cell>
          <cell r="E389" t="str">
            <v>Tâm</v>
          </cell>
          <cell r="F389">
            <v>1984</v>
          </cell>
          <cell r="G389" t="str">
            <v>A</v>
          </cell>
          <cell r="H389">
            <v>43347</v>
          </cell>
          <cell r="I389">
            <v>43434</v>
          </cell>
          <cell r="J389">
            <v>43986</v>
          </cell>
        </row>
        <row r="390">
          <cell r="C390" t="str">
            <v>1811-053</v>
          </cell>
          <cell r="D390" t="str">
            <v>Trần Văn</v>
          </cell>
          <cell r="E390" t="str">
            <v>Nghiệp</v>
          </cell>
          <cell r="F390">
            <v>1976</v>
          </cell>
          <cell r="G390" t="str">
            <v>A</v>
          </cell>
          <cell r="H390">
            <v>43379</v>
          </cell>
          <cell r="I390">
            <v>43434</v>
          </cell>
          <cell r="J390">
            <v>44110</v>
          </cell>
        </row>
        <row r="391">
          <cell r="C391" t="str">
            <v>1811-054</v>
          </cell>
          <cell r="D391" t="str">
            <v>Lầu Vĩnh</v>
          </cell>
          <cell r="E391" t="str">
            <v>Cường</v>
          </cell>
          <cell r="F391">
            <v>1976</v>
          </cell>
          <cell r="G391" t="str">
            <v>A</v>
          </cell>
          <cell r="H391">
            <v>43355</v>
          </cell>
          <cell r="I391">
            <v>43434</v>
          </cell>
          <cell r="J391">
            <v>43811</v>
          </cell>
          <cell r="L391" t="str">
            <v>KL</v>
          </cell>
          <cell r="M391">
            <v>43600</v>
          </cell>
          <cell r="N391">
            <v>65</v>
          </cell>
          <cell r="O391">
            <v>43665</v>
          </cell>
        </row>
        <row r="392">
          <cell r="C392" t="str">
            <v>1812-001</v>
          </cell>
          <cell r="D392" t="str">
            <v xml:space="preserve">Lương Anh </v>
          </cell>
          <cell r="E392" t="str">
            <v>Tuấn</v>
          </cell>
          <cell r="F392">
            <v>1967</v>
          </cell>
          <cell r="G392" t="str">
            <v>D</v>
          </cell>
          <cell r="H392">
            <v>43327</v>
          </cell>
          <cell r="I392">
            <v>43438</v>
          </cell>
          <cell r="J392">
            <v>43936</v>
          </cell>
        </row>
        <row r="393">
          <cell r="C393" t="str">
            <v>1812-002</v>
          </cell>
          <cell r="D393" t="str">
            <v xml:space="preserve">Phạm Cao </v>
          </cell>
          <cell r="E393" t="str">
            <v>Tiến</v>
          </cell>
          <cell r="F393">
            <v>1971</v>
          </cell>
          <cell r="G393" t="str">
            <v>D</v>
          </cell>
          <cell r="H393">
            <v>43329</v>
          </cell>
          <cell r="I393">
            <v>43438</v>
          </cell>
          <cell r="J393">
            <v>44060</v>
          </cell>
        </row>
        <row r="394">
          <cell r="C394" t="str">
            <v>1812-003</v>
          </cell>
          <cell r="D394" t="str">
            <v xml:space="preserve">Nguyễn Hoàng </v>
          </cell>
          <cell r="E394" t="str">
            <v>Thanh</v>
          </cell>
          <cell r="F394">
            <v>1986</v>
          </cell>
          <cell r="G394" t="str">
            <v>D</v>
          </cell>
          <cell r="H394">
            <v>43365</v>
          </cell>
          <cell r="I394">
            <v>43438</v>
          </cell>
          <cell r="J394">
            <v>44004</v>
          </cell>
        </row>
        <row r="395">
          <cell r="C395" t="str">
            <v>1812-004</v>
          </cell>
          <cell r="D395" t="str">
            <v xml:space="preserve">Nguyễn Văn </v>
          </cell>
          <cell r="E395" t="str">
            <v>Dũng</v>
          </cell>
          <cell r="F395">
            <v>1985</v>
          </cell>
          <cell r="G395" t="str">
            <v>D</v>
          </cell>
          <cell r="H395">
            <v>43360</v>
          </cell>
          <cell r="I395">
            <v>43438</v>
          </cell>
          <cell r="J395">
            <v>44091</v>
          </cell>
        </row>
        <row r="396">
          <cell r="C396" t="str">
            <v>1812-005</v>
          </cell>
          <cell r="D396" t="str">
            <v>Diệp Anh</v>
          </cell>
          <cell r="E396" t="str">
            <v>Phú</v>
          </cell>
          <cell r="F396">
            <v>1974</v>
          </cell>
          <cell r="G396" t="str">
            <v>D</v>
          </cell>
          <cell r="H396">
            <v>43384</v>
          </cell>
          <cell r="I396">
            <v>43439</v>
          </cell>
          <cell r="J396">
            <v>43841</v>
          </cell>
          <cell r="L396" t="str">
            <v>YT</v>
          </cell>
          <cell r="M396">
            <v>43409</v>
          </cell>
        </row>
        <row r="397">
          <cell r="C397" t="str">
            <v>1812-006</v>
          </cell>
          <cell r="D397" t="str">
            <v xml:space="preserve">Trần Văn </v>
          </cell>
          <cell r="E397" t="str">
            <v>Nam</v>
          </cell>
          <cell r="F397">
            <v>1969</v>
          </cell>
          <cell r="G397" t="str">
            <v>D</v>
          </cell>
          <cell r="H397">
            <v>43341</v>
          </cell>
          <cell r="I397">
            <v>43441</v>
          </cell>
          <cell r="J397">
            <v>43980</v>
          </cell>
        </row>
        <row r="398">
          <cell r="C398" t="str">
            <v>1812-007</v>
          </cell>
          <cell r="D398" t="str">
            <v>Lê Trung</v>
          </cell>
          <cell r="E398" t="str">
            <v>Hiếu</v>
          </cell>
          <cell r="F398">
            <v>1991</v>
          </cell>
          <cell r="G398" t="str">
            <v>D</v>
          </cell>
          <cell r="H398">
            <v>43347</v>
          </cell>
          <cell r="I398">
            <v>43441</v>
          </cell>
          <cell r="J398">
            <v>43894</v>
          </cell>
        </row>
        <row r="399">
          <cell r="C399" t="str">
            <v>1812-008</v>
          </cell>
          <cell r="D399" t="str">
            <v xml:space="preserve">Trần Trung </v>
          </cell>
          <cell r="E399" t="str">
            <v>Hiếu</v>
          </cell>
          <cell r="F399">
            <v>1990</v>
          </cell>
          <cell r="G399" t="str">
            <v>D</v>
          </cell>
          <cell r="H399">
            <v>43358</v>
          </cell>
          <cell r="I399">
            <v>43448</v>
          </cell>
          <cell r="J399">
            <v>43997</v>
          </cell>
        </row>
        <row r="400">
          <cell r="C400" t="str">
            <v>1812-009</v>
          </cell>
          <cell r="D400" t="str">
            <v>Dương Hữu</v>
          </cell>
          <cell r="E400" t="str">
            <v>Phúc</v>
          </cell>
          <cell r="F400">
            <v>1988</v>
          </cell>
          <cell r="G400" t="str">
            <v>D</v>
          </cell>
          <cell r="H400">
            <v>43343</v>
          </cell>
          <cell r="I400">
            <v>43448</v>
          </cell>
          <cell r="J400">
            <v>43982</v>
          </cell>
          <cell r="L400" t="str">
            <v>DL</v>
          </cell>
        </row>
        <row r="401">
          <cell r="C401" t="str">
            <v>1812-010</v>
          </cell>
          <cell r="D401" t="str">
            <v xml:space="preserve">Lê Phi  </v>
          </cell>
          <cell r="E401" t="str">
            <v>Hùng</v>
          </cell>
          <cell r="F401">
            <v>1982</v>
          </cell>
          <cell r="G401" t="str">
            <v>D</v>
          </cell>
          <cell r="H401">
            <v>43335</v>
          </cell>
          <cell r="I401">
            <v>43448</v>
          </cell>
          <cell r="J401">
            <v>44066</v>
          </cell>
          <cell r="L401" t="str">
            <v>DL</v>
          </cell>
        </row>
        <row r="402">
          <cell r="C402" t="str">
            <v>1812-011</v>
          </cell>
          <cell r="D402" t="str">
            <v xml:space="preserve">Đỗ Văn </v>
          </cell>
          <cell r="E402" t="str">
            <v>Thắng</v>
          </cell>
          <cell r="F402">
            <v>1991</v>
          </cell>
          <cell r="G402" t="str">
            <v>D</v>
          </cell>
          <cell r="H402">
            <v>43354</v>
          </cell>
          <cell r="I402">
            <v>43451</v>
          </cell>
          <cell r="J402">
            <v>44085</v>
          </cell>
        </row>
        <row r="403">
          <cell r="C403" t="str">
            <v>1812-012</v>
          </cell>
          <cell r="D403" t="str">
            <v xml:space="preserve">Trần Minh </v>
          </cell>
          <cell r="E403" t="str">
            <v>Tuấn</v>
          </cell>
          <cell r="F403">
            <v>1992</v>
          </cell>
          <cell r="G403" t="str">
            <v>D</v>
          </cell>
          <cell r="H403">
            <v>43394</v>
          </cell>
          <cell r="I403">
            <v>43453</v>
          </cell>
          <cell r="J403">
            <v>44033</v>
          </cell>
        </row>
        <row r="404">
          <cell r="C404" t="str">
            <v>1812-013</v>
          </cell>
          <cell r="D404" t="str">
            <v>Nguyễn Văn</v>
          </cell>
          <cell r="E404" t="str">
            <v>Trung</v>
          </cell>
          <cell r="F404">
            <v>1963</v>
          </cell>
          <cell r="G404" t="str">
            <v>D</v>
          </cell>
          <cell r="H404">
            <v>43385</v>
          </cell>
          <cell r="I404">
            <v>43455</v>
          </cell>
          <cell r="J404">
            <v>43933</v>
          </cell>
        </row>
        <row r="405">
          <cell r="C405" t="str">
            <v>1812-014</v>
          </cell>
          <cell r="D405" t="str">
            <v xml:space="preserve">Nguyễn Hùng </v>
          </cell>
          <cell r="E405" t="str">
            <v>Phong</v>
          </cell>
          <cell r="F405">
            <v>1977</v>
          </cell>
          <cell r="G405" t="str">
            <v>D</v>
          </cell>
          <cell r="H405">
            <v>43368</v>
          </cell>
          <cell r="I405">
            <v>43455</v>
          </cell>
          <cell r="J405">
            <v>44037</v>
          </cell>
          <cell r="L405" t="str">
            <v>NA</v>
          </cell>
        </row>
        <row r="406">
          <cell r="C406" t="str">
            <v>1812-015</v>
          </cell>
          <cell r="D406" t="str">
            <v xml:space="preserve">Nguyễn Tấn </v>
          </cell>
          <cell r="E406" t="str">
            <v>Tài</v>
          </cell>
          <cell r="F406">
            <v>1991</v>
          </cell>
          <cell r="G406" t="str">
            <v>D</v>
          </cell>
          <cell r="H406">
            <v>43398</v>
          </cell>
          <cell r="I406">
            <v>43455</v>
          </cell>
          <cell r="J406">
            <v>44037</v>
          </cell>
        </row>
        <row r="407">
          <cell r="C407" t="str">
            <v>1812-016</v>
          </cell>
          <cell r="D407" t="str">
            <v xml:space="preserve">Lê Minh </v>
          </cell>
          <cell r="E407" t="str">
            <v>Tuấn</v>
          </cell>
          <cell r="F407">
            <v>1973</v>
          </cell>
          <cell r="G407" t="str">
            <v>D</v>
          </cell>
          <cell r="H407">
            <v>43380</v>
          </cell>
          <cell r="I407">
            <v>43455</v>
          </cell>
          <cell r="J407">
            <v>44111</v>
          </cell>
        </row>
        <row r="408">
          <cell r="C408" t="str">
            <v>1812-017</v>
          </cell>
          <cell r="D408" t="str">
            <v xml:space="preserve">Nguyễn Hoàng </v>
          </cell>
          <cell r="E408" t="str">
            <v>Dũng</v>
          </cell>
          <cell r="F408">
            <v>1975</v>
          </cell>
          <cell r="G408" t="str">
            <v>D</v>
          </cell>
          <cell r="H408">
            <v>43402</v>
          </cell>
          <cell r="I408">
            <v>43460</v>
          </cell>
          <cell r="J408">
            <v>44041</v>
          </cell>
          <cell r="L408" t="str">
            <v>NA</v>
          </cell>
        </row>
        <row r="409">
          <cell r="C409" t="str">
            <v>1812-018</v>
          </cell>
          <cell r="D409" t="str">
            <v xml:space="preserve">Ngô Phi </v>
          </cell>
          <cell r="E409" t="str">
            <v>Long</v>
          </cell>
          <cell r="F409">
            <v>1977</v>
          </cell>
          <cell r="G409" t="str">
            <v>D</v>
          </cell>
          <cell r="H409">
            <v>43386</v>
          </cell>
          <cell r="I409">
            <v>43460</v>
          </cell>
          <cell r="J409">
            <v>43995</v>
          </cell>
        </row>
        <row r="410">
          <cell r="C410" t="str">
            <v>1812-019</v>
          </cell>
          <cell r="D410" t="str">
            <v xml:space="preserve">Nguyễn Ngọc </v>
          </cell>
          <cell r="E410" t="str">
            <v>Huệ</v>
          </cell>
          <cell r="F410">
            <v>1978</v>
          </cell>
          <cell r="G410" t="str">
            <v>D</v>
          </cell>
          <cell r="H410">
            <v>43367</v>
          </cell>
          <cell r="I410">
            <v>43460</v>
          </cell>
          <cell r="J410">
            <v>44098</v>
          </cell>
          <cell r="L410" t="str">
            <v xml:space="preserve">DL </v>
          </cell>
          <cell r="M410">
            <v>43601</v>
          </cell>
          <cell r="N410">
            <v>60</v>
          </cell>
          <cell r="O410">
            <v>43661</v>
          </cell>
        </row>
        <row r="411">
          <cell r="C411" t="str">
            <v>1812-020</v>
          </cell>
          <cell r="D411" t="str">
            <v xml:space="preserve">Nguyễn Thanh </v>
          </cell>
          <cell r="E411" t="str">
            <v>Hải</v>
          </cell>
          <cell r="F411">
            <v>1979</v>
          </cell>
          <cell r="G411" t="str">
            <v>D</v>
          </cell>
          <cell r="H411">
            <v>43369</v>
          </cell>
          <cell r="I411">
            <v>43462</v>
          </cell>
          <cell r="J411">
            <v>43977</v>
          </cell>
        </row>
        <row r="412">
          <cell r="C412" t="str">
            <v>1812-021</v>
          </cell>
          <cell r="D412" t="str">
            <v xml:space="preserve">Phạm Đông </v>
          </cell>
          <cell r="E412" t="str">
            <v>Hà</v>
          </cell>
          <cell r="F412">
            <v>1984</v>
          </cell>
          <cell r="G412" t="str">
            <v>D</v>
          </cell>
          <cell r="H412">
            <v>43374</v>
          </cell>
          <cell r="I412">
            <v>43462</v>
          </cell>
          <cell r="J412">
            <v>44013</v>
          </cell>
        </row>
        <row r="413">
          <cell r="C413" t="str">
            <v>1812-022</v>
          </cell>
          <cell r="D413" t="str">
            <v>Nguyễn Hoàng</v>
          </cell>
          <cell r="E413" t="str">
            <v>Hải</v>
          </cell>
          <cell r="F413">
            <v>1985</v>
          </cell>
          <cell r="G413" t="str">
            <v>D</v>
          </cell>
          <cell r="H413">
            <v>43370</v>
          </cell>
          <cell r="I413">
            <v>43462</v>
          </cell>
          <cell r="J413">
            <v>43917</v>
          </cell>
        </row>
        <row r="414">
          <cell r="C414" t="str">
            <v>1901-001</v>
          </cell>
          <cell r="D414" t="str">
            <v xml:space="preserve">Nguyễn Thành </v>
          </cell>
          <cell r="E414" t="str">
            <v>Nhân</v>
          </cell>
          <cell r="F414">
            <v>1984</v>
          </cell>
          <cell r="G414" t="str">
            <v>D</v>
          </cell>
          <cell r="H414">
            <v>43393</v>
          </cell>
          <cell r="I414">
            <v>43468</v>
          </cell>
          <cell r="J414">
            <v>44124</v>
          </cell>
        </row>
        <row r="415">
          <cell r="C415" t="str">
            <v>1901-002</v>
          </cell>
          <cell r="D415" t="str">
            <v xml:space="preserve">Nguyễn Kim </v>
          </cell>
          <cell r="E415" t="str">
            <v>Bình</v>
          </cell>
          <cell r="F415">
            <v>1978</v>
          </cell>
          <cell r="G415" t="str">
            <v>D</v>
          </cell>
          <cell r="H415">
            <v>43402</v>
          </cell>
          <cell r="I415">
            <v>43468</v>
          </cell>
          <cell r="J415">
            <v>44133</v>
          </cell>
        </row>
        <row r="416">
          <cell r="C416" t="str">
            <v>1901-003</v>
          </cell>
          <cell r="D416" t="str">
            <v xml:space="preserve">Phan Hoàng </v>
          </cell>
          <cell r="E416" t="str">
            <v>Thanh</v>
          </cell>
          <cell r="F416">
            <v>1988</v>
          </cell>
          <cell r="G416" t="str">
            <v>C</v>
          </cell>
          <cell r="H416">
            <v>43400</v>
          </cell>
          <cell r="I416">
            <v>43469</v>
          </cell>
          <cell r="J416">
            <v>43948</v>
          </cell>
        </row>
        <row r="417">
          <cell r="C417" t="str">
            <v>1901-004</v>
          </cell>
          <cell r="D417" t="str">
            <v xml:space="preserve">Lục Bát </v>
          </cell>
          <cell r="E417" t="str">
            <v>Ân</v>
          </cell>
          <cell r="F417">
            <v>1983</v>
          </cell>
          <cell r="G417" t="str">
            <v>C</v>
          </cell>
          <cell r="H417">
            <v>43385</v>
          </cell>
          <cell r="I417">
            <v>43469</v>
          </cell>
          <cell r="J417">
            <v>43994</v>
          </cell>
        </row>
        <row r="418">
          <cell r="C418" t="str">
            <v>1901-005</v>
          </cell>
          <cell r="D418" t="str">
            <v xml:space="preserve">Nguyễn Văn </v>
          </cell>
          <cell r="E418" t="str">
            <v>Thuận</v>
          </cell>
          <cell r="F418">
            <v>1983</v>
          </cell>
          <cell r="G418" t="str">
            <v>C</v>
          </cell>
          <cell r="H418">
            <v>43402</v>
          </cell>
          <cell r="I418">
            <v>43469</v>
          </cell>
          <cell r="J418">
            <v>44041</v>
          </cell>
        </row>
        <row r="419">
          <cell r="C419" t="str">
            <v>1901-006</v>
          </cell>
          <cell r="D419" t="str">
            <v>Nguyễn Hoàng</v>
          </cell>
          <cell r="E419" t="str">
            <v>Minh</v>
          </cell>
          <cell r="F419">
            <v>1987</v>
          </cell>
          <cell r="G419" t="str">
            <v>C</v>
          </cell>
          <cell r="H419">
            <v>43397</v>
          </cell>
          <cell r="I419">
            <v>43469</v>
          </cell>
          <cell r="J419">
            <v>44036</v>
          </cell>
        </row>
        <row r="420">
          <cell r="C420" t="str">
            <v>1901-007</v>
          </cell>
          <cell r="D420" t="str">
            <v xml:space="preserve">Nguyễn Thế  </v>
          </cell>
          <cell r="E420" t="str">
            <v>Vinh</v>
          </cell>
          <cell r="F420">
            <v>1985</v>
          </cell>
          <cell r="G420" t="str">
            <v>C</v>
          </cell>
          <cell r="H420">
            <v>43445</v>
          </cell>
          <cell r="I420">
            <v>43473</v>
          </cell>
          <cell r="J420">
            <v>43993</v>
          </cell>
        </row>
        <row r="421">
          <cell r="C421" t="str">
            <v>1901-008</v>
          </cell>
          <cell r="D421" t="str">
            <v>Nguyễn Minh</v>
          </cell>
          <cell r="E421" t="str">
            <v>Lên</v>
          </cell>
          <cell r="F421">
            <v>1988</v>
          </cell>
          <cell r="G421" t="str">
            <v>C</v>
          </cell>
          <cell r="H421">
            <v>43379</v>
          </cell>
          <cell r="I421">
            <v>43473</v>
          </cell>
          <cell r="J421">
            <v>44110</v>
          </cell>
        </row>
        <row r="422">
          <cell r="C422" t="str">
            <v>1901-009</v>
          </cell>
          <cell r="D422" t="str">
            <v>Đồng Hương Đức</v>
          </cell>
          <cell r="E422" t="str">
            <v>Hiếu</v>
          </cell>
          <cell r="F422">
            <v>1981</v>
          </cell>
          <cell r="G422" t="str">
            <v>C</v>
          </cell>
          <cell r="H422">
            <v>43390</v>
          </cell>
          <cell r="I422">
            <v>43473</v>
          </cell>
          <cell r="J422">
            <v>43938</v>
          </cell>
          <cell r="L422" t="str">
            <v>KL</v>
          </cell>
          <cell r="M422">
            <v>43628</v>
          </cell>
          <cell r="N422">
            <v>20</v>
          </cell>
          <cell r="O422">
            <v>43648</v>
          </cell>
        </row>
        <row r="423">
          <cell r="C423" t="str">
            <v>1901-010</v>
          </cell>
          <cell r="D423" t="str">
            <v xml:space="preserve">Trần Minh </v>
          </cell>
          <cell r="E423" t="str">
            <v>Tuấn</v>
          </cell>
          <cell r="F423">
            <v>1988</v>
          </cell>
          <cell r="G423" t="str">
            <v>C</v>
          </cell>
          <cell r="H423">
            <v>43416</v>
          </cell>
          <cell r="I423">
            <v>43473</v>
          </cell>
          <cell r="J423">
            <v>43963</v>
          </cell>
        </row>
        <row r="424">
          <cell r="C424" t="str">
            <v>1901-011</v>
          </cell>
          <cell r="D424" t="str">
            <v xml:space="preserve">Nguyễn Xuân </v>
          </cell>
          <cell r="E424" t="str">
            <v>Huy</v>
          </cell>
          <cell r="F424">
            <v>1964</v>
          </cell>
          <cell r="G424" t="str">
            <v>C</v>
          </cell>
          <cell r="H424">
            <v>43378</v>
          </cell>
          <cell r="I424">
            <v>43474</v>
          </cell>
          <cell r="J424">
            <v>44048</v>
          </cell>
        </row>
        <row r="425">
          <cell r="C425" t="str">
            <v>1901-012</v>
          </cell>
          <cell r="D425" t="str">
            <v xml:space="preserve">Phạm Văn </v>
          </cell>
          <cell r="E425" t="str">
            <v>Út</v>
          </cell>
          <cell r="F425">
            <v>1971</v>
          </cell>
          <cell r="G425" t="str">
            <v>C</v>
          </cell>
          <cell r="H425">
            <v>43407</v>
          </cell>
          <cell r="I425">
            <v>43475</v>
          </cell>
          <cell r="J425">
            <v>44015</v>
          </cell>
        </row>
        <row r="426">
          <cell r="C426" t="str">
            <v>1901-013</v>
          </cell>
          <cell r="D426" t="str">
            <v xml:space="preserve">Nguyễn Văn </v>
          </cell>
          <cell r="E426" t="str">
            <v>Sang</v>
          </cell>
          <cell r="F426">
            <v>1973</v>
          </cell>
          <cell r="G426" t="str">
            <v>C</v>
          </cell>
          <cell r="H426">
            <v>43407</v>
          </cell>
          <cell r="I426">
            <v>43475</v>
          </cell>
          <cell r="J426">
            <v>44015</v>
          </cell>
        </row>
        <row r="427">
          <cell r="C427" t="str">
            <v>1901-014</v>
          </cell>
          <cell r="D427" t="str">
            <v xml:space="preserve">Nguyễn Hồng </v>
          </cell>
          <cell r="E427" t="str">
            <v>Sơn</v>
          </cell>
          <cell r="F427">
            <v>1973</v>
          </cell>
          <cell r="G427" t="str">
            <v>C</v>
          </cell>
          <cell r="H427">
            <v>43417</v>
          </cell>
          <cell r="I427">
            <v>43476</v>
          </cell>
          <cell r="J427">
            <v>44056</v>
          </cell>
        </row>
        <row r="428">
          <cell r="C428" t="str">
            <v>1901-015</v>
          </cell>
          <cell r="D428" t="str">
            <v>Lương Đình</v>
          </cell>
          <cell r="E428" t="str">
            <v>Lũy</v>
          </cell>
          <cell r="F428">
            <v>1968</v>
          </cell>
          <cell r="G428" t="str">
            <v>C</v>
          </cell>
          <cell r="H428">
            <v>43426</v>
          </cell>
          <cell r="I428">
            <v>43476</v>
          </cell>
          <cell r="J428">
            <v>44157</v>
          </cell>
        </row>
        <row r="429">
          <cell r="C429" t="str">
            <v>1901-016</v>
          </cell>
          <cell r="D429" t="str">
            <v>Nguyễn Văn</v>
          </cell>
          <cell r="E429" t="str">
            <v>Ngoan</v>
          </cell>
          <cell r="F429">
            <v>1988</v>
          </cell>
          <cell r="G429" t="str">
            <v>C</v>
          </cell>
          <cell r="H429">
            <v>43369</v>
          </cell>
          <cell r="I429">
            <v>43476</v>
          </cell>
          <cell r="J429">
            <v>44100</v>
          </cell>
        </row>
        <row r="430">
          <cell r="C430" t="str">
            <v>1901-017</v>
          </cell>
          <cell r="D430" t="str">
            <v>Nguyễn Hoàng Minh</v>
          </cell>
          <cell r="E430" t="str">
            <v>Nhật</v>
          </cell>
          <cell r="F430">
            <v>1990</v>
          </cell>
          <cell r="G430" t="str">
            <v>C</v>
          </cell>
          <cell r="H430">
            <v>43412</v>
          </cell>
          <cell r="I430">
            <v>43476</v>
          </cell>
          <cell r="J430">
            <v>43959</v>
          </cell>
        </row>
        <row r="431">
          <cell r="C431" t="str">
            <v>1901-018</v>
          </cell>
          <cell r="D431" t="str">
            <v>Dương Thanh</v>
          </cell>
          <cell r="E431" t="str">
            <v>Hoài</v>
          </cell>
          <cell r="F431">
            <v>1971</v>
          </cell>
          <cell r="G431" t="str">
            <v>E</v>
          </cell>
          <cell r="H431">
            <v>43453</v>
          </cell>
          <cell r="I431">
            <v>43480</v>
          </cell>
          <cell r="J431">
            <v>44184</v>
          </cell>
        </row>
        <row r="432">
          <cell r="C432" t="str">
            <v>1901-019</v>
          </cell>
          <cell r="D432" t="str">
            <v xml:space="preserve">Nguyễn Tấn </v>
          </cell>
          <cell r="E432" t="str">
            <v>Lợi</v>
          </cell>
          <cell r="F432">
            <v>1971</v>
          </cell>
          <cell r="G432" t="str">
            <v>E</v>
          </cell>
          <cell r="H432">
            <v>43452</v>
          </cell>
          <cell r="I432">
            <v>43480</v>
          </cell>
          <cell r="J432">
            <v>44092</v>
          </cell>
        </row>
        <row r="433">
          <cell r="C433" t="str">
            <v>1901-020</v>
          </cell>
          <cell r="D433" t="str">
            <v>Nguyễn Phạm Hoài</v>
          </cell>
          <cell r="E433" t="str">
            <v>Phương</v>
          </cell>
          <cell r="F433">
            <v>1985</v>
          </cell>
          <cell r="G433" t="str">
            <v>E</v>
          </cell>
          <cell r="H433">
            <v>43409</v>
          </cell>
          <cell r="I433">
            <v>43481</v>
          </cell>
          <cell r="J433">
            <v>44048</v>
          </cell>
          <cell r="L433" t="str">
            <v>KL</v>
          </cell>
          <cell r="M433">
            <v>43623</v>
          </cell>
          <cell r="N433">
            <v>35</v>
          </cell>
          <cell r="O433">
            <v>43658</v>
          </cell>
        </row>
        <row r="434">
          <cell r="C434" t="str">
            <v>1901-021</v>
          </cell>
          <cell r="D434" t="str">
            <v>Tống Văn</v>
          </cell>
          <cell r="E434" t="str">
            <v>Còn</v>
          </cell>
          <cell r="F434">
            <v>1973</v>
          </cell>
          <cell r="G434" t="str">
            <v>E</v>
          </cell>
          <cell r="H434">
            <v>43371</v>
          </cell>
          <cell r="I434">
            <v>43481</v>
          </cell>
          <cell r="J434">
            <v>44102</v>
          </cell>
        </row>
        <row r="435">
          <cell r="C435" t="str">
            <v>1901-022</v>
          </cell>
          <cell r="D435" t="str">
            <v>Trương Thành</v>
          </cell>
          <cell r="E435" t="str">
            <v>Quyên</v>
          </cell>
          <cell r="F435">
            <v>1976</v>
          </cell>
          <cell r="G435" t="str">
            <v>E</v>
          </cell>
          <cell r="H435">
            <v>43416</v>
          </cell>
          <cell r="I435">
            <v>43483</v>
          </cell>
          <cell r="J435">
            <v>44147</v>
          </cell>
        </row>
        <row r="436">
          <cell r="C436" t="str">
            <v>1901-023</v>
          </cell>
          <cell r="D436" t="str">
            <v>Lê Văn</v>
          </cell>
          <cell r="E436" t="str">
            <v>Hữu</v>
          </cell>
          <cell r="F436">
            <v>1992</v>
          </cell>
          <cell r="G436" t="str">
            <v>E</v>
          </cell>
          <cell r="H436">
            <v>43389</v>
          </cell>
          <cell r="I436">
            <v>43483</v>
          </cell>
          <cell r="J436">
            <v>44028</v>
          </cell>
        </row>
        <row r="437">
          <cell r="C437" t="str">
            <v>1901-024</v>
          </cell>
          <cell r="D437" t="str">
            <v>Trần Duy</v>
          </cell>
          <cell r="E437" t="str">
            <v>Nhân</v>
          </cell>
          <cell r="F437">
            <v>1987</v>
          </cell>
          <cell r="G437" t="str">
            <v>E</v>
          </cell>
          <cell r="H437">
            <v>43406</v>
          </cell>
          <cell r="I437">
            <v>43483</v>
          </cell>
          <cell r="J437">
            <v>44045</v>
          </cell>
        </row>
        <row r="438">
          <cell r="C438" t="str">
            <v>1901-025</v>
          </cell>
          <cell r="D438" t="str">
            <v xml:space="preserve">Trần Đình </v>
          </cell>
          <cell r="E438" t="str">
            <v>Văn</v>
          </cell>
          <cell r="F438">
            <v>1982</v>
          </cell>
          <cell r="G438" t="str">
            <v>E</v>
          </cell>
          <cell r="H438">
            <v>43420</v>
          </cell>
          <cell r="I438">
            <v>43483</v>
          </cell>
          <cell r="J438">
            <v>44151</v>
          </cell>
        </row>
        <row r="439">
          <cell r="C439" t="str">
            <v>1901-026</v>
          </cell>
          <cell r="D439" t="str">
            <v xml:space="preserve">Lê Quốc </v>
          </cell>
          <cell r="E439" t="str">
            <v>Tuấn</v>
          </cell>
          <cell r="F439">
            <v>1974</v>
          </cell>
          <cell r="G439" t="str">
            <v>E</v>
          </cell>
          <cell r="H439">
            <v>43396</v>
          </cell>
          <cell r="I439">
            <v>43848</v>
          </cell>
          <cell r="J439">
            <v>44127</v>
          </cell>
        </row>
        <row r="440">
          <cell r="C440" t="str">
            <v>1901-027</v>
          </cell>
          <cell r="D440" t="str">
            <v xml:space="preserve">Lê Văn </v>
          </cell>
          <cell r="E440" t="str">
            <v>Minh</v>
          </cell>
          <cell r="F440">
            <v>1992</v>
          </cell>
          <cell r="G440" t="str">
            <v>E</v>
          </cell>
          <cell r="H440">
            <v>43458</v>
          </cell>
          <cell r="I440">
            <v>43487</v>
          </cell>
          <cell r="J440">
            <v>44189</v>
          </cell>
        </row>
        <row r="441">
          <cell r="C441" t="str">
            <v>1901-028</v>
          </cell>
          <cell r="D441" t="str">
            <v>Cao Minh</v>
          </cell>
          <cell r="E441" t="str">
            <v>Tâm</v>
          </cell>
          <cell r="F441">
            <v>1974</v>
          </cell>
          <cell r="G441" t="str">
            <v>E</v>
          </cell>
          <cell r="H441">
            <v>43401</v>
          </cell>
          <cell r="I441">
            <v>43487</v>
          </cell>
          <cell r="J441">
            <v>44132</v>
          </cell>
          <cell r="L441" t="str">
            <v>NA</v>
          </cell>
        </row>
        <row r="442">
          <cell r="C442" t="str">
            <v>1901-029</v>
          </cell>
          <cell r="D442" t="str">
            <v>Ngô Văn</v>
          </cell>
          <cell r="E442" t="str">
            <v>Chương</v>
          </cell>
          <cell r="F442">
            <v>1984</v>
          </cell>
          <cell r="G442" t="str">
            <v>E</v>
          </cell>
          <cell r="H442">
            <v>43400</v>
          </cell>
          <cell r="I442">
            <v>43487</v>
          </cell>
          <cell r="J442">
            <v>44131</v>
          </cell>
        </row>
        <row r="443">
          <cell r="C443" t="str">
            <v>1901-030</v>
          </cell>
          <cell r="D443" t="str">
            <v>Phạm Văn</v>
          </cell>
          <cell r="E443" t="str">
            <v>Dũng</v>
          </cell>
          <cell r="F443">
            <v>1978</v>
          </cell>
          <cell r="G443" t="str">
            <v>E</v>
          </cell>
          <cell r="H443">
            <v>43406</v>
          </cell>
          <cell r="I443">
            <v>43487</v>
          </cell>
          <cell r="J443">
            <v>44137</v>
          </cell>
        </row>
        <row r="444">
          <cell r="C444" t="str">
            <v>1901-031</v>
          </cell>
          <cell r="D444" t="str">
            <v xml:space="preserve">Nguyễn Văn </v>
          </cell>
          <cell r="E444" t="str">
            <v>Hùng</v>
          </cell>
          <cell r="F444">
            <v>1965</v>
          </cell>
          <cell r="G444" t="str">
            <v>E</v>
          </cell>
          <cell r="H444">
            <v>43415</v>
          </cell>
          <cell r="I444">
            <v>43490</v>
          </cell>
          <cell r="J444">
            <v>44146</v>
          </cell>
        </row>
        <row r="445">
          <cell r="C445" t="str">
            <v>1901-032</v>
          </cell>
          <cell r="D445" t="str">
            <v>Trần Minh</v>
          </cell>
          <cell r="E445" t="str">
            <v>Trung</v>
          </cell>
          <cell r="F445">
            <v>1988</v>
          </cell>
          <cell r="G445" t="str">
            <v>E</v>
          </cell>
          <cell r="H445">
            <v>43428</v>
          </cell>
          <cell r="I445">
            <v>43490</v>
          </cell>
          <cell r="J445">
            <v>43885</v>
          </cell>
          <cell r="L445" t="str">
            <v>DL</v>
          </cell>
          <cell r="M445">
            <v>43642</v>
          </cell>
          <cell r="N445">
            <v>60</v>
          </cell>
          <cell r="O445">
            <v>43702</v>
          </cell>
        </row>
        <row r="446">
          <cell r="C446" t="str">
            <v>1901-033</v>
          </cell>
          <cell r="D446" t="str">
            <v xml:space="preserve">Nguyễn Thanh </v>
          </cell>
          <cell r="E446" t="str">
            <v>Hùng</v>
          </cell>
          <cell r="F446">
            <v>1976</v>
          </cell>
          <cell r="G446" t="str">
            <v>E</v>
          </cell>
          <cell r="H446">
            <v>43413</v>
          </cell>
          <cell r="I446">
            <v>43490</v>
          </cell>
          <cell r="J446">
            <v>44052</v>
          </cell>
        </row>
        <row r="447">
          <cell r="C447" t="str">
            <v>1901-034</v>
          </cell>
          <cell r="D447" t="str">
            <v>Nguyễn Văn Thành</v>
          </cell>
          <cell r="E447" t="str">
            <v>Công</v>
          </cell>
          <cell r="F447">
            <v>1995</v>
          </cell>
          <cell r="G447" t="str">
            <v>E</v>
          </cell>
          <cell r="H447">
            <v>43415</v>
          </cell>
          <cell r="I447">
            <v>43490</v>
          </cell>
          <cell r="J447">
            <v>44054</v>
          </cell>
        </row>
        <row r="448">
          <cell r="C448" t="str">
            <v>1901-035</v>
          </cell>
          <cell r="D448" t="str">
            <v>Lê Văn</v>
          </cell>
          <cell r="E448" t="str">
            <v>Dũng</v>
          </cell>
          <cell r="F448">
            <v>1992</v>
          </cell>
          <cell r="G448" t="str">
            <v>E</v>
          </cell>
          <cell r="H448">
            <v>43417</v>
          </cell>
          <cell r="I448">
            <v>43490</v>
          </cell>
          <cell r="J448">
            <v>44056</v>
          </cell>
        </row>
        <row r="449">
          <cell r="C449" t="str">
            <v>1901-036</v>
          </cell>
          <cell r="D449" t="str">
            <v xml:space="preserve">Đỗ Chung </v>
          </cell>
          <cell r="E449" t="str">
            <v>Hà</v>
          </cell>
          <cell r="F449">
            <v>1984</v>
          </cell>
          <cell r="G449" t="str">
            <v>E</v>
          </cell>
          <cell r="H449">
            <v>43422</v>
          </cell>
          <cell r="I449">
            <v>43490</v>
          </cell>
          <cell r="J449">
            <v>43969</v>
          </cell>
        </row>
        <row r="450">
          <cell r="C450" t="str">
            <v>1901-037</v>
          </cell>
          <cell r="D450" t="str">
            <v xml:space="preserve">Trương Minh </v>
          </cell>
          <cell r="E450" t="str">
            <v>Nhựt</v>
          </cell>
          <cell r="F450">
            <v>1986</v>
          </cell>
          <cell r="G450" t="str">
            <v>E</v>
          </cell>
          <cell r="H450">
            <v>43423</v>
          </cell>
          <cell r="I450">
            <v>43490</v>
          </cell>
          <cell r="J450">
            <v>44154</v>
          </cell>
        </row>
        <row r="451">
          <cell r="C451" t="str">
            <v>1901-038</v>
          </cell>
          <cell r="D451" t="str">
            <v>Trương Quốc</v>
          </cell>
          <cell r="E451" t="str">
            <v>Hùng</v>
          </cell>
          <cell r="F451">
            <v>1985</v>
          </cell>
          <cell r="G451" t="str">
            <v>E</v>
          </cell>
          <cell r="H451">
            <v>43391</v>
          </cell>
          <cell r="I451">
            <v>43493</v>
          </cell>
          <cell r="J451">
            <v>43848</v>
          </cell>
        </row>
        <row r="452">
          <cell r="C452" t="str">
            <v>1901-039</v>
          </cell>
          <cell r="D452" t="str">
            <v xml:space="preserve">Nguyễn Hiếu </v>
          </cell>
          <cell r="E452" t="str">
            <v>Trung</v>
          </cell>
          <cell r="F452">
            <v>1988</v>
          </cell>
          <cell r="G452" t="str">
            <v>E</v>
          </cell>
          <cell r="H452" t="str">
            <v>03/01/2019</v>
          </cell>
          <cell r="I452">
            <v>43495</v>
          </cell>
          <cell r="J452">
            <v>44199</v>
          </cell>
        </row>
        <row r="453">
          <cell r="C453" t="str">
            <v>1901-040</v>
          </cell>
          <cell r="D453" t="str">
            <v xml:space="preserve">Lê Phương </v>
          </cell>
          <cell r="E453" t="str">
            <v>Duy</v>
          </cell>
          <cell r="F453">
            <v>1989</v>
          </cell>
          <cell r="G453" t="str">
            <v>E</v>
          </cell>
          <cell r="H453">
            <v>43432</v>
          </cell>
          <cell r="I453">
            <v>43495</v>
          </cell>
          <cell r="J453">
            <v>43979</v>
          </cell>
        </row>
        <row r="454">
          <cell r="C454" t="str">
            <v>1901-041</v>
          </cell>
          <cell r="D454" t="str">
            <v xml:space="preserve">Lưu Văn </v>
          </cell>
          <cell r="E454" t="str">
            <v>Đặng</v>
          </cell>
          <cell r="F454">
            <v>1977</v>
          </cell>
          <cell r="G454" t="str">
            <v>E</v>
          </cell>
          <cell r="H454">
            <v>43411</v>
          </cell>
          <cell r="I454">
            <v>43495</v>
          </cell>
          <cell r="J454">
            <v>43958</v>
          </cell>
        </row>
        <row r="455">
          <cell r="C455" t="str">
            <v>1901-042</v>
          </cell>
          <cell r="D455" t="str">
            <v xml:space="preserve">Lê Hoàng </v>
          </cell>
          <cell r="E455" t="str">
            <v>Phương</v>
          </cell>
          <cell r="F455">
            <v>1971</v>
          </cell>
          <cell r="G455" t="str">
            <v>E</v>
          </cell>
          <cell r="H455">
            <v>43385</v>
          </cell>
          <cell r="I455">
            <v>43495</v>
          </cell>
          <cell r="J455">
            <v>44116</v>
          </cell>
        </row>
        <row r="456">
          <cell r="C456" t="str">
            <v>1901-043</v>
          </cell>
          <cell r="D456" t="str">
            <v xml:space="preserve">Lê Tấn </v>
          </cell>
          <cell r="E456" t="str">
            <v>Trung</v>
          </cell>
          <cell r="F456">
            <v>1977</v>
          </cell>
          <cell r="G456" t="str">
            <v>E</v>
          </cell>
          <cell r="H456">
            <v>43430</v>
          </cell>
          <cell r="I456">
            <v>43495</v>
          </cell>
          <cell r="J456">
            <v>43977</v>
          </cell>
        </row>
        <row r="457">
          <cell r="C457" t="str">
            <v>1901-044</v>
          </cell>
          <cell r="D457" t="str">
            <v xml:space="preserve">Trần Hữu </v>
          </cell>
          <cell r="E457" t="str">
            <v>Quốc</v>
          </cell>
          <cell r="F457">
            <v>1977</v>
          </cell>
          <cell r="G457" t="str">
            <v>D</v>
          </cell>
          <cell r="H457">
            <v>43439</v>
          </cell>
          <cell r="I457">
            <v>43495</v>
          </cell>
          <cell r="J457">
            <v>44079</v>
          </cell>
        </row>
        <row r="458">
          <cell r="C458" t="str">
            <v>1901-045</v>
          </cell>
          <cell r="D458" t="str">
            <v xml:space="preserve">Châu Minh </v>
          </cell>
          <cell r="E458" t="str">
            <v>Dũng</v>
          </cell>
          <cell r="F458">
            <v>1985</v>
          </cell>
          <cell r="G458" t="str">
            <v>D</v>
          </cell>
          <cell r="H458">
            <v>43387</v>
          </cell>
          <cell r="I458">
            <v>43495</v>
          </cell>
          <cell r="J458">
            <v>44026</v>
          </cell>
        </row>
        <row r="459">
          <cell r="C459" t="str">
            <v>1901-046</v>
          </cell>
          <cell r="D459" t="str">
            <v>Trương Gia</v>
          </cell>
          <cell r="E459" t="str">
            <v>Hùng</v>
          </cell>
          <cell r="F459">
            <v>1985</v>
          </cell>
          <cell r="G459" t="str">
            <v>D</v>
          </cell>
          <cell r="H459">
            <v>43425</v>
          </cell>
          <cell r="I459">
            <v>43495</v>
          </cell>
          <cell r="J459">
            <v>44156</v>
          </cell>
        </row>
        <row r="460">
          <cell r="C460" t="str">
            <v>1901-047</v>
          </cell>
          <cell r="D460" t="str">
            <v xml:space="preserve">Nguyễn Văn </v>
          </cell>
          <cell r="E460" t="str">
            <v>Lộc</v>
          </cell>
          <cell r="F460">
            <v>1979</v>
          </cell>
          <cell r="G460" t="str">
            <v>D</v>
          </cell>
          <cell r="H460">
            <v>43434</v>
          </cell>
          <cell r="I460">
            <v>43495</v>
          </cell>
          <cell r="J460">
            <v>43981</v>
          </cell>
        </row>
        <row r="461">
          <cell r="C461" t="str">
            <v>1901-048</v>
          </cell>
          <cell r="D461" t="str">
            <v xml:space="preserve">Nguyễn Thanh </v>
          </cell>
          <cell r="E461" t="str">
            <v>Sơn</v>
          </cell>
          <cell r="F461">
            <v>1991</v>
          </cell>
          <cell r="G461" t="str">
            <v>D</v>
          </cell>
          <cell r="H461">
            <v>43438</v>
          </cell>
          <cell r="I461">
            <v>43495</v>
          </cell>
          <cell r="J461">
            <v>43986</v>
          </cell>
        </row>
        <row r="462">
          <cell r="C462" t="str">
            <v>1902-001</v>
          </cell>
          <cell r="D462" t="str">
            <v xml:space="preserve">Phạm Văn </v>
          </cell>
          <cell r="E462" t="str">
            <v>Tí</v>
          </cell>
          <cell r="F462">
            <v>1972</v>
          </cell>
          <cell r="G462" t="str">
            <v>B</v>
          </cell>
          <cell r="H462">
            <v>43433</v>
          </cell>
          <cell r="I462">
            <v>43498</v>
          </cell>
          <cell r="J462">
            <v>43890</v>
          </cell>
          <cell r="L462" t="str">
            <v>KL</v>
          </cell>
          <cell r="M462">
            <v>43550</v>
          </cell>
          <cell r="N462">
            <v>160</v>
          </cell>
          <cell r="O462">
            <v>43710</v>
          </cell>
        </row>
        <row r="463">
          <cell r="C463" t="str">
            <v>1902-002</v>
          </cell>
          <cell r="D463" t="str">
            <v xml:space="preserve">Lê Quốc </v>
          </cell>
          <cell r="E463" t="str">
            <v>Cường</v>
          </cell>
          <cell r="F463">
            <v>1984</v>
          </cell>
          <cell r="G463" t="str">
            <v>B</v>
          </cell>
          <cell r="H463">
            <v>43459</v>
          </cell>
          <cell r="I463">
            <v>43498</v>
          </cell>
          <cell r="J463">
            <v>44190</v>
          </cell>
        </row>
        <row r="464">
          <cell r="C464" t="str">
            <v>1902-003</v>
          </cell>
          <cell r="D464" t="str">
            <v xml:space="preserve">Diệp Quốc </v>
          </cell>
          <cell r="E464" t="str">
            <v>Thái</v>
          </cell>
          <cell r="F464">
            <v>1984</v>
          </cell>
          <cell r="G464" t="str">
            <v>B</v>
          </cell>
          <cell r="H464">
            <v>43430</v>
          </cell>
          <cell r="I464">
            <v>43498</v>
          </cell>
          <cell r="J464">
            <v>44069</v>
          </cell>
        </row>
        <row r="465">
          <cell r="C465" t="str">
            <v>1902-004</v>
          </cell>
          <cell r="D465" t="str">
            <v xml:space="preserve">Lê Thanh </v>
          </cell>
          <cell r="E465" t="str">
            <v>Sang</v>
          </cell>
          <cell r="F465">
            <v>1981</v>
          </cell>
          <cell r="G465" t="str">
            <v>B</v>
          </cell>
          <cell r="H465">
            <v>43420</v>
          </cell>
          <cell r="I465">
            <v>43498</v>
          </cell>
          <cell r="J465">
            <v>43967</v>
          </cell>
        </row>
        <row r="466">
          <cell r="C466" t="str">
            <v>1902-005</v>
          </cell>
          <cell r="D466" t="str">
            <v xml:space="preserve">Đinh Tiến </v>
          </cell>
          <cell r="E466" t="str">
            <v>Vượng</v>
          </cell>
          <cell r="F466">
            <v>1990</v>
          </cell>
          <cell r="G466" t="str">
            <v>B</v>
          </cell>
          <cell r="H466">
            <v>43415</v>
          </cell>
          <cell r="I466">
            <v>43498</v>
          </cell>
          <cell r="J466">
            <v>44054</v>
          </cell>
        </row>
        <row r="467">
          <cell r="C467" t="str">
            <v>1902-006</v>
          </cell>
          <cell r="D467" t="str">
            <v xml:space="preserve">Lê Đức </v>
          </cell>
          <cell r="E467" t="str">
            <v>Dũng</v>
          </cell>
          <cell r="F467">
            <v>1972</v>
          </cell>
          <cell r="G467" t="str">
            <v>B</v>
          </cell>
          <cell r="H467">
            <v>43399</v>
          </cell>
          <cell r="I467">
            <v>43498</v>
          </cell>
          <cell r="J467">
            <v>43947</v>
          </cell>
        </row>
        <row r="468">
          <cell r="C468" t="str">
            <v>1902-007</v>
          </cell>
          <cell r="D468" t="str">
            <v>Nguyễn Đình</v>
          </cell>
          <cell r="E468" t="str">
            <v>Phương</v>
          </cell>
          <cell r="F468">
            <v>1985</v>
          </cell>
          <cell r="G468" t="str">
            <v>B</v>
          </cell>
          <cell r="H468">
            <v>43403</v>
          </cell>
          <cell r="I468">
            <v>43498</v>
          </cell>
          <cell r="J468">
            <v>43951</v>
          </cell>
        </row>
        <row r="469">
          <cell r="C469" t="str">
            <v>1902-008</v>
          </cell>
          <cell r="D469" t="str">
            <v xml:space="preserve">Nguyễn Hồng </v>
          </cell>
          <cell r="E469" t="str">
            <v>Nhựt</v>
          </cell>
          <cell r="F469">
            <v>1993</v>
          </cell>
          <cell r="G469" t="str">
            <v>B</v>
          </cell>
          <cell r="H469">
            <v>43392</v>
          </cell>
          <cell r="I469">
            <v>43498</v>
          </cell>
          <cell r="J469">
            <v>44031</v>
          </cell>
        </row>
        <row r="470">
          <cell r="C470" t="str">
            <v>1902-009</v>
          </cell>
          <cell r="D470" t="str">
            <v>Trương Quang</v>
          </cell>
          <cell r="E470" t="str">
            <v>Bình</v>
          </cell>
          <cell r="F470">
            <v>1966</v>
          </cell>
          <cell r="G470" t="str">
            <v>B</v>
          </cell>
          <cell r="H470">
            <v>43403</v>
          </cell>
          <cell r="I470">
            <v>43498</v>
          </cell>
          <cell r="J470">
            <v>44042</v>
          </cell>
        </row>
        <row r="471">
          <cell r="C471" t="str">
            <v>1902-010</v>
          </cell>
          <cell r="D471" t="str">
            <v xml:space="preserve">Chu Văn </v>
          </cell>
          <cell r="E471" t="str">
            <v>Toàn</v>
          </cell>
          <cell r="F471">
            <v>1975</v>
          </cell>
          <cell r="G471" t="str">
            <v>B</v>
          </cell>
          <cell r="H471">
            <v>43364</v>
          </cell>
          <cell r="I471">
            <v>43498</v>
          </cell>
          <cell r="J471">
            <v>43820</v>
          </cell>
        </row>
        <row r="472">
          <cell r="C472" t="str">
            <v>1902-011</v>
          </cell>
          <cell r="D472" t="str">
            <v>Nguyễn Khương</v>
          </cell>
          <cell r="E472" t="str">
            <v>Sang</v>
          </cell>
          <cell r="F472">
            <v>1974</v>
          </cell>
          <cell r="G472" t="str">
            <v>B</v>
          </cell>
          <cell r="H472">
            <v>43424</v>
          </cell>
          <cell r="I472">
            <v>43498</v>
          </cell>
          <cell r="J472">
            <v>44155</v>
          </cell>
        </row>
        <row r="473">
          <cell r="C473" t="str">
            <v>1902-012</v>
          </cell>
          <cell r="D473" t="str">
            <v>Lý Duy</v>
          </cell>
          <cell r="E473" t="str">
            <v>Văn</v>
          </cell>
          <cell r="F473">
            <v>1986</v>
          </cell>
          <cell r="G473" t="str">
            <v>B</v>
          </cell>
          <cell r="H473">
            <v>43417</v>
          </cell>
          <cell r="I473">
            <v>43498</v>
          </cell>
          <cell r="J473">
            <v>44087</v>
          </cell>
          <cell r="L473" t="str">
            <v>NA</v>
          </cell>
        </row>
        <row r="474">
          <cell r="C474" t="str">
            <v>1902-013</v>
          </cell>
          <cell r="D474" t="str">
            <v>Lê Đăng</v>
          </cell>
          <cell r="E474" t="str">
            <v>Khoa</v>
          </cell>
          <cell r="F474">
            <v>1992</v>
          </cell>
          <cell r="G474" t="str">
            <v>B</v>
          </cell>
          <cell r="H474">
            <v>43416</v>
          </cell>
          <cell r="I474">
            <v>43499</v>
          </cell>
          <cell r="J474">
            <v>44055</v>
          </cell>
        </row>
        <row r="475">
          <cell r="C475" t="str">
            <v>1902-014</v>
          </cell>
          <cell r="D475" t="str">
            <v>Đoàn Đại</v>
          </cell>
          <cell r="E475" t="str">
            <v>Hải</v>
          </cell>
          <cell r="F475">
            <v>1970</v>
          </cell>
          <cell r="G475" t="str">
            <v>B</v>
          </cell>
          <cell r="H475">
            <v>43484</v>
          </cell>
          <cell r="I475">
            <v>43508</v>
          </cell>
          <cell r="J475">
            <v>44031</v>
          </cell>
          <cell r="L475" t="str">
            <v>YT</v>
          </cell>
          <cell r="M475">
            <v>43629</v>
          </cell>
        </row>
        <row r="476">
          <cell r="C476" t="str">
            <v>1902-015</v>
          </cell>
          <cell r="D476" t="str">
            <v>Trần Chương Quốc</v>
          </cell>
          <cell r="E476" t="str">
            <v>Long</v>
          </cell>
          <cell r="F476">
            <v>1985</v>
          </cell>
          <cell r="G476" t="str">
            <v>B</v>
          </cell>
          <cell r="H476">
            <v>43454</v>
          </cell>
          <cell r="I476">
            <v>43515</v>
          </cell>
          <cell r="J476">
            <v>44002</v>
          </cell>
        </row>
        <row r="477">
          <cell r="C477" t="str">
            <v>1902-016</v>
          </cell>
          <cell r="D477" t="str">
            <v xml:space="preserve">Nguyễn Ngọc </v>
          </cell>
          <cell r="E477" t="str">
            <v>Hưng</v>
          </cell>
          <cell r="F477">
            <v>1962</v>
          </cell>
          <cell r="G477" t="str">
            <v>B</v>
          </cell>
          <cell r="H477">
            <v>43427</v>
          </cell>
          <cell r="I477">
            <v>43515</v>
          </cell>
          <cell r="J477">
            <v>44158</v>
          </cell>
        </row>
        <row r="478">
          <cell r="C478" t="str">
            <v>1902-017</v>
          </cell>
          <cell r="D478" t="str">
            <v>Nguyễn Hồng</v>
          </cell>
          <cell r="E478" t="str">
            <v>Đức</v>
          </cell>
          <cell r="F478">
            <v>1972</v>
          </cell>
          <cell r="G478" t="str">
            <v>B</v>
          </cell>
          <cell r="H478">
            <v>43406</v>
          </cell>
          <cell r="I478">
            <v>43517</v>
          </cell>
          <cell r="J478">
            <v>44045</v>
          </cell>
          <cell r="L478" t="str">
            <v>KL</v>
          </cell>
          <cell r="M478">
            <v>43612</v>
          </cell>
          <cell r="N478">
            <v>65</v>
          </cell>
          <cell r="O478">
            <v>43677</v>
          </cell>
        </row>
        <row r="479">
          <cell r="C479" t="str">
            <v>1902-018</v>
          </cell>
          <cell r="D479" t="str">
            <v>Hoàng Thế</v>
          </cell>
          <cell r="E479" t="str">
            <v>Vũ</v>
          </cell>
          <cell r="F479">
            <v>1974</v>
          </cell>
          <cell r="G479" t="str">
            <v>B</v>
          </cell>
          <cell r="H479">
            <v>43415</v>
          </cell>
          <cell r="I479">
            <v>43518</v>
          </cell>
          <cell r="J479">
            <v>44054</v>
          </cell>
        </row>
        <row r="480">
          <cell r="C480" t="str">
            <v>1902-019</v>
          </cell>
          <cell r="D480" t="str">
            <v xml:space="preserve">Thái Ngọc </v>
          </cell>
          <cell r="E480" t="str">
            <v>Thảo</v>
          </cell>
          <cell r="F480">
            <v>1982</v>
          </cell>
          <cell r="G480" t="str">
            <v>B</v>
          </cell>
          <cell r="H480">
            <v>43494</v>
          </cell>
          <cell r="I480">
            <v>43522</v>
          </cell>
          <cell r="J480">
            <v>44133</v>
          </cell>
        </row>
        <row r="481">
          <cell r="C481" t="str">
            <v>1902-020</v>
          </cell>
          <cell r="D481" t="str">
            <v>Võ Hoàng</v>
          </cell>
          <cell r="E481" t="str">
            <v>Vũ</v>
          </cell>
          <cell r="F481">
            <v>1981</v>
          </cell>
          <cell r="G481" t="str">
            <v>B</v>
          </cell>
          <cell r="H481">
            <v>43445</v>
          </cell>
          <cell r="I481">
            <v>43523</v>
          </cell>
          <cell r="J481">
            <v>44085</v>
          </cell>
        </row>
        <row r="482">
          <cell r="C482" t="str">
            <v>1902-021</v>
          </cell>
          <cell r="D482" t="str">
            <v>Nguyễn Thanh</v>
          </cell>
          <cell r="E482" t="str">
            <v>Phương</v>
          </cell>
          <cell r="F482">
            <v>1986</v>
          </cell>
          <cell r="G482" t="str">
            <v>B</v>
          </cell>
          <cell r="H482">
            <v>43434</v>
          </cell>
          <cell r="I482">
            <v>43523</v>
          </cell>
          <cell r="J482">
            <v>44165</v>
          </cell>
        </row>
        <row r="483">
          <cell r="C483" t="str">
            <v>1902-022</v>
          </cell>
          <cell r="D483" t="str">
            <v xml:space="preserve">Nguyễn Tấn </v>
          </cell>
          <cell r="E483" t="str">
            <v>Đạt</v>
          </cell>
          <cell r="F483">
            <v>1981</v>
          </cell>
          <cell r="G483" t="str">
            <v>B</v>
          </cell>
          <cell r="H483">
            <v>43437</v>
          </cell>
          <cell r="I483">
            <v>43523</v>
          </cell>
          <cell r="J483">
            <v>43985</v>
          </cell>
        </row>
        <row r="484">
          <cell r="C484" t="str">
            <v>1903-001</v>
          </cell>
          <cell r="D484" t="str">
            <v>Nguyễn Tấn</v>
          </cell>
          <cell r="E484" t="str">
            <v>Phát</v>
          </cell>
          <cell r="F484">
            <v>1974</v>
          </cell>
          <cell r="G484" t="str">
            <v>A</v>
          </cell>
          <cell r="H484">
            <v>43417</v>
          </cell>
          <cell r="I484">
            <v>43525</v>
          </cell>
          <cell r="J484">
            <v>43964</v>
          </cell>
        </row>
        <row r="485">
          <cell r="C485" t="str">
            <v>1903-002</v>
          </cell>
          <cell r="D485" t="str">
            <v>Siêu Nam</v>
          </cell>
          <cell r="E485" t="str">
            <v>Hùng</v>
          </cell>
          <cell r="F485">
            <v>1985</v>
          </cell>
          <cell r="G485" t="str">
            <v>A</v>
          </cell>
          <cell r="H485">
            <v>43447</v>
          </cell>
          <cell r="I485">
            <v>43532</v>
          </cell>
          <cell r="J485">
            <v>43995</v>
          </cell>
        </row>
        <row r="486">
          <cell r="C486" t="str">
            <v>1903-003</v>
          </cell>
          <cell r="D486" t="str">
            <v>Võ Minh</v>
          </cell>
          <cell r="E486" t="str">
            <v>Hùng</v>
          </cell>
          <cell r="F486">
            <v>1984</v>
          </cell>
          <cell r="G486" t="str">
            <v>A</v>
          </cell>
          <cell r="H486">
            <v>43441</v>
          </cell>
          <cell r="I486">
            <v>43532</v>
          </cell>
          <cell r="J486">
            <v>44081</v>
          </cell>
        </row>
        <row r="487">
          <cell r="C487" t="str">
            <v>1903-004</v>
          </cell>
          <cell r="D487" t="str">
            <v>Nguyễn Quốc</v>
          </cell>
          <cell r="E487" t="str">
            <v>Hòa</v>
          </cell>
          <cell r="F487">
            <v>1986</v>
          </cell>
          <cell r="G487" t="str">
            <v>A</v>
          </cell>
          <cell r="H487">
            <v>43425</v>
          </cell>
          <cell r="I487">
            <v>43532</v>
          </cell>
          <cell r="J487">
            <v>44156</v>
          </cell>
        </row>
        <row r="488">
          <cell r="C488" t="str">
            <v>1903-005</v>
          </cell>
          <cell r="D488" t="str">
            <v xml:space="preserve">Võ Huỳnh Quang </v>
          </cell>
          <cell r="E488" t="str">
            <v>Khải</v>
          </cell>
          <cell r="F488">
            <v>1986</v>
          </cell>
          <cell r="G488" t="str">
            <v>A</v>
          </cell>
          <cell r="H488">
            <v>43473</v>
          </cell>
          <cell r="I488">
            <v>43532</v>
          </cell>
          <cell r="J488">
            <v>44020</v>
          </cell>
          <cell r="L488" t="str">
            <v>KL</v>
          </cell>
          <cell r="M488">
            <v>43600</v>
          </cell>
          <cell r="N488">
            <v>125</v>
          </cell>
          <cell r="O488">
            <v>43725</v>
          </cell>
        </row>
        <row r="489">
          <cell r="C489" t="str">
            <v>1903-006</v>
          </cell>
          <cell r="D489" t="str">
            <v>Nguyễn Văn</v>
          </cell>
          <cell r="E489" t="str">
            <v>Dũng</v>
          </cell>
          <cell r="F489">
            <v>1987</v>
          </cell>
          <cell r="G489" t="str">
            <v>A</v>
          </cell>
          <cell r="H489">
            <v>43443</v>
          </cell>
          <cell r="I489">
            <v>43532</v>
          </cell>
          <cell r="J489">
            <v>44113</v>
          </cell>
        </row>
        <row r="490">
          <cell r="C490" t="str">
            <v>1903-007</v>
          </cell>
          <cell r="D490" t="str">
            <v>Nguyễn Văn</v>
          </cell>
          <cell r="E490" t="str">
            <v xml:space="preserve"> Liêm</v>
          </cell>
          <cell r="F490">
            <v>1971</v>
          </cell>
          <cell r="G490" t="str">
            <v>A</v>
          </cell>
          <cell r="H490">
            <v>43508</v>
          </cell>
          <cell r="I490" t="str">
            <v>13/03/2019</v>
          </cell>
          <cell r="J490">
            <v>44055</v>
          </cell>
        </row>
        <row r="491">
          <cell r="C491" t="str">
            <v>1903-008</v>
          </cell>
          <cell r="D491" t="str">
            <v>Huỳnh Công</v>
          </cell>
          <cell r="E491" t="str">
            <v>Triều</v>
          </cell>
          <cell r="F491">
            <v>1989</v>
          </cell>
          <cell r="G491" t="str">
            <v>A</v>
          </cell>
          <cell r="H491">
            <v>43446</v>
          </cell>
          <cell r="I491" t="str">
            <v>13/03/2019</v>
          </cell>
          <cell r="J491">
            <v>44086</v>
          </cell>
        </row>
        <row r="492">
          <cell r="C492" t="str">
            <v>1903-009</v>
          </cell>
          <cell r="D492" t="str">
            <v xml:space="preserve">Nguyễn Văn </v>
          </cell>
          <cell r="E492" t="str">
            <v>Mỹ</v>
          </cell>
          <cell r="F492">
            <v>1973</v>
          </cell>
          <cell r="G492" t="str">
            <v>A</v>
          </cell>
          <cell r="H492">
            <v>43445</v>
          </cell>
          <cell r="I492" t="str">
            <v>13/03/2019</v>
          </cell>
          <cell r="J492">
            <v>44115</v>
          </cell>
        </row>
        <row r="493">
          <cell r="C493" t="str">
            <v>1903-010</v>
          </cell>
          <cell r="D493" t="str">
            <v>Thân Lại Trường</v>
          </cell>
          <cell r="E493" t="str">
            <v>Thành</v>
          </cell>
          <cell r="F493">
            <v>1985</v>
          </cell>
          <cell r="G493" t="str">
            <v>A</v>
          </cell>
          <cell r="H493">
            <v>43463</v>
          </cell>
          <cell r="I493" t="str">
            <v>13/03/2019</v>
          </cell>
          <cell r="J493">
            <v>44103</v>
          </cell>
        </row>
        <row r="494">
          <cell r="C494" t="str">
            <v>1903-011</v>
          </cell>
          <cell r="D494" t="str">
            <v>Phạm Minh</v>
          </cell>
          <cell r="E494" t="str">
            <v>Tâm</v>
          </cell>
          <cell r="F494">
            <v>1979</v>
          </cell>
          <cell r="G494" t="str">
            <v>A</v>
          </cell>
          <cell r="H494">
            <v>43453</v>
          </cell>
          <cell r="I494" t="str">
            <v>13/03/2019</v>
          </cell>
          <cell r="J494">
            <v>43909</v>
          </cell>
        </row>
        <row r="495">
          <cell r="C495" t="str">
            <v>1903-012</v>
          </cell>
          <cell r="D495" t="str">
            <v>Vũ Minh</v>
          </cell>
          <cell r="E495" t="str">
            <v>Tuấn</v>
          </cell>
          <cell r="F495">
            <v>1973</v>
          </cell>
          <cell r="G495" t="str">
            <v>A</v>
          </cell>
          <cell r="H495">
            <v>43465</v>
          </cell>
          <cell r="I495" t="str">
            <v>13/03/2019</v>
          </cell>
          <cell r="J495">
            <v>44196</v>
          </cell>
        </row>
        <row r="496">
          <cell r="C496" t="str">
            <v>1903-013</v>
          </cell>
          <cell r="D496" t="str">
            <v>Phạm Anh</v>
          </cell>
          <cell r="E496" t="str">
            <v>Tuấn</v>
          </cell>
          <cell r="F496">
            <v>1978</v>
          </cell>
          <cell r="G496" t="str">
            <v>A</v>
          </cell>
          <cell r="H496">
            <v>43472</v>
          </cell>
          <cell r="I496" t="str">
            <v>13/03/2019</v>
          </cell>
          <cell r="J496">
            <v>44019</v>
          </cell>
        </row>
        <row r="497">
          <cell r="C497" t="str">
            <v>1903-014</v>
          </cell>
          <cell r="D497" t="str">
            <v xml:space="preserve">Trần Ngọc </v>
          </cell>
          <cell r="E497" t="str">
            <v>Anh</v>
          </cell>
          <cell r="F497">
            <v>1977</v>
          </cell>
          <cell r="G497" t="str">
            <v>A</v>
          </cell>
          <cell r="H497">
            <v>43458</v>
          </cell>
          <cell r="I497">
            <v>43539</v>
          </cell>
          <cell r="J497">
            <v>44098</v>
          </cell>
          <cell r="L497" t="str">
            <v>KL</v>
          </cell>
          <cell r="M497">
            <v>43600</v>
          </cell>
          <cell r="N497">
            <v>95</v>
          </cell>
          <cell r="O497">
            <v>43695</v>
          </cell>
        </row>
        <row r="498">
          <cell r="C498" t="str">
            <v>1903-015</v>
          </cell>
          <cell r="D498" t="str">
            <v xml:space="preserve">Trần Vũ </v>
          </cell>
          <cell r="E498" t="str">
            <v>Thanh</v>
          </cell>
          <cell r="F498">
            <v>1987</v>
          </cell>
          <cell r="G498" t="str">
            <v>A</v>
          </cell>
          <cell r="H498">
            <v>43455</v>
          </cell>
          <cell r="I498">
            <v>43539</v>
          </cell>
          <cell r="J498">
            <v>44064</v>
          </cell>
        </row>
        <row r="499">
          <cell r="C499" t="str">
            <v>1903-016</v>
          </cell>
          <cell r="D499" t="str">
            <v>Trịnh Xuân</v>
          </cell>
          <cell r="E499" t="str">
            <v>Long</v>
          </cell>
          <cell r="F499">
            <v>1972</v>
          </cell>
          <cell r="G499" t="str">
            <v>A</v>
          </cell>
          <cell r="H499">
            <v>43453</v>
          </cell>
          <cell r="I499">
            <v>43539</v>
          </cell>
          <cell r="J499">
            <v>44093</v>
          </cell>
        </row>
        <row r="500">
          <cell r="C500" t="str">
            <v>1903-017</v>
          </cell>
          <cell r="D500" t="str">
            <v>Nguyễn Văn</v>
          </cell>
          <cell r="E500" t="str">
            <v>Hiệp</v>
          </cell>
          <cell r="F500">
            <v>1975</v>
          </cell>
          <cell r="G500" t="str">
            <v>D</v>
          </cell>
          <cell r="H500">
            <v>43458</v>
          </cell>
          <cell r="I500" t="str">
            <v>20/3/2019</v>
          </cell>
          <cell r="J500">
            <v>44006</v>
          </cell>
        </row>
        <row r="501">
          <cell r="C501" t="str">
            <v>1903-018</v>
          </cell>
          <cell r="D501" t="str">
            <v>Nguyễn Ngọc</v>
          </cell>
          <cell r="E501" t="str">
            <v>Khánh</v>
          </cell>
          <cell r="F501">
            <v>1979</v>
          </cell>
          <cell r="G501" t="str">
            <v>D</v>
          </cell>
          <cell r="H501">
            <v>43469</v>
          </cell>
          <cell r="I501" t="str">
            <v>20/3/2019</v>
          </cell>
          <cell r="J501">
            <v>44108</v>
          </cell>
        </row>
        <row r="502">
          <cell r="C502" t="str">
            <v>1903-019</v>
          </cell>
          <cell r="D502" t="str">
            <v xml:space="preserve">Võ Minh </v>
          </cell>
          <cell r="E502" t="str">
            <v>Thành</v>
          </cell>
          <cell r="F502">
            <v>1978</v>
          </cell>
          <cell r="G502" t="str">
            <v>D</v>
          </cell>
          <cell r="H502">
            <v>43454</v>
          </cell>
          <cell r="I502" t="str">
            <v>20/3/2019</v>
          </cell>
          <cell r="J502">
            <v>44002</v>
          </cell>
        </row>
        <row r="503">
          <cell r="C503" t="str">
            <v>1903-020</v>
          </cell>
          <cell r="D503" t="str">
            <v>Nguyễn Đức</v>
          </cell>
          <cell r="E503" t="str">
            <v>Cảm</v>
          </cell>
          <cell r="F503">
            <v>1975</v>
          </cell>
          <cell r="G503" t="str">
            <v>D</v>
          </cell>
          <cell r="H503">
            <v>43461</v>
          </cell>
          <cell r="I503" t="str">
            <v>20/3/2019</v>
          </cell>
          <cell r="J503">
            <v>44009</v>
          </cell>
        </row>
        <row r="504">
          <cell r="C504" t="str">
            <v>1903-021</v>
          </cell>
          <cell r="D504" t="str">
            <v>Nguyễn Hồng</v>
          </cell>
          <cell r="E504" t="str">
            <v>Dũ</v>
          </cell>
          <cell r="F504">
            <v>1988</v>
          </cell>
          <cell r="G504" t="str">
            <v>D</v>
          </cell>
          <cell r="H504">
            <v>43451</v>
          </cell>
          <cell r="I504" t="str">
            <v>20/3/2019</v>
          </cell>
          <cell r="J504">
            <v>43999</v>
          </cell>
        </row>
        <row r="505">
          <cell r="C505" t="str">
            <v>1903-022</v>
          </cell>
          <cell r="D505" t="str">
            <v>Nguyễn Hùng</v>
          </cell>
          <cell r="E505" t="str">
            <v>Duy</v>
          </cell>
          <cell r="F505">
            <v>1981</v>
          </cell>
          <cell r="G505" t="str">
            <v>D</v>
          </cell>
          <cell r="H505">
            <v>43455</v>
          </cell>
          <cell r="I505" t="str">
            <v>22/3/2019</v>
          </cell>
          <cell r="J505">
            <v>44095</v>
          </cell>
        </row>
        <row r="506">
          <cell r="C506" t="str">
            <v>1903-023</v>
          </cell>
          <cell r="D506" t="str">
            <v>Trần Hữu</v>
          </cell>
          <cell r="E506" t="str">
            <v>Có</v>
          </cell>
          <cell r="F506">
            <v>1982</v>
          </cell>
          <cell r="G506" t="str">
            <v>D</v>
          </cell>
          <cell r="H506">
            <v>43461</v>
          </cell>
          <cell r="I506" t="str">
            <v>28/3/2019</v>
          </cell>
          <cell r="J506">
            <v>44009</v>
          </cell>
        </row>
        <row r="507">
          <cell r="C507" t="str">
            <v>1903-024</v>
          </cell>
          <cell r="D507" t="str">
            <v>Lê Văn</v>
          </cell>
          <cell r="E507" t="str">
            <v>Trí</v>
          </cell>
          <cell r="F507">
            <v>1988</v>
          </cell>
          <cell r="G507" t="str">
            <v>D</v>
          </cell>
          <cell r="H507">
            <v>43458</v>
          </cell>
          <cell r="I507" t="str">
            <v>28/3/2019</v>
          </cell>
          <cell r="J507">
            <v>44006</v>
          </cell>
        </row>
        <row r="508">
          <cell r="C508" t="str">
            <v>1903-025</v>
          </cell>
          <cell r="D508" t="str">
            <v>Nguyễn Hoàng</v>
          </cell>
          <cell r="E508" t="str">
            <v>Long</v>
          </cell>
          <cell r="F508">
            <v>1988</v>
          </cell>
          <cell r="G508" t="str">
            <v>D</v>
          </cell>
          <cell r="H508">
            <v>43467</v>
          </cell>
          <cell r="I508" t="str">
            <v>29/3/2019</v>
          </cell>
          <cell r="J508">
            <v>44106</v>
          </cell>
        </row>
        <row r="509">
          <cell r="C509" t="str">
            <v>1903-026</v>
          </cell>
          <cell r="D509" t="str">
            <v>Lê Quang</v>
          </cell>
          <cell r="E509" t="str">
            <v>Duy</v>
          </cell>
          <cell r="F509">
            <v>1987</v>
          </cell>
          <cell r="G509" t="str">
            <v>D</v>
          </cell>
          <cell r="H509">
            <v>43473</v>
          </cell>
          <cell r="I509" t="str">
            <v>29/3/2019</v>
          </cell>
          <cell r="J509">
            <v>44143</v>
          </cell>
        </row>
        <row r="510">
          <cell r="C510" t="str">
            <v>1904-001</v>
          </cell>
          <cell r="D510" t="str">
            <v>Nguyễn Hoàng</v>
          </cell>
          <cell r="E510" t="str">
            <v>Vũ</v>
          </cell>
          <cell r="F510">
            <v>1987</v>
          </cell>
          <cell r="G510" t="str">
            <v>D</v>
          </cell>
          <cell r="H510">
            <v>43436</v>
          </cell>
          <cell r="I510" t="str">
            <v>01/4/2019</v>
          </cell>
          <cell r="J510">
            <v>44076</v>
          </cell>
        </row>
        <row r="511">
          <cell r="C511" t="str">
            <v>1904-002</v>
          </cell>
          <cell r="D511" t="str">
            <v xml:space="preserve">Trần </v>
          </cell>
          <cell r="E511" t="str">
            <v>Phước</v>
          </cell>
          <cell r="F511">
            <v>1978</v>
          </cell>
          <cell r="G511" t="str">
            <v>D</v>
          </cell>
          <cell r="H511">
            <v>43468</v>
          </cell>
          <cell r="I511" t="str">
            <v>01/4/2019</v>
          </cell>
          <cell r="J511">
            <v>44199</v>
          </cell>
        </row>
        <row r="512">
          <cell r="C512" t="str">
            <v>1904-003</v>
          </cell>
          <cell r="D512" t="str">
            <v>Quách Văn</v>
          </cell>
          <cell r="E512" t="str">
            <v>Hùng</v>
          </cell>
          <cell r="F512">
            <v>1979</v>
          </cell>
          <cell r="G512" t="str">
            <v>D</v>
          </cell>
          <cell r="H512">
            <v>43477</v>
          </cell>
          <cell r="I512" t="str">
            <v>01/4/2019</v>
          </cell>
          <cell r="J512">
            <v>44208</v>
          </cell>
        </row>
        <row r="513">
          <cell r="C513" t="str">
            <v>1904-004</v>
          </cell>
          <cell r="D513" t="str">
            <v xml:space="preserve">Nguyễn Tuấn </v>
          </cell>
          <cell r="E513" t="str">
            <v>Anh</v>
          </cell>
          <cell r="F513">
            <v>1988</v>
          </cell>
          <cell r="G513" t="str">
            <v>D</v>
          </cell>
          <cell r="H513">
            <v>43446</v>
          </cell>
          <cell r="I513" t="str">
            <v>01/4/2019</v>
          </cell>
          <cell r="J513">
            <v>43994</v>
          </cell>
        </row>
        <row r="514">
          <cell r="C514" t="str">
            <v>1904-005</v>
          </cell>
          <cell r="D514" t="str">
            <v xml:space="preserve">Nguyễn Anh </v>
          </cell>
          <cell r="E514" t="str">
            <v>Tuấn</v>
          </cell>
          <cell r="F514">
            <v>1981</v>
          </cell>
          <cell r="G514" t="str">
            <v>D</v>
          </cell>
          <cell r="H514">
            <v>43489</v>
          </cell>
          <cell r="I514" t="str">
            <v>01/4/2019</v>
          </cell>
          <cell r="J514">
            <v>44036</v>
          </cell>
        </row>
        <row r="515">
          <cell r="C515" t="str">
            <v>1904-006</v>
          </cell>
          <cell r="D515" t="str">
            <v>Nguyễn Văn</v>
          </cell>
          <cell r="E515" t="str">
            <v>Dũng</v>
          </cell>
          <cell r="F515">
            <v>1986</v>
          </cell>
          <cell r="G515" t="str">
            <v>D</v>
          </cell>
          <cell r="H515">
            <v>43448</v>
          </cell>
          <cell r="I515" t="str">
            <v>01/4/2019</v>
          </cell>
          <cell r="J515">
            <v>44088</v>
          </cell>
        </row>
        <row r="516">
          <cell r="C516" t="str">
            <v>1904-007</v>
          </cell>
          <cell r="D516" t="str">
            <v>Nguyễn Tấn</v>
          </cell>
          <cell r="E516" t="str">
            <v>Thành</v>
          </cell>
          <cell r="F516">
            <v>1988</v>
          </cell>
          <cell r="G516" t="str">
            <v>D</v>
          </cell>
          <cell r="H516">
            <v>43536</v>
          </cell>
          <cell r="I516" t="str">
            <v>09/4/2019</v>
          </cell>
          <cell r="J516">
            <v>44267</v>
          </cell>
        </row>
        <row r="517">
          <cell r="C517" t="str">
            <v>1904-008</v>
          </cell>
          <cell r="D517" t="str">
            <v>Nguyễn Hoàng</v>
          </cell>
          <cell r="E517" t="str">
            <v>Tâm</v>
          </cell>
          <cell r="F517">
            <v>1982</v>
          </cell>
          <cell r="G517" t="str">
            <v>D</v>
          </cell>
          <cell r="H517">
            <v>43476</v>
          </cell>
          <cell r="I517" t="str">
            <v>10/4/2019</v>
          </cell>
          <cell r="J517">
            <v>44023</v>
          </cell>
        </row>
        <row r="518">
          <cell r="C518" t="str">
            <v>1904-009</v>
          </cell>
          <cell r="D518" t="str">
            <v xml:space="preserve">Nguyễn Phương </v>
          </cell>
          <cell r="E518" t="str">
            <v>Tùng</v>
          </cell>
          <cell r="F518">
            <v>1975</v>
          </cell>
          <cell r="G518" t="str">
            <v>D</v>
          </cell>
          <cell r="H518">
            <v>43482</v>
          </cell>
          <cell r="I518" t="str">
            <v>10/4/2019</v>
          </cell>
          <cell r="J518">
            <v>44121</v>
          </cell>
        </row>
        <row r="519">
          <cell r="C519" t="str">
            <v>1904-010</v>
          </cell>
          <cell r="D519" t="str">
            <v>Trần Tiến</v>
          </cell>
          <cell r="E519" t="str">
            <v>Đoàn</v>
          </cell>
          <cell r="F519">
            <v>1976</v>
          </cell>
          <cell r="G519" t="str">
            <v>D</v>
          </cell>
          <cell r="H519">
            <v>43484</v>
          </cell>
          <cell r="I519" t="str">
            <v>10/4/2019</v>
          </cell>
          <cell r="J519">
            <v>44123</v>
          </cell>
        </row>
        <row r="520">
          <cell r="C520" t="str">
            <v>1904-011</v>
          </cell>
          <cell r="D520" t="str">
            <v xml:space="preserve">Phạm Ngọc </v>
          </cell>
          <cell r="E520" t="str">
            <v>Linh</v>
          </cell>
          <cell r="F520">
            <v>1990</v>
          </cell>
          <cell r="G520" t="str">
            <v>D</v>
          </cell>
          <cell r="H520">
            <v>43468</v>
          </cell>
          <cell r="I520" t="str">
            <v>11/4/2019</v>
          </cell>
          <cell r="J520">
            <v>44015</v>
          </cell>
        </row>
        <row r="521">
          <cell r="C521" t="str">
            <v>1904-012</v>
          </cell>
          <cell r="D521" t="str">
            <v>Nguyễn Thành</v>
          </cell>
          <cell r="E521" t="str">
            <v>Trung</v>
          </cell>
          <cell r="F521">
            <v>1972</v>
          </cell>
          <cell r="G521" t="str">
            <v>D</v>
          </cell>
          <cell r="H521">
            <v>43487</v>
          </cell>
          <cell r="I521" t="str">
            <v>11/4/2019</v>
          </cell>
          <cell r="J521">
            <v>44126</v>
          </cell>
        </row>
        <row r="522">
          <cell r="C522" t="str">
            <v>1904-013</v>
          </cell>
          <cell r="D522" t="str">
            <v xml:space="preserve">Đặng Tuấn </v>
          </cell>
          <cell r="E522" t="str">
            <v>Kiệt</v>
          </cell>
          <cell r="F522">
            <v>1977</v>
          </cell>
          <cell r="G522" t="str">
            <v>D</v>
          </cell>
          <cell r="H522">
            <v>43488</v>
          </cell>
          <cell r="I522" t="str">
            <v>11/4/2019</v>
          </cell>
          <cell r="J522">
            <v>44127</v>
          </cell>
        </row>
        <row r="523">
          <cell r="C523" t="str">
            <v>1904-014</v>
          </cell>
          <cell r="D523" t="str">
            <v>Trần Văn</v>
          </cell>
          <cell r="E523" t="str">
            <v>Khánh</v>
          </cell>
          <cell r="F523">
            <v>1987</v>
          </cell>
          <cell r="G523" t="str">
            <v>D</v>
          </cell>
          <cell r="H523">
            <v>43508</v>
          </cell>
          <cell r="I523">
            <v>43567</v>
          </cell>
          <cell r="J523">
            <v>44239</v>
          </cell>
        </row>
        <row r="524">
          <cell r="C524" t="str">
            <v>1904-015</v>
          </cell>
          <cell r="D524" t="str">
            <v>Dương Công</v>
          </cell>
          <cell r="E524" t="str">
            <v>Khánh</v>
          </cell>
          <cell r="F524">
            <v>1977</v>
          </cell>
          <cell r="G524" t="str">
            <v>D</v>
          </cell>
          <cell r="H524">
            <v>43509</v>
          </cell>
          <cell r="I524">
            <v>43567</v>
          </cell>
          <cell r="J524">
            <v>44117</v>
          </cell>
        </row>
        <row r="525">
          <cell r="C525" t="str">
            <v>1904-016</v>
          </cell>
          <cell r="D525" t="str">
            <v>Ngô Hiếu</v>
          </cell>
          <cell r="E525" t="str">
            <v>Trung</v>
          </cell>
          <cell r="F525">
            <v>1982</v>
          </cell>
          <cell r="G525" t="str">
            <v>D</v>
          </cell>
          <cell r="H525">
            <v>43479</v>
          </cell>
          <cell r="I525">
            <v>43567</v>
          </cell>
          <cell r="J525">
            <v>44026</v>
          </cell>
        </row>
        <row r="526">
          <cell r="C526" t="str">
            <v>1904-017</v>
          </cell>
          <cell r="D526" t="str">
            <v>Huỳnh Văn</v>
          </cell>
          <cell r="E526" t="str">
            <v>Quan</v>
          </cell>
          <cell r="F526">
            <v>1990</v>
          </cell>
          <cell r="G526" t="str">
            <v>D</v>
          </cell>
          <cell r="H526">
            <v>43474</v>
          </cell>
          <cell r="I526">
            <v>43567</v>
          </cell>
          <cell r="J526">
            <v>44205</v>
          </cell>
        </row>
        <row r="527">
          <cell r="C527" t="str">
            <v>1904-018</v>
          </cell>
          <cell r="D527" t="str">
            <v xml:space="preserve">Nguyễn Thành </v>
          </cell>
          <cell r="E527" t="str">
            <v>Tuệ</v>
          </cell>
          <cell r="F527">
            <v>1972</v>
          </cell>
          <cell r="G527" t="str">
            <v>C</v>
          </cell>
          <cell r="H527">
            <v>43472</v>
          </cell>
          <cell r="I527">
            <v>43574</v>
          </cell>
          <cell r="J527">
            <v>44019</v>
          </cell>
        </row>
        <row r="528">
          <cell r="C528" t="str">
            <v>1904-019</v>
          </cell>
          <cell r="D528" t="str">
            <v>Nguyễn Anh</v>
          </cell>
          <cell r="E528" t="str">
            <v>Chương</v>
          </cell>
          <cell r="F528">
            <v>1987</v>
          </cell>
          <cell r="G528" t="str">
            <v>C</v>
          </cell>
          <cell r="H528">
            <v>43514</v>
          </cell>
          <cell r="I528">
            <v>43574</v>
          </cell>
          <cell r="J528">
            <v>44245</v>
          </cell>
        </row>
        <row r="529">
          <cell r="C529" t="str">
            <v>1904-020</v>
          </cell>
          <cell r="D529" t="str">
            <v>Đặng Văn</v>
          </cell>
          <cell r="E529" t="str">
            <v>Thịnh</v>
          </cell>
          <cell r="F529">
            <v>1980</v>
          </cell>
          <cell r="G529" t="str">
            <v>C</v>
          </cell>
          <cell r="H529">
            <v>43514</v>
          </cell>
          <cell r="I529">
            <v>43574</v>
          </cell>
          <cell r="J529">
            <v>44245</v>
          </cell>
        </row>
        <row r="530">
          <cell r="C530" t="str">
            <v>1904-021</v>
          </cell>
          <cell r="D530" t="str">
            <v>Mai Văn</v>
          </cell>
          <cell r="E530" t="str">
            <v>Hòa</v>
          </cell>
          <cell r="F530">
            <v>1981</v>
          </cell>
          <cell r="G530" t="str">
            <v>C</v>
          </cell>
          <cell r="H530">
            <v>43476</v>
          </cell>
          <cell r="I530">
            <v>43574</v>
          </cell>
          <cell r="J530">
            <v>44115</v>
          </cell>
          <cell r="L530" t="str">
            <v>NA</v>
          </cell>
        </row>
        <row r="531">
          <cell r="C531" t="str">
            <v>1904-022</v>
          </cell>
          <cell r="D531" t="str">
            <v xml:space="preserve">Lê Quốc </v>
          </cell>
          <cell r="E531" t="str">
            <v>Trạng</v>
          </cell>
          <cell r="F531">
            <v>1986</v>
          </cell>
          <cell r="G531" t="str">
            <v>C</v>
          </cell>
          <cell r="H531">
            <v>43476</v>
          </cell>
          <cell r="I531">
            <v>43574</v>
          </cell>
          <cell r="J531">
            <v>44207</v>
          </cell>
          <cell r="L531" t="str">
            <v>NA</v>
          </cell>
        </row>
        <row r="532">
          <cell r="C532" t="str">
            <v>1904-023</v>
          </cell>
          <cell r="D532" t="str">
            <v>Phan Văn</v>
          </cell>
          <cell r="E532" t="str">
            <v>Thọ</v>
          </cell>
          <cell r="F532">
            <v>1989</v>
          </cell>
          <cell r="G532" t="str">
            <v>C</v>
          </cell>
          <cell r="H532">
            <v>43486</v>
          </cell>
          <cell r="I532">
            <v>43574</v>
          </cell>
          <cell r="J532">
            <v>44125</v>
          </cell>
        </row>
        <row r="533">
          <cell r="C533" t="str">
            <v>1904-024</v>
          </cell>
          <cell r="D533" t="str">
            <v>Nguyễn Đức</v>
          </cell>
          <cell r="E533" t="str">
            <v>Chiến</v>
          </cell>
          <cell r="F533">
            <v>1985</v>
          </cell>
          <cell r="G533" t="str">
            <v>C</v>
          </cell>
          <cell r="H533">
            <v>43480</v>
          </cell>
          <cell r="I533">
            <v>43574</v>
          </cell>
          <cell r="J533">
            <v>44211</v>
          </cell>
        </row>
        <row r="534">
          <cell r="C534" t="str">
            <v>1904-025</v>
          </cell>
          <cell r="D534" t="str">
            <v xml:space="preserve">Trần Văn </v>
          </cell>
          <cell r="E534" t="str">
            <v>Công</v>
          </cell>
          <cell r="F534">
            <v>1987</v>
          </cell>
          <cell r="G534" t="str">
            <v>C</v>
          </cell>
          <cell r="H534" t="str">
            <v>24/12/2018</v>
          </cell>
          <cell r="I534" t="str">
            <v>23/4/2019</v>
          </cell>
          <cell r="J534">
            <v>44189</v>
          </cell>
          <cell r="L534" t="str">
            <v>KL</v>
          </cell>
          <cell r="M534">
            <v>43604</v>
          </cell>
          <cell r="N534">
            <v>45</v>
          </cell>
          <cell r="O534">
            <v>43649</v>
          </cell>
        </row>
        <row r="535">
          <cell r="C535" t="str">
            <v>1904-026</v>
          </cell>
          <cell r="D535" t="str">
            <v>Đoàn Văn</v>
          </cell>
          <cell r="E535" t="str">
            <v>Tài</v>
          </cell>
          <cell r="F535">
            <v>1969</v>
          </cell>
          <cell r="G535" t="str">
            <v>C</v>
          </cell>
          <cell r="H535" t="str">
            <v>03/01/2019</v>
          </cell>
          <cell r="I535" t="str">
            <v>23/4/2019</v>
          </cell>
          <cell r="J535">
            <v>44199</v>
          </cell>
        </row>
        <row r="536">
          <cell r="C536" t="str">
            <v>1904-027</v>
          </cell>
          <cell r="D536" t="str">
            <v>Nguyễn Hoàng</v>
          </cell>
          <cell r="E536" t="str">
            <v>Anh</v>
          </cell>
          <cell r="F536">
            <v>1985</v>
          </cell>
          <cell r="G536" t="str">
            <v>C</v>
          </cell>
          <cell r="H536" t="str">
            <v>11/01/2019</v>
          </cell>
          <cell r="I536" t="str">
            <v>23/4/2019</v>
          </cell>
          <cell r="J536">
            <v>44207</v>
          </cell>
        </row>
        <row r="537">
          <cell r="C537" t="str">
            <v>1904-028</v>
          </cell>
          <cell r="D537" t="str">
            <v xml:space="preserve">Trần Gia </v>
          </cell>
          <cell r="E537" t="str">
            <v>Bảo</v>
          </cell>
          <cell r="F537">
            <v>1976</v>
          </cell>
          <cell r="G537" t="str">
            <v>C</v>
          </cell>
          <cell r="H537" t="str">
            <v>30/01/2019</v>
          </cell>
          <cell r="I537" t="str">
            <v>23/4/2019</v>
          </cell>
          <cell r="J537">
            <v>44226</v>
          </cell>
        </row>
        <row r="538">
          <cell r="C538" t="str">
            <v>1904-029</v>
          </cell>
          <cell r="D538" t="str">
            <v xml:space="preserve">Nguyễn Thanh </v>
          </cell>
          <cell r="E538" t="str">
            <v>Tài</v>
          </cell>
          <cell r="F538">
            <v>1972</v>
          </cell>
          <cell r="G538" t="str">
            <v>C</v>
          </cell>
          <cell r="H538">
            <v>43550</v>
          </cell>
          <cell r="I538" t="str">
            <v>24/04/2019</v>
          </cell>
          <cell r="J538">
            <v>44100</v>
          </cell>
        </row>
        <row r="539">
          <cell r="C539" t="str">
            <v>1904-030</v>
          </cell>
          <cell r="D539" t="str">
            <v xml:space="preserve">Nguyễn Hữu </v>
          </cell>
          <cell r="E539" t="str">
            <v>Nhơn</v>
          </cell>
          <cell r="F539">
            <v>1985</v>
          </cell>
          <cell r="G539" t="str">
            <v>C</v>
          </cell>
          <cell r="H539">
            <v>43553</v>
          </cell>
          <cell r="I539" t="str">
            <v>24/04/2019</v>
          </cell>
          <cell r="J539">
            <v>44164</v>
          </cell>
        </row>
        <row r="540">
          <cell r="C540" t="str">
            <v>1904-031</v>
          </cell>
          <cell r="D540" t="str">
            <v>Nguyễn Khánh</v>
          </cell>
          <cell r="E540" t="str">
            <v>Sinh</v>
          </cell>
          <cell r="F540">
            <v>1986</v>
          </cell>
          <cell r="G540" t="str">
            <v>C</v>
          </cell>
          <cell r="H540">
            <v>43559</v>
          </cell>
          <cell r="I540" t="str">
            <v>29/04/2019</v>
          </cell>
          <cell r="J540">
            <v>44290</v>
          </cell>
        </row>
        <row r="541">
          <cell r="C541" t="str">
            <v>1905-001</v>
          </cell>
          <cell r="D541" t="str">
            <v xml:space="preserve"> Nguyễn Quốc</v>
          </cell>
          <cell r="E541" t="str">
            <v>Hùng</v>
          </cell>
          <cell r="F541">
            <v>1978</v>
          </cell>
          <cell r="G541" t="str">
            <v>C</v>
          </cell>
          <cell r="H541">
            <v>43477</v>
          </cell>
          <cell r="I541">
            <v>43587</v>
          </cell>
          <cell r="J541">
            <v>44208</v>
          </cell>
          <cell r="L541" t="str">
            <v>DL</v>
          </cell>
          <cell r="M541">
            <v>43619</v>
          </cell>
          <cell r="N541">
            <v>61</v>
          </cell>
          <cell r="O541">
            <v>43680</v>
          </cell>
        </row>
        <row r="542">
          <cell r="C542" t="str">
            <v>1905-002</v>
          </cell>
          <cell r="D542" t="str">
            <v>Đặng Hoàng</v>
          </cell>
          <cell r="E542" t="str">
            <v>Thông</v>
          </cell>
          <cell r="F542">
            <v>1990</v>
          </cell>
          <cell r="G542" t="str">
            <v>C</v>
          </cell>
          <cell r="H542">
            <v>43509</v>
          </cell>
          <cell r="I542">
            <v>43587</v>
          </cell>
          <cell r="J542">
            <v>44240</v>
          </cell>
        </row>
        <row r="543">
          <cell r="C543" t="str">
            <v>1905-003</v>
          </cell>
          <cell r="D543" t="str">
            <v>Lâm Hoàng</v>
          </cell>
          <cell r="E543" t="str">
            <v>Dũng</v>
          </cell>
          <cell r="F543">
            <v>1987</v>
          </cell>
          <cell r="G543" t="str">
            <v>C</v>
          </cell>
          <cell r="H543">
            <v>43495</v>
          </cell>
          <cell r="I543">
            <v>43594</v>
          </cell>
          <cell r="J543">
            <v>44226</v>
          </cell>
          <cell r="L543" t="str">
            <v>NA</v>
          </cell>
          <cell r="M543">
            <v>43594</v>
          </cell>
        </row>
        <row r="544">
          <cell r="C544" t="str">
            <v>1905-004</v>
          </cell>
          <cell r="D544" t="str">
            <v>Võ Minh</v>
          </cell>
          <cell r="E544" t="str">
            <v>Hiếu</v>
          </cell>
          <cell r="F544">
            <v>1967</v>
          </cell>
          <cell r="G544" t="str">
            <v>C</v>
          </cell>
          <cell r="H544">
            <v>43529</v>
          </cell>
          <cell r="I544">
            <v>43594</v>
          </cell>
          <cell r="J544">
            <v>44170</v>
          </cell>
        </row>
        <row r="545">
          <cell r="C545" t="str">
            <v>1905-005</v>
          </cell>
          <cell r="D545" t="str">
            <v>Châu Thái Hồng</v>
          </cell>
          <cell r="E545" t="str">
            <v>Nguyên</v>
          </cell>
          <cell r="F545">
            <v>1989</v>
          </cell>
          <cell r="G545" t="str">
            <v>C</v>
          </cell>
          <cell r="H545">
            <v>43517</v>
          </cell>
          <cell r="I545">
            <v>43594</v>
          </cell>
          <cell r="J545">
            <v>44248</v>
          </cell>
        </row>
        <row r="546">
          <cell r="C546" t="str">
            <v>1905-006</v>
          </cell>
          <cell r="D546" t="str">
            <v>Nguyễn Hoàng</v>
          </cell>
          <cell r="E546" t="str">
            <v>Xuân</v>
          </cell>
          <cell r="F546">
            <v>1990</v>
          </cell>
          <cell r="G546" t="str">
            <v>C</v>
          </cell>
          <cell r="H546">
            <v>43517</v>
          </cell>
          <cell r="I546">
            <v>43599</v>
          </cell>
          <cell r="J546">
            <v>44156</v>
          </cell>
        </row>
        <row r="547">
          <cell r="C547" t="str">
            <v>1905-007</v>
          </cell>
          <cell r="D547" t="str">
            <v>Nguyễn Thành</v>
          </cell>
          <cell r="E547" t="str">
            <v>Long</v>
          </cell>
          <cell r="F547">
            <v>1988</v>
          </cell>
          <cell r="G547" t="str">
            <v>C</v>
          </cell>
          <cell r="H547">
            <v>43506</v>
          </cell>
          <cell r="I547">
            <v>43599</v>
          </cell>
          <cell r="J547">
            <v>44053</v>
          </cell>
        </row>
        <row r="548">
          <cell r="C548" t="str">
            <v>1905-008</v>
          </cell>
          <cell r="D548" t="str">
            <v>Nguyễn Hoàng</v>
          </cell>
          <cell r="E548" t="str">
            <v>Điệp</v>
          </cell>
          <cell r="F548">
            <v>1988</v>
          </cell>
          <cell r="G548" t="str">
            <v>C</v>
          </cell>
          <cell r="H548">
            <v>43515</v>
          </cell>
          <cell r="I548">
            <v>43599</v>
          </cell>
          <cell r="J548">
            <v>44246</v>
          </cell>
        </row>
        <row r="549">
          <cell r="C549" t="str">
            <v>1905-009</v>
          </cell>
          <cell r="D549" t="str">
            <v>Nguyễn Chính</v>
          </cell>
          <cell r="E549" t="str">
            <v>Linh</v>
          </cell>
          <cell r="F549">
            <v>1979</v>
          </cell>
          <cell r="G549" t="str">
            <v>C</v>
          </cell>
          <cell r="H549">
            <v>43516</v>
          </cell>
          <cell r="I549">
            <v>43599</v>
          </cell>
          <cell r="J549">
            <v>44155</v>
          </cell>
        </row>
        <row r="550">
          <cell r="C550" t="str">
            <v>1905-010</v>
          </cell>
          <cell r="D550" t="str">
            <v>Võ Ngọc</v>
          </cell>
          <cell r="E550" t="str">
            <v>Tân</v>
          </cell>
          <cell r="F550">
            <v>1980</v>
          </cell>
          <cell r="G550" t="str">
            <v>E</v>
          </cell>
          <cell r="H550">
            <v>43530</v>
          </cell>
          <cell r="I550">
            <v>43599</v>
          </cell>
          <cell r="J550">
            <v>44202</v>
          </cell>
        </row>
        <row r="551">
          <cell r="C551" t="str">
            <v>1905-011</v>
          </cell>
          <cell r="D551" t="str">
            <v>Trang Minh</v>
          </cell>
          <cell r="E551" t="str">
            <v>Luân</v>
          </cell>
          <cell r="F551">
            <v>1978</v>
          </cell>
          <cell r="G551" t="str">
            <v>E</v>
          </cell>
          <cell r="H551">
            <v>43517</v>
          </cell>
          <cell r="I551">
            <v>43599</v>
          </cell>
          <cell r="J551">
            <v>44156</v>
          </cell>
          <cell r="L551" t="str">
            <v>KL</v>
          </cell>
          <cell r="M551">
            <v>43616</v>
          </cell>
          <cell r="N551">
            <v>65</v>
          </cell>
          <cell r="O551">
            <v>43681</v>
          </cell>
        </row>
        <row r="552">
          <cell r="C552" t="str">
            <v>1905-012</v>
          </cell>
          <cell r="D552" t="str">
            <v>Nguyễn Hữu</v>
          </cell>
          <cell r="E552" t="str">
            <v>Ngọc</v>
          </cell>
          <cell r="F552">
            <v>1968</v>
          </cell>
          <cell r="G552" t="str">
            <v>E</v>
          </cell>
          <cell r="H552">
            <v>43509</v>
          </cell>
          <cell r="I552">
            <v>43599</v>
          </cell>
          <cell r="J552">
            <v>44240</v>
          </cell>
        </row>
        <row r="553">
          <cell r="C553" t="str">
            <v>1905-013</v>
          </cell>
          <cell r="D553" t="str">
            <v>Nguyễn Hoàng</v>
          </cell>
          <cell r="E553" t="str">
            <v>Sơn</v>
          </cell>
          <cell r="F553">
            <v>1979</v>
          </cell>
          <cell r="G553" t="str">
            <v>E</v>
          </cell>
          <cell r="H553">
            <v>43508</v>
          </cell>
          <cell r="I553">
            <v>43599</v>
          </cell>
          <cell r="J553">
            <v>44239</v>
          </cell>
        </row>
        <row r="554">
          <cell r="C554" t="str">
            <v>1905-014</v>
          </cell>
          <cell r="D554" t="str">
            <v>Nguyễn Tấn</v>
          </cell>
          <cell r="E554" t="str">
            <v>Luân</v>
          </cell>
          <cell r="F554">
            <v>1990</v>
          </cell>
          <cell r="G554" t="str">
            <v>E</v>
          </cell>
          <cell r="H554">
            <v>43528</v>
          </cell>
          <cell r="I554">
            <v>43600</v>
          </cell>
          <cell r="J554">
            <v>44078</v>
          </cell>
        </row>
        <row r="555">
          <cell r="C555" t="str">
            <v>1905-015</v>
          </cell>
          <cell r="D555" t="str">
            <v>Võ Phước</v>
          </cell>
          <cell r="E555" t="str">
            <v>Vinh</v>
          </cell>
          <cell r="F555">
            <v>1982</v>
          </cell>
          <cell r="G555" t="str">
            <v>E</v>
          </cell>
          <cell r="H555">
            <v>43532</v>
          </cell>
          <cell r="I555">
            <v>43600</v>
          </cell>
          <cell r="J555">
            <v>43990</v>
          </cell>
        </row>
        <row r="556">
          <cell r="C556" t="str">
            <v>1905-016</v>
          </cell>
          <cell r="D556" t="str">
            <v>Lê Văn</v>
          </cell>
          <cell r="E556" t="str">
            <v>Hoàng</v>
          </cell>
          <cell r="F556">
            <v>1972</v>
          </cell>
          <cell r="G556" t="str">
            <v>E</v>
          </cell>
          <cell r="H556">
            <v>43482</v>
          </cell>
          <cell r="I556">
            <v>43600</v>
          </cell>
          <cell r="J556">
            <v>44213</v>
          </cell>
        </row>
        <row r="557">
          <cell r="C557" t="str">
            <v>1905-017</v>
          </cell>
          <cell r="D557" t="str">
            <v>Dương Đức Lê</v>
          </cell>
          <cell r="E557" t="str">
            <v>Hoàng</v>
          </cell>
          <cell r="F557">
            <v>1979</v>
          </cell>
          <cell r="G557" t="str">
            <v>E</v>
          </cell>
          <cell r="H557">
            <v>43515</v>
          </cell>
          <cell r="I557">
            <v>43600</v>
          </cell>
          <cell r="J557">
            <v>44062</v>
          </cell>
        </row>
        <row r="558">
          <cell r="C558" t="str">
            <v>1905-018</v>
          </cell>
          <cell r="D558" t="str">
            <v xml:space="preserve">Võ Thanh </v>
          </cell>
          <cell r="E558" t="str">
            <v>Tú</v>
          </cell>
          <cell r="F558">
            <v>1977</v>
          </cell>
          <cell r="G558" t="str">
            <v>E</v>
          </cell>
          <cell r="H558">
            <v>43543</v>
          </cell>
          <cell r="I558">
            <v>43605</v>
          </cell>
          <cell r="J558">
            <v>44184</v>
          </cell>
        </row>
        <row r="559">
          <cell r="C559" t="str">
            <v>1905-019</v>
          </cell>
          <cell r="D559" t="str">
            <v xml:space="preserve">Huỳnh Quang </v>
          </cell>
          <cell r="E559" t="str">
            <v>Minh</v>
          </cell>
          <cell r="F559">
            <v>1984</v>
          </cell>
          <cell r="G559" t="str">
            <v>E</v>
          </cell>
          <cell r="H559">
            <v>43536</v>
          </cell>
          <cell r="I559">
            <v>43605</v>
          </cell>
          <cell r="J559">
            <v>44177</v>
          </cell>
        </row>
        <row r="560">
          <cell r="C560" t="str">
            <v>1905-020</v>
          </cell>
          <cell r="D560" t="str">
            <v>Huỳnh Minh</v>
          </cell>
          <cell r="E560" t="str">
            <v>Hoài</v>
          </cell>
          <cell r="F560">
            <v>1989</v>
          </cell>
          <cell r="G560" t="str">
            <v>E</v>
          </cell>
          <cell r="H560">
            <v>43582</v>
          </cell>
          <cell r="I560">
            <v>43607</v>
          </cell>
          <cell r="J560">
            <v>44313</v>
          </cell>
        </row>
        <row r="561">
          <cell r="C561" t="str">
            <v>1905-021</v>
          </cell>
          <cell r="D561" t="str">
            <v>Nguyễn Trung</v>
          </cell>
          <cell r="E561" t="str">
            <v xml:space="preserve"> Hiếu</v>
          </cell>
          <cell r="F561">
            <v>1975</v>
          </cell>
          <cell r="G561" t="str">
            <v>E</v>
          </cell>
          <cell r="H561">
            <v>43520</v>
          </cell>
          <cell r="I561">
            <v>43608</v>
          </cell>
          <cell r="J561">
            <v>44067</v>
          </cell>
        </row>
        <row r="562">
          <cell r="C562" t="str">
            <v>1905-022</v>
          </cell>
          <cell r="D562" t="str">
            <v>Dương Trọng Quang</v>
          </cell>
          <cell r="E562" t="str">
            <v>Thu</v>
          </cell>
          <cell r="F562">
            <v>1973</v>
          </cell>
          <cell r="G562" t="str">
            <v>E</v>
          </cell>
          <cell r="H562">
            <v>43530</v>
          </cell>
          <cell r="I562">
            <v>43608</v>
          </cell>
          <cell r="J562">
            <v>44261</v>
          </cell>
        </row>
        <row r="563">
          <cell r="C563" t="str">
            <v>1905-023</v>
          </cell>
          <cell r="D563" t="str">
            <v>Trần Ngọc</v>
          </cell>
          <cell r="E563" t="str">
            <v>Hải</v>
          </cell>
          <cell r="F563">
            <v>1968</v>
          </cell>
          <cell r="G563" t="str">
            <v>E</v>
          </cell>
          <cell r="H563">
            <v>43512</v>
          </cell>
          <cell r="I563">
            <v>43608</v>
          </cell>
          <cell r="J563">
            <v>44151</v>
          </cell>
        </row>
        <row r="564">
          <cell r="C564" t="str">
            <v>1905-024</v>
          </cell>
          <cell r="D564" t="str">
            <v xml:space="preserve">Vũ Hoài </v>
          </cell>
          <cell r="E564" t="str">
            <v>Linh</v>
          </cell>
          <cell r="F564">
            <v>1976</v>
          </cell>
          <cell r="G564" t="str">
            <v>E</v>
          </cell>
          <cell r="H564">
            <v>43514</v>
          </cell>
          <cell r="I564">
            <v>43608</v>
          </cell>
          <cell r="J564">
            <v>44245</v>
          </cell>
        </row>
        <row r="565">
          <cell r="C565" t="str">
            <v>1905-025</v>
          </cell>
          <cell r="D565" t="str">
            <v>Đào Quang</v>
          </cell>
          <cell r="E565" t="str">
            <v>Phương</v>
          </cell>
          <cell r="F565">
            <v>1989</v>
          </cell>
          <cell r="G565" t="str">
            <v>E</v>
          </cell>
          <cell r="H565">
            <v>43529</v>
          </cell>
          <cell r="I565">
            <v>43608</v>
          </cell>
          <cell r="J565">
            <v>44079</v>
          </cell>
        </row>
        <row r="566">
          <cell r="C566" t="str">
            <v>1905-026</v>
          </cell>
          <cell r="D566" t="str">
            <v>Nguyễn Hoàng</v>
          </cell>
          <cell r="E566" t="str">
            <v>Tùng</v>
          </cell>
          <cell r="F566">
            <v>1964</v>
          </cell>
          <cell r="G566" t="str">
            <v>E</v>
          </cell>
          <cell r="H566">
            <v>43549</v>
          </cell>
          <cell r="I566">
            <v>43608</v>
          </cell>
          <cell r="J566">
            <v>44280</v>
          </cell>
        </row>
        <row r="567">
          <cell r="C567" t="str">
            <v>1905-027</v>
          </cell>
          <cell r="D567" t="str">
            <v>Nguyễn Hòa</v>
          </cell>
          <cell r="E567" t="str">
            <v>Hiệp</v>
          </cell>
          <cell r="F567">
            <v>1990</v>
          </cell>
          <cell r="G567" t="str">
            <v>E</v>
          </cell>
          <cell r="H567">
            <v>43505</v>
          </cell>
          <cell r="I567">
            <v>43613</v>
          </cell>
          <cell r="J567">
            <v>44236</v>
          </cell>
        </row>
        <row r="568">
          <cell r="C568" t="str">
            <v>1905-028</v>
          </cell>
          <cell r="D568" t="str">
            <v>Bùi Anh</v>
          </cell>
          <cell r="E568" t="str">
            <v>Tiến</v>
          </cell>
          <cell r="F568">
            <v>1984</v>
          </cell>
          <cell r="G568" t="str">
            <v>E</v>
          </cell>
          <cell r="H568">
            <v>43524</v>
          </cell>
          <cell r="I568">
            <v>43613</v>
          </cell>
          <cell r="J568">
            <v>44255</v>
          </cell>
        </row>
        <row r="569">
          <cell r="C569" t="str">
            <v>1905-029</v>
          </cell>
          <cell r="D569" t="str">
            <v>Nguyễn Duy</v>
          </cell>
          <cell r="E569" t="str">
            <v>Khanh</v>
          </cell>
          <cell r="F569">
            <v>1982</v>
          </cell>
          <cell r="G569" t="str">
            <v>E</v>
          </cell>
          <cell r="H569">
            <v>43534</v>
          </cell>
          <cell r="I569">
            <v>43613</v>
          </cell>
          <cell r="J569">
            <v>43992</v>
          </cell>
        </row>
        <row r="570">
          <cell r="C570" t="str">
            <v>1905-030</v>
          </cell>
          <cell r="D570" t="str">
            <v>Đoàn Văn</v>
          </cell>
          <cell r="E570" t="str">
            <v>Minh</v>
          </cell>
          <cell r="F570">
            <v>1982</v>
          </cell>
          <cell r="G570" t="str">
            <v>E</v>
          </cell>
          <cell r="H570">
            <v>43539</v>
          </cell>
          <cell r="I570">
            <v>43613</v>
          </cell>
          <cell r="J570">
            <v>44089</v>
          </cell>
        </row>
        <row r="571">
          <cell r="C571" t="str">
            <v>1905-031</v>
          </cell>
          <cell r="D571" t="str">
            <v>Nguyễn Mạnh</v>
          </cell>
          <cell r="E571" t="str">
            <v>Triển</v>
          </cell>
          <cell r="F571">
            <v>1965</v>
          </cell>
          <cell r="G571" t="str">
            <v>E</v>
          </cell>
          <cell r="H571">
            <v>43529</v>
          </cell>
          <cell r="I571">
            <v>43613</v>
          </cell>
          <cell r="J571">
            <v>44260</v>
          </cell>
        </row>
        <row r="572">
          <cell r="C572" t="str">
            <v>1905-032</v>
          </cell>
          <cell r="D572" t="str">
            <v>Bùi Tuấn</v>
          </cell>
          <cell r="E572" t="str">
            <v>Liêm</v>
          </cell>
          <cell r="F572">
            <v>1980</v>
          </cell>
          <cell r="G572" t="str">
            <v>E</v>
          </cell>
          <cell r="H572">
            <v>43520</v>
          </cell>
          <cell r="I572">
            <v>43615</v>
          </cell>
          <cell r="J572">
            <v>44159</v>
          </cell>
        </row>
        <row r="573">
          <cell r="C573" t="str">
            <v>1906-001</v>
          </cell>
          <cell r="D573" t="str">
            <v>Đinh Quang</v>
          </cell>
          <cell r="E573" t="str">
            <v>Hiếu</v>
          </cell>
          <cell r="F573">
            <v>1987</v>
          </cell>
          <cell r="G573" t="str">
            <v>E</v>
          </cell>
          <cell r="H573">
            <v>43516</v>
          </cell>
          <cell r="I573">
            <v>43621</v>
          </cell>
          <cell r="J573">
            <v>44155</v>
          </cell>
        </row>
        <row r="574">
          <cell r="C574" t="str">
            <v>1906-002</v>
          </cell>
          <cell r="D574" t="str">
            <v>Nguyễn Văn</v>
          </cell>
          <cell r="E574" t="str">
            <v>Nghĩa</v>
          </cell>
          <cell r="F574">
            <v>1986</v>
          </cell>
          <cell r="G574" t="str">
            <v>E</v>
          </cell>
          <cell r="H574">
            <v>43544</v>
          </cell>
          <cell r="I574">
            <v>43621</v>
          </cell>
          <cell r="J574">
            <v>44094</v>
          </cell>
        </row>
        <row r="575">
          <cell r="C575" t="str">
            <v>1906-003</v>
          </cell>
          <cell r="D575" t="str">
            <v>Nguyễn Văn</v>
          </cell>
          <cell r="E575" t="str">
            <v>Thân</v>
          </cell>
          <cell r="F575">
            <v>1968</v>
          </cell>
          <cell r="G575" t="str">
            <v>A</v>
          </cell>
          <cell r="H575">
            <v>43544</v>
          </cell>
          <cell r="I575">
            <v>43621</v>
          </cell>
          <cell r="J575">
            <v>44094</v>
          </cell>
        </row>
        <row r="576">
          <cell r="C576" t="str">
            <v>1906-004</v>
          </cell>
          <cell r="D576" t="str">
            <v xml:space="preserve"> Huỳnh Anh</v>
          </cell>
          <cell r="E576" t="str">
            <v>Tuấn</v>
          </cell>
          <cell r="F576">
            <v>1982</v>
          </cell>
          <cell r="G576" t="str">
            <v>E</v>
          </cell>
          <cell r="H576">
            <v>43538</v>
          </cell>
          <cell r="I576">
            <v>43623</v>
          </cell>
          <cell r="J576">
            <v>44149</v>
          </cell>
          <cell r="L576" t="str">
            <v>NA</v>
          </cell>
          <cell r="M576">
            <v>43623</v>
          </cell>
        </row>
        <row r="577">
          <cell r="C577" t="str">
            <v>1906-005</v>
          </cell>
          <cell r="D577" t="str">
            <v xml:space="preserve">Huỳnh Kim </v>
          </cell>
          <cell r="E577" t="str">
            <v>Toàn</v>
          </cell>
          <cell r="F577">
            <v>1971</v>
          </cell>
          <cell r="G577" t="str">
            <v>E</v>
          </cell>
          <cell r="H577">
            <v>43489</v>
          </cell>
          <cell r="I577">
            <v>43623</v>
          </cell>
          <cell r="J577">
            <v>43854</v>
          </cell>
        </row>
        <row r="578">
          <cell r="C578" t="str">
            <v>1906-006</v>
          </cell>
          <cell r="D578" t="str">
            <v>Thái Văn</v>
          </cell>
          <cell r="E578" t="str">
            <v>Quốc</v>
          </cell>
          <cell r="F578">
            <v>1974</v>
          </cell>
          <cell r="G578" t="str">
            <v>E</v>
          </cell>
          <cell r="H578">
            <v>43551</v>
          </cell>
          <cell r="I578">
            <v>43623</v>
          </cell>
          <cell r="J578">
            <v>44192</v>
          </cell>
        </row>
        <row r="579">
          <cell r="C579" t="str">
            <v>1906-007</v>
          </cell>
          <cell r="D579" t="str">
            <v>Lê Văn</v>
          </cell>
          <cell r="E579" t="str">
            <v>Hướng</v>
          </cell>
          <cell r="F579">
            <v>1975</v>
          </cell>
          <cell r="G579" t="str">
            <v>B</v>
          </cell>
          <cell r="H579">
            <v>43553</v>
          </cell>
          <cell r="I579">
            <v>43624</v>
          </cell>
          <cell r="J579">
            <v>44284</v>
          </cell>
        </row>
        <row r="580">
          <cell r="C580" t="str">
            <v>1906-008</v>
          </cell>
          <cell r="D580" t="str">
            <v>Nguyễn Thanh</v>
          </cell>
          <cell r="E580" t="str">
            <v>Tùng</v>
          </cell>
          <cell r="F580">
            <v>1986</v>
          </cell>
          <cell r="G580" t="str">
            <v>B</v>
          </cell>
          <cell r="H580">
            <v>43538</v>
          </cell>
          <cell r="I580">
            <v>43624</v>
          </cell>
          <cell r="J580">
            <v>43996</v>
          </cell>
          <cell r="L580" t="str">
            <v>YT</v>
          </cell>
          <cell r="M580">
            <v>43636</v>
          </cell>
        </row>
        <row r="581">
          <cell r="C581" t="str">
            <v>1906-009</v>
          </cell>
          <cell r="D581" t="str">
            <v>Nguyễn Quốc</v>
          </cell>
          <cell r="E581" t="str">
            <v>Anh</v>
          </cell>
          <cell r="F581">
            <v>1978</v>
          </cell>
          <cell r="G581" t="str">
            <v>B</v>
          </cell>
          <cell r="H581">
            <v>43550</v>
          </cell>
          <cell r="I581">
            <v>43624</v>
          </cell>
          <cell r="J581">
            <v>44281</v>
          </cell>
        </row>
        <row r="582">
          <cell r="C582" t="str">
            <v>1906-010</v>
          </cell>
          <cell r="D582" t="str">
            <v>Dương Văn</v>
          </cell>
          <cell r="E582" t="str">
            <v>Tấn</v>
          </cell>
          <cell r="F582">
            <v>1986</v>
          </cell>
          <cell r="G582" t="str">
            <v>B</v>
          </cell>
          <cell r="H582">
            <v>43553</v>
          </cell>
          <cell r="I582">
            <v>43624</v>
          </cell>
          <cell r="J582">
            <v>44284</v>
          </cell>
        </row>
        <row r="583">
          <cell r="C583" t="str">
            <v>1906-011</v>
          </cell>
          <cell r="D583" t="str">
            <v>Nguyễn Thanh</v>
          </cell>
          <cell r="E583" t="str">
            <v>Tâm</v>
          </cell>
          <cell r="F583">
            <v>1979</v>
          </cell>
          <cell r="G583" t="str">
            <v>B</v>
          </cell>
          <cell r="H583">
            <v>43574</v>
          </cell>
          <cell r="I583">
            <v>43624</v>
          </cell>
          <cell r="J583">
            <v>44305</v>
          </cell>
        </row>
        <row r="584">
          <cell r="C584" t="str">
            <v>1906-012</v>
          </cell>
          <cell r="D584" t="str">
            <v>Nguyễn Thành</v>
          </cell>
          <cell r="E584" t="str">
            <v>Nam</v>
          </cell>
          <cell r="F584">
            <v>1984</v>
          </cell>
          <cell r="G584" t="str">
            <v>B</v>
          </cell>
          <cell r="H584">
            <v>43552</v>
          </cell>
          <cell r="I584">
            <v>43624</v>
          </cell>
          <cell r="J584">
            <v>44193</v>
          </cell>
        </row>
        <row r="585">
          <cell r="C585" t="str">
            <v>1906-013</v>
          </cell>
          <cell r="D585" t="str">
            <v>Phan Thành</v>
          </cell>
          <cell r="E585" t="str">
            <v>Nam</v>
          </cell>
          <cell r="F585">
            <v>1989</v>
          </cell>
          <cell r="G585" t="str">
            <v>B</v>
          </cell>
          <cell r="H585">
            <v>43559</v>
          </cell>
          <cell r="I585">
            <v>43624</v>
          </cell>
          <cell r="J585">
            <v>44016</v>
          </cell>
        </row>
        <row r="586">
          <cell r="C586" t="str">
            <v>1906-014</v>
          </cell>
          <cell r="D586" t="str">
            <v>Ngô Quang</v>
          </cell>
          <cell r="E586" t="str">
            <v>Thành</v>
          </cell>
          <cell r="F586">
            <v>1979</v>
          </cell>
          <cell r="G586" t="str">
            <v>B</v>
          </cell>
          <cell r="H586">
            <v>43552</v>
          </cell>
          <cell r="I586">
            <v>43628</v>
          </cell>
          <cell r="J586">
            <v>44193</v>
          </cell>
        </row>
        <row r="587">
          <cell r="C587" t="str">
            <v>1906-015</v>
          </cell>
          <cell r="D587" t="str">
            <v>Lưu Quốc</v>
          </cell>
          <cell r="E587" t="str">
            <v>Cường</v>
          </cell>
          <cell r="F587">
            <v>1984</v>
          </cell>
          <cell r="G587" t="str">
            <v>B</v>
          </cell>
          <cell r="H587">
            <v>43600</v>
          </cell>
          <cell r="I587">
            <v>43629</v>
          </cell>
          <cell r="J587">
            <v>44242</v>
          </cell>
          <cell r="L587" t="str">
            <v>YT</v>
          </cell>
          <cell r="M587">
            <v>43630</v>
          </cell>
        </row>
        <row r="588">
          <cell r="C588" t="str">
            <v>1906-016</v>
          </cell>
          <cell r="D588" t="str">
            <v>Bùi Vũ</v>
          </cell>
          <cell r="E588" t="str">
            <v>Phương</v>
          </cell>
          <cell r="F588">
            <v>1983</v>
          </cell>
          <cell r="G588" t="str">
            <v>B</v>
          </cell>
          <cell r="H588">
            <v>43601</v>
          </cell>
          <cell r="I588">
            <v>43629</v>
          </cell>
          <cell r="J588">
            <v>44243</v>
          </cell>
        </row>
        <row r="589">
          <cell r="C589" t="str">
            <v>1906-017</v>
          </cell>
          <cell r="D589" t="str">
            <v>Cao Ngọc</v>
          </cell>
          <cell r="E589" t="str">
            <v>Lâm</v>
          </cell>
          <cell r="F589">
            <v>1989</v>
          </cell>
          <cell r="G589" t="str">
            <v>B</v>
          </cell>
          <cell r="H589">
            <v>43526</v>
          </cell>
          <cell r="I589">
            <v>43630</v>
          </cell>
          <cell r="J589">
            <v>44167</v>
          </cell>
        </row>
        <row r="590">
          <cell r="C590" t="str">
            <v>1906-018</v>
          </cell>
          <cell r="D590" t="str">
            <v>Nguyễn Đình</v>
          </cell>
          <cell r="E590" t="str">
            <v>Hùng</v>
          </cell>
          <cell r="F590">
            <v>1965</v>
          </cell>
          <cell r="G590" t="str">
            <v>B</v>
          </cell>
          <cell r="H590">
            <v>43534</v>
          </cell>
          <cell r="I590">
            <v>43630</v>
          </cell>
          <cell r="J590">
            <v>44206</v>
          </cell>
        </row>
        <row r="591">
          <cell r="C591" t="str">
            <v>1906-019</v>
          </cell>
          <cell r="D591" t="str">
            <v>Đỗ Văn</v>
          </cell>
          <cell r="E591" t="str">
            <v>Thương</v>
          </cell>
          <cell r="F591">
            <v>1976</v>
          </cell>
          <cell r="G591" t="str">
            <v>B</v>
          </cell>
          <cell r="H591">
            <v>43544</v>
          </cell>
          <cell r="I591">
            <v>43630</v>
          </cell>
          <cell r="J591">
            <v>44185</v>
          </cell>
        </row>
        <row r="592">
          <cell r="C592" t="str">
            <v>1906-020</v>
          </cell>
          <cell r="D592" t="str">
            <v>Đoàn Minh</v>
          </cell>
          <cell r="E592" t="str">
            <v>Tèo</v>
          </cell>
          <cell r="F592">
            <v>1968</v>
          </cell>
          <cell r="G592" t="str">
            <v>B</v>
          </cell>
          <cell r="H592">
            <v>43532</v>
          </cell>
          <cell r="I592">
            <v>43630</v>
          </cell>
          <cell r="J592">
            <v>44143</v>
          </cell>
        </row>
        <row r="593">
          <cell r="C593" t="str">
            <v>1906-021</v>
          </cell>
          <cell r="D593" t="str">
            <v>Lê Sóng</v>
          </cell>
          <cell r="E593" t="str">
            <v>Biển</v>
          </cell>
          <cell r="F593">
            <v>1987</v>
          </cell>
          <cell r="G593" t="str">
            <v>B</v>
          </cell>
          <cell r="H593">
            <v>43532</v>
          </cell>
          <cell r="I593">
            <v>43630</v>
          </cell>
          <cell r="J593">
            <v>44143</v>
          </cell>
        </row>
        <row r="594">
          <cell r="C594" t="str">
            <v>1906-022</v>
          </cell>
          <cell r="D594" t="str">
            <v>Trần Xuân</v>
          </cell>
          <cell r="E594" t="str">
            <v>Tiền</v>
          </cell>
          <cell r="F594">
            <v>1975</v>
          </cell>
          <cell r="G594" t="str">
            <v>D</v>
          </cell>
          <cell r="H594">
            <v>43609</v>
          </cell>
          <cell r="I594">
            <v>43634</v>
          </cell>
          <cell r="J594">
            <v>44340</v>
          </cell>
        </row>
        <row r="595">
          <cell r="C595" t="str">
            <v>1906-023</v>
          </cell>
          <cell r="D595" t="str">
            <v>Châu Ngọc</v>
          </cell>
          <cell r="E595" t="str">
            <v>Nguyên</v>
          </cell>
          <cell r="F595">
            <v>1970</v>
          </cell>
          <cell r="G595" t="str">
            <v>D</v>
          </cell>
          <cell r="H595">
            <v>43609</v>
          </cell>
          <cell r="I595">
            <v>43634</v>
          </cell>
          <cell r="J595">
            <v>44340</v>
          </cell>
        </row>
        <row r="596">
          <cell r="C596" t="str">
            <v>1906-024</v>
          </cell>
          <cell r="D596" t="str">
            <v>Lê Mỹ</v>
          </cell>
          <cell r="E596" t="str">
            <v>Thiện</v>
          </cell>
          <cell r="F596">
            <v>1985</v>
          </cell>
          <cell r="G596" t="str">
            <v>D</v>
          </cell>
          <cell r="H596">
            <v>43544</v>
          </cell>
          <cell r="I596">
            <v>43637</v>
          </cell>
          <cell r="J596">
            <v>44094</v>
          </cell>
        </row>
        <row r="597">
          <cell r="C597" t="str">
            <v>1906-025</v>
          </cell>
          <cell r="D597" t="str">
            <v>Nguyễn Văn Lê</v>
          </cell>
          <cell r="E597" t="str">
            <v>Chánh</v>
          </cell>
          <cell r="F597">
            <v>1974</v>
          </cell>
          <cell r="G597" t="str">
            <v>D</v>
          </cell>
          <cell r="H597">
            <v>43554</v>
          </cell>
          <cell r="I597">
            <v>43637</v>
          </cell>
          <cell r="J597">
            <v>44104</v>
          </cell>
          <cell r="L597" t="str">
            <v>YT</v>
          </cell>
          <cell r="M597">
            <v>43637</v>
          </cell>
        </row>
        <row r="598">
          <cell r="C598" t="str">
            <v>1906-026</v>
          </cell>
          <cell r="D598" t="str">
            <v>Huỳnh Văn</v>
          </cell>
          <cell r="E598" t="str">
            <v>Thắng</v>
          </cell>
          <cell r="F598">
            <v>1987</v>
          </cell>
          <cell r="G598" t="str">
            <v>D</v>
          </cell>
          <cell r="H598">
            <v>43546</v>
          </cell>
          <cell r="I598">
            <v>43637</v>
          </cell>
          <cell r="J598">
            <v>44096</v>
          </cell>
        </row>
        <row r="599">
          <cell r="C599" t="str">
            <v>1906-027</v>
          </cell>
          <cell r="D599" t="str">
            <v>Dương Văn</v>
          </cell>
          <cell r="E599" t="str">
            <v>Lộc</v>
          </cell>
          <cell r="F599">
            <v>1987</v>
          </cell>
          <cell r="G599" t="str">
            <v>D</v>
          </cell>
          <cell r="H599">
            <v>43547</v>
          </cell>
          <cell r="I599">
            <v>43637</v>
          </cell>
          <cell r="J599">
            <v>44188</v>
          </cell>
        </row>
        <row r="600">
          <cell r="C600" t="str">
            <v>1906-028</v>
          </cell>
          <cell r="D600" t="str">
            <v>Nguyễn Thanh</v>
          </cell>
          <cell r="E600" t="str">
            <v>Lâm</v>
          </cell>
          <cell r="F600">
            <v>1988</v>
          </cell>
          <cell r="G600" t="str">
            <v>D</v>
          </cell>
          <cell r="H600">
            <v>43552</v>
          </cell>
          <cell r="I600">
            <v>43637</v>
          </cell>
          <cell r="J600">
            <v>44193</v>
          </cell>
        </row>
        <row r="601">
          <cell r="C601" t="str">
            <v>1906-029</v>
          </cell>
          <cell r="D601" t="str">
            <v>Diệp Tuấn</v>
          </cell>
          <cell r="E601" t="str">
            <v>Anh</v>
          </cell>
          <cell r="F601">
            <v>1975</v>
          </cell>
          <cell r="G601" t="str">
            <v>D</v>
          </cell>
          <cell r="H601">
            <v>43557</v>
          </cell>
          <cell r="I601">
            <v>43637</v>
          </cell>
          <cell r="J601">
            <v>44288</v>
          </cell>
        </row>
        <row r="602">
          <cell r="C602" t="str">
            <v>1906-030</v>
          </cell>
          <cell r="D602" t="str">
            <v>Nguyễn Công</v>
          </cell>
          <cell r="E602" t="str">
            <v>Chính</v>
          </cell>
          <cell r="F602">
            <v>1969</v>
          </cell>
          <cell r="G602" t="str">
            <v>D</v>
          </cell>
          <cell r="H602">
            <v>43564</v>
          </cell>
          <cell r="I602">
            <v>43637</v>
          </cell>
          <cell r="J602">
            <v>44295</v>
          </cell>
        </row>
        <row r="603">
          <cell r="C603" t="str">
            <v>1906-031</v>
          </cell>
          <cell r="D603" t="str">
            <v>Lê Trung</v>
          </cell>
          <cell r="E603" t="str">
            <v>Hiếu</v>
          </cell>
          <cell r="F603">
            <v>1989</v>
          </cell>
          <cell r="G603" t="str">
            <v>D</v>
          </cell>
          <cell r="H603">
            <v>43542</v>
          </cell>
          <cell r="I603">
            <v>43643</v>
          </cell>
          <cell r="J603">
            <v>44273</v>
          </cell>
        </row>
        <row r="604">
          <cell r="C604" t="str">
            <v>1906-032</v>
          </cell>
          <cell r="D604" t="str">
            <v>Nguyễn Trung</v>
          </cell>
          <cell r="E604" t="str">
            <v>Hiếu</v>
          </cell>
          <cell r="F604">
            <v>1980</v>
          </cell>
          <cell r="G604" t="str">
            <v>D</v>
          </cell>
          <cell r="H604">
            <v>43538</v>
          </cell>
          <cell r="I604">
            <v>43643</v>
          </cell>
          <cell r="J604">
            <v>44269</v>
          </cell>
        </row>
        <row r="605">
          <cell r="C605" t="str">
            <v>1906-033</v>
          </cell>
          <cell r="D605" t="str">
            <v>Trần Đức</v>
          </cell>
          <cell r="E605" t="str">
            <v>Trung</v>
          </cell>
          <cell r="F605">
            <v>1976</v>
          </cell>
          <cell r="G605" t="str">
            <v>D</v>
          </cell>
          <cell r="H605">
            <v>43561</v>
          </cell>
          <cell r="I605">
            <v>43643</v>
          </cell>
          <cell r="J605">
            <v>44292</v>
          </cell>
        </row>
        <row r="606">
          <cell r="C606" t="str">
            <v>1906-034</v>
          </cell>
          <cell r="D606" t="str">
            <v>Võ Thành</v>
          </cell>
          <cell r="E606" t="str">
            <v>Quân</v>
          </cell>
          <cell r="F606">
            <v>1979</v>
          </cell>
          <cell r="G606" t="str">
            <v>D</v>
          </cell>
          <cell r="H606">
            <v>43558</v>
          </cell>
          <cell r="I606">
            <v>43643</v>
          </cell>
          <cell r="J606">
            <v>44199</v>
          </cell>
        </row>
        <row r="607">
          <cell r="C607" t="str">
            <v>1906-035</v>
          </cell>
          <cell r="D607" t="str">
            <v>Trần Ngọc</v>
          </cell>
          <cell r="E607" t="str">
            <v>Khánh</v>
          </cell>
          <cell r="F607">
            <v>1978</v>
          </cell>
          <cell r="G607" t="str">
            <v>D</v>
          </cell>
          <cell r="H607">
            <v>43564</v>
          </cell>
          <cell r="I607">
            <v>43643</v>
          </cell>
          <cell r="J607">
            <v>44174</v>
          </cell>
        </row>
        <row r="608">
          <cell r="C608" t="str">
            <v>1906-036</v>
          </cell>
          <cell r="D608" t="str">
            <v>Trần Tấn</v>
          </cell>
          <cell r="E608" t="str">
            <v>Khải</v>
          </cell>
          <cell r="F608">
            <v>1970</v>
          </cell>
          <cell r="G608" t="str">
            <v>D</v>
          </cell>
          <cell r="H608">
            <v>43571</v>
          </cell>
          <cell r="I608">
            <v>43643</v>
          </cell>
          <cell r="J608">
            <v>44302</v>
          </cell>
        </row>
        <row r="609">
          <cell r="C609" t="str">
            <v>1906-037</v>
          </cell>
          <cell r="D609" t="str">
            <v>Bùi Thành</v>
          </cell>
          <cell r="E609" t="str">
            <v>Danh</v>
          </cell>
          <cell r="F609">
            <v>1969</v>
          </cell>
          <cell r="G609" t="str">
            <v>D</v>
          </cell>
          <cell r="H609">
            <v>43580</v>
          </cell>
          <cell r="I609">
            <v>43643</v>
          </cell>
          <cell r="J609">
            <v>44311</v>
          </cell>
        </row>
        <row r="610">
          <cell r="C610" t="str">
            <v>1906-038</v>
          </cell>
          <cell r="D610" t="str">
            <v>Đinh Quốc</v>
          </cell>
          <cell r="E610" t="str">
            <v>Cường</v>
          </cell>
          <cell r="F610">
            <v>1985</v>
          </cell>
          <cell r="G610" t="str">
            <v>D</v>
          </cell>
          <cell r="H610">
            <v>43582</v>
          </cell>
          <cell r="I610">
            <v>43643</v>
          </cell>
          <cell r="J610">
            <v>44039</v>
          </cell>
        </row>
        <row r="611">
          <cell r="C611" t="str">
            <v>1906-039</v>
          </cell>
          <cell r="D611" t="str">
            <v>Lê Thành</v>
          </cell>
          <cell r="E611" t="str">
            <v>Nhân</v>
          </cell>
          <cell r="F611">
            <v>1972</v>
          </cell>
          <cell r="G611" t="str">
            <v>D</v>
          </cell>
          <cell r="H611">
            <v>43558</v>
          </cell>
          <cell r="I611">
            <v>43643</v>
          </cell>
          <cell r="J611">
            <v>44289</v>
          </cell>
        </row>
      </sheetData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id="1" name="Table2" displayName="Table2" ref="A2:P42" totalsRowShown="0" headerRowDxfId="65" dataDxfId="64" tableBorderDxfId="63">
  <autoFilter ref="A2:P42"/>
  <tableColumns count="16">
    <tableColumn id="1" name="STT" dataDxfId="62"/>
    <tableColumn id="2" name="Danh số" dataDxfId="61">
      <calculatedColumnFormula>IFERROR(VLOOKUP($A3,$R$2:$AH$588,MATCH(B$2,$R$2:$AH$2,0),0),"")</calculatedColumnFormula>
    </tableColumn>
    <tableColumn id="3" name="Họ" dataDxfId="60">
      <calculatedColumnFormula>IFERROR(VLOOKUP($A3,$R$2:$AH$588,MATCH(C$2,$R$2:$AH$2,0),0),"")</calculatedColumnFormula>
    </tableColumn>
    <tableColumn id="4" name="Tên" dataDxfId="59">
      <calculatedColumnFormula>IFERROR(VLOOKUP($A3,$R$2:$AH$588,MATCH(D$2,$R$2:$AH$2,0),0),"")</calculatedColumnFormula>
    </tableColumn>
    <tableColumn id="5" name="Năm sinh" dataDxfId="58">
      <calculatedColumnFormula>IFERROR(VLOOKUP($A3,$R$2:$AH$588,MATCH(E$2,$R$2:$AH$2,0),0),"")</calculatedColumnFormula>
    </tableColumn>
    <tableColumn id="6" name="Khu" dataDxfId="57">
      <calculatedColumnFormula>IFERROR(VLOOKUP($A3,$R$2:$AH$588,MATCH(F$2,$R$2:$AH$2,0),0),"")</calculatedColumnFormula>
    </tableColumn>
    <tableColumn id="7" name="Ngày nhập CSXH" dataDxfId="56">
      <calculatedColumnFormula>IFERROR(VLOOKUP($A3,$R$2:$AH$588,MATCH(G$2,$R$2:$AH$2,0),0),"")</calculatedColumnFormula>
    </tableColumn>
    <tableColumn id="8" name="Ngày nhập CS" dataDxfId="55">
      <calculatedColumnFormula>IFERROR(VLOOKUP($A3,$R$2:$AH$588,MATCH(H$2,$R$2:$AH$2,0),0),"")</calculatedColumnFormula>
    </tableColumn>
    <tableColumn id="9" name="Ngày chấp hành xong" dataDxfId="54">
      <calculatedColumnFormula>IFERROR(VLOOKUP($A3,$R$2:$AH$588,MATCH(I$2,$R$2:$AH$2,0),0),"")</calculatedColumnFormula>
    </tableColumn>
    <tableColumn id="10" name="Thời hạn" dataDxfId="53">
      <calculatedColumnFormula>IFERROR(ROUND(VLOOKUP($A3,$R$2:$AH$588,MATCH(J$2,$R$2:$AH$2,0),0),0),"")</calculatedColumnFormula>
    </tableColumn>
    <tableColumn id="11" name="HiỆN DiỆN THỰC TẾ" dataDxfId="52">
      <calculatedColumnFormula>IFERROR(VLOOKUP($A3,$R$2:$AH$588,MATCH(K$2,$R$2:$AH$2,0),0),"")</calculatedColumnFormula>
    </tableColumn>
    <tableColumn id="12" name="Ngày đi KL" dataDxfId="51">
      <calculatedColumnFormula>IFERROR(IF(K3="Kl",VLOOKUP($A3,$R$2:$AH$588,MATCH(L$2,$R$2:$AH$2,0),0),""),"")</calculatedColumnFormula>
    </tableColumn>
    <tableColumn id="13" name="Số ngày" dataDxfId="50">
      <calculatedColumnFormula>IFERROR(VLOOKUP($A3,$R$2:$AH$588,MATCH(M$2,$R$2:$AH$2,0),0),"")</calculatedColumnFormula>
    </tableColumn>
    <tableColumn id="14" name="Ngày về khu" dataDxfId="49">
      <calculatedColumnFormula>IFERROR(IF(K3="kl",VLOOKUP($A3,$R$2:$AH$588,MATCH(N$2,$R$2:$AH$2,0),0),""),"")</calculatedColumnFormula>
    </tableColumn>
    <tableColumn id="15" name="Tháng/ năm_x000a_họp xét " dataDxfId="48"/>
    <tableColumn id="16" name="Tháng/ năm_x000a_về sau KT" dataDxfId="4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6" displayName="Table6" ref="A14:X29" totalsRowShown="0" headerRowDxfId="46" tableBorderDxfId="45">
  <autoFilter ref="A14:X29"/>
  <sortState ref="A15:X457">
    <sortCondition ref="I14:I499"/>
  </sortState>
  <tableColumns count="24">
    <tableColumn id="1" name="MÃ" dataDxfId="44"/>
    <tableColumn id="2" name="NGÀY THĂM" dataDxfId="43"/>
    <tableColumn id="3" name="THĂM ĐỢT" dataDxfId="42"/>
    <tableColumn id="4" name="DS" dataDxfId="41"/>
    <tableColumn id="5" name="1," dataDxfId="40"/>
    <tableColumn id="6" name="HỌ" dataDxfId="39"/>
    <tableColumn id="7" name="TÊN" dataDxfId="38"/>
    <tableColumn id="8" name="NS" dataDxfId="37"/>
    <tableColumn id="9" name="KHU" dataDxfId="36"/>
    <tableColumn id="10" name="NGƯỜI THĂM" dataDxfId="35"/>
    <tableColumn id="11" name="2," dataDxfId="34"/>
    <tableColumn id="24" name="NSTN" dataDxfId="33"/>
    <tableColumn id="12" name="Mối quan hệ" dataDxfId="32"/>
    <tableColumn id="13" name="CMND" dataDxfId="31"/>
    <tableColumn id="14" name="3," dataDxfId="30"/>
    <tableColumn id="15" name="ĐỒ THĂM NUÔI" dataDxfId="29"/>
    <tableColumn id="16" name="4," dataDxfId="28"/>
    <tableColumn id="17" name="5," dataDxfId="27"/>
    <tableColumn id="18" name="GHI CHÚ" dataDxfId="26"/>
    <tableColumn id="19" name="6," dataDxfId="25"/>
    <tableColumn id="20" name="TRƯỜNG HỢP ĐB" dataDxfId="24"/>
    <tableColumn id="21" name="CBGQTG" dataDxfId="23"/>
    <tableColumn id="22" name="THÁNG THĂM" dataDxfId="22"/>
    <tableColumn id="23" name="GHI CHÚ CẤP SỔ" dataDxfId="2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4:N336" totalsRowShown="0" headerRowDxfId="20" dataDxfId="19" tableBorderDxfId="18">
  <autoFilter ref="A4:N336"/>
  <tableColumns count="14">
    <tableColumn id="1" name="NO1" dataDxfId="17">
      <calculatedColumnFormula>IF(DuLieuThamNuoiNgay!$F$4=$L5,MAX(DangKyThamGapThuongXuyen!$A$4:A4)+1,"")</calculatedColumnFormula>
    </tableColumn>
    <tableColumn id="2" name="Tên" dataDxfId="16"/>
    <tableColumn id="3" name="Năm sinh" dataDxfId="15"/>
    <tableColumn id="4" name="số CMND" dataDxfId="14"/>
    <tableColumn id="5" name="Mối quan hệ" dataDxfId="13"/>
    <tableColumn id="6" name="Số ĐT" dataDxfId="12"/>
    <tableColumn id="7" name="Giấy tờ xuất trình ban đầu" dataDxfId="11"/>
    <tableColumn id="8" name="Địa chỉ" dataDxfId="10"/>
    <tableColumn id="9" name="Ghi chú" dataDxfId="9"/>
    <tableColumn id="10" name="CB kiểm tra" dataDxfId="8"/>
    <tableColumn id="11" name="Ngày nhập thông tin" dataDxfId="7"/>
    <tableColumn id="12" name="DANH SỐ HV" dataDxfId="6"/>
    <tableColumn id="13" name="TÊN HV" dataDxfId="5"/>
    <tableColumn id="14" name="TÊN HV2" dataDxfId="4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A1:V753"/>
  <sheetViews>
    <sheetView showGridLines="0" zoomScaleNormal="100" workbookViewId="0">
      <pane ySplit="3" topLeftCell="A4" activePane="bottomLeft" state="frozen"/>
      <selection activeCell="F1" sqref="F1"/>
      <selection pane="bottomLeft" activeCell="C4" sqref="C4"/>
    </sheetView>
  </sheetViews>
  <sheetFormatPr baseColWidth="10" defaultColWidth="0" defaultRowHeight="15" customHeight="1" outlineLevelCol="1" x14ac:dyDescent="0.25"/>
  <cols>
    <col min="1" max="1" width="11.140625" style="166" customWidth="1" outlineLevel="1"/>
    <col min="2" max="2" width="8.42578125" style="166" customWidth="1" outlineLevel="1"/>
    <col min="3" max="3" width="10.5703125" style="166" customWidth="1" outlineLevel="1"/>
    <col min="4" max="4" width="8.42578125" style="166" customWidth="1" outlineLevel="1"/>
    <col min="5" max="5" width="9.42578125" style="166" customWidth="1" outlineLevel="1"/>
    <col min="6" max="6" width="9.140625" customWidth="1" outlineLevel="1"/>
    <col min="7" max="7" width="1.85546875" style="166" customWidth="1"/>
    <col min="8" max="8" width="10.5703125" style="166" customWidth="1"/>
    <col min="9" max="9" width="8.5703125" style="166" customWidth="1"/>
    <col min="10" max="10" width="9.140625" style="166" customWidth="1"/>
    <col min="11" max="11" width="8.85546875" style="166" customWidth="1"/>
    <col min="12" max="20" width="7.5703125" style="166" customWidth="1"/>
    <col min="21" max="21" width="10.42578125" style="166" customWidth="1"/>
    <col min="22" max="22" width="1.5703125" style="166" customWidth="1"/>
    <col min="23" max="16384" width="10.42578125" style="166" hidden="1"/>
  </cols>
  <sheetData>
    <row r="1" spans="1:21" ht="30" customHeight="1" x14ac:dyDescent="0.25">
      <c r="F1" t="s">
        <v>1303</v>
      </c>
      <c r="G1" s="167"/>
      <c r="H1" s="167"/>
      <c r="I1" s="167"/>
      <c r="J1" s="220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</row>
    <row r="2" spans="1:21" ht="14.25" customHeight="1" x14ac:dyDescent="0.25">
      <c r="F2" t="s">
        <v>1298</v>
      </c>
      <c r="G2" s="167"/>
      <c r="H2" s="167"/>
      <c r="I2" s="167"/>
      <c r="J2" s="220"/>
      <c r="K2" s="167"/>
      <c r="L2" s="167"/>
      <c r="M2" s="167"/>
      <c r="N2" s="167"/>
      <c r="O2" s="167"/>
      <c r="P2" s="167"/>
      <c r="Q2" s="167"/>
      <c r="R2" s="167"/>
      <c r="S2" s="167"/>
      <c r="T2" s="167"/>
      <c r="U2" s="167"/>
    </row>
    <row r="3" spans="1:21" ht="4.5" customHeight="1" x14ac:dyDescent="0.25">
      <c r="F3" t="s">
        <v>1275</v>
      </c>
      <c r="H3" s="168"/>
      <c r="I3" s="169"/>
      <c r="J3" s="167"/>
      <c r="K3" s="167"/>
      <c r="L3" s="167"/>
      <c r="M3" s="170"/>
      <c r="N3" s="170"/>
      <c r="O3" s="170"/>
      <c r="P3" s="170"/>
      <c r="Q3" s="170"/>
      <c r="R3" s="170"/>
      <c r="S3" s="170"/>
      <c r="T3" s="170"/>
      <c r="U3" s="170"/>
    </row>
    <row r="4" spans="1:21" ht="19.5" customHeight="1" x14ac:dyDescent="0.25">
      <c r="A4" t="s">
        <v>1304</v>
      </c>
      <c r="B4" s="171" t="s">
        <v>1305</v>
      </c>
      <c r="F4" t="s">
        <v>1279</v>
      </c>
      <c r="H4" s="172" t="s">
        <v>1306</v>
      </c>
      <c r="I4" s="172">
        <v>2017</v>
      </c>
      <c r="J4" s="172">
        <v>2018</v>
      </c>
      <c r="K4" s="172">
        <v>2019</v>
      </c>
    </row>
    <row r="5" spans="1:21" ht="16.5" customHeight="1" x14ac:dyDescent="0.25">
      <c r="A5" t="s">
        <v>1307</v>
      </c>
      <c r="B5" t="s">
        <v>1308</v>
      </c>
      <c r="F5" t="s">
        <v>1277</v>
      </c>
      <c r="H5" s="173">
        <v>1</v>
      </c>
      <c r="I5" s="174">
        <f t="shared" ref="I5:K16" si="0">SUMIFS($D$14:$D$4363,$A$14:$A$4363,I$4,$B$14:$B$4363,$H5)</f>
        <v>0</v>
      </c>
      <c r="J5" s="174">
        <f t="shared" si="0"/>
        <v>230</v>
      </c>
      <c r="K5" s="174">
        <f>SUMIFS($D$14:$D$4363,$A$14:$A$4363,K$4,$B$14:$B$4363,$H5)</f>
        <v>135</v>
      </c>
    </row>
    <row r="6" spans="1:21" ht="20.25" customHeight="1" x14ac:dyDescent="0.25">
      <c r="A6" t="s">
        <v>1309</v>
      </c>
      <c r="B6" t="s">
        <v>1249</v>
      </c>
      <c r="F6" t="s">
        <v>1293</v>
      </c>
      <c r="H6" s="175">
        <v>2</v>
      </c>
      <c r="I6" s="176">
        <f t="shared" si="0"/>
        <v>0</v>
      </c>
      <c r="J6" s="176">
        <f t="shared" si="0"/>
        <v>425</v>
      </c>
      <c r="K6" s="176">
        <f t="shared" si="0"/>
        <v>249</v>
      </c>
    </row>
    <row r="7" spans="1:21" x14ac:dyDescent="0.25">
      <c r="A7" t="s">
        <v>1300</v>
      </c>
      <c r="B7" t="s">
        <v>1295</v>
      </c>
      <c r="F7" t="s">
        <v>35</v>
      </c>
      <c r="H7" s="173">
        <v>3</v>
      </c>
      <c r="I7" s="174">
        <f t="shared" si="0"/>
        <v>0</v>
      </c>
      <c r="J7" s="174">
        <f t="shared" si="0"/>
        <v>248</v>
      </c>
      <c r="K7" s="174">
        <f t="shared" si="0"/>
        <v>157</v>
      </c>
    </row>
    <row r="8" spans="1:21" x14ac:dyDescent="0.25">
      <c r="B8" t="s">
        <v>1310</v>
      </c>
      <c r="F8" t="s">
        <v>1272</v>
      </c>
      <c r="H8" s="175">
        <v>4</v>
      </c>
      <c r="I8" s="176">
        <f t="shared" si="0"/>
        <v>0</v>
      </c>
      <c r="J8" s="176">
        <f t="shared" si="0"/>
        <v>229</v>
      </c>
      <c r="K8" s="176">
        <f t="shared" si="0"/>
        <v>126</v>
      </c>
    </row>
    <row r="9" spans="1:21" x14ac:dyDescent="0.25">
      <c r="F9" t="s">
        <v>568</v>
      </c>
      <c r="H9" s="173">
        <v>5</v>
      </c>
      <c r="I9" s="174">
        <f t="shared" si="0"/>
        <v>0</v>
      </c>
      <c r="J9" s="174">
        <f t="shared" si="0"/>
        <v>192</v>
      </c>
      <c r="K9" s="174">
        <f t="shared" si="0"/>
        <v>111</v>
      </c>
    </row>
    <row r="10" spans="1:21" x14ac:dyDescent="0.25">
      <c r="F10" t="s">
        <v>1296</v>
      </c>
      <c r="H10" s="175">
        <v>6</v>
      </c>
      <c r="I10" s="176">
        <f t="shared" si="0"/>
        <v>164</v>
      </c>
      <c r="J10" s="176">
        <f t="shared" si="0"/>
        <v>234</v>
      </c>
      <c r="K10" s="176">
        <f t="shared" si="0"/>
        <v>142</v>
      </c>
    </row>
    <row r="11" spans="1:21" x14ac:dyDescent="0.25">
      <c r="D11" s="177" t="s">
        <v>1311</v>
      </c>
      <c r="F11" t="s">
        <v>1302</v>
      </c>
      <c r="H11" s="173">
        <v>7</v>
      </c>
      <c r="I11" s="174">
        <f t="shared" si="0"/>
        <v>378</v>
      </c>
      <c r="J11" s="174">
        <f t="shared" si="0"/>
        <v>178</v>
      </c>
      <c r="K11" s="174">
        <f t="shared" si="0"/>
        <v>2</v>
      </c>
    </row>
    <row r="12" spans="1:21" x14ac:dyDescent="0.25">
      <c r="D12" s="177" t="s">
        <v>1312</v>
      </c>
      <c r="F12" t="s">
        <v>1313</v>
      </c>
      <c r="H12" s="175">
        <v>8</v>
      </c>
      <c r="I12" s="176">
        <f t="shared" si="0"/>
        <v>283</v>
      </c>
      <c r="J12" s="176">
        <f t="shared" si="0"/>
        <v>182</v>
      </c>
      <c r="K12" s="176">
        <f t="shared" si="0"/>
        <v>0</v>
      </c>
    </row>
    <row r="13" spans="1:21" ht="25.5" x14ac:dyDescent="0.25">
      <c r="A13" s="178" t="s">
        <v>1314</v>
      </c>
      <c r="B13" s="178" t="s">
        <v>1315</v>
      </c>
      <c r="C13" s="178" t="s">
        <v>1247</v>
      </c>
      <c r="D13" s="178" t="s">
        <v>1316</v>
      </c>
      <c r="E13" s="179" t="s">
        <v>1317</v>
      </c>
      <c r="F13" t="s">
        <v>1299</v>
      </c>
      <c r="H13" s="173">
        <v>9</v>
      </c>
      <c r="I13" s="174">
        <f t="shared" si="0"/>
        <v>376</v>
      </c>
      <c r="J13" s="174">
        <f t="shared" si="0"/>
        <v>211</v>
      </c>
      <c r="K13" s="174">
        <f t="shared" si="0"/>
        <v>0</v>
      </c>
    </row>
    <row r="14" spans="1:21" x14ac:dyDescent="0.25">
      <c r="A14" s="180">
        <f>YEAR(C14)</f>
        <v>2017</v>
      </c>
      <c r="B14" s="180">
        <f>MONTH(C14)</f>
        <v>6</v>
      </c>
      <c r="C14" s="181">
        <v>42903</v>
      </c>
      <c r="D14" s="182">
        <v>69</v>
      </c>
      <c r="E14" s="179" t="str">
        <f>IF(AND(C14&gt;=$I$18,$I$19&gt;=C14),$D$11,$D$12)</f>
        <v>ON</v>
      </c>
      <c r="F14" t="s">
        <v>1301</v>
      </c>
      <c r="H14" s="175">
        <v>10</v>
      </c>
      <c r="I14" s="176">
        <f t="shared" si="0"/>
        <v>287</v>
      </c>
      <c r="J14" s="176">
        <f t="shared" si="0"/>
        <v>163</v>
      </c>
      <c r="K14" s="176">
        <f t="shared" si="0"/>
        <v>0</v>
      </c>
    </row>
    <row r="15" spans="1:21" x14ac:dyDescent="0.25">
      <c r="A15" s="180">
        <f t="shared" ref="A15:A78" si="1">YEAR(C15)</f>
        <v>2017</v>
      </c>
      <c r="B15" s="180">
        <f t="shared" ref="B15:B78" si="2">MONTH(C15)</f>
        <v>6</v>
      </c>
      <c r="C15" s="181">
        <v>42910</v>
      </c>
      <c r="D15" s="182">
        <v>95</v>
      </c>
      <c r="E15" s="179" t="str">
        <f t="shared" ref="E15:E78" si="3">IF(AND(C15&gt;=$I$18,$I$19&gt;=C15),$D$11,$D$12)</f>
        <v>ON</v>
      </c>
      <c r="F15" t="s">
        <v>1318</v>
      </c>
      <c r="H15" s="173">
        <v>11</v>
      </c>
      <c r="I15" s="174">
        <f t="shared" si="0"/>
        <v>278</v>
      </c>
      <c r="J15" s="174">
        <f t="shared" si="0"/>
        <v>161</v>
      </c>
      <c r="K15" s="174">
        <f t="shared" si="0"/>
        <v>0</v>
      </c>
    </row>
    <row r="16" spans="1:21" x14ac:dyDescent="0.25">
      <c r="A16" s="180">
        <f t="shared" si="1"/>
        <v>2017</v>
      </c>
      <c r="B16" s="180">
        <f t="shared" si="2"/>
        <v>7</v>
      </c>
      <c r="C16" s="181">
        <v>42917</v>
      </c>
      <c r="D16" s="182">
        <v>87</v>
      </c>
      <c r="E16" s="179" t="str">
        <f t="shared" si="3"/>
        <v>ON</v>
      </c>
      <c r="F16" t="s">
        <v>1297</v>
      </c>
      <c r="H16" s="175">
        <v>12</v>
      </c>
      <c r="I16" s="176">
        <f t="shared" si="0"/>
        <v>344</v>
      </c>
      <c r="J16" s="176">
        <f t="shared" si="0"/>
        <v>189</v>
      </c>
      <c r="K16" s="176">
        <f t="shared" si="0"/>
        <v>0</v>
      </c>
    </row>
    <row r="17" spans="1:21" ht="16.5" customHeight="1" x14ac:dyDescent="0.25">
      <c r="A17" s="180">
        <f t="shared" si="1"/>
        <v>2017</v>
      </c>
      <c r="B17" s="180">
        <f t="shared" si="2"/>
        <v>7</v>
      </c>
      <c r="C17" s="181">
        <v>42924</v>
      </c>
      <c r="D17" s="182">
        <v>73</v>
      </c>
      <c r="E17" s="179" t="str">
        <f t="shared" si="3"/>
        <v>ON</v>
      </c>
      <c r="H17" s="221" t="s">
        <v>1319</v>
      </c>
      <c r="I17" s="222"/>
      <c r="J17" s="222"/>
      <c r="K17" s="223"/>
      <c r="L17" s="167"/>
    </row>
    <row r="18" spans="1:21" ht="17.25" customHeight="1" x14ac:dyDescent="0.25">
      <c r="A18" s="180">
        <f t="shared" si="1"/>
        <v>2017</v>
      </c>
      <c r="B18" s="180">
        <f t="shared" si="2"/>
        <v>7</v>
      </c>
      <c r="C18" s="181">
        <v>42931</v>
      </c>
      <c r="D18" s="182">
        <v>63</v>
      </c>
      <c r="E18" s="179" t="str">
        <f t="shared" si="3"/>
        <v>ON</v>
      </c>
      <c r="H18" s="183" t="s">
        <v>1320</v>
      </c>
      <c r="I18" s="224">
        <v>42903</v>
      </c>
      <c r="J18" s="225"/>
      <c r="K18" s="226"/>
    </row>
    <row r="19" spans="1:21" ht="23.25" customHeight="1" x14ac:dyDescent="0.25">
      <c r="A19" s="180">
        <f t="shared" si="1"/>
        <v>2017</v>
      </c>
      <c r="B19" s="180">
        <f t="shared" si="2"/>
        <v>7</v>
      </c>
      <c r="C19" s="181">
        <v>42938</v>
      </c>
      <c r="D19" s="182">
        <v>74</v>
      </c>
      <c r="E19" s="179" t="str">
        <f t="shared" si="3"/>
        <v>ON</v>
      </c>
      <c r="H19" s="184" t="s">
        <v>1238</v>
      </c>
      <c r="I19" s="224">
        <v>43830</v>
      </c>
      <c r="J19" s="225"/>
      <c r="K19" s="226"/>
    </row>
    <row r="20" spans="1:21" ht="21.75" customHeight="1" x14ac:dyDescent="0.25">
      <c r="A20" s="180">
        <f t="shared" si="1"/>
        <v>2017</v>
      </c>
      <c r="B20" s="180">
        <f t="shared" si="2"/>
        <v>7</v>
      </c>
      <c r="C20" s="181">
        <v>42945</v>
      </c>
      <c r="D20" s="182">
        <v>81</v>
      </c>
      <c r="E20" s="179" t="str">
        <f t="shared" si="3"/>
        <v>ON</v>
      </c>
      <c r="H20" s="185" t="s">
        <v>1321</v>
      </c>
      <c r="I20" s="227">
        <f>SUMIFS($D$14:$D$162,$E$14:$E$162,"ON")</f>
        <v>5674</v>
      </c>
      <c r="J20" s="228"/>
      <c r="K20" s="229"/>
    </row>
    <row r="21" spans="1:21" x14ac:dyDescent="0.25">
      <c r="A21" s="180">
        <f t="shared" si="1"/>
        <v>2017</v>
      </c>
      <c r="B21" s="180">
        <f t="shared" si="2"/>
        <v>8</v>
      </c>
      <c r="C21" s="181">
        <v>42952</v>
      </c>
      <c r="D21" s="182">
        <v>66</v>
      </c>
      <c r="E21" s="179" t="str">
        <f t="shared" si="3"/>
        <v>ON</v>
      </c>
      <c r="H21" s="167"/>
      <c r="I21" s="167"/>
      <c r="J21" s="167"/>
    </row>
    <row r="22" spans="1:21" x14ac:dyDescent="0.25">
      <c r="A22" s="180">
        <f t="shared" si="1"/>
        <v>2017</v>
      </c>
      <c r="B22" s="180">
        <f t="shared" si="2"/>
        <v>8</v>
      </c>
      <c r="C22" s="181">
        <v>42959</v>
      </c>
      <c r="D22" s="182">
        <v>78</v>
      </c>
      <c r="E22" s="179" t="str">
        <f t="shared" si="3"/>
        <v>ON</v>
      </c>
      <c r="H22" s="167"/>
      <c r="I22" s="167"/>
      <c r="J22" s="167"/>
    </row>
    <row r="23" spans="1:21" ht="18.75" customHeight="1" x14ac:dyDescent="0.25">
      <c r="A23" s="180">
        <f t="shared" si="1"/>
        <v>2017</v>
      </c>
      <c r="B23" s="180">
        <f t="shared" si="2"/>
        <v>8</v>
      </c>
      <c r="C23" s="181">
        <v>42966</v>
      </c>
      <c r="D23" s="182">
        <v>66</v>
      </c>
      <c r="E23" s="179" t="str">
        <f t="shared" si="3"/>
        <v>ON</v>
      </c>
      <c r="H23" s="217" t="s">
        <v>1322</v>
      </c>
      <c r="I23" s="218"/>
      <c r="J23" s="218"/>
      <c r="K23" s="218"/>
      <c r="L23" s="218"/>
      <c r="M23" s="218"/>
      <c r="N23" s="218"/>
      <c r="O23" s="218"/>
      <c r="P23" s="218"/>
      <c r="Q23" s="218"/>
      <c r="R23" s="218"/>
      <c r="S23" s="218"/>
      <c r="T23" s="218"/>
      <c r="U23" s="219"/>
    </row>
    <row r="24" spans="1:21" ht="22.5" customHeight="1" x14ac:dyDescent="0.25">
      <c r="A24" s="180">
        <f t="shared" si="1"/>
        <v>2017</v>
      </c>
      <c r="B24" s="180">
        <f t="shared" si="2"/>
        <v>8</v>
      </c>
      <c r="C24" s="181">
        <v>42973</v>
      </c>
      <c r="D24" s="182">
        <v>73</v>
      </c>
      <c r="E24" s="179" t="str">
        <f t="shared" si="3"/>
        <v>ON</v>
      </c>
      <c r="H24" s="186"/>
      <c r="I24" s="187"/>
      <c r="J24" s="187"/>
      <c r="K24" s="187"/>
      <c r="L24" s="187"/>
      <c r="M24" s="187"/>
      <c r="N24" s="187"/>
      <c r="O24" s="187"/>
      <c r="P24" s="187"/>
      <c r="Q24" s="187"/>
      <c r="R24" s="187"/>
      <c r="S24" s="187"/>
      <c r="T24" s="187"/>
      <c r="U24" s="188"/>
    </row>
    <row r="25" spans="1:21" x14ac:dyDescent="0.25">
      <c r="A25" s="180">
        <f t="shared" si="1"/>
        <v>2017</v>
      </c>
      <c r="B25" s="180">
        <f t="shared" si="2"/>
        <v>9</v>
      </c>
      <c r="C25" s="181">
        <v>42980</v>
      </c>
      <c r="D25" s="182">
        <v>88</v>
      </c>
      <c r="E25" s="179" t="str">
        <f t="shared" si="3"/>
        <v>ON</v>
      </c>
    </row>
    <row r="26" spans="1:21" x14ac:dyDescent="0.25">
      <c r="A26" s="180">
        <f t="shared" si="1"/>
        <v>2017</v>
      </c>
      <c r="B26" s="180">
        <f t="shared" si="2"/>
        <v>9</v>
      </c>
      <c r="C26" s="181">
        <v>42987</v>
      </c>
      <c r="D26" s="182">
        <v>70</v>
      </c>
      <c r="E26" s="179" t="str">
        <f t="shared" si="3"/>
        <v>ON</v>
      </c>
    </row>
    <row r="27" spans="1:21" x14ac:dyDescent="0.25">
      <c r="A27" s="180">
        <f t="shared" si="1"/>
        <v>2017</v>
      </c>
      <c r="B27" s="180">
        <f t="shared" si="2"/>
        <v>9</v>
      </c>
      <c r="C27" s="181">
        <v>42994</v>
      </c>
      <c r="D27" s="182">
        <v>75</v>
      </c>
      <c r="E27" s="179" t="str">
        <f t="shared" si="3"/>
        <v>ON</v>
      </c>
    </row>
    <row r="28" spans="1:21" x14ac:dyDescent="0.25">
      <c r="A28" s="180">
        <f t="shared" si="1"/>
        <v>2017</v>
      </c>
      <c r="B28" s="180">
        <f t="shared" si="2"/>
        <v>9</v>
      </c>
      <c r="C28" s="181">
        <v>43001</v>
      </c>
      <c r="D28" s="182">
        <v>76</v>
      </c>
      <c r="E28" s="179" t="str">
        <f t="shared" si="3"/>
        <v>ON</v>
      </c>
    </row>
    <row r="29" spans="1:21" x14ac:dyDescent="0.25">
      <c r="A29" s="180">
        <f t="shared" si="1"/>
        <v>2017</v>
      </c>
      <c r="B29" s="180">
        <f t="shared" si="2"/>
        <v>9</v>
      </c>
      <c r="C29" s="181">
        <v>43008</v>
      </c>
      <c r="D29" s="182">
        <v>67</v>
      </c>
      <c r="E29" s="179" t="str">
        <f t="shared" si="3"/>
        <v>ON</v>
      </c>
    </row>
    <row r="30" spans="1:21" x14ac:dyDescent="0.25">
      <c r="A30" s="180">
        <f t="shared" si="1"/>
        <v>2017</v>
      </c>
      <c r="B30" s="180">
        <f t="shared" si="2"/>
        <v>10</v>
      </c>
      <c r="C30" s="181">
        <v>43015</v>
      </c>
      <c r="D30" s="182">
        <v>65</v>
      </c>
      <c r="E30" s="179" t="str">
        <f t="shared" si="3"/>
        <v>ON</v>
      </c>
    </row>
    <row r="31" spans="1:21" x14ac:dyDescent="0.25">
      <c r="A31" s="180">
        <f t="shared" si="1"/>
        <v>2017</v>
      </c>
      <c r="B31" s="180">
        <f t="shared" si="2"/>
        <v>10</v>
      </c>
      <c r="C31" s="181">
        <v>43022</v>
      </c>
      <c r="D31" s="182">
        <v>80</v>
      </c>
      <c r="E31" s="179" t="str">
        <f t="shared" si="3"/>
        <v>ON</v>
      </c>
    </row>
    <row r="32" spans="1:21" x14ac:dyDescent="0.25">
      <c r="A32" s="180">
        <f t="shared" si="1"/>
        <v>2017</v>
      </c>
      <c r="B32" s="180">
        <f t="shared" si="2"/>
        <v>10</v>
      </c>
      <c r="C32" s="181">
        <v>43029</v>
      </c>
      <c r="D32" s="182">
        <v>62</v>
      </c>
      <c r="E32" s="179" t="str">
        <f t="shared" si="3"/>
        <v>ON</v>
      </c>
    </row>
    <row r="33" spans="1:5" x14ac:dyDescent="0.25">
      <c r="A33" s="180">
        <f t="shared" si="1"/>
        <v>2017</v>
      </c>
      <c r="B33" s="180">
        <f t="shared" si="2"/>
        <v>10</v>
      </c>
      <c r="C33" s="181">
        <v>43036</v>
      </c>
      <c r="D33" s="182">
        <v>80</v>
      </c>
      <c r="E33" s="179" t="str">
        <f t="shared" si="3"/>
        <v>ON</v>
      </c>
    </row>
    <row r="34" spans="1:5" x14ac:dyDescent="0.25">
      <c r="A34" s="180">
        <f t="shared" si="1"/>
        <v>2017</v>
      </c>
      <c r="B34" s="180">
        <f t="shared" si="2"/>
        <v>11</v>
      </c>
      <c r="C34" s="181">
        <v>43043</v>
      </c>
      <c r="D34" s="182">
        <v>75</v>
      </c>
      <c r="E34" s="179" t="str">
        <f t="shared" si="3"/>
        <v>ON</v>
      </c>
    </row>
    <row r="35" spans="1:5" x14ac:dyDescent="0.25">
      <c r="A35" s="180">
        <f t="shared" si="1"/>
        <v>2017</v>
      </c>
      <c r="B35" s="180">
        <f t="shared" si="2"/>
        <v>11</v>
      </c>
      <c r="C35" s="181">
        <v>43050</v>
      </c>
      <c r="D35" s="182">
        <v>68</v>
      </c>
      <c r="E35" s="179" t="str">
        <f t="shared" si="3"/>
        <v>ON</v>
      </c>
    </row>
    <row r="36" spans="1:5" x14ac:dyDescent="0.25">
      <c r="A36" s="180">
        <f t="shared" si="1"/>
        <v>2017</v>
      </c>
      <c r="B36" s="180">
        <f t="shared" si="2"/>
        <v>11</v>
      </c>
      <c r="C36" s="181">
        <v>43057</v>
      </c>
      <c r="D36" s="182">
        <v>64</v>
      </c>
      <c r="E36" s="179" t="str">
        <f t="shared" si="3"/>
        <v>ON</v>
      </c>
    </row>
    <row r="37" spans="1:5" x14ac:dyDescent="0.25">
      <c r="A37" s="180">
        <f t="shared" si="1"/>
        <v>2017</v>
      </c>
      <c r="B37" s="180">
        <f t="shared" si="2"/>
        <v>11</v>
      </c>
      <c r="C37" s="181">
        <v>43064</v>
      </c>
      <c r="D37" s="182">
        <v>71</v>
      </c>
      <c r="E37" s="179" t="str">
        <f t="shared" si="3"/>
        <v>ON</v>
      </c>
    </row>
    <row r="38" spans="1:5" x14ac:dyDescent="0.25">
      <c r="A38" s="180">
        <f t="shared" si="1"/>
        <v>2017</v>
      </c>
      <c r="B38" s="180">
        <f t="shared" si="2"/>
        <v>12</v>
      </c>
      <c r="C38" s="181">
        <v>43071</v>
      </c>
      <c r="D38" s="182">
        <v>71</v>
      </c>
      <c r="E38" s="179" t="str">
        <f t="shared" si="3"/>
        <v>ON</v>
      </c>
    </row>
    <row r="39" spans="1:5" x14ac:dyDescent="0.25">
      <c r="A39" s="180">
        <f t="shared" si="1"/>
        <v>2017</v>
      </c>
      <c r="B39" s="180">
        <f t="shared" si="2"/>
        <v>12</v>
      </c>
      <c r="C39" s="181">
        <v>43078</v>
      </c>
      <c r="D39" s="182">
        <v>74</v>
      </c>
      <c r="E39" s="179" t="str">
        <f t="shared" si="3"/>
        <v>ON</v>
      </c>
    </row>
    <row r="40" spans="1:5" x14ac:dyDescent="0.25">
      <c r="A40" s="180">
        <f t="shared" si="1"/>
        <v>2017</v>
      </c>
      <c r="B40" s="180">
        <f t="shared" si="2"/>
        <v>12</v>
      </c>
      <c r="C40" s="181">
        <v>43085</v>
      </c>
      <c r="D40" s="182">
        <v>62</v>
      </c>
      <c r="E40" s="179" t="str">
        <f t="shared" si="3"/>
        <v>ON</v>
      </c>
    </row>
    <row r="41" spans="1:5" x14ac:dyDescent="0.25">
      <c r="A41" s="180">
        <f t="shared" si="1"/>
        <v>2017</v>
      </c>
      <c r="B41" s="180">
        <f t="shared" si="2"/>
        <v>12</v>
      </c>
      <c r="C41" s="181">
        <v>43092</v>
      </c>
      <c r="D41" s="182">
        <v>69</v>
      </c>
      <c r="E41" s="179" t="str">
        <f t="shared" si="3"/>
        <v>ON</v>
      </c>
    </row>
    <row r="42" spans="1:5" x14ac:dyDescent="0.25">
      <c r="A42" s="180">
        <f t="shared" si="1"/>
        <v>2017</v>
      </c>
      <c r="B42" s="180">
        <f t="shared" si="2"/>
        <v>12</v>
      </c>
      <c r="C42" s="181">
        <v>43099</v>
      </c>
      <c r="D42" s="182">
        <v>68</v>
      </c>
      <c r="E42" s="179" t="str">
        <f t="shared" si="3"/>
        <v>ON</v>
      </c>
    </row>
    <row r="43" spans="1:5" x14ac:dyDescent="0.25">
      <c r="A43" s="180">
        <f t="shared" si="1"/>
        <v>2018</v>
      </c>
      <c r="B43" s="180">
        <f t="shared" si="2"/>
        <v>1</v>
      </c>
      <c r="C43" s="181">
        <v>43106</v>
      </c>
      <c r="D43" s="182">
        <v>63</v>
      </c>
      <c r="E43" s="179" t="str">
        <f t="shared" si="3"/>
        <v>ON</v>
      </c>
    </row>
    <row r="44" spans="1:5" x14ac:dyDescent="0.25">
      <c r="A44" s="180">
        <f t="shared" si="1"/>
        <v>2018</v>
      </c>
      <c r="B44" s="180">
        <f t="shared" si="2"/>
        <v>1</v>
      </c>
      <c r="C44" s="181">
        <v>43113</v>
      </c>
      <c r="D44" s="182">
        <v>65</v>
      </c>
      <c r="E44" s="179" t="str">
        <f t="shared" si="3"/>
        <v>ON</v>
      </c>
    </row>
    <row r="45" spans="1:5" x14ac:dyDescent="0.25">
      <c r="A45" s="180">
        <f t="shared" si="1"/>
        <v>2018</v>
      </c>
      <c r="B45" s="180">
        <f t="shared" si="2"/>
        <v>1</v>
      </c>
      <c r="C45" s="181">
        <v>43120</v>
      </c>
      <c r="D45" s="182">
        <v>43</v>
      </c>
      <c r="E45" s="179" t="str">
        <f t="shared" si="3"/>
        <v>ON</v>
      </c>
    </row>
    <row r="46" spans="1:5" x14ac:dyDescent="0.25">
      <c r="A46" s="180">
        <f t="shared" si="1"/>
        <v>2018</v>
      </c>
      <c r="B46" s="180">
        <f t="shared" si="2"/>
        <v>1</v>
      </c>
      <c r="C46" s="181">
        <v>43127</v>
      </c>
      <c r="D46" s="182">
        <v>59</v>
      </c>
      <c r="E46" s="179" t="str">
        <f t="shared" si="3"/>
        <v>ON</v>
      </c>
    </row>
    <row r="47" spans="1:5" x14ac:dyDescent="0.25">
      <c r="A47" s="180">
        <f t="shared" si="1"/>
        <v>2018</v>
      </c>
      <c r="B47" s="180">
        <f t="shared" si="2"/>
        <v>2</v>
      </c>
      <c r="C47" s="181">
        <v>43134</v>
      </c>
      <c r="D47" s="182">
        <v>78</v>
      </c>
      <c r="E47" s="179" t="str">
        <f t="shared" si="3"/>
        <v>ON</v>
      </c>
    </row>
    <row r="48" spans="1:5" x14ac:dyDescent="0.25">
      <c r="A48" s="180">
        <f t="shared" si="1"/>
        <v>2018</v>
      </c>
      <c r="B48" s="180">
        <f t="shared" si="2"/>
        <v>2</v>
      </c>
      <c r="C48" s="181">
        <v>43141</v>
      </c>
      <c r="D48" s="182">
        <v>115</v>
      </c>
      <c r="E48" s="179" t="str">
        <f t="shared" si="3"/>
        <v>ON</v>
      </c>
    </row>
    <row r="49" spans="1:5" x14ac:dyDescent="0.25">
      <c r="A49" s="180">
        <f t="shared" si="1"/>
        <v>2018</v>
      </c>
      <c r="B49" s="180">
        <f t="shared" si="2"/>
        <v>2</v>
      </c>
      <c r="C49" s="181">
        <v>43143</v>
      </c>
      <c r="D49" s="182">
        <v>126</v>
      </c>
      <c r="E49" s="179" t="str">
        <f t="shared" si="3"/>
        <v>ON</v>
      </c>
    </row>
    <row r="50" spans="1:5" x14ac:dyDescent="0.25">
      <c r="A50" s="180">
        <f t="shared" si="1"/>
        <v>2018</v>
      </c>
      <c r="B50" s="180">
        <f t="shared" si="2"/>
        <v>2</v>
      </c>
      <c r="C50" s="181">
        <v>43151</v>
      </c>
      <c r="D50" s="182">
        <v>54</v>
      </c>
      <c r="E50" s="179" t="str">
        <f t="shared" si="3"/>
        <v>ON</v>
      </c>
    </row>
    <row r="51" spans="1:5" x14ac:dyDescent="0.25">
      <c r="A51" s="180">
        <f t="shared" si="1"/>
        <v>2018</v>
      </c>
      <c r="B51" s="180">
        <f t="shared" si="2"/>
        <v>2</v>
      </c>
      <c r="C51" s="181">
        <v>43155</v>
      </c>
      <c r="D51" s="182">
        <v>52</v>
      </c>
      <c r="E51" s="179" t="str">
        <f t="shared" si="3"/>
        <v>ON</v>
      </c>
    </row>
    <row r="52" spans="1:5" x14ac:dyDescent="0.25">
      <c r="A52" s="180">
        <f t="shared" si="1"/>
        <v>2018</v>
      </c>
      <c r="B52" s="180">
        <f t="shared" si="2"/>
        <v>3</v>
      </c>
      <c r="C52" s="181">
        <v>43162</v>
      </c>
      <c r="D52" s="182">
        <v>41</v>
      </c>
      <c r="E52" s="179" t="str">
        <f t="shared" si="3"/>
        <v>ON</v>
      </c>
    </row>
    <row r="53" spans="1:5" x14ac:dyDescent="0.25">
      <c r="A53" s="180">
        <f t="shared" si="1"/>
        <v>2018</v>
      </c>
      <c r="B53" s="180">
        <f t="shared" si="2"/>
        <v>3</v>
      </c>
      <c r="C53" s="181">
        <v>43169</v>
      </c>
      <c r="D53" s="182">
        <v>60</v>
      </c>
      <c r="E53" s="179" t="str">
        <f t="shared" si="3"/>
        <v>ON</v>
      </c>
    </row>
    <row r="54" spans="1:5" x14ac:dyDescent="0.25">
      <c r="A54" s="180">
        <f t="shared" si="1"/>
        <v>2018</v>
      </c>
      <c r="B54" s="180">
        <f t="shared" si="2"/>
        <v>3</v>
      </c>
      <c r="C54" s="181">
        <v>43176</v>
      </c>
      <c r="D54" s="182">
        <v>48</v>
      </c>
      <c r="E54" s="179" t="str">
        <f t="shared" si="3"/>
        <v>ON</v>
      </c>
    </row>
    <row r="55" spans="1:5" x14ac:dyDescent="0.25">
      <c r="A55" s="180">
        <f t="shared" si="1"/>
        <v>2018</v>
      </c>
      <c r="B55" s="180">
        <f t="shared" si="2"/>
        <v>3</v>
      </c>
      <c r="C55" s="181">
        <v>43183</v>
      </c>
      <c r="D55" s="182">
        <v>48</v>
      </c>
      <c r="E55" s="179" t="str">
        <f t="shared" si="3"/>
        <v>ON</v>
      </c>
    </row>
    <row r="56" spans="1:5" x14ac:dyDescent="0.25">
      <c r="A56" s="180">
        <f t="shared" si="1"/>
        <v>2018</v>
      </c>
      <c r="B56" s="180">
        <f t="shared" si="2"/>
        <v>3</v>
      </c>
      <c r="C56" s="181">
        <v>43190</v>
      </c>
      <c r="D56" s="182">
        <v>51</v>
      </c>
      <c r="E56" s="179" t="str">
        <f t="shared" si="3"/>
        <v>ON</v>
      </c>
    </row>
    <row r="57" spans="1:5" x14ac:dyDescent="0.25">
      <c r="A57" s="180">
        <f t="shared" si="1"/>
        <v>2018</v>
      </c>
      <c r="B57" s="180">
        <f t="shared" si="2"/>
        <v>4</v>
      </c>
      <c r="C57" s="181">
        <v>43197</v>
      </c>
      <c r="D57" s="182">
        <v>55</v>
      </c>
      <c r="E57" s="179" t="str">
        <f t="shared" si="3"/>
        <v>ON</v>
      </c>
    </row>
    <row r="58" spans="1:5" x14ac:dyDescent="0.25">
      <c r="A58" s="180">
        <f t="shared" si="1"/>
        <v>2018</v>
      </c>
      <c r="B58" s="180">
        <f t="shared" si="2"/>
        <v>4</v>
      </c>
      <c r="C58" s="181">
        <v>43204</v>
      </c>
      <c r="D58" s="182">
        <v>51</v>
      </c>
      <c r="E58" s="179" t="str">
        <f t="shared" si="3"/>
        <v>ON</v>
      </c>
    </row>
    <row r="59" spans="1:5" x14ac:dyDescent="0.25">
      <c r="A59" s="180">
        <f t="shared" si="1"/>
        <v>2018</v>
      </c>
      <c r="B59" s="180">
        <f t="shared" si="2"/>
        <v>4</v>
      </c>
      <c r="C59" s="181">
        <v>43211</v>
      </c>
      <c r="D59" s="182">
        <v>59</v>
      </c>
      <c r="E59" s="179" t="str">
        <f t="shared" si="3"/>
        <v>ON</v>
      </c>
    </row>
    <row r="60" spans="1:5" x14ac:dyDescent="0.25">
      <c r="A60" s="180">
        <f t="shared" si="1"/>
        <v>2018</v>
      </c>
      <c r="B60" s="180">
        <f t="shared" si="2"/>
        <v>4</v>
      </c>
      <c r="C60" s="181">
        <v>43218</v>
      </c>
      <c r="D60" s="182">
        <v>64</v>
      </c>
      <c r="E60" s="179" t="str">
        <f t="shared" si="3"/>
        <v>ON</v>
      </c>
    </row>
    <row r="61" spans="1:5" x14ac:dyDescent="0.25">
      <c r="A61" s="180">
        <f t="shared" si="1"/>
        <v>2018</v>
      </c>
      <c r="B61" s="180">
        <f t="shared" si="2"/>
        <v>5</v>
      </c>
      <c r="C61" s="181">
        <v>43225</v>
      </c>
      <c r="D61" s="182">
        <v>61</v>
      </c>
      <c r="E61" s="179" t="str">
        <f t="shared" si="3"/>
        <v>ON</v>
      </c>
    </row>
    <row r="62" spans="1:5" x14ac:dyDescent="0.25">
      <c r="A62" s="180">
        <f t="shared" si="1"/>
        <v>2018</v>
      </c>
      <c r="B62" s="180">
        <f t="shared" si="2"/>
        <v>5</v>
      </c>
      <c r="C62" s="181">
        <v>43232</v>
      </c>
      <c r="D62" s="182">
        <v>52</v>
      </c>
      <c r="E62" s="179" t="str">
        <f t="shared" si="3"/>
        <v>ON</v>
      </c>
    </row>
    <row r="63" spans="1:5" x14ac:dyDescent="0.25">
      <c r="A63" s="180">
        <f t="shared" si="1"/>
        <v>2018</v>
      </c>
      <c r="B63" s="180">
        <f t="shared" si="2"/>
        <v>5</v>
      </c>
      <c r="C63" s="181">
        <v>43239</v>
      </c>
      <c r="D63" s="182">
        <v>43</v>
      </c>
      <c r="E63" s="179" t="str">
        <f t="shared" si="3"/>
        <v>ON</v>
      </c>
    </row>
    <row r="64" spans="1:5" x14ac:dyDescent="0.25">
      <c r="A64" s="180">
        <f t="shared" si="1"/>
        <v>2018</v>
      </c>
      <c r="B64" s="180">
        <f t="shared" si="2"/>
        <v>5</v>
      </c>
      <c r="C64" s="181">
        <v>43246</v>
      </c>
      <c r="D64" s="182">
        <v>36</v>
      </c>
      <c r="E64" s="179" t="str">
        <f t="shared" si="3"/>
        <v>ON</v>
      </c>
    </row>
    <row r="65" spans="1:5" x14ac:dyDescent="0.25">
      <c r="A65" s="180">
        <f t="shared" si="1"/>
        <v>2018</v>
      </c>
      <c r="B65" s="180">
        <f t="shared" si="2"/>
        <v>6</v>
      </c>
      <c r="C65" s="181">
        <v>43253</v>
      </c>
      <c r="D65" s="182">
        <v>45</v>
      </c>
      <c r="E65" s="179" t="str">
        <f t="shared" si="3"/>
        <v>ON</v>
      </c>
    </row>
    <row r="66" spans="1:5" x14ac:dyDescent="0.25">
      <c r="A66" s="180">
        <f t="shared" si="1"/>
        <v>2018</v>
      </c>
      <c r="B66" s="180">
        <f t="shared" si="2"/>
        <v>6</v>
      </c>
      <c r="C66" s="181">
        <v>43260</v>
      </c>
      <c r="D66" s="182">
        <v>51</v>
      </c>
      <c r="E66" s="179" t="str">
        <f t="shared" si="3"/>
        <v>ON</v>
      </c>
    </row>
    <row r="67" spans="1:5" x14ac:dyDescent="0.25">
      <c r="A67" s="180">
        <f t="shared" si="1"/>
        <v>2018</v>
      </c>
      <c r="B67" s="180">
        <f t="shared" si="2"/>
        <v>6</v>
      </c>
      <c r="C67" s="181">
        <v>43267</v>
      </c>
      <c r="D67" s="182">
        <v>49</v>
      </c>
      <c r="E67" s="179" t="str">
        <f t="shared" si="3"/>
        <v>ON</v>
      </c>
    </row>
    <row r="68" spans="1:5" x14ac:dyDescent="0.25">
      <c r="A68" s="180">
        <f t="shared" si="1"/>
        <v>2018</v>
      </c>
      <c r="B68" s="180">
        <f t="shared" si="2"/>
        <v>6</v>
      </c>
      <c r="C68" s="181">
        <v>43274</v>
      </c>
      <c r="D68" s="182">
        <v>40</v>
      </c>
      <c r="E68" s="179" t="str">
        <f t="shared" si="3"/>
        <v>ON</v>
      </c>
    </row>
    <row r="69" spans="1:5" x14ac:dyDescent="0.25">
      <c r="A69" s="180">
        <f t="shared" si="1"/>
        <v>2018</v>
      </c>
      <c r="B69" s="180">
        <f t="shared" si="2"/>
        <v>6</v>
      </c>
      <c r="C69" s="181">
        <v>43281</v>
      </c>
      <c r="D69" s="182">
        <v>49</v>
      </c>
      <c r="E69" s="179" t="str">
        <f t="shared" si="3"/>
        <v>ON</v>
      </c>
    </row>
    <row r="70" spans="1:5" x14ac:dyDescent="0.25">
      <c r="A70" s="180">
        <f t="shared" si="1"/>
        <v>2018</v>
      </c>
      <c r="B70" s="180">
        <f t="shared" si="2"/>
        <v>7</v>
      </c>
      <c r="C70" s="181">
        <v>43288</v>
      </c>
      <c r="D70" s="182">
        <v>51</v>
      </c>
      <c r="E70" s="179" t="str">
        <f t="shared" si="3"/>
        <v>ON</v>
      </c>
    </row>
    <row r="71" spans="1:5" x14ac:dyDescent="0.25">
      <c r="A71" s="180">
        <f t="shared" si="1"/>
        <v>2018</v>
      </c>
      <c r="B71" s="180">
        <f t="shared" si="2"/>
        <v>7</v>
      </c>
      <c r="C71" s="181">
        <v>43295</v>
      </c>
      <c r="D71" s="182">
        <v>41</v>
      </c>
      <c r="E71" s="179" t="str">
        <f t="shared" si="3"/>
        <v>ON</v>
      </c>
    </row>
    <row r="72" spans="1:5" x14ac:dyDescent="0.25">
      <c r="A72" s="180">
        <f t="shared" si="1"/>
        <v>2018</v>
      </c>
      <c r="B72" s="180">
        <f t="shared" si="2"/>
        <v>7</v>
      </c>
      <c r="C72" s="181">
        <v>43302</v>
      </c>
      <c r="D72" s="182">
        <v>43</v>
      </c>
      <c r="E72" s="179" t="str">
        <f t="shared" si="3"/>
        <v>ON</v>
      </c>
    </row>
    <row r="73" spans="1:5" x14ac:dyDescent="0.25">
      <c r="A73" s="180">
        <f t="shared" si="1"/>
        <v>2018</v>
      </c>
      <c r="B73" s="180">
        <f t="shared" si="2"/>
        <v>7</v>
      </c>
      <c r="C73" s="181">
        <v>43309</v>
      </c>
      <c r="D73" s="182">
        <v>43</v>
      </c>
      <c r="E73" s="179" t="str">
        <f t="shared" si="3"/>
        <v>ON</v>
      </c>
    </row>
    <row r="74" spans="1:5" x14ac:dyDescent="0.25">
      <c r="A74" s="180">
        <f t="shared" si="1"/>
        <v>2018</v>
      </c>
      <c r="B74" s="180">
        <f t="shared" si="2"/>
        <v>8</v>
      </c>
      <c r="C74" s="181">
        <v>43316</v>
      </c>
      <c r="D74" s="182">
        <v>47</v>
      </c>
      <c r="E74" s="179" t="str">
        <f t="shared" si="3"/>
        <v>ON</v>
      </c>
    </row>
    <row r="75" spans="1:5" x14ac:dyDescent="0.25">
      <c r="A75" s="180">
        <f t="shared" si="1"/>
        <v>2018</v>
      </c>
      <c r="B75" s="180">
        <f t="shared" si="2"/>
        <v>8</v>
      </c>
      <c r="C75" s="181">
        <v>43323</v>
      </c>
      <c r="D75" s="182">
        <v>44</v>
      </c>
      <c r="E75" s="179" t="str">
        <f t="shared" si="3"/>
        <v>ON</v>
      </c>
    </row>
    <row r="76" spans="1:5" x14ac:dyDescent="0.25">
      <c r="A76" s="180">
        <f t="shared" si="1"/>
        <v>2018</v>
      </c>
      <c r="B76" s="180">
        <f t="shared" si="2"/>
        <v>8</v>
      </c>
      <c r="C76" s="181">
        <v>43330</v>
      </c>
      <c r="D76" s="182">
        <v>44</v>
      </c>
      <c r="E76" s="179" t="str">
        <f t="shared" si="3"/>
        <v>ON</v>
      </c>
    </row>
    <row r="77" spans="1:5" x14ac:dyDescent="0.25">
      <c r="A77" s="180">
        <f t="shared" si="1"/>
        <v>2018</v>
      </c>
      <c r="B77" s="180">
        <f t="shared" si="2"/>
        <v>8</v>
      </c>
      <c r="C77" s="181">
        <v>43337</v>
      </c>
      <c r="D77" s="182">
        <v>47</v>
      </c>
      <c r="E77" s="179" t="str">
        <f t="shared" si="3"/>
        <v>ON</v>
      </c>
    </row>
    <row r="78" spans="1:5" x14ac:dyDescent="0.25">
      <c r="A78" s="180">
        <f t="shared" si="1"/>
        <v>2018</v>
      </c>
      <c r="B78" s="180">
        <f t="shared" si="2"/>
        <v>9</v>
      </c>
      <c r="C78" s="181">
        <v>43344</v>
      </c>
      <c r="D78" s="182">
        <v>61</v>
      </c>
      <c r="E78" s="179" t="str">
        <f t="shared" si="3"/>
        <v>ON</v>
      </c>
    </row>
    <row r="79" spans="1:5" x14ac:dyDescent="0.25">
      <c r="A79" s="180">
        <f t="shared" ref="A79:A143" si="4">YEAR(C79)</f>
        <v>2018</v>
      </c>
      <c r="B79" s="180">
        <f t="shared" ref="B79:B146" si="5">MONTH(C79)</f>
        <v>9</v>
      </c>
      <c r="C79" s="181">
        <v>43351</v>
      </c>
      <c r="D79" s="182">
        <v>36</v>
      </c>
      <c r="E79" s="179" t="str">
        <f t="shared" ref="E79:E142" si="6">IF(AND(C79&gt;=$I$18,$I$19&gt;=C79),$D$11,$D$12)</f>
        <v>ON</v>
      </c>
    </row>
    <row r="80" spans="1:5" x14ac:dyDescent="0.25">
      <c r="A80" s="180">
        <f t="shared" si="4"/>
        <v>2018</v>
      </c>
      <c r="B80" s="180">
        <f t="shared" si="5"/>
        <v>9</v>
      </c>
      <c r="C80" s="181">
        <v>43358</v>
      </c>
      <c r="D80" s="182">
        <v>41</v>
      </c>
      <c r="E80" s="179" t="str">
        <f t="shared" si="6"/>
        <v>ON</v>
      </c>
    </row>
    <row r="81" spans="1:10" x14ac:dyDescent="0.25">
      <c r="A81" s="180">
        <f t="shared" si="4"/>
        <v>2018</v>
      </c>
      <c r="B81" s="180">
        <f t="shared" si="5"/>
        <v>9</v>
      </c>
      <c r="C81" s="181">
        <v>43365</v>
      </c>
      <c r="D81" s="182">
        <v>36</v>
      </c>
      <c r="E81" s="179" t="str">
        <f t="shared" si="6"/>
        <v>ON</v>
      </c>
    </row>
    <row r="82" spans="1:10" x14ac:dyDescent="0.25">
      <c r="A82" s="180">
        <f t="shared" si="4"/>
        <v>2018</v>
      </c>
      <c r="B82" s="180">
        <f t="shared" si="5"/>
        <v>9</v>
      </c>
      <c r="C82" s="181">
        <v>43372</v>
      </c>
      <c r="D82" s="182">
        <v>37</v>
      </c>
      <c r="E82" s="179" t="str">
        <f t="shared" si="6"/>
        <v>ON</v>
      </c>
    </row>
    <row r="83" spans="1:10" x14ac:dyDescent="0.25">
      <c r="A83" s="180">
        <f t="shared" si="4"/>
        <v>2018</v>
      </c>
      <c r="B83" s="180">
        <f t="shared" si="5"/>
        <v>10</v>
      </c>
      <c r="C83" s="181">
        <v>43378</v>
      </c>
      <c r="D83" s="182">
        <v>47</v>
      </c>
      <c r="E83" s="179" t="str">
        <f t="shared" si="6"/>
        <v>ON</v>
      </c>
    </row>
    <row r="84" spans="1:10" x14ac:dyDescent="0.25">
      <c r="A84" s="180">
        <f t="shared" si="4"/>
        <v>2018</v>
      </c>
      <c r="B84" s="180">
        <f t="shared" si="5"/>
        <v>10</v>
      </c>
      <c r="C84" s="181">
        <v>43386</v>
      </c>
      <c r="D84" s="182">
        <v>45</v>
      </c>
      <c r="E84" s="179" t="str">
        <f t="shared" si="6"/>
        <v>ON</v>
      </c>
    </row>
    <row r="85" spans="1:10" x14ac:dyDescent="0.25">
      <c r="A85" s="180">
        <f t="shared" si="4"/>
        <v>2018</v>
      </c>
      <c r="B85" s="180">
        <f t="shared" si="5"/>
        <v>10</v>
      </c>
      <c r="C85" s="181">
        <v>43393</v>
      </c>
      <c r="D85" s="182">
        <v>32</v>
      </c>
      <c r="E85" s="179" t="str">
        <f t="shared" si="6"/>
        <v>ON</v>
      </c>
    </row>
    <row r="86" spans="1:10" x14ac:dyDescent="0.25">
      <c r="A86" s="180">
        <f t="shared" si="4"/>
        <v>2018</v>
      </c>
      <c r="B86" s="180">
        <f t="shared" si="5"/>
        <v>10</v>
      </c>
      <c r="C86" s="181">
        <v>43400</v>
      </c>
      <c r="D86" s="182">
        <v>39</v>
      </c>
      <c r="E86" s="179" t="str">
        <f t="shared" si="6"/>
        <v>ON</v>
      </c>
    </row>
    <row r="87" spans="1:10" x14ac:dyDescent="0.25">
      <c r="A87" s="180">
        <f t="shared" si="4"/>
        <v>2018</v>
      </c>
      <c r="B87" s="180">
        <f t="shared" si="5"/>
        <v>11</v>
      </c>
      <c r="C87" s="181">
        <v>43407</v>
      </c>
      <c r="D87" s="182">
        <v>40</v>
      </c>
      <c r="E87" s="179" t="str">
        <f t="shared" si="6"/>
        <v>ON</v>
      </c>
    </row>
    <row r="88" spans="1:10" x14ac:dyDescent="0.25">
      <c r="A88" s="180">
        <f t="shared" si="4"/>
        <v>2018</v>
      </c>
      <c r="B88" s="180">
        <f t="shared" si="5"/>
        <v>11</v>
      </c>
      <c r="C88" s="181">
        <v>43414</v>
      </c>
      <c r="D88" s="182">
        <v>43</v>
      </c>
      <c r="E88" s="179" t="str">
        <f t="shared" si="6"/>
        <v>ON</v>
      </c>
    </row>
    <row r="89" spans="1:10" x14ac:dyDescent="0.25">
      <c r="A89" s="180">
        <f t="shared" si="4"/>
        <v>2018</v>
      </c>
      <c r="B89" s="180">
        <f t="shared" si="5"/>
        <v>11</v>
      </c>
      <c r="C89" s="181">
        <v>43421</v>
      </c>
      <c r="D89" s="182">
        <v>32</v>
      </c>
      <c r="E89" s="179" t="str">
        <f t="shared" si="6"/>
        <v>ON</v>
      </c>
    </row>
    <row r="90" spans="1:10" x14ac:dyDescent="0.25">
      <c r="A90" s="180">
        <f t="shared" si="4"/>
        <v>2018</v>
      </c>
      <c r="B90" s="180">
        <f t="shared" si="5"/>
        <v>11</v>
      </c>
      <c r="C90" s="181">
        <v>43428</v>
      </c>
      <c r="D90" s="182">
        <v>46</v>
      </c>
      <c r="E90" s="179" t="str">
        <f t="shared" si="6"/>
        <v>ON</v>
      </c>
    </row>
    <row r="91" spans="1:10" x14ac:dyDescent="0.25">
      <c r="A91" s="180">
        <f t="shared" si="4"/>
        <v>2018</v>
      </c>
      <c r="B91" s="180">
        <f t="shared" si="5"/>
        <v>12</v>
      </c>
      <c r="C91" s="181">
        <v>43435</v>
      </c>
      <c r="D91" s="182">
        <v>40</v>
      </c>
      <c r="E91" s="179" t="str">
        <f t="shared" si="6"/>
        <v>ON</v>
      </c>
    </row>
    <row r="92" spans="1:10" x14ac:dyDescent="0.25">
      <c r="A92" s="180">
        <f t="shared" si="4"/>
        <v>2018</v>
      </c>
      <c r="B92" s="180">
        <f t="shared" si="5"/>
        <v>12</v>
      </c>
      <c r="C92" s="181">
        <v>43442</v>
      </c>
      <c r="D92" s="182">
        <v>32</v>
      </c>
      <c r="E92" s="179" t="str">
        <f t="shared" si="6"/>
        <v>ON</v>
      </c>
    </row>
    <row r="93" spans="1:10" x14ac:dyDescent="0.25">
      <c r="A93" s="180">
        <f t="shared" si="4"/>
        <v>2018</v>
      </c>
      <c r="B93" s="180">
        <f t="shared" si="5"/>
        <v>12</v>
      </c>
      <c r="C93" s="181">
        <v>43449</v>
      </c>
      <c r="D93" s="182">
        <v>45</v>
      </c>
      <c r="E93" s="179" t="str">
        <f t="shared" si="6"/>
        <v>ON</v>
      </c>
    </row>
    <row r="94" spans="1:10" x14ac:dyDescent="0.25">
      <c r="A94" s="180">
        <f t="shared" si="4"/>
        <v>2018</v>
      </c>
      <c r="B94" s="180">
        <f t="shared" si="5"/>
        <v>12</v>
      </c>
      <c r="C94" s="181">
        <v>43456</v>
      </c>
      <c r="D94" s="182">
        <v>36</v>
      </c>
      <c r="E94" s="179" t="str">
        <f t="shared" si="6"/>
        <v>ON</v>
      </c>
    </row>
    <row r="95" spans="1:10" x14ac:dyDescent="0.25">
      <c r="A95" s="180">
        <f t="shared" si="4"/>
        <v>2018</v>
      </c>
      <c r="B95" s="180">
        <f t="shared" si="5"/>
        <v>12</v>
      </c>
      <c r="C95" s="181">
        <v>43463</v>
      </c>
      <c r="D95" s="182">
        <v>36</v>
      </c>
      <c r="E95" s="179" t="str">
        <f t="shared" si="6"/>
        <v>ON</v>
      </c>
      <c r="H95"/>
      <c r="I95"/>
      <c r="J95"/>
    </row>
    <row r="96" spans="1:10" x14ac:dyDescent="0.25">
      <c r="A96" s="189">
        <f t="shared" si="4"/>
        <v>2019</v>
      </c>
      <c r="B96" s="189">
        <f t="shared" si="5"/>
        <v>1</v>
      </c>
      <c r="C96" s="190">
        <v>43470</v>
      </c>
      <c r="D96" s="191">
        <v>31</v>
      </c>
      <c r="E96" s="179" t="str">
        <f t="shared" si="6"/>
        <v>ON</v>
      </c>
      <c r="H96"/>
      <c r="I96"/>
      <c r="J96"/>
    </row>
    <row r="97" spans="1:10" x14ac:dyDescent="0.25">
      <c r="A97" s="180">
        <f t="shared" si="4"/>
        <v>2019</v>
      </c>
      <c r="B97" s="180">
        <f t="shared" si="5"/>
        <v>1</v>
      </c>
      <c r="C97" s="181">
        <v>43477</v>
      </c>
      <c r="D97" s="182">
        <v>32</v>
      </c>
      <c r="E97" s="179" t="str">
        <f t="shared" si="6"/>
        <v>ON</v>
      </c>
      <c r="H97"/>
      <c r="I97"/>
      <c r="J97"/>
    </row>
    <row r="98" spans="1:10" x14ac:dyDescent="0.25">
      <c r="A98" s="180">
        <f t="shared" si="4"/>
        <v>2019</v>
      </c>
      <c r="B98" s="180">
        <f t="shared" si="5"/>
        <v>1</v>
      </c>
      <c r="C98" s="181">
        <v>43484</v>
      </c>
      <c r="D98" s="182">
        <v>22</v>
      </c>
      <c r="E98" s="179" t="str">
        <f t="shared" si="6"/>
        <v>ON</v>
      </c>
      <c r="H98"/>
      <c r="I98"/>
      <c r="J98"/>
    </row>
    <row r="99" spans="1:10" x14ac:dyDescent="0.25">
      <c r="A99" s="180">
        <f t="shared" si="4"/>
        <v>2019</v>
      </c>
      <c r="B99" s="180">
        <f t="shared" si="5"/>
        <v>1</v>
      </c>
      <c r="C99" s="181">
        <v>43491</v>
      </c>
      <c r="D99" s="182">
        <v>50</v>
      </c>
      <c r="E99" s="179" t="str">
        <f t="shared" si="6"/>
        <v>ON</v>
      </c>
      <c r="H99"/>
      <c r="I99"/>
      <c r="J99"/>
    </row>
    <row r="100" spans="1:10" x14ac:dyDescent="0.25">
      <c r="A100" s="180">
        <f t="shared" si="4"/>
        <v>2019</v>
      </c>
      <c r="B100" s="180">
        <f t="shared" si="5"/>
        <v>2</v>
      </c>
      <c r="C100" s="181">
        <v>43497</v>
      </c>
      <c r="D100" s="182">
        <v>60</v>
      </c>
      <c r="E100" s="179" t="str">
        <f t="shared" si="6"/>
        <v>ON</v>
      </c>
      <c r="H100"/>
      <c r="I100"/>
      <c r="J100"/>
    </row>
    <row r="101" spans="1:10" x14ac:dyDescent="0.25">
      <c r="A101" s="180">
        <f t="shared" si="4"/>
        <v>2019</v>
      </c>
      <c r="B101" s="180">
        <f t="shared" si="5"/>
        <v>2</v>
      </c>
      <c r="C101" s="181">
        <v>43498</v>
      </c>
      <c r="D101" s="182">
        <v>89</v>
      </c>
      <c r="E101" s="179" t="str">
        <f t="shared" si="6"/>
        <v>ON</v>
      </c>
      <c r="H101"/>
      <c r="I101"/>
      <c r="J101"/>
    </row>
    <row r="102" spans="1:10" x14ac:dyDescent="0.25">
      <c r="A102" s="180">
        <f t="shared" si="4"/>
        <v>2019</v>
      </c>
      <c r="B102" s="180">
        <f t="shared" si="5"/>
        <v>2</v>
      </c>
      <c r="C102" s="181">
        <v>43505</v>
      </c>
      <c r="D102" s="182">
        <v>37</v>
      </c>
      <c r="E102" s="179" t="str">
        <f t="shared" si="6"/>
        <v>ON</v>
      </c>
      <c r="H102"/>
      <c r="I102"/>
      <c r="J102"/>
    </row>
    <row r="103" spans="1:10" x14ac:dyDescent="0.25">
      <c r="A103" s="180">
        <f t="shared" si="4"/>
        <v>2019</v>
      </c>
      <c r="B103" s="180">
        <f t="shared" si="5"/>
        <v>2</v>
      </c>
      <c r="C103" s="181">
        <v>43512</v>
      </c>
      <c r="D103" s="182">
        <v>34</v>
      </c>
      <c r="E103" s="179" t="str">
        <f t="shared" si="6"/>
        <v>ON</v>
      </c>
      <c r="H103"/>
      <c r="I103"/>
      <c r="J103"/>
    </row>
    <row r="104" spans="1:10" ht="15" customHeight="1" x14ac:dyDescent="0.25">
      <c r="A104" s="180">
        <f t="shared" si="4"/>
        <v>2019</v>
      </c>
      <c r="B104" s="180">
        <f t="shared" si="5"/>
        <v>2</v>
      </c>
      <c r="C104" s="192">
        <v>43519</v>
      </c>
      <c r="D104" s="182">
        <v>29</v>
      </c>
      <c r="E104" s="179" t="str">
        <f t="shared" si="6"/>
        <v>ON</v>
      </c>
      <c r="H104"/>
      <c r="I104"/>
      <c r="J104"/>
    </row>
    <row r="105" spans="1:10" x14ac:dyDescent="0.25">
      <c r="A105" s="180">
        <f t="shared" si="4"/>
        <v>2019</v>
      </c>
      <c r="B105" s="180">
        <f t="shared" si="5"/>
        <v>3</v>
      </c>
      <c r="C105" s="181">
        <v>43526</v>
      </c>
      <c r="D105" s="182">
        <v>28</v>
      </c>
      <c r="E105" s="179" t="str">
        <f t="shared" si="6"/>
        <v>ON</v>
      </c>
      <c r="H105"/>
      <c r="I105"/>
      <c r="J105"/>
    </row>
    <row r="106" spans="1:10" x14ac:dyDescent="0.25">
      <c r="A106" s="180">
        <f t="shared" si="4"/>
        <v>2019</v>
      </c>
      <c r="B106" s="180">
        <f t="shared" si="5"/>
        <v>3</v>
      </c>
      <c r="C106" s="181">
        <v>43533</v>
      </c>
      <c r="D106" s="182">
        <v>40</v>
      </c>
      <c r="E106" s="179" t="str">
        <f t="shared" si="6"/>
        <v>ON</v>
      </c>
      <c r="H106"/>
      <c r="I106"/>
      <c r="J106"/>
    </row>
    <row r="107" spans="1:10" x14ac:dyDescent="0.25">
      <c r="A107" s="180">
        <f t="shared" si="4"/>
        <v>2019</v>
      </c>
      <c r="B107" s="180">
        <f t="shared" si="5"/>
        <v>3</v>
      </c>
      <c r="C107" s="181">
        <v>43540</v>
      </c>
      <c r="D107" s="182">
        <v>38</v>
      </c>
      <c r="E107" s="179" t="str">
        <f t="shared" si="6"/>
        <v>ON</v>
      </c>
      <c r="H107"/>
      <c r="I107"/>
      <c r="J107"/>
    </row>
    <row r="108" spans="1:10" x14ac:dyDescent="0.25">
      <c r="A108" s="180">
        <f t="shared" si="4"/>
        <v>2019</v>
      </c>
      <c r="B108" s="180">
        <f t="shared" si="5"/>
        <v>3</v>
      </c>
      <c r="C108" s="181">
        <v>43547</v>
      </c>
      <c r="D108" s="182">
        <v>22</v>
      </c>
      <c r="E108" s="179" t="str">
        <f t="shared" si="6"/>
        <v>ON</v>
      </c>
      <c r="H108"/>
      <c r="I108"/>
      <c r="J108"/>
    </row>
    <row r="109" spans="1:10" x14ac:dyDescent="0.25">
      <c r="A109" s="180">
        <f t="shared" si="4"/>
        <v>2019</v>
      </c>
      <c r="B109" s="180">
        <f t="shared" si="5"/>
        <v>3</v>
      </c>
      <c r="C109" s="181">
        <v>43554</v>
      </c>
      <c r="D109" s="182">
        <v>29</v>
      </c>
      <c r="E109" s="179" t="str">
        <f t="shared" si="6"/>
        <v>ON</v>
      </c>
      <c r="H109"/>
      <c r="I109"/>
      <c r="J109"/>
    </row>
    <row r="110" spans="1:10" x14ac:dyDescent="0.25">
      <c r="A110" s="180">
        <f t="shared" si="4"/>
        <v>2019</v>
      </c>
      <c r="B110" s="180">
        <f t="shared" si="5"/>
        <v>4</v>
      </c>
      <c r="C110" s="181">
        <v>43561</v>
      </c>
      <c r="D110" s="182">
        <v>31</v>
      </c>
      <c r="E110" s="179" t="str">
        <f t="shared" si="6"/>
        <v>ON</v>
      </c>
    </row>
    <row r="111" spans="1:10" x14ac:dyDescent="0.25">
      <c r="A111" s="180">
        <f t="shared" si="4"/>
        <v>2019</v>
      </c>
      <c r="B111" s="180">
        <f t="shared" si="5"/>
        <v>4</v>
      </c>
      <c r="C111" s="181">
        <v>43568</v>
      </c>
      <c r="D111" s="182">
        <v>25</v>
      </c>
      <c r="E111" s="179" t="str">
        <f t="shared" si="6"/>
        <v>ON</v>
      </c>
    </row>
    <row r="112" spans="1:10" x14ac:dyDescent="0.25">
      <c r="A112" s="180">
        <f t="shared" si="4"/>
        <v>2019</v>
      </c>
      <c r="B112" s="180">
        <f t="shared" si="5"/>
        <v>4</v>
      </c>
      <c r="C112" s="181">
        <v>43575</v>
      </c>
      <c r="D112" s="182">
        <v>33</v>
      </c>
      <c r="E112" s="179" t="str">
        <f t="shared" si="6"/>
        <v>ON</v>
      </c>
    </row>
    <row r="113" spans="1:5" x14ac:dyDescent="0.25">
      <c r="A113" s="180">
        <f t="shared" si="4"/>
        <v>2019</v>
      </c>
      <c r="B113" s="180">
        <f t="shared" si="5"/>
        <v>4</v>
      </c>
      <c r="C113" s="181">
        <v>43582</v>
      </c>
      <c r="D113" s="182">
        <v>37</v>
      </c>
      <c r="E113" s="179" t="str">
        <f t="shared" si="6"/>
        <v>ON</v>
      </c>
    </row>
    <row r="114" spans="1:5" x14ac:dyDescent="0.25">
      <c r="A114" s="180">
        <f t="shared" si="4"/>
        <v>2019</v>
      </c>
      <c r="B114" s="180">
        <f t="shared" si="5"/>
        <v>5</v>
      </c>
      <c r="C114" s="181">
        <v>43589</v>
      </c>
      <c r="D114" s="182">
        <v>19</v>
      </c>
      <c r="E114" s="179" t="str">
        <f t="shared" si="6"/>
        <v>ON</v>
      </c>
    </row>
    <row r="115" spans="1:5" x14ac:dyDescent="0.25">
      <c r="A115" s="180">
        <f t="shared" si="4"/>
        <v>2019</v>
      </c>
      <c r="B115" s="180">
        <f t="shared" si="5"/>
        <v>5</v>
      </c>
      <c r="C115" s="181">
        <v>43596</v>
      </c>
      <c r="D115" s="182">
        <v>37</v>
      </c>
      <c r="E115" s="179" t="str">
        <f t="shared" si="6"/>
        <v>ON</v>
      </c>
    </row>
    <row r="116" spans="1:5" x14ac:dyDescent="0.25">
      <c r="A116" s="180">
        <f t="shared" si="4"/>
        <v>2019</v>
      </c>
      <c r="B116" s="180">
        <f t="shared" si="5"/>
        <v>5</v>
      </c>
      <c r="C116" s="181">
        <v>43603</v>
      </c>
      <c r="D116" s="182">
        <v>34</v>
      </c>
      <c r="E116" s="179" t="str">
        <f t="shared" si="6"/>
        <v>ON</v>
      </c>
    </row>
    <row r="117" spans="1:5" x14ac:dyDescent="0.25">
      <c r="A117" s="180">
        <f t="shared" si="4"/>
        <v>2019</v>
      </c>
      <c r="B117" s="180">
        <f t="shared" si="5"/>
        <v>5</v>
      </c>
      <c r="C117" s="181">
        <v>43610</v>
      </c>
      <c r="D117" s="182">
        <v>21</v>
      </c>
      <c r="E117" s="179" t="str">
        <f t="shared" si="6"/>
        <v>ON</v>
      </c>
    </row>
    <row r="118" spans="1:5" x14ac:dyDescent="0.25">
      <c r="A118" s="180">
        <f t="shared" si="4"/>
        <v>2019</v>
      </c>
      <c r="B118" s="180">
        <f t="shared" si="5"/>
        <v>6</v>
      </c>
      <c r="C118" s="181">
        <v>43617</v>
      </c>
      <c r="D118" s="182">
        <v>26</v>
      </c>
      <c r="E118" s="179" t="str">
        <f t="shared" si="6"/>
        <v>ON</v>
      </c>
    </row>
    <row r="119" spans="1:5" x14ac:dyDescent="0.25">
      <c r="A119" s="180">
        <f t="shared" si="4"/>
        <v>2019</v>
      </c>
      <c r="B119" s="180">
        <f t="shared" si="5"/>
        <v>6</v>
      </c>
      <c r="C119" s="181">
        <v>43624</v>
      </c>
      <c r="D119" s="182">
        <v>32</v>
      </c>
      <c r="E119" s="179" t="str">
        <f t="shared" si="6"/>
        <v>ON</v>
      </c>
    </row>
    <row r="120" spans="1:5" x14ac:dyDescent="0.25">
      <c r="A120" s="180">
        <f t="shared" si="4"/>
        <v>2019</v>
      </c>
      <c r="B120" s="180">
        <f t="shared" si="5"/>
        <v>6</v>
      </c>
      <c r="C120" s="181">
        <v>43631</v>
      </c>
      <c r="D120" s="182">
        <v>29</v>
      </c>
      <c r="E120" s="179" t="str">
        <f t="shared" si="6"/>
        <v>ON</v>
      </c>
    </row>
    <row r="121" spans="1:5" x14ac:dyDescent="0.25">
      <c r="A121" s="180">
        <f t="shared" si="4"/>
        <v>2019</v>
      </c>
      <c r="B121" s="180">
        <f t="shared" si="5"/>
        <v>6</v>
      </c>
      <c r="C121" s="181">
        <v>43638</v>
      </c>
      <c r="D121" s="182">
        <v>29</v>
      </c>
      <c r="E121" s="179" t="str">
        <f t="shared" si="6"/>
        <v>ON</v>
      </c>
    </row>
    <row r="122" spans="1:5" x14ac:dyDescent="0.25">
      <c r="A122" s="180">
        <f t="shared" si="4"/>
        <v>2019</v>
      </c>
      <c r="B122" s="180">
        <f t="shared" si="5"/>
        <v>6</v>
      </c>
      <c r="C122" s="181">
        <v>43645</v>
      </c>
      <c r="D122" s="182">
        <v>26</v>
      </c>
      <c r="E122" s="179" t="str">
        <f t="shared" si="6"/>
        <v>ON</v>
      </c>
    </row>
    <row r="123" spans="1:5" x14ac:dyDescent="0.25">
      <c r="A123" s="180">
        <f t="shared" si="4"/>
        <v>2019</v>
      </c>
      <c r="B123" s="180">
        <f t="shared" si="5"/>
        <v>7</v>
      </c>
      <c r="C123" s="181">
        <v>43652</v>
      </c>
      <c r="D123" s="182">
        <f>COUNTIFS(DuLieuThamNuoiNgay!$B:$B,Baocao!$C123,DuLieuThamNuoiNgay!$A:$A,0)</f>
        <v>2</v>
      </c>
      <c r="E123" s="179" t="str">
        <f t="shared" si="6"/>
        <v>ON</v>
      </c>
    </row>
    <row r="124" spans="1:5" x14ac:dyDescent="0.25">
      <c r="A124" s="180">
        <f t="shared" si="4"/>
        <v>2019</v>
      </c>
      <c r="B124" s="180">
        <f t="shared" si="5"/>
        <v>7</v>
      </c>
      <c r="C124" s="181">
        <v>43659</v>
      </c>
      <c r="D124" s="182">
        <f>COUNTIFS(DuLieuThamNuoiNgay!$B:$B,Baocao!$C124,DuLieuThamNuoiNgay!$A:$A,0)</f>
        <v>0</v>
      </c>
      <c r="E124" s="179" t="str">
        <f t="shared" si="6"/>
        <v>ON</v>
      </c>
    </row>
    <row r="125" spans="1:5" x14ac:dyDescent="0.25">
      <c r="A125" s="180">
        <f t="shared" si="4"/>
        <v>2019</v>
      </c>
      <c r="B125" s="180">
        <f t="shared" si="5"/>
        <v>7</v>
      </c>
      <c r="C125" s="181">
        <v>43666</v>
      </c>
      <c r="D125" s="182">
        <f>COUNTIFS(DuLieuThamNuoiNgay!$B:$B,Baocao!$C125,DuLieuThamNuoiNgay!$A:$A,0)</f>
        <v>0</v>
      </c>
      <c r="E125" s="179" t="str">
        <f t="shared" si="6"/>
        <v>ON</v>
      </c>
    </row>
    <row r="126" spans="1:5" x14ac:dyDescent="0.25">
      <c r="A126" s="180">
        <f t="shared" si="4"/>
        <v>2019</v>
      </c>
      <c r="B126" s="180">
        <f t="shared" si="5"/>
        <v>7</v>
      </c>
      <c r="C126" s="181">
        <v>43673</v>
      </c>
      <c r="D126" s="182">
        <f>COUNTIFS(DuLieuThamNuoiNgay!$B:$B,Baocao!$C126,DuLieuThamNuoiNgay!$A:$A,0)</f>
        <v>0</v>
      </c>
      <c r="E126" s="179" t="str">
        <f t="shared" si="6"/>
        <v>ON</v>
      </c>
    </row>
    <row r="127" spans="1:5" x14ac:dyDescent="0.25">
      <c r="A127" s="180">
        <f t="shared" si="4"/>
        <v>2019</v>
      </c>
      <c r="B127" s="180">
        <f t="shared" si="5"/>
        <v>8</v>
      </c>
      <c r="C127" s="181">
        <v>43680</v>
      </c>
      <c r="D127" s="182">
        <f>COUNTIFS(DuLieuThamNuoiNgay!$B:$B,Baocao!$C127,DuLieuThamNuoiNgay!$A:$A,0)</f>
        <v>0</v>
      </c>
      <c r="E127" s="179" t="str">
        <f t="shared" si="6"/>
        <v>ON</v>
      </c>
    </row>
    <row r="128" spans="1:5" x14ac:dyDescent="0.25">
      <c r="A128" s="180">
        <f t="shared" si="4"/>
        <v>2019</v>
      </c>
      <c r="B128" s="180">
        <f t="shared" si="5"/>
        <v>8</v>
      </c>
      <c r="C128" s="181">
        <v>43687</v>
      </c>
      <c r="D128" s="182">
        <f>COUNTIFS(DuLieuThamNuoiNgay!$B:$B,Baocao!$C128,DuLieuThamNuoiNgay!$A:$A,0)</f>
        <v>0</v>
      </c>
      <c r="E128" s="179" t="str">
        <f t="shared" si="6"/>
        <v>ON</v>
      </c>
    </row>
    <row r="129" spans="1:5" x14ac:dyDescent="0.25">
      <c r="A129" s="180">
        <f t="shared" si="4"/>
        <v>2019</v>
      </c>
      <c r="B129" s="180">
        <f t="shared" si="5"/>
        <v>8</v>
      </c>
      <c r="C129" s="181">
        <v>43694</v>
      </c>
      <c r="D129" s="182">
        <f>COUNTIFS(DuLieuThamNuoiNgay!$B:$B,Baocao!$C129,DuLieuThamNuoiNgay!$A:$A,0)</f>
        <v>0</v>
      </c>
      <c r="E129" s="179" t="str">
        <f t="shared" si="6"/>
        <v>ON</v>
      </c>
    </row>
    <row r="130" spans="1:5" x14ac:dyDescent="0.25">
      <c r="A130" s="180">
        <f t="shared" si="4"/>
        <v>2019</v>
      </c>
      <c r="B130" s="180">
        <f t="shared" si="5"/>
        <v>8</v>
      </c>
      <c r="C130" s="181">
        <v>43701</v>
      </c>
      <c r="D130" s="182">
        <f>COUNTIFS(DuLieuThamNuoiNgay!$B:$B,Baocao!$C130,DuLieuThamNuoiNgay!$A:$A,0)</f>
        <v>0</v>
      </c>
      <c r="E130" s="179" t="str">
        <f t="shared" si="6"/>
        <v>ON</v>
      </c>
    </row>
    <row r="131" spans="1:5" x14ac:dyDescent="0.25">
      <c r="A131" s="180">
        <f t="shared" si="4"/>
        <v>2019</v>
      </c>
      <c r="B131" s="180">
        <f t="shared" si="5"/>
        <v>8</v>
      </c>
      <c r="C131" s="181">
        <v>43708</v>
      </c>
      <c r="D131" s="182">
        <f>COUNTIFS(DuLieuThamNuoiNgay!$B:$B,Baocao!$C131,DuLieuThamNuoiNgay!$A:$A,0)</f>
        <v>0</v>
      </c>
      <c r="E131" s="179" t="str">
        <f t="shared" si="6"/>
        <v>ON</v>
      </c>
    </row>
    <row r="132" spans="1:5" x14ac:dyDescent="0.25">
      <c r="A132" s="180">
        <f t="shared" si="4"/>
        <v>2019</v>
      </c>
      <c r="B132" s="180">
        <f t="shared" si="5"/>
        <v>9</v>
      </c>
      <c r="C132" s="181">
        <v>43715</v>
      </c>
      <c r="D132" s="182">
        <f>COUNTIFS(DuLieuThamNuoiNgay!$B:$B,Baocao!$C132,DuLieuThamNuoiNgay!$A:$A,0)</f>
        <v>0</v>
      </c>
      <c r="E132" s="179" t="str">
        <f t="shared" si="6"/>
        <v>ON</v>
      </c>
    </row>
    <row r="133" spans="1:5" x14ac:dyDescent="0.25">
      <c r="A133" s="180">
        <f t="shared" si="4"/>
        <v>2019</v>
      </c>
      <c r="B133" s="180">
        <f t="shared" si="5"/>
        <v>9</v>
      </c>
      <c r="C133" s="181">
        <v>43722</v>
      </c>
      <c r="D133" s="182">
        <f>COUNTIFS(DuLieuThamNuoiNgay!$B:$B,Baocao!$C133,DuLieuThamNuoiNgay!$A:$A,0)</f>
        <v>0</v>
      </c>
      <c r="E133" s="179" t="str">
        <f t="shared" si="6"/>
        <v>ON</v>
      </c>
    </row>
    <row r="134" spans="1:5" x14ac:dyDescent="0.25">
      <c r="A134" s="180">
        <f t="shared" si="4"/>
        <v>2019</v>
      </c>
      <c r="B134" s="180">
        <f t="shared" si="5"/>
        <v>9</v>
      </c>
      <c r="C134" s="181">
        <v>43729</v>
      </c>
      <c r="D134" s="182">
        <f>COUNTIFS(DuLieuThamNuoiNgay!$B:$B,Baocao!$C134,DuLieuThamNuoiNgay!$A:$A,0)</f>
        <v>0</v>
      </c>
      <c r="E134" s="179" t="str">
        <f t="shared" si="6"/>
        <v>ON</v>
      </c>
    </row>
    <row r="135" spans="1:5" x14ac:dyDescent="0.25">
      <c r="A135" s="180">
        <f t="shared" si="4"/>
        <v>2019</v>
      </c>
      <c r="B135" s="180">
        <f t="shared" si="5"/>
        <v>9</v>
      </c>
      <c r="C135" s="181">
        <v>43736</v>
      </c>
      <c r="D135" s="182">
        <f>COUNTIFS(DuLieuThamNuoiNgay!$B:$B,Baocao!$C135,DuLieuThamNuoiNgay!$A:$A,0)</f>
        <v>0</v>
      </c>
      <c r="E135" s="179" t="str">
        <f t="shared" si="6"/>
        <v>ON</v>
      </c>
    </row>
    <row r="136" spans="1:5" x14ac:dyDescent="0.25">
      <c r="A136" s="180">
        <f t="shared" si="4"/>
        <v>2019</v>
      </c>
      <c r="B136" s="180">
        <f t="shared" si="5"/>
        <v>10</v>
      </c>
      <c r="C136" s="181">
        <v>43743</v>
      </c>
      <c r="D136" s="182">
        <f>COUNTIFS(DuLieuThamNuoiNgay!$B:$B,Baocao!$C136,DuLieuThamNuoiNgay!$A:$A,0)</f>
        <v>0</v>
      </c>
      <c r="E136" s="179" t="str">
        <f t="shared" si="6"/>
        <v>ON</v>
      </c>
    </row>
    <row r="137" spans="1:5" x14ac:dyDescent="0.25">
      <c r="A137" s="180">
        <f t="shared" si="4"/>
        <v>2019</v>
      </c>
      <c r="B137" s="180">
        <f t="shared" si="5"/>
        <v>10</v>
      </c>
      <c r="C137" s="181">
        <v>43750</v>
      </c>
      <c r="D137" s="182">
        <f>COUNTIFS(DuLieuThamNuoiNgay!$B:$B,Baocao!$C137,DuLieuThamNuoiNgay!$A:$A,0)</f>
        <v>0</v>
      </c>
      <c r="E137" s="179" t="str">
        <f t="shared" si="6"/>
        <v>ON</v>
      </c>
    </row>
    <row r="138" spans="1:5" x14ac:dyDescent="0.25">
      <c r="A138" s="180">
        <f t="shared" si="4"/>
        <v>2019</v>
      </c>
      <c r="B138" s="180">
        <f t="shared" si="5"/>
        <v>10</v>
      </c>
      <c r="C138" s="181">
        <v>43757</v>
      </c>
      <c r="D138" s="182">
        <f>COUNTIFS(DuLieuThamNuoiNgay!$B:$B,Baocao!$C138,DuLieuThamNuoiNgay!$A:$A,0)</f>
        <v>0</v>
      </c>
      <c r="E138" s="179" t="str">
        <f t="shared" si="6"/>
        <v>ON</v>
      </c>
    </row>
    <row r="139" spans="1:5" x14ac:dyDescent="0.25">
      <c r="A139" s="180">
        <f t="shared" si="4"/>
        <v>2019</v>
      </c>
      <c r="B139" s="180">
        <f t="shared" si="5"/>
        <v>10</v>
      </c>
      <c r="C139" s="181">
        <v>43764</v>
      </c>
      <c r="D139" s="182">
        <f>COUNTIFS(DuLieuThamNuoiNgay!$B:$B,Baocao!$C139,DuLieuThamNuoiNgay!$A:$A,0)</f>
        <v>0</v>
      </c>
      <c r="E139" s="179" t="str">
        <f t="shared" si="6"/>
        <v>ON</v>
      </c>
    </row>
    <row r="140" spans="1:5" x14ac:dyDescent="0.25">
      <c r="A140" s="180">
        <f t="shared" si="4"/>
        <v>2019</v>
      </c>
      <c r="B140" s="180">
        <f t="shared" si="5"/>
        <v>11</v>
      </c>
      <c r="C140" s="181">
        <v>43771</v>
      </c>
      <c r="D140" s="182">
        <f>COUNTIFS(DuLieuThamNuoiNgay!$B:$B,Baocao!$C140,DuLieuThamNuoiNgay!$A:$A,0)</f>
        <v>0</v>
      </c>
      <c r="E140" s="179" t="str">
        <f t="shared" si="6"/>
        <v>ON</v>
      </c>
    </row>
    <row r="141" spans="1:5" x14ac:dyDescent="0.25">
      <c r="A141" s="180">
        <f t="shared" si="4"/>
        <v>2019</v>
      </c>
      <c r="B141" s="180">
        <f t="shared" si="5"/>
        <v>11</v>
      </c>
      <c r="C141" s="181">
        <v>43778</v>
      </c>
      <c r="D141" s="182">
        <f>COUNTIFS(DuLieuThamNuoiNgay!$B:$B,Baocao!$C141,DuLieuThamNuoiNgay!$A:$A,0)</f>
        <v>0</v>
      </c>
      <c r="E141" s="179" t="str">
        <f t="shared" si="6"/>
        <v>ON</v>
      </c>
    </row>
    <row r="142" spans="1:5" ht="15" customHeight="1" x14ac:dyDescent="0.25">
      <c r="A142" s="180">
        <f t="shared" si="4"/>
        <v>2019</v>
      </c>
      <c r="B142" s="180">
        <f t="shared" si="5"/>
        <v>11</v>
      </c>
      <c r="C142" s="181">
        <v>43785</v>
      </c>
      <c r="D142" s="182">
        <f>COUNTIFS(DuLieuThamNuoiNgay!$B:$B,Baocao!$C142,DuLieuThamNuoiNgay!$A:$A,0)</f>
        <v>0</v>
      </c>
      <c r="E142" s="179" t="str">
        <f t="shared" si="6"/>
        <v>ON</v>
      </c>
    </row>
    <row r="143" spans="1:5" ht="15" customHeight="1" x14ac:dyDescent="0.25">
      <c r="A143" s="180">
        <f t="shared" si="4"/>
        <v>2019</v>
      </c>
      <c r="B143" s="180">
        <f t="shared" si="5"/>
        <v>11</v>
      </c>
      <c r="C143" s="181">
        <v>43792</v>
      </c>
      <c r="D143" s="182">
        <f>COUNTIFS(DuLieuThamNuoiNgay!$B:$B,Baocao!$C143,DuLieuThamNuoiNgay!$A:$A,0)</f>
        <v>0</v>
      </c>
      <c r="E143" s="179" t="str">
        <f t="shared" ref="E143:E162" si="7">IF(AND(C143&gt;=$I$18,$I$19&gt;=C143),$D$11,$D$12)</f>
        <v>ON</v>
      </c>
    </row>
    <row r="144" spans="1:5" ht="15" customHeight="1" x14ac:dyDescent="0.25">
      <c r="A144" s="180">
        <f>YEAR(C144)</f>
        <v>2019</v>
      </c>
      <c r="B144" s="180">
        <f t="shared" si="5"/>
        <v>11</v>
      </c>
      <c r="C144" s="181">
        <v>43799</v>
      </c>
      <c r="D144" s="182">
        <f>COUNTIFS(DuLieuThamNuoiNgay!$B:$B,Baocao!$C144,DuLieuThamNuoiNgay!$A:$A,0)</f>
        <v>0</v>
      </c>
      <c r="E144" s="179" t="str">
        <f t="shared" si="7"/>
        <v>ON</v>
      </c>
    </row>
    <row r="145" spans="1:5" ht="15" customHeight="1" x14ac:dyDescent="0.25">
      <c r="A145" s="180">
        <f>YEAR(C145)</f>
        <v>2019</v>
      </c>
      <c r="B145" s="180">
        <f t="shared" si="5"/>
        <v>12</v>
      </c>
      <c r="C145" s="181">
        <v>43806</v>
      </c>
      <c r="D145" s="182">
        <f>COUNTIFS(DuLieuThamNuoiNgay!$B:$B,Baocao!$C145,DuLieuThamNuoiNgay!$A:$A,0)</f>
        <v>0</v>
      </c>
      <c r="E145" s="179" t="str">
        <f t="shared" si="7"/>
        <v>ON</v>
      </c>
    </row>
    <row r="146" spans="1:5" ht="15" customHeight="1" x14ac:dyDescent="0.25">
      <c r="A146" s="180">
        <f>YEAR(C146)</f>
        <v>2019</v>
      </c>
      <c r="B146" s="180">
        <f t="shared" si="5"/>
        <v>12</v>
      </c>
      <c r="C146" s="181">
        <v>43813</v>
      </c>
      <c r="D146" s="182">
        <f>COUNTIFS(DuLieuThamNuoiNgay!$B:$B,Baocao!$C146,DuLieuThamNuoiNgay!$A:$A,0)</f>
        <v>0</v>
      </c>
      <c r="E146" s="179" t="str">
        <f t="shared" si="7"/>
        <v>ON</v>
      </c>
    </row>
    <row r="147" spans="1:5" ht="15" customHeight="1" x14ac:dyDescent="0.25">
      <c r="A147" s="180">
        <f>YEAR(C147)</f>
        <v>2019</v>
      </c>
      <c r="B147" s="180">
        <f t="shared" ref="B147" si="8">MONTH(C147)</f>
        <v>12</v>
      </c>
      <c r="C147" s="181">
        <v>43820</v>
      </c>
      <c r="D147" s="182">
        <f>COUNTIFS(DuLieuThamNuoiNgay!$B:$B,Baocao!$C147,DuLieuThamNuoiNgay!$A:$A,0)</f>
        <v>0</v>
      </c>
      <c r="E147" s="179" t="str">
        <f t="shared" si="7"/>
        <v>ON</v>
      </c>
    </row>
    <row r="148" spans="1:5" ht="15" customHeight="1" x14ac:dyDescent="0.25">
      <c r="A148" s="180">
        <f>YEAR(C148)</f>
        <v>2019</v>
      </c>
      <c r="B148" s="180">
        <f>MONTH(C148)</f>
        <v>12</v>
      </c>
      <c r="C148" s="181">
        <v>43827</v>
      </c>
      <c r="D148" s="182">
        <f>COUNTIFS(DuLieuThamNuoiNgay!$B:$B,Baocao!$C148,DuLieuThamNuoiNgay!$A:$A,0)</f>
        <v>0</v>
      </c>
      <c r="E148" s="179" t="str">
        <f t="shared" si="7"/>
        <v>ON</v>
      </c>
    </row>
    <row r="149" spans="1:5" ht="15" customHeight="1" x14ac:dyDescent="0.25">
      <c r="C149" s="193">
        <f>H$24</f>
        <v>0</v>
      </c>
      <c r="E149" s="179" t="str">
        <f t="shared" si="7"/>
        <v>OFF</v>
      </c>
    </row>
    <row r="150" spans="1:5" ht="15" customHeight="1" x14ac:dyDescent="0.25">
      <c r="C150" s="193">
        <f>I$24</f>
        <v>0</v>
      </c>
      <c r="E150" s="179" t="str">
        <f t="shared" si="7"/>
        <v>OFF</v>
      </c>
    </row>
    <row r="151" spans="1:5" ht="15" customHeight="1" x14ac:dyDescent="0.25">
      <c r="C151" s="193">
        <f>J$24</f>
        <v>0</v>
      </c>
      <c r="E151" s="179" t="str">
        <f t="shared" si="7"/>
        <v>OFF</v>
      </c>
    </row>
    <row r="152" spans="1:5" ht="15" customHeight="1" x14ac:dyDescent="0.25">
      <c r="C152" s="193">
        <f>K$24</f>
        <v>0</v>
      </c>
      <c r="E152" s="179" t="str">
        <f t="shared" si="7"/>
        <v>OFF</v>
      </c>
    </row>
    <row r="153" spans="1:5" ht="15" customHeight="1" x14ac:dyDescent="0.25">
      <c r="C153" s="193">
        <f>L$24</f>
        <v>0</v>
      </c>
      <c r="E153" s="179" t="str">
        <f t="shared" si="7"/>
        <v>OFF</v>
      </c>
    </row>
    <row r="154" spans="1:5" ht="15" customHeight="1" x14ac:dyDescent="0.25">
      <c r="C154" s="193">
        <f>M$24</f>
        <v>0</v>
      </c>
      <c r="E154" s="179" t="str">
        <f t="shared" si="7"/>
        <v>OFF</v>
      </c>
    </row>
    <row r="155" spans="1:5" ht="15" customHeight="1" x14ac:dyDescent="0.25">
      <c r="C155" s="193">
        <f>N24</f>
        <v>0</v>
      </c>
      <c r="E155" s="179" t="str">
        <f t="shared" si="7"/>
        <v>OFF</v>
      </c>
    </row>
    <row r="156" spans="1:5" ht="15" customHeight="1" x14ac:dyDescent="0.25">
      <c r="C156" s="193">
        <f>O24</f>
        <v>0</v>
      </c>
      <c r="E156" s="179" t="str">
        <f t="shared" si="7"/>
        <v>OFF</v>
      </c>
    </row>
    <row r="157" spans="1:5" ht="15" customHeight="1" x14ac:dyDescent="0.25">
      <c r="C157" s="193">
        <f>P24</f>
        <v>0</v>
      </c>
      <c r="E157" s="179" t="str">
        <f t="shared" si="7"/>
        <v>OFF</v>
      </c>
    </row>
    <row r="158" spans="1:5" ht="15" customHeight="1" x14ac:dyDescent="0.25">
      <c r="C158" s="193">
        <f>Q24</f>
        <v>0</v>
      </c>
      <c r="E158" s="179" t="str">
        <f t="shared" si="7"/>
        <v>OFF</v>
      </c>
    </row>
    <row r="159" spans="1:5" ht="15" customHeight="1" x14ac:dyDescent="0.25">
      <c r="C159" s="193">
        <f>R24</f>
        <v>0</v>
      </c>
      <c r="E159" s="179" t="str">
        <f t="shared" si="7"/>
        <v>OFF</v>
      </c>
    </row>
    <row r="160" spans="1:5" ht="15" customHeight="1" x14ac:dyDescent="0.25">
      <c r="C160" s="193">
        <f>S24</f>
        <v>0</v>
      </c>
      <c r="E160" s="179" t="str">
        <f t="shared" si="7"/>
        <v>OFF</v>
      </c>
    </row>
    <row r="161" spans="3:5" ht="15" customHeight="1" x14ac:dyDescent="0.25">
      <c r="C161" s="193">
        <f>T24</f>
        <v>0</v>
      </c>
      <c r="E161" s="179" t="str">
        <f t="shared" si="7"/>
        <v>OFF</v>
      </c>
    </row>
    <row r="162" spans="3:5" ht="15" customHeight="1" x14ac:dyDescent="0.25">
      <c r="C162" s="193">
        <f>U24</f>
        <v>0</v>
      </c>
      <c r="E162" s="179" t="str">
        <f t="shared" si="7"/>
        <v>OFF</v>
      </c>
    </row>
    <row r="163" spans="3:5" ht="15" customHeight="1" x14ac:dyDescent="0.25">
      <c r="C163" s="193"/>
    </row>
    <row r="164" spans="3:5" ht="15" customHeight="1" x14ac:dyDescent="0.25">
      <c r="C164" s="193"/>
    </row>
    <row r="165" spans="3:5" ht="15" customHeight="1" x14ac:dyDescent="0.25">
      <c r="C165" s="193"/>
    </row>
    <row r="166" spans="3:5" ht="15" customHeight="1" x14ac:dyDescent="0.25">
      <c r="C166" s="193"/>
    </row>
    <row r="167" spans="3:5" ht="15" customHeight="1" x14ac:dyDescent="0.25">
      <c r="C167" s="193"/>
    </row>
    <row r="168" spans="3:5" ht="15" customHeight="1" x14ac:dyDescent="0.25">
      <c r="C168" s="193"/>
    </row>
    <row r="169" spans="3:5" ht="15" customHeight="1" x14ac:dyDescent="0.25">
      <c r="C169" s="193"/>
    </row>
    <row r="170" spans="3:5" ht="15" customHeight="1" x14ac:dyDescent="0.25">
      <c r="C170" s="193"/>
    </row>
    <row r="171" spans="3:5" ht="15" customHeight="1" x14ac:dyDescent="0.25">
      <c r="C171" s="193"/>
    </row>
    <row r="172" spans="3:5" ht="15" customHeight="1" x14ac:dyDescent="0.25">
      <c r="C172" s="193"/>
    </row>
    <row r="173" spans="3:5" ht="15" customHeight="1" x14ac:dyDescent="0.25">
      <c r="C173" s="193"/>
    </row>
    <row r="174" spans="3:5" ht="15" customHeight="1" x14ac:dyDescent="0.25">
      <c r="C174" s="193"/>
    </row>
    <row r="175" spans="3:5" ht="15" customHeight="1" x14ac:dyDescent="0.25">
      <c r="C175" s="193"/>
    </row>
    <row r="176" spans="3:5" ht="15" customHeight="1" x14ac:dyDescent="0.25">
      <c r="C176" s="193"/>
    </row>
    <row r="177" spans="3:3" ht="15" customHeight="1" x14ac:dyDescent="0.25">
      <c r="C177" s="193"/>
    </row>
    <row r="178" spans="3:3" ht="15" customHeight="1" x14ac:dyDescent="0.25">
      <c r="C178" s="193"/>
    </row>
    <row r="179" spans="3:3" ht="15" customHeight="1" x14ac:dyDescent="0.25">
      <c r="C179" s="193"/>
    </row>
    <row r="180" spans="3:3" ht="15" customHeight="1" x14ac:dyDescent="0.25">
      <c r="C180" s="193"/>
    </row>
    <row r="181" spans="3:3" ht="15" customHeight="1" x14ac:dyDescent="0.25">
      <c r="C181" s="193"/>
    </row>
    <row r="182" spans="3:3" ht="15" customHeight="1" x14ac:dyDescent="0.25">
      <c r="C182" s="193"/>
    </row>
    <row r="183" spans="3:3" ht="15" customHeight="1" x14ac:dyDescent="0.25">
      <c r="C183" s="193"/>
    </row>
    <row r="184" spans="3:3" ht="15" customHeight="1" x14ac:dyDescent="0.25">
      <c r="C184" s="193"/>
    </row>
    <row r="185" spans="3:3" ht="15" customHeight="1" x14ac:dyDescent="0.25">
      <c r="C185" s="193"/>
    </row>
    <row r="186" spans="3:3" ht="15" customHeight="1" x14ac:dyDescent="0.25">
      <c r="C186" s="193"/>
    </row>
    <row r="187" spans="3:3" ht="15" customHeight="1" x14ac:dyDescent="0.25">
      <c r="C187" s="193"/>
    </row>
    <row r="188" spans="3:3" ht="15" customHeight="1" x14ac:dyDescent="0.25">
      <c r="C188" s="193"/>
    </row>
    <row r="189" spans="3:3" ht="15" customHeight="1" x14ac:dyDescent="0.25">
      <c r="C189" s="193"/>
    </row>
    <row r="190" spans="3:3" ht="15" customHeight="1" x14ac:dyDescent="0.25">
      <c r="C190" s="193"/>
    </row>
    <row r="191" spans="3:3" ht="15" customHeight="1" x14ac:dyDescent="0.25">
      <c r="C191" s="193"/>
    </row>
    <row r="192" spans="3:3" ht="15" customHeight="1" x14ac:dyDescent="0.25">
      <c r="C192" s="193"/>
    </row>
    <row r="193" spans="3:3" ht="15" customHeight="1" x14ac:dyDescent="0.25">
      <c r="C193" s="193"/>
    </row>
    <row r="194" spans="3:3" ht="15" customHeight="1" x14ac:dyDescent="0.25">
      <c r="C194" s="193"/>
    </row>
    <row r="195" spans="3:3" ht="15" customHeight="1" x14ac:dyDescent="0.25">
      <c r="C195" s="193"/>
    </row>
    <row r="196" spans="3:3" ht="15" customHeight="1" x14ac:dyDescent="0.25">
      <c r="C196" s="193"/>
    </row>
    <row r="197" spans="3:3" ht="15" customHeight="1" x14ac:dyDescent="0.25">
      <c r="C197" s="193"/>
    </row>
    <row r="198" spans="3:3" ht="15" customHeight="1" x14ac:dyDescent="0.25">
      <c r="C198" s="193"/>
    </row>
    <row r="199" spans="3:3" ht="15" customHeight="1" x14ac:dyDescent="0.25">
      <c r="C199" s="193"/>
    </row>
    <row r="200" spans="3:3" ht="15" customHeight="1" x14ac:dyDescent="0.25">
      <c r="C200" s="193"/>
    </row>
    <row r="201" spans="3:3" ht="15" customHeight="1" x14ac:dyDescent="0.25">
      <c r="C201" s="193"/>
    </row>
    <row r="202" spans="3:3" ht="15" customHeight="1" x14ac:dyDescent="0.25">
      <c r="C202" s="193"/>
    </row>
    <row r="203" spans="3:3" ht="15" customHeight="1" x14ac:dyDescent="0.25">
      <c r="C203" s="193"/>
    </row>
    <row r="204" spans="3:3" ht="15" customHeight="1" x14ac:dyDescent="0.25">
      <c r="C204" s="193"/>
    </row>
    <row r="205" spans="3:3" ht="15" customHeight="1" x14ac:dyDescent="0.25">
      <c r="C205" s="193"/>
    </row>
    <row r="206" spans="3:3" ht="15" customHeight="1" x14ac:dyDescent="0.25">
      <c r="C206" s="193"/>
    </row>
    <row r="207" spans="3:3" ht="15" customHeight="1" x14ac:dyDescent="0.25">
      <c r="C207" s="193"/>
    </row>
    <row r="208" spans="3:3" ht="15" customHeight="1" x14ac:dyDescent="0.25">
      <c r="C208" s="193"/>
    </row>
    <row r="209" spans="3:3" ht="15" customHeight="1" x14ac:dyDescent="0.25">
      <c r="C209" s="193"/>
    </row>
    <row r="210" spans="3:3" ht="15" customHeight="1" x14ac:dyDescent="0.25">
      <c r="C210" s="193"/>
    </row>
    <row r="211" spans="3:3" ht="15" customHeight="1" x14ac:dyDescent="0.25">
      <c r="C211" s="193"/>
    </row>
    <row r="212" spans="3:3" ht="15" customHeight="1" x14ac:dyDescent="0.25">
      <c r="C212" s="193"/>
    </row>
    <row r="213" spans="3:3" ht="15" customHeight="1" x14ac:dyDescent="0.25">
      <c r="C213" s="193"/>
    </row>
    <row r="214" spans="3:3" ht="15" customHeight="1" x14ac:dyDescent="0.25">
      <c r="C214" s="193"/>
    </row>
    <row r="215" spans="3:3" ht="15" customHeight="1" x14ac:dyDescent="0.25">
      <c r="C215" s="193"/>
    </row>
    <row r="216" spans="3:3" ht="15" customHeight="1" x14ac:dyDescent="0.25">
      <c r="C216" s="193"/>
    </row>
    <row r="217" spans="3:3" ht="15" customHeight="1" x14ac:dyDescent="0.25">
      <c r="C217" s="193"/>
    </row>
    <row r="218" spans="3:3" ht="15" customHeight="1" x14ac:dyDescent="0.25">
      <c r="C218" s="193"/>
    </row>
    <row r="219" spans="3:3" ht="15" customHeight="1" x14ac:dyDescent="0.25">
      <c r="C219" s="193"/>
    </row>
    <row r="220" spans="3:3" ht="15" customHeight="1" x14ac:dyDescent="0.25">
      <c r="C220" s="193"/>
    </row>
    <row r="221" spans="3:3" ht="15" customHeight="1" x14ac:dyDescent="0.25">
      <c r="C221" s="193"/>
    </row>
    <row r="222" spans="3:3" ht="15" customHeight="1" x14ac:dyDescent="0.25">
      <c r="C222" s="193"/>
    </row>
    <row r="223" spans="3:3" ht="15" customHeight="1" x14ac:dyDescent="0.25">
      <c r="C223" s="193"/>
    </row>
    <row r="224" spans="3:3" ht="15" customHeight="1" x14ac:dyDescent="0.25">
      <c r="C224" s="193"/>
    </row>
    <row r="225" spans="3:3" ht="15" customHeight="1" x14ac:dyDescent="0.25">
      <c r="C225" s="193"/>
    </row>
    <row r="226" spans="3:3" ht="15" customHeight="1" x14ac:dyDescent="0.25">
      <c r="C226" s="193"/>
    </row>
    <row r="227" spans="3:3" ht="15" customHeight="1" x14ac:dyDescent="0.25">
      <c r="C227" s="193"/>
    </row>
    <row r="228" spans="3:3" ht="15" customHeight="1" x14ac:dyDescent="0.25">
      <c r="C228" s="193"/>
    </row>
    <row r="229" spans="3:3" ht="15" customHeight="1" x14ac:dyDescent="0.25">
      <c r="C229" s="193"/>
    </row>
    <row r="230" spans="3:3" ht="15" customHeight="1" x14ac:dyDescent="0.25">
      <c r="C230" s="193"/>
    </row>
    <row r="231" spans="3:3" ht="15" customHeight="1" x14ac:dyDescent="0.25">
      <c r="C231" s="193"/>
    </row>
    <row r="232" spans="3:3" ht="15" customHeight="1" x14ac:dyDescent="0.25">
      <c r="C232" s="193"/>
    </row>
    <row r="233" spans="3:3" ht="15" customHeight="1" x14ac:dyDescent="0.25">
      <c r="C233" s="193"/>
    </row>
    <row r="234" spans="3:3" ht="15" customHeight="1" x14ac:dyDescent="0.25">
      <c r="C234" s="193"/>
    </row>
    <row r="235" spans="3:3" ht="15" customHeight="1" x14ac:dyDescent="0.25">
      <c r="C235" s="193"/>
    </row>
    <row r="236" spans="3:3" ht="15" customHeight="1" x14ac:dyDescent="0.25">
      <c r="C236" s="193"/>
    </row>
    <row r="237" spans="3:3" ht="15" customHeight="1" x14ac:dyDescent="0.25">
      <c r="C237" s="193"/>
    </row>
    <row r="238" spans="3:3" ht="15" customHeight="1" x14ac:dyDescent="0.25">
      <c r="C238" s="193"/>
    </row>
    <row r="239" spans="3:3" ht="15" customHeight="1" x14ac:dyDescent="0.25">
      <c r="C239" s="193"/>
    </row>
    <row r="240" spans="3:3" ht="15" customHeight="1" x14ac:dyDescent="0.25">
      <c r="C240" s="193"/>
    </row>
    <row r="241" spans="3:3" ht="15" customHeight="1" x14ac:dyDescent="0.25">
      <c r="C241" s="193"/>
    </row>
    <row r="242" spans="3:3" ht="15" customHeight="1" x14ac:dyDescent="0.25">
      <c r="C242" s="193"/>
    </row>
    <row r="243" spans="3:3" ht="15" customHeight="1" x14ac:dyDescent="0.25">
      <c r="C243" s="193"/>
    </row>
    <row r="244" spans="3:3" ht="15" customHeight="1" x14ac:dyDescent="0.25">
      <c r="C244" s="193"/>
    </row>
    <row r="245" spans="3:3" ht="15" customHeight="1" x14ac:dyDescent="0.25">
      <c r="C245" s="193"/>
    </row>
    <row r="246" spans="3:3" ht="15" customHeight="1" x14ac:dyDescent="0.25">
      <c r="C246" s="193"/>
    </row>
    <row r="247" spans="3:3" ht="15" customHeight="1" x14ac:dyDescent="0.25">
      <c r="C247" s="193"/>
    </row>
    <row r="248" spans="3:3" ht="15" customHeight="1" x14ac:dyDescent="0.25">
      <c r="C248" s="193"/>
    </row>
    <row r="249" spans="3:3" ht="15" customHeight="1" x14ac:dyDescent="0.25">
      <c r="C249" s="193"/>
    </row>
    <row r="250" spans="3:3" ht="15" customHeight="1" x14ac:dyDescent="0.25">
      <c r="C250" s="193"/>
    </row>
    <row r="251" spans="3:3" ht="15" customHeight="1" x14ac:dyDescent="0.25">
      <c r="C251" s="193"/>
    </row>
    <row r="252" spans="3:3" ht="15" customHeight="1" x14ac:dyDescent="0.25">
      <c r="C252" s="193"/>
    </row>
    <row r="253" spans="3:3" ht="15" customHeight="1" x14ac:dyDescent="0.25">
      <c r="C253" s="193"/>
    </row>
    <row r="254" spans="3:3" ht="15" customHeight="1" x14ac:dyDescent="0.25">
      <c r="C254" s="193"/>
    </row>
    <row r="255" spans="3:3" ht="15" customHeight="1" x14ac:dyDescent="0.25">
      <c r="C255" s="193"/>
    </row>
    <row r="256" spans="3:3" ht="15" customHeight="1" x14ac:dyDescent="0.25">
      <c r="C256" s="193"/>
    </row>
    <row r="257" spans="3:3" ht="15" customHeight="1" x14ac:dyDescent="0.25">
      <c r="C257" s="193"/>
    </row>
    <row r="258" spans="3:3" ht="15" customHeight="1" x14ac:dyDescent="0.25">
      <c r="C258" s="193"/>
    </row>
    <row r="259" spans="3:3" ht="15" customHeight="1" x14ac:dyDescent="0.25">
      <c r="C259" s="193"/>
    </row>
    <row r="260" spans="3:3" ht="15" customHeight="1" x14ac:dyDescent="0.25">
      <c r="C260" s="193"/>
    </row>
    <row r="261" spans="3:3" ht="15" customHeight="1" x14ac:dyDescent="0.25">
      <c r="C261" s="193"/>
    </row>
    <row r="262" spans="3:3" ht="15" customHeight="1" x14ac:dyDescent="0.25">
      <c r="C262" s="193"/>
    </row>
    <row r="263" spans="3:3" ht="15" customHeight="1" x14ac:dyDescent="0.25">
      <c r="C263" s="193"/>
    </row>
    <row r="264" spans="3:3" ht="15" customHeight="1" x14ac:dyDescent="0.25">
      <c r="C264" s="193"/>
    </row>
    <row r="265" spans="3:3" ht="15" customHeight="1" x14ac:dyDescent="0.25">
      <c r="C265" s="193"/>
    </row>
    <row r="266" spans="3:3" ht="15" customHeight="1" x14ac:dyDescent="0.25">
      <c r="C266" s="193"/>
    </row>
    <row r="267" spans="3:3" ht="15" customHeight="1" x14ac:dyDescent="0.25">
      <c r="C267" s="193"/>
    </row>
    <row r="268" spans="3:3" ht="15" customHeight="1" x14ac:dyDescent="0.25">
      <c r="C268" s="193"/>
    </row>
    <row r="269" spans="3:3" ht="15" customHeight="1" x14ac:dyDescent="0.25">
      <c r="C269" s="193"/>
    </row>
    <row r="270" spans="3:3" ht="15" customHeight="1" x14ac:dyDescent="0.25">
      <c r="C270" s="193"/>
    </row>
    <row r="271" spans="3:3" ht="15" customHeight="1" x14ac:dyDescent="0.25">
      <c r="C271" s="193"/>
    </row>
    <row r="272" spans="3:3" ht="15" customHeight="1" x14ac:dyDescent="0.25">
      <c r="C272" s="193"/>
    </row>
    <row r="273" spans="3:3" ht="15" customHeight="1" x14ac:dyDescent="0.25">
      <c r="C273" s="193"/>
    </row>
    <row r="274" spans="3:3" ht="15" customHeight="1" x14ac:dyDescent="0.25">
      <c r="C274" s="193"/>
    </row>
    <row r="275" spans="3:3" ht="15" customHeight="1" x14ac:dyDescent="0.25">
      <c r="C275" s="193"/>
    </row>
    <row r="276" spans="3:3" ht="15" customHeight="1" x14ac:dyDescent="0.25">
      <c r="C276" s="193"/>
    </row>
    <row r="277" spans="3:3" ht="15" customHeight="1" x14ac:dyDescent="0.25">
      <c r="C277" s="193"/>
    </row>
    <row r="278" spans="3:3" ht="15" customHeight="1" x14ac:dyDescent="0.25">
      <c r="C278" s="193"/>
    </row>
    <row r="279" spans="3:3" ht="15" customHeight="1" x14ac:dyDescent="0.25">
      <c r="C279" s="193"/>
    </row>
    <row r="280" spans="3:3" ht="15" customHeight="1" x14ac:dyDescent="0.25">
      <c r="C280" s="193"/>
    </row>
    <row r="281" spans="3:3" ht="15" customHeight="1" x14ac:dyDescent="0.25">
      <c r="C281" s="193"/>
    </row>
    <row r="282" spans="3:3" ht="15" customHeight="1" x14ac:dyDescent="0.25">
      <c r="C282" s="193"/>
    </row>
    <row r="283" spans="3:3" ht="15" customHeight="1" x14ac:dyDescent="0.25">
      <c r="C283" s="193"/>
    </row>
    <row r="284" spans="3:3" ht="15" customHeight="1" x14ac:dyDescent="0.25">
      <c r="C284" s="193"/>
    </row>
    <row r="285" spans="3:3" ht="15" customHeight="1" x14ac:dyDescent="0.25">
      <c r="C285" s="193"/>
    </row>
    <row r="286" spans="3:3" ht="15" customHeight="1" x14ac:dyDescent="0.25">
      <c r="C286" s="193"/>
    </row>
    <row r="287" spans="3:3" ht="15" customHeight="1" x14ac:dyDescent="0.25">
      <c r="C287" s="193"/>
    </row>
    <row r="288" spans="3:3" ht="15" customHeight="1" x14ac:dyDescent="0.25">
      <c r="C288" s="193"/>
    </row>
    <row r="289" spans="3:3" ht="15" customHeight="1" x14ac:dyDescent="0.25">
      <c r="C289" s="193"/>
    </row>
    <row r="290" spans="3:3" ht="15" customHeight="1" x14ac:dyDescent="0.25">
      <c r="C290" s="193"/>
    </row>
    <row r="291" spans="3:3" ht="15" customHeight="1" x14ac:dyDescent="0.25">
      <c r="C291" s="193"/>
    </row>
    <row r="292" spans="3:3" ht="15" customHeight="1" x14ac:dyDescent="0.25">
      <c r="C292" s="193"/>
    </row>
    <row r="293" spans="3:3" ht="15" customHeight="1" x14ac:dyDescent="0.25">
      <c r="C293" s="193"/>
    </row>
    <row r="294" spans="3:3" ht="15" customHeight="1" x14ac:dyDescent="0.25">
      <c r="C294" s="193"/>
    </row>
    <row r="295" spans="3:3" ht="15" customHeight="1" x14ac:dyDescent="0.25">
      <c r="C295" s="193"/>
    </row>
    <row r="296" spans="3:3" ht="15" customHeight="1" x14ac:dyDescent="0.25">
      <c r="C296" s="193"/>
    </row>
    <row r="297" spans="3:3" ht="15" customHeight="1" x14ac:dyDescent="0.25">
      <c r="C297" s="193"/>
    </row>
    <row r="298" spans="3:3" ht="15" customHeight="1" x14ac:dyDescent="0.25">
      <c r="C298" s="193"/>
    </row>
    <row r="299" spans="3:3" ht="15" customHeight="1" x14ac:dyDescent="0.25">
      <c r="C299" s="193"/>
    </row>
    <row r="300" spans="3:3" ht="15" customHeight="1" x14ac:dyDescent="0.25">
      <c r="C300" s="193"/>
    </row>
    <row r="301" spans="3:3" ht="15" customHeight="1" x14ac:dyDescent="0.25">
      <c r="C301" s="193"/>
    </row>
    <row r="302" spans="3:3" ht="15" customHeight="1" x14ac:dyDescent="0.25">
      <c r="C302" s="193"/>
    </row>
    <row r="303" spans="3:3" ht="15" customHeight="1" x14ac:dyDescent="0.25">
      <c r="C303" s="193"/>
    </row>
    <row r="304" spans="3:3" ht="15" customHeight="1" x14ac:dyDescent="0.25">
      <c r="C304" s="193"/>
    </row>
    <row r="305" spans="3:3" ht="15" customHeight="1" x14ac:dyDescent="0.25">
      <c r="C305" s="193"/>
    </row>
    <row r="306" spans="3:3" ht="15" customHeight="1" x14ac:dyDescent="0.25">
      <c r="C306" s="193"/>
    </row>
    <row r="307" spans="3:3" ht="15" customHeight="1" x14ac:dyDescent="0.25">
      <c r="C307" s="193"/>
    </row>
    <row r="308" spans="3:3" ht="15" customHeight="1" x14ac:dyDescent="0.25">
      <c r="C308" s="193"/>
    </row>
    <row r="309" spans="3:3" ht="15" customHeight="1" x14ac:dyDescent="0.25">
      <c r="C309" s="193"/>
    </row>
    <row r="310" spans="3:3" ht="15" customHeight="1" x14ac:dyDescent="0.25">
      <c r="C310" s="193"/>
    </row>
    <row r="311" spans="3:3" ht="15" customHeight="1" x14ac:dyDescent="0.25">
      <c r="C311" s="193"/>
    </row>
    <row r="312" spans="3:3" ht="15" customHeight="1" x14ac:dyDescent="0.25">
      <c r="C312" s="193"/>
    </row>
    <row r="313" spans="3:3" ht="15" customHeight="1" x14ac:dyDescent="0.25">
      <c r="C313" s="193"/>
    </row>
    <row r="314" spans="3:3" ht="15" customHeight="1" x14ac:dyDescent="0.25">
      <c r="C314" s="193"/>
    </row>
    <row r="315" spans="3:3" ht="15" customHeight="1" x14ac:dyDescent="0.25">
      <c r="C315" s="193"/>
    </row>
    <row r="316" spans="3:3" ht="15" customHeight="1" x14ac:dyDescent="0.25">
      <c r="C316" s="193"/>
    </row>
    <row r="317" spans="3:3" ht="15" customHeight="1" x14ac:dyDescent="0.25">
      <c r="C317" s="193"/>
    </row>
    <row r="318" spans="3:3" ht="15" customHeight="1" x14ac:dyDescent="0.25">
      <c r="C318" s="193"/>
    </row>
    <row r="319" spans="3:3" ht="15" customHeight="1" x14ac:dyDescent="0.25">
      <c r="C319" s="193"/>
    </row>
    <row r="320" spans="3:3" ht="15" customHeight="1" x14ac:dyDescent="0.25">
      <c r="C320" s="193"/>
    </row>
    <row r="321" spans="3:3" ht="15" customHeight="1" x14ac:dyDescent="0.25">
      <c r="C321" s="193"/>
    </row>
    <row r="322" spans="3:3" ht="15" customHeight="1" x14ac:dyDescent="0.25">
      <c r="C322" s="193"/>
    </row>
    <row r="323" spans="3:3" ht="15" customHeight="1" x14ac:dyDescent="0.25">
      <c r="C323" s="193"/>
    </row>
    <row r="324" spans="3:3" ht="15" customHeight="1" x14ac:dyDescent="0.25">
      <c r="C324" s="193"/>
    </row>
    <row r="325" spans="3:3" ht="15" customHeight="1" x14ac:dyDescent="0.25">
      <c r="C325" s="193"/>
    </row>
    <row r="326" spans="3:3" ht="15" customHeight="1" x14ac:dyDescent="0.25">
      <c r="C326" s="193"/>
    </row>
    <row r="327" spans="3:3" ht="15" customHeight="1" x14ac:dyDescent="0.25">
      <c r="C327" s="193"/>
    </row>
    <row r="328" spans="3:3" ht="15" customHeight="1" x14ac:dyDescent="0.25">
      <c r="C328" s="193"/>
    </row>
    <row r="329" spans="3:3" ht="15" customHeight="1" x14ac:dyDescent="0.25">
      <c r="C329" s="193"/>
    </row>
    <row r="330" spans="3:3" ht="15" customHeight="1" x14ac:dyDescent="0.25">
      <c r="C330" s="193"/>
    </row>
    <row r="331" spans="3:3" ht="15" customHeight="1" x14ac:dyDescent="0.25">
      <c r="C331" s="193"/>
    </row>
    <row r="332" spans="3:3" ht="15" customHeight="1" x14ac:dyDescent="0.25">
      <c r="C332" s="193"/>
    </row>
    <row r="333" spans="3:3" ht="15" customHeight="1" x14ac:dyDescent="0.25">
      <c r="C333" s="193"/>
    </row>
    <row r="334" spans="3:3" ht="15" customHeight="1" x14ac:dyDescent="0.25">
      <c r="C334" s="193"/>
    </row>
    <row r="335" spans="3:3" ht="15" customHeight="1" x14ac:dyDescent="0.25">
      <c r="C335" s="193"/>
    </row>
    <row r="336" spans="3:3" ht="15" customHeight="1" x14ac:dyDescent="0.25">
      <c r="C336" s="193"/>
    </row>
    <row r="337" spans="3:3" ht="15" customHeight="1" x14ac:dyDescent="0.25">
      <c r="C337" s="193"/>
    </row>
    <row r="338" spans="3:3" ht="15" customHeight="1" x14ac:dyDescent="0.25">
      <c r="C338" s="193"/>
    </row>
    <row r="339" spans="3:3" ht="15" customHeight="1" x14ac:dyDescent="0.25">
      <c r="C339" s="193"/>
    </row>
    <row r="340" spans="3:3" ht="15" customHeight="1" x14ac:dyDescent="0.25">
      <c r="C340" s="193"/>
    </row>
    <row r="341" spans="3:3" ht="15" customHeight="1" x14ac:dyDescent="0.25">
      <c r="C341" s="193"/>
    </row>
    <row r="342" spans="3:3" ht="15" customHeight="1" x14ac:dyDescent="0.25">
      <c r="C342" s="193"/>
    </row>
    <row r="343" spans="3:3" ht="15" customHeight="1" x14ac:dyDescent="0.25">
      <c r="C343" s="193"/>
    </row>
    <row r="344" spans="3:3" ht="15" customHeight="1" x14ac:dyDescent="0.25">
      <c r="C344" s="193"/>
    </row>
    <row r="345" spans="3:3" ht="15" customHeight="1" x14ac:dyDescent="0.25">
      <c r="C345" s="193"/>
    </row>
    <row r="346" spans="3:3" ht="15" customHeight="1" x14ac:dyDescent="0.25">
      <c r="C346" s="193"/>
    </row>
    <row r="347" spans="3:3" ht="15" customHeight="1" x14ac:dyDescent="0.25">
      <c r="C347" s="193"/>
    </row>
    <row r="348" spans="3:3" ht="15" customHeight="1" x14ac:dyDescent="0.25">
      <c r="C348" s="193"/>
    </row>
    <row r="349" spans="3:3" ht="15" customHeight="1" x14ac:dyDescent="0.25">
      <c r="C349" s="193"/>
    </row>
    <row r="350" spans="3:3" ht="15" customHeight="1" x14ac:dyDescent="0.25">
      <c r="C350" s="193"/>
    </row>
    <row r="351" spans="3:3" ht="15" customHeight="1" x14ac:dyDescent="0.25">
      <c r="C351" s="193"/>
    </row>
    <row r="352" spans="3:3" ht="15" customHeight="1" x14ac:dyDescent="0.25">
      <c r="C352" s="193"/>
    </row>
    <row r="353" spans="3:3" ht="15" customHeight="1" x14ac:dyDescent="0.25">
      <c r="C353" s="193"/>
    </row>
    <row r="354" spans="3:3" ht="15" customHeight="1" x14ac:dyDescent="0.25">
      <c r="C354" s="193"/>
    </row>
    <row r="355" spans="3:3" ht="15" customHeight="1" x14ac:dyDescent="0.25">
      <c r="C355" s="193"/>
    </row>
    <row r="356" spans="3:3" ht="15" customHeight="1" x14ac:dyDescent="0.25">
      <c r="C356" s="193"/>
    </row>
    <row r="357" spans="3:3" ht="15" customHeight="1" x14ac:dyDescent="0.25">
      <c r="C357" s="193"/>
    </row>
    <row r="358" spans="3:3" ht="15" customHeight="1" x14ac:dyDescent="0.25">
      <c r="C358" s="193"/>
    </row>
    <row r="359" spans="3:3" ht="15" customHeight="1" x14ac:dyDescent="0.25">
      <c r="C359" s="193"/>
    </row>
    <row r="360" spans="3:3" ht="15" customHeight="1" x14ac:dyDescent="0.25">
      <c r="C360" s="193"/>
    </row>
    <row r="361" spans="3:3" ht="15" customHeight="1" x14ac:dyDescent="0.25">
      <c r="C361" s="193"/>
    </row>
    <row r="362" spans="3:3" ht="15" customHeight="1" x14ac:dyDescent="0.25">
      <c r="C362" s="193"/>
    </row>
    <row r="363" spans="3:3" ht="15" customHeight="1" x14ac:dyDescent="0.25">
      <c r="C363" s="193"/>
    </row>
    <row r="364" spans="3:3" ht="15" customHeight="1" x14ac:dyDescent="0.25">
      <c r="C364" s="193"/>
    </row>
    <row r="365" spans="3:3" ht="15" customHeight="1" x14ac:dyDescent="0.25">
      <c r="C365" s="193"/>
    </row>
    <row r="366" spans="3:3" ht="15" customHeight="1" x14ac:dyDescent="0.25">
      <c r="C366" s="193"/>
    </row>
    <row r="367" spans="3:3" ht="15" customHeight="1" x14ac:dyDescent="0.25">
      <c r="C367" s="193"/>
    </row>
    <row r="368" spans="3:3" ht="15" customHeight="1" x14ac:dyDescent="0.25">
      <c r="C368" s="193"/>
    </row>
    <row r="369" spans="3:3" ht="15" customHeight="1" x14ac:dyDescent="0.25">
      <c r="C369" s="193"/>
    </row>
    <row r="370" spans="3:3" ht="15" customHeight="1" x14ac:dyDescent="0.25">
      <c r="C370" s="193"/>
    </row>
    <row r="371" spans="3:3" ht="15" customHeight="1" x14ac:dyDescent="0.25">
      <c r="C371" s="193"/>
    </row>
    <row r="372" spans="3:3" ht="15" customHeight="1" x14ac:dyDescent="0.25">
      <c r="C372" s="193"/>
    </row>
    <row r="373" spans="3:3" ht="15" customHeight="1" x14ac:dyDescent="0.25">
      <c r="C373" s="193"/>
    </row>
    <row r="374" spans="3:3" ht="15" customHeight="1" x14ac:dyDescent="0.25">
      <c r="C374" s="193"/>
    </row>
    <row r="375" spans="3:3" ht="15" customHeight="1" x14ac:dyDescent="0.25">
      <c r="C375" s="193"/>
    </row>
    <row r="376" spans="3:3" ht="15" customHeight="1" x14ac:dyDescent="0.25">
      <c r="C376" s="193"/>
    </row>
    <row r="377" spans="3:3" ht="15" customHeight="1" x14ac:dyDescent="0.25">
      <c r="C377" s="193"/>
    </row>
    <row r="378" spans="3:3" ht="15" customHeight="1" x14ac:dyDescent="0.25">
      <c r="C378" s="193"/>
    </row>
    <row r="379" spans="3:3" ht="15" customHeight="1" x14ac:dyDescent="0.25">
      <c r="C379" s="193"/>
    </row>
    <row r="380" spans="3:3" ht="15" customHeight="1" x14ac:dyDescent="0.25">
      <c r="C380" s="193"/>
    </row>
    <row r="381" spans="3:3" ht="15" customHeight="1" x14ac:dyDescent="0.25">
      <c r="C381" s="193"/>
    </row>
    <row r="382" spans="3:3" ht="15" customHeight="1" x14ac:dyDescent="0.25">
      <c r="C382" s="193"/>
    </row>
    <row r="383" spans="3:3" ht="15" customHeight="1" x14ac:dyDescent="0.25">
      <c r="C383" s="193"/>
    </row>
    <row r="384" spans="3:3" ht="15" customHeight="1" x14ac:dyDescent="0.25">
      <c r="C384" s="193"/>
    </row>
    <row r="385" spans="3:3" ht="15" customHeight="1" x14ac:dyDescent="0.25">
      <c r="C385" s="193"/>
    </row>
    <row r="386" spans="3:3" ht="15" customHeight="1" x14ac:dyDescent="0.25">
      <c r="C386" s="193"/>
    </row>
    <row r="387" spans="3:3" ht="15" customHeight="1" x14ac:dyDescent="0.25">
      <c r="C387" s="193"/>
    </row>
    <row r="388" spans="3:3" ht="15" customHeight="1" x14ac:dyDescent="0.25">
      <c r="C388" s="193"/>
    </row>
    <row r="389" spans="3:3" ht="15" customHeight="1" x14ac:dyDescent="0.25">
      <c r="C389" s="193"/>
    </row>
    <row r="390" spans="3:3" ht="15" customHeight="1" x14ac:dyDescent="0.25">
      <c r="C390" s="193"/>
    </row>
    <row r="391" spans="3:3" ht="15" customHeight="1" x14ac:dyDescent="0.25">
      <c r="C391" s="193"/>
    </row>
    <row r="392" spans="3:3" ht="15" customHeight="1" x14ac:dyDescent="0.25">
      <c r="C392" s="193"/>
    </row>
    <row r="393" spans="3:3" ht="15" customHeight="1" x14ac:dyDescent="0.25">
      <c r="C393" s="193"/>
    </row>
    <row r="394" spans="3:3" ht="15" customHeight="1" x14ac:dyDescent="0.25">
      <c r="C394" s="193"/>
    </row>
    <row r="395" spans="3:3" ht="15" customHeight="1" x14ac:dyDescent="0.25">
      <c r="C395" s="193"/>
    </row>
    <row r="396" spans="3:3" ht="15" customHeight="1" x14ac:dyDescent="0.25">
      <c r="C396" s="193"/>
    </row>
    <row r="397" spans="3:3" ht="15" customHeight="1" x14ac:dyDescent="0.25">
      <c r="C397" s="193"/>
    </row>
    <row r="398" spans="3:3" ht="15" customHeight="1" x14ac:dyDescent="0.25">
      <c r="C398" s="193"/>
    </row>
    <row r="399" spans="3:3" ht="15" customHeight="1" x14ac:dyDescent="0.25">
      <c r="C399" s="193"/>
    </row>
    <row r="400" spans="3:3" ht="15" customHeight="1" x14ac:dyDescent="0.25">
      <c r="C400" s="193"/>
    </row>
    <row r="401" spans="3:3" ht="15" customHeight="1" x14ac:dyDescent="0.25">
      <c r="C401" s="193"/>
    </row>
    <row r="402" spans="3:3" ht="15" customHeight="1" x14ac:dyDescent="0.25">
      <c r="C402" s="193"/>
    </row>
    <row r="403" spans="3:3" ht="15" customHeight="1" x14ac:dyDescent="0.25">
      <c r="C403" s="193"/>
    </row>
    <row r="404" spans="3:3" ht="15" customHeight="1" x14ac:dyDescent="0.25">
      <c r="C404" s="193"/>
    </row>
    <row r="405" spans="3:3" ht="15" customHeight="1" x14ac:dyDescent="0.25">
      <c r="C405" s="193"/>
    </row>
    <row r="406" spans="3:3" ht="15" customHeight="1" x14ac:dyDescent="0.25">
      <c r="C406" s="193"/>
    </row>
    <row r="407" spans="3:3" ht="15" customHeight="1" x14ac:dyDescent="0.25">
      <c r="C407" s="193"/>
    </row>
    <row r="408" spans="3:3" ht="15" customHeight="1" x14ac:dyDescent="0.25">
      <c r="C408" s="193"/>
    </row>
    <row r="409" spans="3:3" ht="15" customHeight="1" x14ac:dyDescent="0.25">
      <c r="C409" s="193"/>
    </row>
    <row r="410" spans="3:3" ht="15" customHeight="1" x14ac:dyDescent="0.25">
      <c r="C410" s="193"/>
    </row>
    <row r="411" spans="3:3" ht="15" customHeight="1" x14ac:dyDescent="0.25">
      <c r="C411" s="193"/>
    </row>
    <row r="412" spans="3:3" ht="15" customHeight="1" x14ac:dyDescent="0.25">
      <c r="C412" s="193"/>
    </row>
    <row r="413" spans="3:3" ht="15" customHeight="1" x14ac:dyDescent="0.25">
      <c r="C413" s="193"/>
    </row>
    <row r="414" spans="3:3" ht="15" customHeight="1" x14ac:dyDescent="0.25">
      <c r="C414" s="193"/>
    </row>
    <row r="415" spans="3:3" ht="15" customHeight="1" x14ac:dyDescent="0.25">
      <c r="C415" s="193"/>
    </row>
    <row r="416" spans="3:3" ht="15" customHeight="1" x14ac:dyDescent="0.25">
      <c r="C416" s="193"/>
    </row>
    <row r="417" spans="3:3" ht="15" customHeight="1" x14ac:dyDescent="0.25">
      <c r="C417" s="193"/>
    </row>
    <row r="418" spans="3:3" ht="15" customHeight="1" x14ac:dyDescent="0.25">
      <c r="C418" s="193"/>
    </row>
    <row r="419" spans="3:3" ht="15" customHeight="1" x14ac:dyDescent="0.25">
      <c r="C419" s="193"/>
    </row>
    <row r="420" spans="3:3" ht="15" customHeight="1" x14ac:dyDescent="0.25">
      <c r="C420" s="193"/>
    </row>
    <row r="421" spans="3:3" ht="15" customHeight="1" x14ac:dyDescent="0.25">
      <c r="C421" s="193"/>
    </row>
    <row r="422" spans="3:3" ht="15" customHeight="1" x14ac:dyDescent="0.25">
      <c r="C422" s="193"/>
    </row>
    <row r="423" spans="3:3" ht="15" customHeight="1" x14ac:dyDescent="0.25">
      <c r="C423" s="193"/>
    </row>
    <row r="424" spans="3:3" ht="15" customHeight="1" x14ac:dyDescent="0.25">
      <c r="C424" s="193"/>
    </row>
    <row r="425" spans="3:3" ht="15" customHeight="1" x14ac:dyDescent="0.25">
      <c r="C425" s="193"/>
    </row>
    <row r="426" spans="3:3" ht="15" customHeight="1" x14ac:dyDescent="0.25">
      <c r="C426" s="193"/>
    </row>
    <row r="427" spans="3:3" ht="15" customHeight="1" x14ac:dyDescent="0.25">
      <c r="C427" s="193"/>
    </row>
    <row r="428" spans="3:3" ht="15" customHeight="1" x14ac:dyDescent="0.25">
      <c r="C428" s="193"/>
    </row>
    <row r="429" spans="3:3" ht="15" customHeight="1" x14ac:dyDescent="0.25">
      <c r="C429" s="193"/>
    </row>
    <row r="430" spans="3:3" ht="15" customHeight="1" x14ac:dyDescent="0.25">
      <c r="C430" s="193"/>
    </row>
    <row r="431" spans="3:3" ht="15" customHeight="1" x14ac:dyDescent="0.25">
      <c r="C431" s="193"/>
    </row>
    <row r="432" spans="3:3" ht="15" customHeight="1" x14ac:dyDescent="0.25">
      <c r="C432" s="193"/>
    </row>
    <row r="433" spans="3:3" ht="15" customHeight="1" x14ac:dyDescent="0.25">
      <c r="C433" s="193"/>
    </row>
    <row r="434" spans="3:3" ht="15" customHeight="1" x14ac:dyDescent="0.25">
      <c r="C434" s="193"/>
    </row>
    <row r="435" spans="3:3" ht="15" customHeight="1" x14ac:dyDescent="0.25">
      <c r="C435" s="193"/>
    </row>
    <row r="436" spans="3:3" ht="15" customHeight="1" x14ac:dyDescent="0.25">
      <c r="C436" s="193"/>
    </row>
    <row r="437" spans="3:3" ht="15" customHeight="1" x14ac:dyDescent="0.25">
      <c r="C437" s="193"/>
    </row>
    <row r="438" spans="3:3" ht="15" customHeight="1" x14ac:dyDescent="0.25">
      <c r="C438" s="193"/>
    </row>
    <row r="439" spans="3:3" ht="15" customHeight="1" x14ac:dyDescent="0.25">
      <c r="C439" s="193"/>
    </row>
    <row r="440" spans="3:3" ht="15" customHeight="1" x14ac:dyDescent="0.25">
      <c r="C440" s="193"/>
    </row>
    <row r="441" spans="3:3" ht="15" customHeight="1" x14ac:dyDescent="0.25">
      <c r="C441" s="193"/>
    </row>
    <row r="442" spans="3:3" ht="15" customHeight="1" x14ac:dyDescent="0.25">
      <c r="C442" s="193"/>
    </row>
    <row r="443" spans="3:3" ht="15" customHeight="1" x14ac:dyDescent="0.25">
      <c r="C443" s="193"/>
    </row>
    <row r="444" spans="3:3" ht="15" customHeight="1" x14ac:dyDescent="0.25">
      <c r="C444" s="193"/>
    </row>
    <row r="445" spans="3:3" ht="15" customHeight="1" x14ac:dyDescent="0.25">
      <c r="C445" s="193"/>
    </row>
    <row r="446" spans="3:3" ht="15" customHeight="1" x14ac:dyDescent="0.25">
      <c r="C446" s="193"/>
    </row>
    <row r="447" spans="3:3" ht="15" customHeight="1" x14ac:dyDescent="0.25">
      <c r="C447" s="193"/>
    </row>
    <row r="448" spans="3:3" ht="15" customHeight="1" x14ac:dyDescent="0.25">
      <c r="C448" s="193"/>
    </row>
    <row r="449" spans="3:3" ht="15" customHeight="1" x14ac:dyDescent="0.25">
      <c r="C449" s="193"/>
    </row>
    <row r="450" spans="3:3" ht="15" customHeight="1" x14ac:dyDescent="0.25">
      <c r="C450" s="193"/>
    </row>
    <row r="451" spans="3:3" ht="15" customHeight="1" x14ac:dyDescent="0.25">
      <c r="C451" s="193"/>
    </row>
    <row r="452" spans="3:3" ht="15" customHeight="1" x14ac:dyDescent="0.25">
      <c r="C452" s="193"/>
    </row>
    <row r="453" spans="3:3" ht="15" customHeight="1" x14ac:dyDescent="0.25">
      <c r="C453" s="193"/>
    </row>
    <row r="454" spans="3:3" ht="15" customHeight="1" x14ac:dyDescent="0.25">
      <c r="C454" s="193"/>
    </row>
    <row r="455" spans="3:3" ht="15" customHeight="1" x14ac:dyDescent="0.25">
      <c r="C455" s="193"/>
    </row>
    <row r="456" spans="3:3" ht="15" customHeight="1" x14ac:dyDescent="0.25">
      <c r="C456" s="193"/>
    </row>
    <row r="457" spans="3:3" ht="15" customHeight="1" x14ac:dyDescent="0.25">
      <c r="C457" s="193"/>
    </row>
    <row r="458" spans="3:3" ht="15" customHeight="1" x14ac:dyDescent="0.25">
      <c r="C458" s="193"/>
    </row>
    <row r="459" spans="3:3" ht="15" customHeight="1" x14ac:dyDescent="0.25">
      <c r="C459" s="193"/>
    </row>
    <row r="460" spans="3:3" ht="15" customHeight="1" x14ac:dyDescent="0.25">
      <c r="C460" s="193"/>
    </row>
    <row r="461" spans="3:3" ht="15" customHeight="1" x14ac:dyDescent="0.25">
      <c r="C461" s="193"/>
    </row>
    <row r="462" spans="3:3" ht="15" customHeight="1" x14ac:dyDescent="0.25">
      <c r="C462" s="193"/>
    </row>
    <row r="463" spans="3:3" ht="15" customHeight="1" x14ac:dyDescent="0.25">
      <c r="C463" s="193"/>
    </row>
    <row r="464" spans="3:3" ht="15" customHeight="1" x14ac:dyDescent="0.25">
      <c r="C464" s="193"/>
    </row>
    <row r="465" spans="3:3" ht="15" customHeight="1" x14ac:dyDescent="0.25">
      <c r="C465" s="193"/>
    </row>
    <row r="466" spans="3:3" ht="15" customHeight="1" x14ac:dyDescent="0.25">
      <c r="C466" s="193"/>
    </row>
    <row r="467" spans="3:3" ht="15" customHeight="1" x14ac:dyDescent="0.25">
      <c r="C467" s="193"/>
    </row>
    <row r="468" spans="3:3" ht="15" customHeight="1" x14ac:dyDescent="0.25">
      <c r="C468" s="193"/>
    </row>
    <row r="469" spans="3:3" ht="15" customHeight="1" x14ac:dyDescent="0.25">
      <c r="C469" s="193"/>
    </row>
    <row r="470" spans="3:3" ht="15" customHeight="1" x14ac:dyDescent="0.25">
      <c r="C470" s="193"/>
    </row>
    <row r="471" spans="3:3" ht="15" customHeight="1" x14ac:dyDescent="0.25">
      <c r="C471" s="193"/>
    </row>
    <row r="472" spans="3:3" ht="15" customHeight="1" x14ac:dyDescent="0.25">
      <c r="C472" s="193"/>
    </row>
    <row r="473" spans="3:3" ht="15" customHeight="1" x14ac:dyDescent="0.25">
      <c r="C473" s="193"/>
    </row>
    <row r="474" spans="3:3" ht="15" customHeight="1" x14ac:dyDescent="0.25">
      <c r="C474" s="193"/>
    </row>
    <row r="475" spans="3:3" ht="15" customHeight="1" x14ac:dyDescent="0.25">
      <c r="C475" s="193"/>
    </row>
    <row r="476" spans="3:3" ht="15" customHeight="1" x14ac:dyDescent="0.25">
      <c r="C476" s="193"/>
    </row>
    <row r="477" spans="3:3" ht="15" customHeight="1" x14ac:dyDescent="0.25">
      <c r="C477" s="193"/>
    </row>
    <row r="478" spans="3:3" ht="15" customHeight="1" x14ac:dyDescent="0.25">
      <c r="C478" s="193"/>
    </row>
    <row r="479" spans="3:3" ht="15" customHeight="1" x14ac:dyDescent="0.25">
      <c r="C479" s="193"/>
    </row>
    <row r="480" spans="3:3" ht="15" customHeight="1" x14ac:dyDescent="0.25">
      <c r="C480" s="193"/>
    </row>
    <row r="481" spans="3:3" ht="15" customHeight="1" x14ac:dyDescent="0.25">
      <c r="C481" s="193"/>
    </row>
    <row r="482" spans="3:3" ht="15" customHeight="1" x14ac:dyDescent="0.25">
      <c r="C482" s="193"/>
    </row>
    <row r="483" spans="3:3" ht="15" customHeight="1" x14ac:dyDescent="0.25">
      <c r="C483" s="193"/>
    </row>
    <row r="484" spans="3:3" ht="15" customHeight="1" x14ac:dyDescent="0.25">
      <c r="C484" s="193"/>
    </row>
    <row r="485" spans="3:3" ht="15" customHeight="1" x14ac:dyDescent="0.25">
      <c r="C485" s="193"/>
    </row>
    <row r="486" spans="3:3" ht="15" customHeight="1" x14ac:dyDescent="0.25">
      <c r="C486" s="193"/>
    </row>
    <row r="487" spans="3:3" ht="15" customHeight="1" x14ac:dyDescent="0.25">
      <c r="C487" s="193"/>
    </row>
    <row r="488" spans="3:3" ht="15" customHeight="1" x14ac:dyDescent="0.25">
      <c r="C488" s="193"/>
    </row>
    <row r="489" spans="3:3" ht="15" customHeight="1" x14ac:dyDescent="0.25">
      <c r="C489" s="193"/>
    </row>
    <row r="490" spans="3:3" ht="15" customHeight="1" x14ac:dyDescent="0.25">
      <c r="C490" s="193"/>
    </row>
    <row r="491" spans="3:3" ht="15" customHeight="1" x14ac:dyDescent="0.25">
      <c r="C491" s="193"/>
    </row>
    <row r="492" spans="3:3" ht="15" customHeight="1" x14ac:dyDescent="0.25">
      <c r="C492" s="193"/>
    </row>
    <row r="493" spans="3:3" ht="15" customHeight="1" x14ac:dyDescent="0.25">
      <c r="C493" s="193"/>
    </row>
    <row r="494" spans="3:3" ht="15" customHeight="1" x14ac:dyDescent="0.25">
      <c r="C494" s="193"/>
    </row>
    <row r="495" spans="3:3" ht="15" customHeight="1" x14ac:dyDescent="0.25">
      <c r="C495" s="193"/>
    </row>
    <row r="496" spans="3:3" ht="15" customHeight="1" x14ac:dyDescent="0.25">
      <c r="C496" s="193"/>
    </row>
    <row r="497" spans="3:3" ht="15" customHeight="1" x14ac:dyDescent="0.25">
      <c r="C497" s="193"/>
    </row>
    <row r="498" spans="3:3" ht="15" customHeight="1" x14ac:dyDescent="0.25">
      <c r="C498" s="193"/>
    </row>
    <row r="499" spans="3:3" ht="15" customHeight="1" x14ac:dyDescent="0.25">
      <c r="C499" s="193"/>
    </row>
    <row r="500" spans="3:3" ht="15" customHeight="1" x14ac:dyDescent="0.25">
      <c r="C500" s="193"/>
    </row>
    <row r="501" spans="3:3" ht="15" customHeight="1" x14ac:dyDescent="0.25">
      <c r="C501" s="193"/>
    </row>
    <row r="502" spans="3:3" ht="15" customHeight="1" x14ac:dyDescent="0.25">
      <c r="C502" s="193"/>
    </row>
    <row r="503" spans="3:3" ht="15" customHeight="1" x14ac:dyDescent="0.25">
      <c r="C503" s="193"/>
    </row>
    <row r="504" spans="3:3" ht="15" customHeight="1" x14ac:dyDescent="0.25">
      <c r="C504" s="193"/>
    </row>
    <row r="505" spans="3:3" ht="15" customHeight="1" x14ac:dyDescent="0.25">
      <c r="C505" s="193"/>
    </row>
    <row r="506" spans="3:3" ht="15" customHeight="1" x14ac:dyDescent="0.25">
      <c r="C506" s="193"/>
    </row>
    <row r="507" spans="3:3" ht="15" customHeight="1" x14ac:dyDescent="0.25">
      <c r="C507" s="193"/>
    </row>
    <row r="508" spans="3:3" ht="15" customHeight="1" x14ac:dyDescent="0.25">
      <c r="C508" s="193"/>
    </row>
    <row r="509" spans="3:3" ht="15" customHeight="1" x14ac:dyDescent="0.25">
      <c r="C509" s="193"/>
    </row>
    <row r="510" spans="3:3" ht="15" customHeight="1" x14ac:dyDescent="0.25">
      <c r="C510" s="193"/>
    </row>
    <row r="511" spans="3:3" ht="15" customHeight="1" x14ac:dyDescent="0.25">
      <c r="C511" s="193"/>
    </row>
    <row r="512" spans="3:3" ht="15" customHeight="1" x14ac:dyDescent="0.25">
      <c r="C512" s="193"/>
    </row>
    <row r="513" spans="3:3" ht="15" customHeight="1" x14ac:dyDescent="0.25">
      <c r="C513" s="193"/>
    </row>
    <row r="514" spans="3:3" ht="15" customHeight="1" x14ac:dyDescent="0.25">
      <c r="C514" s="193"/>
    </row>
    <row r="515" spans="3:3" ht="15" customHeight="1" x14ac:dyDescent="0.25">
      <c r="C515" s="193"/>
    </row>
    <row r="516" spans="3:3" ht="15" customHeight="1" x14ac:dyDescent="0.25">
      <c r="C516" s="193"/>
    </row>
    <row r="517" spans="3:3" ht="15" customHeight="1" x14ac:dyDescent="0.25">
      <c r="C517" s="193"/>
    </row>
    <row r="518" spans="3:3" ht="15" customHeight="1" x14ac:dyDescent="0.25">
      <c r="C518" s="193"/>
    </row>
    <row r="519" spans="3:3" ht="15" customHeight="1" x14ac:dyDescent="0.25">
      <c r="C519" s="193"/>
    </row>
    <row r="520" spans="3:3" ht="15" customHeight="1" x14ac:dyDescent="0.25">
      <c r="C520" s="193"/>
    </row>
    <row r="521" spans="3:3" ht="15" customHeight="1" x14ac:dyDescent="0.25">
      <c r="C521" s="193"/>
    </row>
    <row r="522" spans="3:3" ht="15" customHeight="1" x14ac:dyDescent="0.25">
      <c r="C522" s="193"/>
    </row>
    <row r="523" spans="3:3" ht="15" customHeight="1" x14ac:dyDescent="0.25">
      <c r="C523" s="193"/>
    </row>
    <row r="524" spans="3:3" ht="15" customHeight="1" x14ac:dyDescent="0.25">
      <c r="C524" s="193"/>
    </row>
    <row r="525" spans="3:3" ht="15" customHeight="1" x14ac:dyDescent="0.25">
      <c r="C525" s="193"/>
    </row>
    <row r="526" spans="3:3" ht="15" customHeight="1" x14ac:dyDescent="0.25">
      <c r="C526" s="193"/>
    </row>
    <row r="527" spans="3:3" ht="15" customHeight="1" x14ac:dyDescent="0.25">
      <c r="C527" s="193"/>
    </row>
    <row r="528" spans="3:3" ht="15" customHeight="1" x14ac:dyDescent="0.25">
      <c r="C528" s="193"/>
    </row>
    <row r="529" spans="3:3" ht="15" customHeight="1" x14ac:dyDescent="0.25">
      <c r="C529" s="193"/>
    </row>
    <row r="530" spans="3:3" ht="15" customHeight="1" x14ac:dyDescent="0.25">
      <c r="C530" s="193"/>
    </row>
    <row r="531" spans="3:3" ht="15" customHeight="1" x14ac:dyDescent="0.25">
      <c r="C531" s="193"/>
    </row>
    <row r="532" spans="3:3" ht="15" customHeight="1" x14ac:dyDescent="0.25">
      <c r="C532" s="193"/>
    </row>
    <row r="533" spans="3:3" ht="15" customHeight="1" x14ac:dyDescent="0.25">
      <c r="C533" s="193"/>
    </row>
    <row r="534" spans="3:3" ht="15" customHeight="1" x14ac:dyDescent="0.25">
      <c r="C534" s="193"/>
    </row>
    <row r="535" spans="3:3" ht="15" customHeight="1" x14ac:dyDescent="0.25">
      <c r="C535" s="193"/>
    </row>
    <row r="536" spans="3:3" ht="15" customHeight="1" x14ac:dyDescent="0.25">
      <c r="C536" s="193"/>
    </row>
    <row r="537" spans="3:3" ht="15" customHeight="1" x14ac:dyDescent="0.25">
      <c r="C537" s="193"/>
    </row>
    <row r="538" spans="3:3" ht="15" customHeight="1" x14ac:dyDescent="0.25">
      <c r="C538" s="193"/>
    </row>
    <row r="539" spans="3:3" ht="15" customHeight="1" x14ac:dyDescent="0.25">
      <c r="C539" s="193"/>
    </row>
    <row r="540" spans="3:3" ht="15" customHeight="1" x14ac:dyDescent="0.25">
      <c r="C540" s="193"/>
    </row>
    <row r="541" spans="3:3" ht="15" customHeight="1" x14ac:dyDescent="0.25">
      <c r="C541" s="193"/>
    </row>
    <row r="542" spans="3:3" ht="15" customHeight="1" x14ac:dyDescent="0.25">
      <c r="C542" s="193"/>
    </row>
    <row r="543" spans="3:3" ht="15" customHeight="1" x14ac:dyDescent="0.25">
      <c r="C543" s="193"/>
    </row>
    <row r="544" spans="3:3" ht="15" customHeight="1" x14ac:dyDescent="0.25">
      <c r="C544" s="193"/>
    </row>
    <row r="545" spans="3:3" ht="15" customHeight="1" x14ac:dyDescent="0.25">
      <c r="C545" s="193"/>
    </row>
    <row r="546" spans="3:3" ht="15" customHeight="1" x14ac:dyDescent="0.25">
      <c r="C546" s="193"/>
    </row>
    <row r="547" spans="3:3" ht="15" customHeight="1" x14ac:dyDescent="0.25">
      <c r="C547" s="193"/>
    </row>
    <row r="548" spans="3:3" ht="15" customHeight="1" x14ac:dyDescent="0.25">
      <c r="C548" s="193"/>
    </row>
    <row r="549" spans="3:3" ht="15" customHeight="1" x14ac:dyDescent="0.25">
      <c r="C549" s="193"/>
    </row>
    <row r="550" spans="3:3" ht="15" customHeight="1" x14ac:dyDescent="0.25">
      <c r="C550" s="193"/>
    </row>
    <row r="551" spans="3:3" ht="15" customHeight="1" x14ac:dyDescent="0.25">
      <c r="C551" s="193"/>
    </row>
    <row r="552" spans="3:3" ht="15" customHeight="1" x14ac:dyDescent="0.25">
      <c r="C552" s="193"/>
    </row>
    <row r="553" spans="3:3" ht="15" customHeight="1" x14ac:dyDescent="0.25">
      <c r="C553" s="193"/>
    </row>
    <row r="554" spans="3:3" ht="15" customHeight="1" x14ac:dyDescent="0.25">
      <c r="C554" s="193"/>
    </row>
    <row r="555" spans="3:3" ht="15" customHeight="1" x14ac:dyDescent="0.25">
      <c r="C555" s="193"/>
    </row>
    <row r="556" spans="3:3" ht="15" customHeight="1" x14ac:dyDescent="0.25">
      <c r="C556" s="193"/>
    </row>
    <row r="557" spans="3:3" ht="15" customHeight="1" x14ac:dyDescent="0.25">
      <c r="C557" s="193"/>
    </row>
    <row r="558" spans="3:3" ht="15" customHeight="1" x14ac:dyDescent="0.25">
      <c r="C558" s="193"/>
    </row>
    <row r="559" spans="3:3" ht="15" customHeight="1" x14ac:dyDescent="0.25">
      <c r="C559" s="193"/>
    </row>
    <row r="560" spans="3:3" ht="15" customHeight="1" x14ac:dyDescent="0.25">
      <c r="C560" s="193"/>
    </row>
    <row r="561" spans="3:3" ht="15" customHeight="1" x14ac:dyDescent="0.25">
      <c r="C561" s="193"/>
    </row>
    <row r="562" spans="3:3" ht="15" customHeight="1" x14ac:dyDescent="0.25">
      <c r="C562" s="193"/>
    </row>
    <row r="563" spans="3:3" ht="15" customHeight="1" x14ac:dyDescent="0.25">
      <c r="C563" s="193"/>
    </row>
    <row r="564" spans="3:3" ht="15" customHeight="1" x14ac:dyDescent="0.25">
      <c r="C564" s="193"/>
    </row>
    <row r="565" spans="3:3" ht="15" customHeight="1" x14ac:dyDescent="0.25">
      <c r="C565" s="193"/>
    </row>
    <row r="566" spans="3:3" ht="15" customHeight="1" x14ac:dyDescent="0.25">
      <c r="C566" s="193"/>
    </row>
    <row r="567" spans="3:3" ht="15" customHeight="1" x14ac:dyDescent="0.25">
      <c r="C567" s="193"/>
    </row>
    <row r="568" spans="3:3" ht="15" customHeight="1" x14ac:dyDescent="0.25">
      <c r="C568" s="193"/>
    </row>
    <row r="569" spans="3:3" ht="15" customHeight="1" x14ac:dyDescent="0.25">
      <c r="C569" s="193"/>
    </row>
    <row r="570" spans="3:3" ht="15" customHeight="1" x14ac:dyDescent="0.25">
      <c r="C570" s="193"/>
    </row>
    <row r="571" spans="3:3" ht="15" customHeight="1" x14ac:dyDescent="0.25">
      <c r="C571" s="193"/>
    </row>
    <row r="572" spans="3:3" ht="15" customHeight="1" x14ac:dyDescent="0.25">
      <c r="C572" s="193"/>
    </row>
    <row r="573" spans="3:3" ht="15" customHeight="1" x14ac:dyDescent="0.25">
      <c r="C573" s="193"/>
    </row>
    <row r="574" spans="3:3" ht="15" customHeight="1" x14ac:dyDescent="0.25">
      <c r="C574" s="193"/>
    </row>
    <row r="575" spans="3:3" ht="15" customHeight="1" x14ac:dyDescent="0.25">
      <c r="C575" s="193"/>
    </row>
    <row r="576" spans="3:3" ht="15" customHeight="1" x14ac:dyDescent="0.25">
      <c r="C576" s="193"/>
    </row>
    <row r="577" spans="3:3" ht="15" customHeight="1" x14ac:dyDescent="0.25">
      <c r="C577" s="193"/>
    </row>
    <row r="578" spans="3:3" ht="15" customHeight="1" x14ac:dyDescent="0.25">
      <c r="C578" s="193"/>
    </row>
    <row r="579" spans="3:3" ht="15" customHeight="1" x14ac:dyDescent="0.25">
      <c r="C579" s="193"/>
    </row>
    <row r="580" spans="3:3" ht="15" customHeight="1" x14ac:dyDescent="0.25">
      <c r="C580" s="193"/>
    </row>
    <row r="581" spans="3:3" ht="15" customHeight="1" x14ac:dyDescent="0.25">
      <c r="C581" s="193"/>
    </row>
    <row r="582" spans="3:3" ht="15" customHeight="1" x14ac:dyDescent="0.25">
      <c r="C582" s="193"/>
    </row>
    <row r="583" spans="3:3" ht="15" customHeight="1" x14ac:dyDescent="0.25">
      <c r="C583" s="193"/>
    </row>
    <row r="584" spans="3:3" ht="15" customHeight="1" x14ac:dyDescent="0.25">
      <c r="C584" s="193"/>
    </row>
    <row r="585" spans="3:3" ht="15" customHeight="1" x14ac:dyDescent="0.25">
      <c r="C585" s="193"/>
    </row>
    <row r="586" spans="3:3" ht="15" customHeight="1" x14ac:dyDescent="0.25">
      <c r="C586" s="193"/>
    </row>
    <row r="587" spans="3:3" ht="15" customHeight="1" x14ac:dyDescent="0.25">
      <c r="C587" s="193"/>
    </row>
    <row r="588" spans="3:3" ht="15" customHeight="1" x14ac:dyDescent="0.25">
      <c r="C588" s="193"/>
    </row>
    <row r="589" spans="3:3" ht="15" customHeight="1" x14ac:dyDescent="0.25">
      <c r="C589" s="193"/>
    </row>
    <row r="590" spans="3:3" ht="15" customHeight="1" x14ac:dyDescent="0.25">
      <c r="C590" s="193"/>
    </row>
    <row r="591" spans="3:3" ht="15" customHeight="1" x14ac:dyDescent="0.25">
      <c r="C591" s="193"/>
    </row>
    <row r="592" spans="3:3" ht="15" customHeight="1" x14ac:dyDescent="0.25">
      <c r="C592" s="193"/>
    </row>
    <row r="593" spans="3:3" ht="15" customHeight="1" x14ac:dyDescent="0.25">
      <c r="C593" s="193"/>
    </row>
    <row r="594" spans="3:3" ht="15" customHeight="1" x14ac:dyDescent="0.25">
      <c r="C594" s="193"/>
    </row>
    <row r="595" spans="3:3" ht="15" customHeight="1" x14ac:dyDescent="0.25">
      <c r="C595" s="193"/>
    </row>
    <row r="596" spans="3:3" ht="15" customHeight="1" x14ac:dyDescent="0.25">
      <c r="C596" s="193"/>
    </row>
    <row r="597" spans="3:3" ht="15" customHeight="1" x14ac:dyDescent="0.25">
      <c r="C597" s="193"/>
    </row>
    <row r="598" spans="3:3" ht="15" customHeight="1" x14ac:dyDescent="0.25">
      <c r="C598" s="193"/>
    </row>
    <row r="599" spans="3:3" ht="15" customHeight="1" x14ac:dyDescent="0.25">
      <c r="C599" s="193"/>
    </row>
    <row r="600" spans="3:3" ht="15" customHeight="1" x14ac:dyDescent="0.25">
      <c r="C600" s="193"/>
    </row>
    <row r="601" spans="3:3" ht="15" customHeight="1" x14ac:dyDescent="0.25">
      <c r="C601" s="193"/>
    </row>
    <row r="602" spans="3:3" ht="15" customHeight="1" x14ac:dyDescent="0.25">
      <c r="C602" s="193"/>
    </row>
    <row r="603" spans="3:3" ht="15" customHeight="1" x14ac:dyDescent="0.25">
      <c r="C603" s="193"/>
    </row>
    <row r="604" spans="3:3" ht="15" customHeight="1" x14ac:dyDescent="0.25">
      <c r="C604" s="193"/>
    </row>
    <row r="605" spans="3:3" ht="15" customHeight="1" x14ac:dyDescent="0.25">
      <c r="C605" s="193"/>
    </row>
    <row r="606" spans="3:3" ht="15" customHeight="1" x14ac:dyDescent="0.25">
      <c r="C606" s="193"/>
    </row>
    <row r="607" spans="3:3" ht="15" customHeight="1" x14ac:dyDescent="0.25">
      <c r="C607" s="193"/>
    </row>
    <row r="608" spans="3:3" ht="15" customHeight="1" x14ac:dyDescent="0.25">
      <c r="C608" s="193"/>
    </row>
    <row r="609" spans="3:3" ht="15" customHeight="1" x14ac:dyDescent="0.25">
      <c r="C609" s="193"/>
    </row>
    <row r="610" spans="3:3" ht="15" customHeight="1" x14ac:dyDescent="0.25">
      <c r="C610" s="193"/>
    </row>
    <row r="611" spans="3:3" ht="15" customHeight="1" x14ac:dyDescent="0.25">
      <c r="C611" s="193"/>
    </row>
    <row r="612" spans="3:3" ht="15" customHeight="1" x14ac:dyDescent="0.25">
      <c r="C612" s="193"/>
    </row>
    <row r="613" spans="3:3" ht="15" customHeight="1" x14ac:dyDescent="0.25">
      <c r="C613" s="193"/>
    </row>
    <row r="614" spans="3:3" ht="15" customHeight="1" x14ac:dyDescent="0.25">
      <c r="C614" s="193"/>
    </row>
    <row r="615" spans="3:3" ht="15" customHeight="1" x14ac:dyDescent="0.25">
      <c r="C615" s="193"/>
    </row>
    <row r="616" spans="3:3" ht="15" customHeight="1" x14ac:dyDescent="0.25">
      <c r="C616" s="193"/>
    </row>
    <row r="617" spans="3:3" ht="15" customHeight="1" x14ac:dyDescent="0.25">
      <c r="C617" s="193"/>
    </row>
    <row r="618" spans="3:3" ht="15" customHeight="1" x14ac:dyDescent="0.25">
      <c r="C618" s="193"/>
    </row>
    <row r="619" spans="3:3" ht="15" customHeight="1" x14ac:dyDescent="0.25">
      <c r="C619" s="193"/>
    </row>
    <row r="620" spans="3:3" ht="15" customHeight="1" x14ac:dyDescent="0.25">
      <c r="C620" s="193"/>
    </row>
    <row r="621" spans="3:3" ht="15" customHeight="1" x14ac:dyDescent="0.25">
      <c r="C621" s="193"/>
    </row>
    <row r="622" spans="3:3" ht="15" customHeight="1" x14ac:dyDescent="0.25">
      <c r="C622" s="193"/>
    </row>
    <row r="623" spans="3:3" ht="15" customHeight="1" x14ac:dyDescent="0.25">
      <c r="C623" s="193"/>
    </row>
    <row r="624" spans="3:3" ht="15" customHeight="1" x14ac:dyDescent="0.25">
      <c r="C624" s="193"/>
    </row>
    <row r="625" spans="3:3" ht="15" customHeight="1" x14ac:dyDescent="0.25">
      <c r="C625" s="193"/>
    </row>
    <row r="626" spans="3:3" ht="15" customHeight="1" x14ac:dyDescent="0.25">
      <c r="C626" s="193"/>
    </row>
    <row r="627" spans="3:3" ht="15" customHeight="1" x14ac:dyDescent="0.25">
      <c r="C627" s="193"/>
    </row>
    <row r="628" spans="3:3" ht="15" customHeight="1" x14ac:dyDescent="0.25">
      <c r="C628" s="193"/>
    </row>
    <row r="629" spans="3:3" ht="15" customHeight="1" x14ac:dyDescent="0.25">
      <c r="C629" s="193"/>
    </row>
    <row r="630" spans="3:3" ht="15" customHeight="1" x14ac:dyDescent="0.25">
      <c r="C630" s="193"/>
    </row>
    <row r="631" spans="3:3" ht="15" customHeight="1" x14ac:dyDescent="0.25">
      <c r="C631" s="193"/>
    </row>
    <row r="632" spans="3:3" ht="15" customHeight="1" x14ac:dyDescent="0.25">
      <c r="C632" s="193"/>
    </row>
    <row r="633" spans="3:3" ht="15" customHeight="1" x14ac:dyDescent="0.25">
      <c r="C633" s="193"/>
    </row>
    <row r="634" spans="3:3" ht="15" customHeight="1" x14ac:dyDescent="0.25">
      <c r="C634" s="193"/>
    </row>
    <row r="635" spans="3:3" ht="15" customHeight="1" x14ac:dyDescent="0.25">
      <c r="C635" s="193"/>
    </row>
    <row r="636" spans="3:3" ht="15" customHeight="1" x14ac:dyDescent="0.25">
      <c r="C636" s="193"/>
    </row>
    <row r="637" spans="3:3" ht="15" customHeight="1" x14ac:dyDescent="0.25">
      <c r="C637" s="193"/>
    </row>
    <row r="638" spans="3:3" ht="15" customHeight="1" x14ac:dyDescent="0.25">
      <c r="C638" s="193"/>
    </row>
    <row r="639" spans="3:3" ht="15" customHeight="1" x14ac:dyDescent="0.25">
      <c r="C639" s="193"/>
    </row>
    <row r="640" spans="3:3" ht="15" customHeight="1" x14ac:dyDescent="0.25">
      <c r="C640" s="193"/>
    </row>
    <row r="641" spans="3:3" ht="15" customHeight="1" x14ac:dyDescent="0.25">
      <c r="C641" s="193"/>
    </row>
    <row r="642" spans="3:3" ht="15" customHeight="1" x14ac:dyDescent="0.25">
      <c r="C642" s="193"/>
    </row>
    <row r="643" spans="3:3" ht="15" customHeight="1" x14ac:dyDescent="0.25">
      <c r="C643" s="193"/>
    </row>
    <row r="644" spans="3:3" ht="15" customHeight="1" x14ac:dyDescent="0.25">
      <c r="C644" s="193"/>
    </row>
    <row r="645" spans="3:3" ht="15" customHeight="1" x14ac:dyDescent="0.25">
      <c r="C645" s="193"/>
    </row>
    <row r="646" spans="3:3" ht="15" customHeight="1" x14ac:dyDescent="0.25">
      <c r="C646" s="193"/>
    </row>
    <row r="647" spans="3:3" ht="15" customHeight="1" x14ac:dyDescent="0.25">
      <c r="C647" s="193"/>
    </row>
    <row r="648" spans="3:3" ht="15" customHeight="1" x14ac:dyDescent="0.25">
      <c r="C648" s="193"/>
    </row>
    <row r="649" spans="3:3" ht="15" customHeight="1" x14ac:dyDescent="0.25">
      <c r="C649" s="193"/>
    </row>
    <row r="650" spans="3:3" ht="15" customHeight="1" x14ac:dyDescent="0.25">
      <c r="C650" s="193"/>
    </row>
    <row r="651" spans="3:3" ht="15" customHeight="1" x14ac:dyDescent="0.25">
      <c r="C651" s="193"/>
    </row>
    <row r="652" spans="3:3" ht="15" customHeight="1" x14ac:dyDescent="0.25">
      <c r="C652" s="193"/>
    </row>
    <row r="653" spans="3:3" ht="15" customHeight="1" x14ac:dyDescent="0.25">
      <c r="C653" s="193"/>
    </row>
    <row r="654" spans="3:3" ht="15" customHeight="1" x14ac:dyDescent="0.25">
      <c r="C654" s="193"/>
    </row>
    <row r="655" spans="3:3" ht="15" customHeight="1" x14ac:dyDescent="0.25">
      <c r="C655" s="193"/>
    </row>
    <row r="656" spans="3:3" ht="15" customHeight="1" x14ac:dyDescent="0.25">
      <c r="C656" s="193"/>
    </row>
    <row r="657" spans="3:3" ht="15" customHeight="1" x14ac:dyDescent="0.25">
      <c r="C657" s="193"/>
    </row>
    <row r="658" spans="3:3" ht="15" customHeight="1" x14ac:dyDescent="0.25">
      <c r="C658" s="193"/>
    </row>
    <row r="659" spans="3:3" ht="15" customHeight="1" x14ac:dyDescent="0.25">
      <c r="C659" s="193"/>
    </row>
    <row r="660" spans="3:3" ht="15" customHeight="1" x14ac:dyDescent="0.25">
      <c r="C660" s="193"/>
    </row>
    <row r="661" spans="3:3" ht="15" customHeight="1" x14ac:dyDescent="0.25">
      <c r="C661" s="193"/>
    </row>
    <row r="662" spans="3:3" ht="15" customHeight="1" x14ac:dyDescent="0.25">
      <c r="C662" s="193"/>
    </row>
    <row r="663" spans="3:3" ht="15" customHeight="1" x14ac:dyDescent="0.25">
      <c r="C663" s="193"/>
    </row>
    <row r="664" spans="3:3" ht="15" customHeight="1" x14ac:dyDescent="0.25">
      <c r="C664" s="193"/>
    </row>
    <row r="665" spans="3:3" ht="15" customHeight="1" x14ac:dyDescent="0.25">
      <c r="C665" s="193"/>
    </row>
    <row r="666" spans="3:3" ht="15" customHeight="1" x14ac:dyDescent="0.25">
      <c r="C666" s="193"/>
    </row>
    <row r="667" spans="3:3" ht="15" customHeight="1" x14ac:dyDescent="0.25">
      <c r="C667" s="193"/>
    </row>
    <row r="668" spans="3:3" ht="15" customHeight="1" x14ac:dyDescent="0.25">
      <c r="C668" s="193"/>
    </row>
    <row r="669" spans="3:3" ht="15" customHeight="1" x14ac:dyDescent="0.25">
      <c r="C669" s="193"/>
    </row>
    <row r="670" spans="3:3" ht="15" customHeight="1" x14ac:dyDescent="0.25">
      <c r="C670" s="193"/>
    </row>
    <row r="671" spans="3:3" ht="15" customHeight="1" x14ac:dyDescent="0.25">
      <c r="C671" s="193"/>
    </row>
    <row r="672" spans="3:3" ht="15" customHeight="1" x14ac:dyDescent="0.25">
      <c r="C672" s="193"/>
    </row>
    <row r="673" spans="3:3" ht="15" customHeight="1" x14ac:dyDescent="0.25">
      <c r="C673" s="193"/>
    </row>
    <row r="674" spans="3:3" ht="15" customHeight="1" x14ac:dyDescent="0.25">
      <c r="C674" s="193"/>
    </row>
    <row r="675" spans="3:3" ht="15" customHeight="1" x14ac:dyDescent="0.25">
      <c r="C675" s="193"/>
    </row>
    <row r="676" spans="3:3" ht="15" customHeight="1" x14ac:dyDescent="0.25">
      <c r="C676" s="193"/>
    </row>
    <row r="677" spans="3:3" ht="15" customHeight="1" x14ac:dyDescent="0.25">
      <c r="C677" s="193"/>
    </row>
    <row r="678" spans="3:3" ht="15" customHeight="1" x14ac:dyDescent="0.25">
      <c r="C678" s="193"/>
    </row>
    <row r="679" spans="3:3" ht="15" customHeight="1" x14ac:dyDescent="0.25">
      <c r="C679" s="193"/>
    </row>
    <row r="680" spans="3:3" ht="15" customHeight="1" x14ac:dyDescent="0.25">
      <c r="C680" s="193"/>
    </row>
    <row r="681" spans="3:3" ht="15" customHeight="1" x14ac:dyDescent="0.25">
      <c r="C681" s="193"/>
    </row>
    <row r="682" spans="3:3" ht="15" customHeight="1" x14ac:dyDescent="0.25">
      <c r="C682" s="193"/>
    </row>
    <row r="683" spans="3:3" ht="15" customHeight="1" x14ac:dyDescent="0.25">
      <c r="C683" s="193"/>
    </row>
    <row r="684" spans="3:3" ht="15" customHeight="1" x14ac:dyDescent="0.25">
      <c r="C684" s="193"/>
    </row>
    <row r="685" spans="3:3" ht="15" customHeight="1" x14ac:dyDescent="0.25">
      <c r="C685" s="193"/>
    </row>
    <row r="686" spans="3:3" ht="15" customHeight="1" x14ac:dyDescent="0.25">
      <c r="C686" s="193"/>
    </row>
    <row r="687" spans="3:3" ht="15" customHeight="1" x14ac:dyDescent="0.25">
      <c r="C687" s="193"/>
    </row>
    <row r="688" spans="3:3" ht="15" customHeight="1" x14ac:dyDescent="0.25">
      <c r="C688" s="193"/>
    </row>
    <row r="689" spans="3:3" ht="15" customHeight="1" x14ac:dyDescent="0.25">
      <c r="C689" s="193"/>
    </row>
    <row r="690" spans="3:3" ht="15" customHeight="1" x14ac:dyDescent="0.25">
      <c r="C690" s="193"/>
    </row>
    <row r="691" spans="3:3" ht="15" customHeight="1" x14ac:dyDescent="0.25">
      <c r="C691" s="193"/>
    </row>
    <row r="692" spans="3:3" ht="15" customHeight="1" x14ac:dyDescent="0.25">
      <c r="C692" s="193"/>
    </row>
    <row r="693" spans="3:3" ht="15" customHeight="1" x14ac:dyDescent="0.25">
      <c r="C693" s="193"/>
    </row>
    <row r="694" spans="3:3" ht="15" customHeight="1" x14ac:dyDescent="0.25">
      <c r="C694" s="193"/>
    </row>
    <row r="695" spans="3:3" ht="15" customHeight="1" x14ac:dyDescent="0.25">
      <c r="C695" s="193"/>
    </row>
    <row r="696" spans="3:3" ht="15" customHeight="1" x14ac:dyDescent="0.25">
      <c r="C696" s="193"/>
    </row>
    <row r="697" spans="3:3" ht="15" customHeight="1" x14ac:dyDescent="0.25">
      <c r="C697" s="193"/>
    </row>
    <row r="698" spans="3:3" ht="15" customHeight="1" x14ac:dyDescent="0.25">
      <c r="C698" s="193"/>
    </row>
    <row r="699" spans="3:3" ht="15" customHeight="1" x14ac:dyDescent="0.25">
      <c r="C699" s="193"/>
    </row>
    <row r="700" spans="3:3" ht="15" customHeight="1" x14ac:dyDescent="0.25">
      <c r="C700" s="193"/>
    </row>
    <row r="701" spans="3:3" ht="15" customHeight="1" x14ac:dyDescent="0.25">
      <c r="C701" s="193"/>
    </row>
    <row r="702" spans="3:3" ht="15" customHeight="1" x14ac:dyDescent="0.25">
      <c r="C702" s="193"/>
    </row>
    <row r="703" spans="3:3" ht="15" customHeight="1" x14ac:dyDescent="0.25">
      <c r="C703" s="193"/>
    </row>
    <row r="704" spans="3:3" ht="15" customHeight="1" x14ac:dyDescent="0.25">
      <c r="C704" s="193"/>
    </row>
    <row r="705" spans="3:3" ht="15" customHeight="1" x14ac:dyDescent="0.25">
      <c r="C705" s="193"/>
    </row>
    <row r="706" spans="3:3" ht="15" customHeight="1" x14ac:dyDescent="0.25">
      <c r="C706" s="193"/>
    </row>
    <row r="707" spans="3:3" ht="15" customHeight="1" x14ac:dyDescent="0.25">
      <c r="C707" s="193"/>
    </row>
    <row r="708" spans="3:3" ht="15" customHeight="1" x14ac:dyDescent="0.25">
      <c r="C708" s="193"/>
    </row>
    <row r="709" spans="3:3" ht="15" customHeight="1" x14ac:dyDescent="0.25">
      <c r="C709" s="193"/>
    </row>
    <row r="710" spans="3:3" ht="15" customHeight="1" x14ac:dyDescent="0.25">
      <c r="C710" s="193"/>
    </row>
    <row r="711" spans="3:3" ht="15" customHeight="1" x14ac:dyDescent="0.25">
      <c r="C711" s="193"/>
    </row>
    <row r="712" spans="3:3" ht="15" customHeight="1" x14ac:dyDescent="0.25">
      <c r="C712" s="193"/>
    </row>
    <row r="713" spans="3:3" ht="15" customHeight="1" x14ac:dyDescent="0.25">
      <c r="C713" s="193"/>
    </row>
    <row r="714" spans="3:3" ht="15" customHeight="1" x14ac:dyDescent="0.25">
      <c r="C714" s="193"/>
    </row>
    <row r="715" spans="3:3" ht="15" customHeight="1" x14ac:dyDescent="0.25">
      <c r="C715" s="193"/>
    </row>
    <row r="716" spans="3:3" ht="15" customHeight="1" x14ac:dyDescent="0.25">
      <c r="C716" s="193"/>
    </row>
    <row r="717" spans="3:3" ht="15" customHeight="1" x14ac:dyDescent="0.25">
      <c r="C717" s="193"/>
    </row>
    <row r="718" spans="3:3" ht="15" customHeight="1" x14ac:dyDescent="0.25">
      <c r="C718" s="193"/>
    </row>
    <row r="719" spans="3:3" ht="15" customHeight="1" x14ac:dyDescent="0.25">
      <c r="C719" s="193"/>
    </row>
    <row r="720" spans="3:3" ht="15" customHeight="1" x14ac:dyDescent="0.25">
      <c r="C720" s="193"/>
    </row>
    <row r="721" spans="3:3" ht="15" customHeight="1" x14ac:dyDescent="0.25">
      <c r="C721" s="193"/>
    </row>
    <row r="722" spans="3:3" ht="15" customHeight="1" x14ac:dyDescent="0.25">
      <c r="C722" s="193"/>
    </row>
    <row r="723" spans="3:3" ht="15" customHeight="1" x14ac:dyDescent="0.25">
      <c r="C723" s="193"/>
    </row>
    <row r="724" spans="3:3" ht="15" customHeight="1" x14ac:dyDescent="0.25">
      <c r="C724" s="193"/>
    </row>
    <row r="725" spans="3:3" ht="15" customHeight="1" x14ac:dyDescent="0.25">
      <c r="C725" s="193"/>
    </row>
    <row r="726" spans="3:3" ht="15" customHeight="1" x14ac:dyDescent="0.25">
      <c r="C726" s="193"/>
    </row>
    <row r="727" spans="3:3" ht="15" customHeight="1" x14ac:dyDescent="0.25">
      <c r="C727" s="193"/>
    </row>
    <row r="728" spans="3:3" ht="15" customHeight="1" x14ac:dyDescent="0.25">
      <c r="C728" s="193"/>
    </row>
    <row r="729" spans="3:3" ht="15" customHeight="1" x14ac:dyDescent="0.25">
      <c r="C729" s="193"/>
    </row>
    <row r="730" spans="3:3" ht="15" customHeight="1" x14ac:dyDescent="0.25">
      <c r="C730" s="193"/>
    </row>
    <row r="731" spans="3:3" ht="15" customHeight="1" x14ac:dyDescent="0.25">
      <c r="C731" s="193"/>
    </row>
    <row r="732" spans="3:3" ht="15" customHeight="1" x14ac:dyDescent="0.25">
      <c r="C732" s="193"/>
    </row>
    <row r="733" spans="3:3" ht="15" customHeight="1" x14ac:dyDescent="0.25">
      <c r="C733" s="193"/>
    </row>
    <row r="734" spans="3:3" ht="15" customHeight="1" x14ac:dyDescent="0.25">
      <c r="C734" s="193"/>
    </row>
    <row r="735" spans="3:3" ht="15" customHeight="1" x14ac:dyDescent="0.25">
      <c r="C735" s="193"/>
    </row>
    <row r="736" spans="3:3" ht="15" customHeight="1" x14ac:dyDescent="0.25">
      <c r="C736" s="193"/>
    </row>
    <row r="737" spans="3:3" ht="15" customHeight="1" x14ac:dyDescent="0.25">
      <c r="C737" s="193"/>
    </row>
    <row r="738" spans="3:3" ht="15" customHeight="1" x14ac:dyDescent="0.25">
      <c r="C738" s="193"/>
    </row>
    <row r="739" spans="3:3" ht="15" customHeight="1" x14ac:dyDescent="0.25">
      <c r="C739" s="193"/>
    </row>
    <row r="740" spans="3:3" ht="15" customHeight="1" x14ac:dyDescent="0.25">
      <c r="C740" s="193"/>
    </row>
    <row r="741" spans="3:3" ht="15" customHeight="1" x14ac:dyDescent="0.25">
      <c r="C741" s="193"/>
    </row>
    <row r="742" spans="3:3" ht="15" customHeight="1" x14ac:dyDescent="0.25">
      <c r="C742" s="193"/>
    </row>
    <row r="743" spans="3:3" ht="15" customHeight="1" x14ac:dyDescent="0.25">
      <c r="C743" s="193"/>
    </row>
    <row r="744" spans="3:3" ht="15" customHeight="1" x14ac:dyDescent="0.25">
      <c r="C744" s="193"/>
    </row>
    <row r="745" spans="3:3" ht="15" customHeight="1" x14ac:dyDescent="0.25">
      <c r="C745" s="193"/>
    </row>
    <row r="746" spans="3:3" ht="15" customHeight="1" x14ac:dyDescent="0.25">
      <c r="C746" s="193"/>
    </row>
    <row r="747" spans="3:3" ht="15" customHeight="1" x14ac:dyDescent="0.25">
      <c r="C747" s="193"/>
    </row>
    <row r="748" spans="3:3" ht="15" customHeight="1" x14ac:dyDescent="0.25">
      <c r="C748" s="193"/>
    </row>
    <row r="749" spans="3:3" ht="15" customHeight="1" x14ac:dyDescent="0.25">
      <c r="C749" s="193"/>
    </row>
    <row r="750" spans="3:3" ht="15" customHeight="1" x14ac:dyDescent="0.25">
      <c r="C750" s="193"/>
    </row>
    <row r="751" spans="3:3" ht="15" customHeight="1" x14ac:dyDescent="0.25">
      <c r="C751" s="193"/>
    </row>
    <row r="752" spans="3:3" ht="15" customHeight="1" x14ac:dyDescent="0.25">
      <c r="C752" s="193"/>
    </row>
    <row r="753" spans="3:3" ht="15" customHeight="1" x14ac:dyDescent="0.25">
      <c r="C753" s="193"/>
    </row>
  </sheetData>
  <autoFilter ref="A13:D13"/>
  <mergeCells count="6">
    <mergeCell ref="H23:U23"/>
    <mergeCell ref="J1:J2"/>
    <mergeCell ref="H17:K17"/>
    <mergeCell ref="I18:K18"/>
    <mergeCell ref="I19:K19"/>
    <mergeCell ref="I20:K20"/>
  </mergeCell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AI620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I19" sqref="I19"/>
    </sheetView>
  </sheetViews>
  <sheetFormatPr baseColWidth="10" defaultColWidth="9" defaultRowHeight="11.25" outlineLevelCol="1" x14ac:dyDescent="0.2"/>
  <cols>
    <col min="1" max="1" width="5.7109375" style="8" customWidth="1"/>
    <col min="2" max="2" width="9.140625" style="8" customWidth="1"/>
    <col min="3" max="3" width="19.42578125" style="14" customWidth="1"/>
    <col min="4" max="5" width="10.42578125" style="15" customWidth="1"/>
    <col min="6" max="6" width="6.42578125" style="15" customWidth="1"/>
    <col min="7" max="7" width="11.28515625" style="15" customWidth="1"/>
    <col min="8" max="8" width="10.140625" style="15" customWidth="1"/>
    <col min="9" max="9" width="10.42578125" style="8" customWidth="1"/>
    <col min="10" max="10" width="6" style="16" customWidth="1"/>
    <col min="11" max="11" width="9.140625" style="8" customWidth="1"/>
    <col min="12" max="12" width="11.42578125" style="8" customWidth="1"/>
    <col min="13" max="13" width="9" style="8"/>
    <col min="14" max="14" width="12.85546875" style="8" bestFit="1" customWidth="1"/>
    <col min="15" max="16" width="10.5703125" style="8" bestFit="1" customWidth="1"/>
    <col min="17" max="17" width="2.85546875" style="2" customWidth="1"/>
    <col min="18" max="18" width="6.140625" style="2" hidden="1" customWidth="1" outlineLevel="1"/>
    <col min="19" max="19" width="9" style="2" collapsed="1"/>
    <col min="20" max="20" width="9" style="2"/>
    <col min="21" max="21" width="21.28515625" style="2" customWidth="1"/>
    <col min="22" max="23" width="9" style="2"/>
    <col min="24" max="24" width="6.5703125" style="2" customWidth="1"/>
    <col min="25" max="25" width="12.85546875" style="2" customWidth="1"/>
    <col min="26" max="26" width="9" style="2"/>
    <col min="27" max="27" width="11.42578125" style="2" customWidth="1"/>
    <col min="28" max="16384" width="9" style="2"/>
  </cols>
  <sheetData>
    <row r="1" spans="1:35" ht="26.25" customHeight="1" x14ac:dyDescent="0.25">
      <c r="A1" s="231" t="s">
        <v>0</v>
      </c>
      <c r="B1" s="232"/>
      <c r="C1" s="233" t="s">
        <v>1222</v>
      </c>
      <c r="D1" s="233"/>
      <c r="E1" s="233"/>
      <c r="F1" s="233"/>
      <c r="G1" s="233"/>
      <c r="H1" s="233"/>
      <c r="I1" s="234" t="str">
        <f>"CÓ "&amp;COUNTIF($V$3:$V$1000,R1)&amp;" HỌC VIÊN TÊN "&amp;UPPER(R1)</f>
        <v>CÓ 8 HỌC VIÊN TÊN THÀNH</v>
      </c>
      <c r="J1" s="235"/>
      <c r="K1" s="235"/>
      <c r="L1" s="235"/>
      <c r="M1" s="235"/>
      <c r="N1" s="235"/>
      <c r="O1" s="235"/>
      <c r="P1" s="235"/>
      <c r="Q1" s="1"/>
      <c r="R1" s="230" t="str">
        <f>TRIM(C1)</f>
        <v>THÀNH</v>
      </c>
      <c r="S1" s="236" t="s">
        <v>1223</v>
      </c>
      <c r="T1" s="237"/>
      <c r="U1" s="237"/>
      <c r="V1" s="237"/>
      <c r="W1" s="237"/>
      <c r="X1" s="237"/>
      <c r="Y1" s="237"/>
      <c r="Z1" s="237"/>
      <c r="AA1" s="237"/>
      <c r="AB1" s="237"/>
      <c r="AC1" s="237"/>
      <c r="AD1" s="237"/>
      <c r="AE1" s="237"/>
      <c r="AF1" s="237"/>
      <c r="AG1" s="237"/>
      <c r="AH1" s="237"/>
    </row>
    <row r="2" spans="1:35" ht="23.25" customHeight="1" x14ac:dyDescent="0.25">
      <c r="A2" s="3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" t="s">
        <v>6</v>
      </c>
      <c r="G2" s="5" t="s">
        <v>7</v>
      </c>
      <c r="H2" s="5" t="s">
        <v>8</v>
      </c>
      <c r="I2" s="6" t="s">
        <v>9</v>
      </c>
      <c r="J2" s="7" t="s">
        <v>10</v>
      </c>
      <c r="K2" s="4" t="s">
        <v>11</v>
      </c>
      <c r="L2" s="4" t="s">
        <v>12</v>
      </c>
      <c r="M2" s="4" t="s">
        <v>13</v>
      </c>
      <c r="N2" s="4" t="s">
        <v>14</v>
      </c>
      <c r="O2" s="4" t="s">
        <v>15</v>
      </c>
      <c r="P2" s="4" t="s">
        <v>16</v>
      </c>
      <c r="Q2" s="1"/>
      <c r="R2" s="230"/>
      <c r="S2" s="17" t="s">
        <v>1</v>
      </c>
      <c r="T2" s="18" t="s">
        <v>2</v>
      </c>
      <c r="U2" s="18" t="s">
        <v>3</v>
      </c>
      <c r="V2" s="18" t="s">
        <v>4</v>
      </c>
      <c r="W2" s="18" t="s">
        <v>5</v>
      </c>
      <c r="X2" s="18" t="s">
        <v>6</v>
      </c>
      <c r="Y2" s="19" t="s">
        <v>7</v>
      </c>
      <c r="Z2" s="20" t="s">
        <v>8</v>
      </c>
      <c r="AA2" s="21" t="s">
        <v>9</v>
      </c>
      <c r="AB2" s="22" t="s">
        <v>10</v>
      </c>
      <c r="AC2" s="18" t="s">
        <v>17</v>
      </c>
      <c r="AD2" s="18" t="s">
        <v>12</v>
      </c>
      <c r="AE2" s="18" t="s">
        <v>13</v>
      </c>
      <c r="AF2" s="18" t="s">
        <v>14</v>
      </c>
      <c r="AG2" s="18" t="s">
        <v>15</v>
      </c>
      <c r="AH2" s="18" t="s">
        <v>16</v>
      </c>
      <c r="AI2" s="18" t="s">
        <v>1337</v>
      </c>
    </row>
    <row r="3" spans="1:35" ht="15" x14ac:dyDescent="0.25">
      <c r="A3" s="9">
        <v>1</v>
      </c>
      <c r="B3" s="10" t="str">
        <f t="shared" ref="B3:I12" si="0">IFERROR(VLOOKUP($A3,$R$2:$AH$588,MATCH(B$2,$R$2:$AH$2,0),0),"")</f>
        <v>1802-006</v>
      </c>
      <c r="C3" s="10" t="str">
        <f t="shared" si="0"/>
        <v>Dương Tấn</v>
      </c>
      <c r="D3" s="77" t="str">
        <f t="shared" si="0"/>
        <v>Thành</v>
      </c>
      <c r="E3" s="78">
        <f t="shared" si="0"/>
        <v>1985</v>
      </c>
      <c r="F3" s="78" t="str">
        <f t="shared" si="0"/>
        <v>E</v>
      </c>
      <c r="G3" s="11">
        <f t="shared" si="0"/>
        <v>43090</v>
      </c>
      <c r="H3" s="11">
        <f t="shared" si="0"/>
        <v>43139</v>
      </c>
      <c r="I3" s="11">
        <f t="shared" si="0"/>
        <v>43729</v>
      </c>
      <c r="J3" s="78">
        <f t="shared" ref="J3:J27" si="1">IFERROR(ROUND(VLOOKUP($A3,$R$2:$AH$588,MATCH(J$2,$R$2:$AH$2,0),0),0),"")</f>
        <v>0</v>
      </c>
      <c r="K3" s="79">
        <f t="shared" ref="K3:K27" si="2">IFERROR(VLOOKUP($A3,$R$2:$AH$588,MATCH(K$2,$R$2:$AH$2,0),0),"")</f>
        <v>0</v>
      </c>
      <c r="L3" s="80" t="str">
        <f t="shared" ref="L3:L27" si="3">IFERROR(IF(K3="Kl",VLOOKUP($A3,$R$2:$AH$588,MATCH(L$2,$R$2:$AH$2,0),0),""),"")</f>
        <v/>
      </c>
      <c r="M3" s="81">
        <f t="shared" ref="M3:M27" si="4">IFERROR(VLOOKUP($A3,$R$2:$AH$588,MATCH(M$2,$R$2:$AH$2,0),0),"")</f>
        <v>0</v>
      </c>
      <c r="N3" s="80" t="str">
        <f t="shared" ref="N3:N27" si="5">IFERROR(IF(K3="kl",VLOOKUP($A3,$R$2:$AH$588,MATCH(N$2,$R$2:$AH$2,0),0),""),"")</f>
        <v/>
      </c>
      <c r="O3" s="81"/>
      <c r="P3" s="81"/>
      <c r="Q3" s="1"/>
      <c r="R3" s="23" t="str">
        <f>IF($V3=$R$1,MAX(#REF!)+1,"")</f>
        <v/>
      </c>
      <c r="S3" s="24">
        <v>1</v>
      </c>
      <c r="T3" s="24" t="s">
        <v>18</v>
      </c>
      <c r="U3" s="25" t="s">
        <v>19</v>
      </c>
      <c r="V3" s="25" t="s">
        <v>20</v>
      </c>
      <c r="W3" s="24">
        <v>1973</v>
      </c>
      <c r="X3" s="24" t="s">
        <v>21</v>
      </c>
      <c r="Y3" s="26">
        <v>42920</v>
      </c>
      <c r="Z3" s="26">
        <v>42920</v>
      </c>
      <c r="AA3" s="26">
        <v>43650</v>
      </c>
      <c r="AB3" s="27"/>
      <c r="AC3" s="28"/>
      <c r="AD3" s="26"/>
      <c r="AE3" s="28"/>
      <c r="AF3" s="26"/>
      <c r="AG3" s="26"/>
      <c r="AH3" s="26"/>
      <c r="AI3" s="27">
        <f>COUNTIF(DangKyThamGapThuongXuyen!$L$4:$L$5261,DaTa!$T3)</f>
        <v>0</v>
      </c>
    </row>
    <row r="4" spans="1:35" ht="18" customHeight="1" x14ac:dyDescent="0.25">
      <c r="A4" s="9">
        <v>2</v>
      </c>
      <c r="B4" s="10" t="str">
        <f t="shared" si="0"/>
        <v>1806-003</v>
      </c>
      <c r="C4" s="10" t="str">
        <f t="shared" si="0"/>
        <v>Lê Khánh</v>
      </c>
      <c r="D4" s="77" t="str">
        <f t="shared" si="0"/>
        <v>Thành</v>
      </c>
      <c r="E4" s="78">
        <f t="shared" si="0"/>
        <v>1982</v>
      </c>
      <c r="F4" s="78" t="str">
        <f t="shared" si="0"/>
        <v>A</v>
      </c>
      <c r="G4" s="11">
        <f t="shared" si="0"/>
        <v>43021</v>
      </c>
      <c r="H4" s="11">
        <f t="shared" si="0"/>
        <v>43256</v>
      </c>
      <c r="I4" s="11">
        <f t="shared" si="0"/>
        <v>43751</v>
      </c>
      <c r="J4" s="78">
        <f t="shared" si="1"/>
        <v>0</v>
      </c>
      <c r="K4" s="79">
        <f t="shared" si="2"/>
        <v>0</v>
      </c>
      <c r="L4" s="80" t="str">
        <f t="shared" si="3"/>
        <v/>
      </c>
      <c r="M4" s="81">
        <f t="shared" si="4"/>
        <v>0</v>
      </c>
      <c r="N4" s="80" t="str">
        <f t="shared" si="5"/>
        <v/>
      </c>
      <c r="O4" s="81"/>
      <c r="P4" s="81"/>
      <c r="Q4" s="1"/>
      <c r="R4" s="30" t="str">
        <f>IF($V4=$R$1,MAX($R$3:R3)+1,"")</f>
        <v/>
      </c>
      <c r="S4" s="24">
        <v>2</v>
      </c>
      <c r="T4" s="31" t="s">
        <v>22</v>
      </c>
      <c r="U4" s="32" t="s">
        <v>23</v>
      </c>
      <c r="V4" s="32" t="s">
        <v>24</v>
      </c>
      <c r="W4" s="33">
        <v>1967</v>
      </c>
      <c r="X4" s="33" t="s">
        <v>25</v>
      </c>
      <c r="Y4" s="34">
        <v>42933</v>
      </c>
      <c r="Z4" s="35">
        <v>42933</v>
      </c>
      <c r="AA4" s="36">
        <v>43663</v>
      </c>
      <c r="AB4" s="37"/>
      <c r="AC4" s="38"/>
      <c r="AD4" s="26"/>
      <c r="AE4" s="38"/>
      <c r="AF4" s="26"/>
      <c r="AG4" s="26"/>
      <c r="AH4" s="26"/>
      <c r="AI4" s="27">
        <f>COUNTIF(DangKyThamGapThuongXuyen!$L$4:$L$5261,DaTa!$T4)</f>
        <v>0</v>
      </c>
    </row>
    <row r="5" spans="1:35" ht="18" customHeight="1" x14ac:dyDescent="0.25">
      <c r="A5" s="9">
        <v>3</v>
      </c>
      <c r="B5" s="10" t="str">
        <f t="shared" si="0"/>
        <v>1806-024</v>
      </c>
      <c r="C5" s="10" t="str">
        <f t="shared" si="0"/>
        <v>Phạm Hiếu</v>
      </c>
      <c r="D5" s="77" t="str">
        <f t="shared" si="0"/>
        <v>Thành</v>
      </c>
      <c r="E5" s="78">
        <f t="shared" si="0"/>
        <v>1978</v>
      </c>
      <c r="F5" s="78" t="str">
        <f t="shared" si="0"/>
        <v>E</v>
      </c>
      <c r="G5" s="11">
        <f t="shared" si="0"/>
        <v>43203</v>
      </c>
      <c r="H5" s="11">
        <f t="shared" si="0"/>
        <v>43273</v>
      </c>
      <c r="I5" s="11">
        <f t="shared" si="0"/>
        <v>43934</v>
      </c>
      <c r="J5" s="78">
        <f t="shared" si="1"/>
        <v>0</v>
      </c>
      <c r="K5" s="79">
        <f t="shared" si="2"/>
        <v>0</v>
      </c>
      <c r="L5" s="80" t="str">
        <f t="shared" si="3"/>
        <v/>
      </c>
      <c r="M5" s="81">
        <f t="shared" si="4"/>
        <v>0</v>
      </c>
      <c r="N5" s="80" t="str">
        <f t="shared" si="5"/>
        <v/>
      </c>
      <c r="O5" s="81"/>
      <c r="P5" s="81"/>
      <c r="Q5" s="1"/>
      <c r="R5" s="30" t="str">
        <f>IF($V5=$R$1,MAX($R$3:R4)+1,"")</f>
        <v/>
      </c>
      <c r="S5" s="24">
        <v>3</v>
      </c>
      <c r="T5" s="39" t="s">
        <v>26</v>
      </c>
      <c r="U5" s="25" t="s">
        <v>27</v>
      </c>
      <c r="V5" s="25" t="s">
        <v>28</v>
      </c>
      <c r="W5" s="24">
        <v>1990</v>
      </c>
      <c r="X5" s="24" t="s">
        <v>29</v>
      </c>
      <c r="Y5" s="26">
        <v>42941</v>
      </c>
      <c r="Z5" s="26">
        <v>42941</v>
      </c>
      <c r="AA5" s="26">
        <v>43671</v>
      </c>
      <c r="AB5" s="27"/>
      <c r="AC5" s="28"/>
      <c r="AD5" s="26"/>
      <c r="AE5" s="28"/>
      <c r="AF5" s="26"/>
      <c r="AG5" s="26"/>
      <c r="AH5" s="26"/>
      <c r="AI5" s="27">
        <f>COUNTIF(DangKyThamGapThuongXuyen!$L$4:$L$5261,DaTa!$T5)</f>
        <v>0</v>
      </c>
    </row>
    <row r="6" spans="1:35" ht="27" customHeight="1" x14ac:dyDescent="0.25">
      <c r="A6" s="9">
        <v>4</v>
      </c>
      <c r="B6" s="10" t="str">
        <f t="shared" si="0"/>
        <v>1811-028</v>
      </c>
      <c r="C6" s="10" t="str">
        <f t="shared" si="0"/>
        <v xml:space="preserve">Đặng Văn </v>
      </c>
      <c r="D6" s="77" t="str">
        <f t="shared" si="0"/>
        <v>Thành</v>
      </c>
      <c r="E6" s="78">
        <f t="shared" si="0"/>
        <v>1982</v>
      </c>
      <c r="F6" s="78" t="str">
        <f t="shared" si="0"/>
        <v>B</v>
      </c>
      <c r="G6" s="11">
        <f t="shared" si="0"/>
        <v>43328</v>
      </c>
      <c r="H6" s="11">
        <f t="shared" si="0"/>
        <v>43420</v>
      </c>
      <c r="I6" s="11">
        <f t="shared" si="0"/>
        <v>43967</v>
      </c>
      <c r="J6" s="78">
        <f t="shared" si="1"/>
        <v>0</v>
      </c>
      <c r="K6" s="79">
        <f t="shared" si="2"/>
        <v>0</v>
      </c>
      <c r="L6" s="80" t="str">
        <f t="shared" si="3"/>
        <v/>
      </c>
      <c r="M6" s="81">
        <f t="shared" si="4"/>
        <v>0</v>
      </c>
      <c r="N6" s="80" t="str">
        <f t="shared" si="5"/>
        <v/>
      </c>
      <c r="O6" s="81"/>
      <c r="P6" s="81"/>
      <c r="Q6" s="1"/>
      <c r="R6" s="30" t="str">
        <f>IF($V6=$R$1,MAX($R$3:R5)+1,"")</f>
        <v/>
      </c>
      <c r="S6" s="24">
        <v>4</v>
      </c>
      <c r="T6" s="39" t="s">
        <v>30</v>
      </c>
      <c r="U6" s="40" t="s">
        <v>31</v>
      </c>
      <c r="V6" s="40" t="s">
        <v>32</v>
      </c>
      <c r="W6" s="41">
        <v>1986</v>
      </c>
      <c r="X6" s="24" t="s">
        <v>25</v>
      </c>
      <c r="Y6" s="42">
        <v>42950</v>
      </c>
      <c r="Z6" s="42">
        <v>42950</v>
      </c>
      <c r="AA6" s="42">
        <v>43680</v>
      </c>
      <c r="AB6" s="27"/>
      <c r="AC6" s="43"/>
      <c r="AD6" s="26"/>
      <c r="AE6" s="43"/>
      <c r="AF6" s="26"/>
      <c r="AG6" s="26"/>
      <c r="AH6" s="26"/>
      <c r="AI6" s="27">
        <f>COUNTIF(DangKyThamGapThuongXuyen!$L$4:$L$5261,DaTa!$T6)</f>
        <v>3</v>
      </c>
    </row>
    <row r="7" spans="1:35" ht="18" customHeight="1" x14ac:dyDescent="0.25">
      <c r="A7" s="9">
        <v>5</v>
      </c>
      <c r="B7" s="10" t="str">
        <f t="shared" si="0"/>
        <v>1903-010</v>
      </c>
      <c r="C7" s="10" t="str">
        <f t="shared" si="0"/>
        <v>Thân Lại Trường</v>
      </c>
      <c r="D7" s="77" t="str">
        <f t="shared" si="0"/>
        <v>Thành</v>
      </c>
      <c r="E7" s="78">
        <f t="shared" si="0"/>
        <v>1985</v>
      </c>
      <c r="F7" s="78" t="str">
        <f t="shared" si="0"/>
        <v>A</v>
      </c>
      <c r="G7" s="11">
        <f t="shared" si="0"/>
        <v>43463</v>
      </c>
      <c r="H7" s="11" t="str">
        <f t="shared" si="0"/>
        <v>13/03/2019</v>
      </c>
      <c r="I7" s="11">
        <f t="shared" si="0"/>
        <v>44103</v>
      </c>
      <c r="J7" s="78">
        <f t="shared" si="1"/>
        <v>0</v>
      </c>
      <c r="K7" s="79">
        <f t="shared" si="2"/>
        <v>0</v>
      </c>
      <c r="L7" s="80" t="str">
        <f t="shared" si="3"/>
        <v/>
      </c>
      <c r="M7" s="81">
        <f t="shared" si="4"/>
        <v>0</v>
      </c>
      <c r="N7" s="80" t="str">
        <f t="shared" si="5"/>
        <v/>
      </c>
      <c r="O7" s="81"/>
      <c r="P7" s="81"/>
      <c r="Q7" s="1"/>
      <c r="R7" s="30" t="str">
        <f>IF($V7=$R$1,MAX($R$3:R6)+1,"")</f>
        <v/>
      </c>
      <c r="S7" s="24">
        <v>5</v>
      </c>
      <c r="T7" s="39" t="s">
        <v>33</v>
      </c>
      <c r="U7" s="25" t="s">
        <v>34</v>
      </c>
      <c r="V7" s="25" t="s">
        <v>35</v>
      </c>
      <c r="W7" s="24">
        <v>1984</v>
      </c>
      <c r="X7" s="24" t="s">
        <v>25</v>
      </c>
      <c r="Y7" s="26">
        <v>42950</v>
      </c>
      <c r="Z7" s="26">
        <v>42950</v>
      </c>
      <c r="AA7" s="26">
        <v>43680</v>
      </c>
      <c r="AB7" s="27"/>
      <c r="AC7" s="28"/>
      <c r="AD7" s="26"/>
      <c r="AE7" s="28"/>
      <c r="AF7" s="26"/>
      <c r="AG7" s="26"/>
      <c r="AH7" s="26"/>
      <c r="AI7" s="27">
        <f>COUNTIF(DangKyThamGapThuongXuyen!$L$4:$L$5261,DaTa!$T7)</f>
        <v>3</v>
      </c>
    </row>
    <row r="8" spans="1:35" ht="18" customHeight="1" x14ac:dyDescent="0.25">
      <c r="A8" s="9">
        <v>6</v>
      </c>
      <c r="B8" s="10" t="str">
        <f t="shared" si="0"/>
        <v>1903-019</v>
      </c>
      <c r="C8" s="10" t="str">
        <f t="shared" si="0"/>
        <v xml:space="preserve">Võ Minh </v>
      </c>
      <c r="D8" s="77" t="str">
        <f t="shared" si="0"/>
        <v>Thành</v>
      </c>
      <c r="E8" s="78">
        <f t="shared" si="0"/>
        <v>1978</v>
      </c>
      <c r="F8" s="78" t="str">
        <f t="shared" si="0"/>
        <v>D</v>
      </c>
      <c r="G8" s="11">
        <f t="shared" si="0"/>
        <v>43454</v>
      </c>
      <c r="H8" s="11" t="str">
        <f t="shared" si="0"/>
        <v>20/3/2019</v>
      </c>
      <c r="I8" s="11">
        <f t="shared" si="0"/>
        <v>44002</v>
      </c>
      <c r="J8" s="78">
        <f t="shared" si="1"/>
        <v>0</v>
      </c>
      <c r="K8" s="79">
        <f t="shared" si="2"/>
        <v>0</v>
      </c>
      <c r="L8" s="80" t="str">
        <f t="shared" si="3"/>
        <v/>
      </c>
      <c r="M8" s="81">
        <f t="shared" si="4"/>
        <v>0</v>
      </c>
      <c r="N8" s="80" t="str">
        <f t="shared" si="5"/>
        <v/>
      </c>
      <c r="O8" s="81"/>
      <c r="P8" s="81"/>
      <c r="Q8" s="1"/>
      <c r="R8" s="23" t="str">
        <f>IF($V8=$R$1,MAX($R$3:R7)+1,"")</f>
        <v/>
      </c>
      <c r="S8" s="24">
        <v>6</v>
      </c>
      <c r="T8" s="39" t="s">
        <v>36</v>
      </c>
      <c r="U8" s="25" t="s">
        <v>37</v>
      </c>
      <c r="V8" s="25" t="s">
        <v>38</v>
      </c>
      <c r="W8" s="24">
        <v>1979</v>
      </c>
      <c r="X8" s="24" t="s">
        <v>21</v>
      </c>
      <c r="Y8" s="26">
        <v>42939</v>
      </c>
      <c r="Z8" s="26">
        <v>42972</v>
      </c>
      <c r="AA8" s="26">
        <v>43669</v>
      </c>
      <c r="AB8" s="27"/>
      <c r="AC8" s="28"/>
      <c r="AD8" s="26"/>
      <c r="AE8" s="28"/>
      <c r="AF8" s="26"/>
      <c r="AG8" s="26"/>
      <c r="AH8" s="26"/>
      <c r="AI8" s="27">
        <f>COUNTIF(DangKyThamGapThuongXuyen!$L$4:$L$5261,DaTa!$T8)</f>
        <v>0</v>
      </c>
    </row>
    <row r="9" spans="1:35" ht="18" customHeight="1" x14ac:dyDescent="0.25">
      <c r="A9" s="9">
        <v>7</v>
      </c>
      <c r="B9" s="10" t="str">
        <f t="shared" si="0"/>
        <v>1904-007</v>
      </c>
      <c r="C9" s="10" t="str">
        <f t="shared" si="0"/>
        <v>Nguyễn Tấn</v>
      </c>
      <c r="D9" s="77" t="str">
        <f t="shared" si="0"/>
        <v>Thành</v>
      </c>
      <c r="E9" s="78">
        <f t="shared" si="0"/>
        <v>1988</v>
      </c>
      <c r="F9" s="78" t="str">
        <f t="shared" si="0"/>
        <v>D</v>
      </c>
      <c r="G9" s="11">
        <f t="shared" si="0"/>
        <v>43536</v>
      </c>
      <c r="H9" s="11" t="str">
        <f t="shared" si="0"/>
        <v>09/4/2019</v>
      </c>
      <c r="I9" s="11">
        <f t="shared" si="0"/>
        <v>44267</v>
      </c>
      <c r="J9" s="78">
        <f t="shared" si="1"/>
        <v>0</v>
      </c>
      <c r="K9" s="79">
        <f t="shared" si="2"/>
        <v>0</v>
      </c>
      <c r="L9" s="80" t="str">
        <f t="shared" si="3"/>
        <v/>
      </c>
      <c r="M9" s="81">
        <f t="shared" si="4"/>
        <v>0</v>
      </c>
      <c r="N9" s="80" t="str">
        <f t="shared" si="5"/>
        <v/>
      </c>
      <c r="O9" s="81"/>
      <c r="P9" s="81"/>
      <c r="Q9" s="1"/>
      <c r="R9" s="30" t="str">
        <f>IF($V9=$R$1,MAX($R$3:R8)+1,"")</f>
        <v/>
      </c>
      <c r="S9" s="24">
        <v>7</v>
      </c>
      <c r="T9" s="39" t="s">
        <v>39</v>
      </c>
      <c r="U9" s="25" t="s">
        <v>40</v>
      </c>
      <c r="V9" s="25" t="s">
        <v>41</v>
      </c>
      <c r="W9" s="24">
        <v>1975</v>
      </c>
      <c r="X9" s="24" t="s">
        <v>42</v>
      </c>
      <c r="Y9" s="26">
        <v>42957</v>
      </c>
      <c r="Z9" s="26">
        <v>42985</v>
      </c>
      <c r="AA9" s="26">
        <v>43687</v>
      </c>
      <c r="AB9" s="27"/>
      <c r="AC9" s="28"/>
      <c r="AD9" s="26"/>
      <c r="AE9" s="28"/>
      <c r="AF9" s="26"/>
      <c r="AG9" s="26"/>
      <c r="AH9" s="26"/>
      <c r="AI9" s="27">
        <f>COUNTIF(DangKyThamGapThuongXuyen!$L$4:$L$5261,DaTa!$T9)</f>
        <v>0</v>
      </c>
    </row>
    <row r="10" spans="1:35" ht="18" customHeight="1" x14ac:dyDescent="0.25">
      <c r="A10" s="9">
        <v>8</v>
      </c>
      <c r="B10" s="10" t="str">
        <f t="shared" si="0"/>
        <v>1906-014</v>
      </c>
      <c r="C10" s="10" t="str">
        <f t="shared" si="0"/>
        <v>Ngô Quang</v>
      </c>
      <c r="D10" s="77" t="str">
        <f t="shared" si="0"/>
        <v>Thành</v>
      </c>
      <c r="E10" s="78">
        <f t="shared" si="0"/>
        <v>1979</v>
      </c>
      <c r="F10" s="78" t="str">
        <f t="shared" si="0"/>
        <v>B</v>
      </c>
      <c r="G10" s="11">
        <f t="shared" si="0"/>
        <v>43552</v>
      </c>
      <c r="H10" s="11">
        <f t="shared" si="0"/>
        <v>43628</v>
      </c>
      <c r="I10" s="11">
        <f t="shared" si="0"/>
        <v>44193</v>
      </c>
      <c r="J10" s="78">
        <f t="shared" si="1"/>
        <v>0</v>
      </c>
      <c r="K10" s="79">
        <f t="shared" si="2"/>
        <v>0</v>
      </c>
      <c r="L10" s="80" t="str">
        <f t="shared" si="3"/>
        <v/>
      </c>
      <c r="M10" s="81">
        <f t="shared" si="4"/>
        <v>0</v>
      </c>
      <c r="N10" s="80" t="str">
        <f t="shared" si="5"/>
        <v/>
      </c>
      <c r="O10" s="81"/>
      <c r="P10" s="81"/>
      <c r="Q10" s="1"/>
      <c r="R10" s="30" t="str">
        <f>IF($V10=$R$1,MAX($R$3:R9)+1,"")</f>
        <v/>
      </c>
      <c r="S10" s="24">
        <v>8</v>
      </c>
      <c r="T10" s="39" t="s">
        <v>43</v>
      </c>
      <c r="U10" s="25" t="s">
        <v>44</v>
      </c>
      <c r="V10" s="25" t="s">
        <v>45</v>
      </c>
      <c r="W10" s="24">
        <v>1987</v>
      </c>
      <c r="X10" s="24" t="s">
        <v>21</v>
      </c>
      <c r="Y10" s="26">
        <v>42966</v>
      </c>
      <c r="Z10" s="26">
        <v>42985</v>
      </c>
      <c r="AA10" s="26">
        <v>43696</v>
      </c>
      <c r="AB10" s="27"/>
      <c r="AC10" s="28"/>
      <c r="AD10" s="26"/>
      <c r="AE10" s="28"/>
      <c r="AF10" s="26"/>
      <c r="AG10" s="26"/>
      <c r="AH10" s="26"/>
      <c r="AI10" s="27">
        <f>COUNTIF(DangKyThamGapThuongXuyen!$L$4:$L$5261,DaTa!$T10)</f>
        <v>2</v>
      </c>
    </row>
    <row r="11" spans="1:35" ht="18" customHeight="1" x14ac:dyDescent="0.25">
      <c r="A11" s="9">
        <v>9</v>
      </c>
      <c r="B11" s="10" t="str">
        <f t="shared" si="0"/>
        <v/>
      </c>
      <c r="C11" s="10" t="str">
        <f t="shared" si="0"/>
        <v/>
      </c>
      <c r="D11" s="77" t="str">
        <f t="shared" si="0"/>
        <v/>
      </c>
      <c r="E11" s="78" t="str">
        <f t="shared" si="0"/>
        <v/>
      </c>
      <c r="F11" s="78" t="str">
        <f t="shared" si="0"/>
        <v/>
      </c>
      <c r="G11" s="11" t="str">
        <f t="shared" si="0"/>
        <v/>
      </c>
      <c r="H11" s="11" t="str">
        <f t="shared" si="0"/>
        <v/>
      </c>
      <c r="I11" s="11" t="str">
        <f t="shared" si="0"/>
        <v/>
      </c>
      <c r="J11" s="78" t="str">
        <f t="shared" si="1"/>
        <v/>
      </c>
      <c r="K11" s="79" t="str">
        <f t="shared" si="2"/>
        <v/>
      </c>
      <c r="L11" s="80" t="str">
        <f t="shared" si="3"/>
        <v/>
      </c>
      <c r="M11" s="81" t="str">
        <f t="shared" si="4"/>
        <v/>
      </c>
      <c r="N11" s="80" t="str">
        <f t="shared" si="5"/>
        <v/>
      </c>
      <c r="O11" s="81"/>
      <c r="P11" s="81"/>
      <c r="Q11" s="1"/>
      <c r="R11" s="30" t="str">
        <f>IF($V11=$R$1,MAX($R$3:R10)+1,"")</f>
        <v/>
      </c>
      <c r="S11" s="24">
        <v>9</v>
      </c>
      <c r="T11" s="39" t="s">
        <v>46</v>
      </c>
      <c r="U11" s="25" t="s">
        <v>47</v>
      </c>
      <c r="V11" s="25" t="s">
        <v>48</v>
      </c>
      <c r="W11" s="24">
        <v>1992</v>
      </c>
      <c r="X11" s="24" t="s">
        <v>21</v>
      </c>
      <c r="Y11" s="26">
        <v>42968</v>
      </c>
      <c r="Z11" s="26">
        <v>42985</v>
      </c>
      <c r="AA11" s="26">
        <v>43698</v>
      </c>
      <c r="AB11" s="27"/>
      <c r="AC11" s="28"/>
      <c r="AD11" s="26"/>
      <c r="AE11" s="28"/>
      <c r="AF11" s="26"/>
      <c r="AG11" s="26"/>
      <c r="AH11" s="26"/>
      <c r="AI11" s="27">
        <f>COUNTIF(DangKyThamGapThuongXuyen!$L$4:$L$5261,DaTa!$T11)</f>
        <v>0</v>
      </c>
    </row>
    <row r="12" spans="1:35" ht="18" customHeight="1" x14ac:dyDescent="0.25">
      <c r="A12" s="9">
        <v>10</v>
      </c>
      <c r="B12" s="10" t="str">
        <f t="shared" si="0"/>
        <v/>
      </c>
      <c r="C12" s="10" t="str">
        <f t="shared" si="0"/>
        <v/>
      </c>
      <c r="D12" s="77" t="str">
        <f t="shared" si="0"/>
        <v/>
      </c>
      <c r="E12" s="78" t="str">
        <f t="shared" si="0"/>
        <v/>
      </c>
      <c r="F12" s="78" t="str">
        <f t="shared" si="0"/>
        <v/>
      </c>
      <c r="G12" s="11" t="str">
        <f t="shared" si="0"/>
        <v/>
      </c>
      <c r="H12" s="11" t="str">
        <f t="shared" si="0"/>
        <v/>
      </c>
      <c r="I12" s="11" t="str">
        <f t="shared" si="0"/>
        <v/>
      </c>
      <c r="J12" s="78" t="str">
        <f t="shared" si="1"/>
        <v/>
      </c>
      <c r="K12" s="79" t="str">
        <f t="shared" si="2"/>
        <v/>
      </c>
      <c r="L12" s="80" t="str">
        <f t="shared" si="3"/>
        <v/>
      </c>
      <c r="M12" s="81" t="str">
        <f t="shared" si="4"/>
        <v/>
      </c>
      <c r="N12" s="80" t="str">
        <f t="shared" si="5"/>
        <v/>
      </c>
      <c r="O12" s="81"/>
      <c r="P12" s="81"/>
      <c r="Q12" s="1"/>
      <c r="R12" s="30" t="str">
        <f>IF($V12=$R$1,MAX($R$3:R11)+1,"")</f>
        <v/>
      </c>
      <c r="S12" s="24">
        <v>10</v>
      </c>
      <c r="T12" s="39" t="s">
        <v>49</v>
      </c>
      <c r="U12" s="25" t="s">
        <v>50</v>
      </c>
      <c r="V12" s="25" t="s">
        <v>51</v>
      </c>
      <c r="W12" s="24">
        <v>1981</v>
      </c>
      <c r="X12" s="24" t="s">
        <v>21</v>
      </c>
      <c r="Y12" s="26">
        <v>42969</v>
      </c>
      <c r="Z12" s="26">
        <v>42985</v>
      </c>
      <c r="AA12" s="44">
        <v>43668</v>
      </c>
      <c r="AB12" s="27"/>
      <c r="AC12" s="28"/>
      <c r="AD12" s="26"/>
      <c r="AE12" s="28"/>
      <c r="AF12" s="26"/>
      <c r="AG12" s="26"/>
      <c r="AH12" s="26"/>
      <c r="AI12" s="27">
        <f>COUNTIF(DangKyThamGapThuongXuyen!$L$4:$L$5261,DaTa!$T12)</f>
        <v>0</v>
      </c>
    </row>
    <row r="13" spans="1:35" ht="27" customHeight="1" x14ac:dyDescent="0.25">
      <c r="A13" s="9">
        <v>11</v>
      </c>
      <c r="B13" s="10" t="str">
        <f t="shared" ref="B13:I27" si="6">IFERROR(VLOOKUP($A13,$R$2:$AH$588,MATCH(B$2,$R$2:$AH$2,0),0),"")</f>
        <v/>
      </c>
      <c r="C13" s="10" t="str">
        <f t="shared" si="6"/>
        <v/>
      </c>
      <c r="D13" s="77" t="str">
        <f t="shared" si="6"/>
        <v/>
      </c>
      <c r="E13" s="78" t="str">
        <f t="shared" si="6"/>
        <v/>
      </c>
      <c r="F13" s="78" t="str">
        <f t="shared" si="6"/>
        <v/>
      </c>
      <c r="G13" s="82" t="str">
        <f t="shared" si="6"/>
        <v/>
      </c>
      <c r="H13" s="82" t="str">
        <f t="shared" si="6"/>
        <v/>
      </c>
      <c r="I13" s="82" t="str">
        <f t="shared" si="6"/>
        <v/>
      </c>
      <c r="J13" s="78" t="str">
        <f t="shared" si="1"/>
        <v/>
      </c>
      <c r="K13" s="79" t="str">
        <f t="shared" si="2"/>
        <v/>
      </c>
      <c r="L13" s="80" t="str">
        <f t="shared" si="3"/>
        <v/>
      </c>
      <c r="M13" s="81" t="str">
        <f t="shared" si="4"/>
        <v/>
      </c>
      <c r="N13" s="80" t="str">
        <f t="shared" si="5"/>
        <v/>
      </c>
      <c r="O13" s="81"/>
      <c r="P13" s="81"/>
      <c r="Q13" s="1"/>
      <c r="R13" s="30" t="str">
        <f>IF($V13=$R$1,MAX($R$3:R12)+1,"")</f>
        <v/>
      </c>
      <c r="S13" s="24">
        <v>11</v>
      </c>
      <c r="T13" s="39" t="s">
        <v>52</v>
      </c>
      <c r="U13" s="40" t="s">
        <v>53</v>
      </c>
      <c r="V13" s="40" t="s">
        <v>54</v>
      </c>
      <c r="W13" s="41">
        <v>1975</v>
      </c>
      <c r="X13" s="24" t="s">
        <v>21</v>
      </c>
      <c r="Y13" s="42">
        <v>42969</v>
      </c>
      <c r="Z13" s="42">
        <v>42985</v>
      </c>
      <c r="AA13" s="42">
        <v>43699</v>
      </c>
      <c r="AB13" s="27"/>
      <c r="AC13" s="43"/>
      <c r="AD13" s="26"/>
      <c r="AE13" s="43"/>
      <c r="AF13" s="26"/>
      <c r="AG13" s="26"/>
      <c r="AH13" s="26"/>
      <c r="AI13" s="27">
        <f>COUNTIF(DangKyThamGapThuongXuyen!$L$4:$L$5261,DaTa!$T13)</f>
        <v>0</v>
      </c>
    </row>
    <row r="14" spans="1:35" ht="18" customHeight="1" x14ac:dyDescent="0.25">
      <c r="A14" s="9">
        <v>12</v>
      </c>
      <c r="B14" s="10" t="str">
        <f t="shared" si="6"/>
        <v/>
      </c>
      <c r="C14" s="10" t="str">
        <f t="shared" si="6"/>
        <v/>
      </c>
      <c r="D14" s="77" t="str">
        <f t="shared" si="6"/>
        <v/>
      </c>
      <c r="E14" s="78" t="str">
        <f t="shared" si="6"/>
        <v/>
      </c>
      <c r="F14" s="78" t="str">
        <f t="shared" si="6"/>
        <v/>
      </c>
      <c r="G14" s="82" t="str">
        <f t="shared" si="6"/>
        <v/>
      </c>
      <c r="H14" s="82" t="str">
        <f t="shared" si="6"/>
        <v/>
      </c>
      <c r="I14" s="82" t="str">
        <f t="shared" si="6"/>
        <v/>
      </c>
      <c r="J14" s="78" t="str">
        <f t="shared" si="1"/>
        <v/>
      </c>
      <c r="K14" s="79" t="str">
        <f t="shared" si="2"/>
        <v/>
      </c>
      <c r="L14" s="80" t="str">
        <f t="shared" si="3"/>
        <v/>
      </c>
      <c r="M14" s="81" t="str">
        <f t="shared" si="4"/>
        <v/>
      </c>
      <c r="N14" s="80" t="str">
        <f t="shared" si="5"/>
        <v/>
      </c>
      <c r="O14" s="81"/>
      <c r="P14" s="81"/>
      <c r="Q14" s="1"/>
      <c r="R14" s="30" t="str">
        <f>IF($V14=$R$1,MAX($R$3:R13)+1,"")</f>
        <v/>
      </c>
      <c r="S14" s="24">
        <v>12</v>
      </c>
      <c r="T14" s="39" t="s">
        <v>55</v>
      </c>
      <c r="U14" s="25" t="s">
        <v>56</v>
      </c>
      <c r="V14" s="25" t="s">
        <v>57</v>
      </c>
      <c r="W14" s="24">
        <v>1982</v>
      </c>
      <c r="X14" s="24" t="s">
        <v>21</v>
      </c>
      <c r="Y14" s="26">
        <v>42973</v>
      </c>
      <c r="Z14" s="26">
        <v>42985</v>
      </c>
      <c r="AA14" s="26">
        <v>43703</v>
      </c>
      <c r="AB14" s="27"/>
      <c r="AC14" s="28"/>
      <c r="AD14" s="26"/>
      <c r="AE14" s="28"/>
      <c r="AF14" s="26"/>
      <c r="AG14" s="26"/>
      <c r="AH14" s="26"/>
      <c r="AI14" s="27">
        <f>COUNTIF(DangKyThamGapThuongXuyen!$L$4:$L$5261,DaTa!$T14)</f>
        <v>0</v>
      </c>
    </row>
    <row r="15" spans="1:35" ht="18" customHeight="1" x14ac:dyDescent="0.25">
      <c r="A15" s="9">
        <v>13</v>
      </c>
      <c r="B15" s="10" t="str">
        <f t="shared" si="6"/>
        <v/>
      </c>
      <c r="C15" s="10" t="str">
        <f t="shared" si="6"/>
        <v/>
      </c>
      <c r="D15" s="77" t="str">
        <f t="shared" si="6"/>
        <v/>
      </c>
      <c r="E15" s="78" t="str">
        <f t="shared" si="6"/>
        <v/>
      </c>
      <c r="F15" s="78" t="str">
        <f t="shared" si="6"/>
        <v/>
      </c>
      <c r="G15" s="82" t="str">
        <f t="shared" si="6"/>
        <v/>
      </c>
      <c r="H15" s="82" t="str">
        <f t="shared" si="6"/>
        <v/>
      </c>
      <c r="I15" s="82" t="str">
        <f t="shared" si="6"/>
        <v/>
      </c>
      <c r="J15" s="78" t="str">
        <f t="shared" si="1"/>
        <v/>
      </c>
      <c r="K15" s="79" t="str">
        <f t="shared" si="2"/>
        <v/>
      </c>
      <c r="L15" s="80" t="str">
        <f t="shared" si="3"/>
        <v/>
      </c>
      <c r="M15" s="81" t="str">
        <f t="shared" si="4"/>
        <v/>
      </c>
      <c r="N15" s="80" t="str">
        <f t="shared" si="5"/>
        <v/>
      </c>
      <c r="O15" s="81"/>
      <c r="P15" s="81"/>
      <c r="Q15" s="1"/>
      <c r="R15" s="30" t="str">
        <f>IF($V15=$R$1,MAX($R$3:R14)+1,"")</f>
        <v/>
      </c>
      <c r="S15" s="24">
        <v>13</v>
      </c>
      <c r="T15" s="39" t="s">
        <v>58</v>
      </c>
      <c r="U15" s="25" t="s">
        <v>59</v>
      </c>
      <c r="V15" s="25" t="s">
        <v>60</v>
      </c>
      <c r="W15" s="24">
        <v>1966</v>
      </c>
      <c r="X15" s="24" t="s">
        <v>25</v>
      </c>
      <c r="Y15" s="45">
        <v>42927</v>
      </c>
      <c r="Z15" s="26">
        <v>43000</v>
      </c>
      <c r="AA15" s="26">
        <v>43657</v>
      </c>
      <c r="AB15" s="27"/>
      <c r="AC15" s="28" t="s">
        <v>61</v>
      </c>
      <c r="AD15" s="26">
        <v>43522</v>
      </c>
      <c r="AE15" s="28"/>
      <c r="AF15" s="26"/>
      <c r="AG15" s="26"/>
      <c r="AH15" s="26"/>
      <c r="AI15" s="27">
        <f>COUNTIF(DangKyThamGapThuongXuyen!$L$4:$L$5261,DaTa!$T15)</f>
        <v>0</v>
      </c>
    </row>
    <row r="16" spans="1:35" ht="18" customHeight="1" x14ac:dyDescent="0.25">
      <c r="A16" s="9">
        <v>14</v>
      </c>
      <c r="B16" s="10" t="str">
        <f t="shared" si="6"/>
        <v/>
      </c>
      <c r="C16" s="10" t="str">
        <f t="shared" si="6"/>
        <v/>
      </c>
      <c r="D16" s="77" t="str">
        <f t="shared" si="6"/>
        <v/>
      </c>
      <c r="E16" s="78" t="str">
        <f t="shared" si="6"/>
        <v/>
      </c>
      <c r="F16" s="78" t="str">
        <f t="shared" si="6"/>
        <v/>
      </c>
      <c r="G16" s="83" t="str">
        <f t="shared" si="6"/>
        <v/>
      </c>
      <c r="H16" s="83" t="str">
        <f t="shared" si="6"/>
        <v/>
      </c>
      <c r="I16" s="83" t="str">
        <f t="shared" si="6"/>
        <v/>
      </c>
      <c r="J16" s="78" t="str">
        <f t="shared" si="1"/>
        <v/>
      </c>
      <c r="K16" s="79" t="str">
        <f t="shared" si="2"/>
        <v/>
      </c>
      <c r="L16" s="80" t="str">
        <f t="shared" si="3"/>
        <v/>
      </c>
      <c r="M16" s="81" t="str">
        <f t="shared" si="4"/>
        <v/>
      </c>
      <c r="N16" s="80" t="str">
        <f t="shared" si="5"/>
        <v/>
      </c>
      <c r="O16" s="81"/>
      <c r="P16" s="81"/>
      <c r="Q16" s="1"/>
      <c r="R16" s="30" t="str">
        <f>IF($V16=$R$1,MAX($R$3:R15)+1,"")</f>
        <v/>
      </c>
      <c r="S16" s="24">
        <v>14</v>
      </c>
      <c r="T16" s="39" t="s">
        <v>62</v>
      </c>
      <c r="U16" s="25" t="s">
        <v>63</v>
      </c>
      <c r="V16" s="25" t="s">
        <v>64</v>
      </c>
      <c r="W16" s="24">
        <v>1965</v>
      </c>
      <c r="X16" s="24" t="s">
        <v>25</v>
      </c>
      <c r="Y16" s="26">
        <v>42921</v>
      </c>
      <c r="Z16" s="26">
        <v>43000</v>
      </c>
      <c r="AA16" s="26">
        <v>43651</v>
      </c>
      <c r="AB16" s="27"/>
      <c r="AC16" s="28"/>
      <c r="AD16" s="26"/>
      <c r="AE16" s="28"/>
      <c r="AF16" s="26"/>
      <c r="AG16" s="26"/>
      <c r="AH16" s="26"/>
      <c r="AI16" s="27">
        <f>COUNTIF(DangKyThamGapThuongXuyen!$L$4:$L$5261,DaTa!$T16)</f>
        <v>0</v>
      </c>
    </row>
    <row r="17" spans="1:35" ht="18" customHeight="1" x14ac:dyDescent="0.25">
      <c r="A17" s="12">
        <v>15</v>
      </c>
      <c r="B17" s="13" t="str">
        <f t="shared" si="6"/>
        <v/>
      </c>
      <c r="C17" s="13" t="str">
        <f t="shared" si="6"/>
        <v/>
      </c>
      <c r="D17" s="84" t="str">
        <f t="shared" si="6"/>
        <v/>
      </c>
      <c r="E17" s="85" t="str">
        <f t="shared" si="6"/>
        <v/>
      </c>
      <c r="F17" s="78" t="str">
        <f t="shared" si="6"/>
        <v/>
      </c>
      <c r="G17" s="83" t="str">
        <f t="shared" si="6"/>
        <v/>
      </c>
      <c r="H17" s="83" t="str">
        <f t="shared" si="6"/>
        <v/>
      </c>
      <c r="I17" s="83" t="str">
        <f t="shared" si="6"/>
        <v/>
      </c>
      <c r="J17" s="85" t="str">
        <f t="shared" si="1"/>
        <v/>
      </c>
      <c r="K17" s="86" t="str">
        <f t="shared" si="2"/>
        <v/>
      </c>
      <c r="L17" s="87" t="str">
        <f t="shared" si="3"/>
        <v/>
      </c>
      <c r="M17" s="88" t="str">
        <f t="shared" si="4"/>
        <v/>
      </c>
      <c r="N17" s="87" t="str">
        <f t="shared" si="5"/>
        <v/>
      </c>
      <c r="O17" s="88"/>
      <c r="P17" s="88"/>
      <c r="Q17" s="1"/>
      <c r="R17" s="30" t="str">
        <f>IF($V17=$R$1,MAX($R$3:R16)+1,"")</f>
        <v/>
      </c>
      <c r="S17" s="24">
        <v>15</v>
      </c>
      <c r="T17" s="39" t="s">
        <v>65</v>
      </c>
      <c r="U17" s="25" t="s">
        <v>66</v>
      </c>
      <c r="V17" s="25" t="s">
        <v>67</v>
      </c>
      <c r="W17" s="24">
        <v>1986</v>
      </c>
      <c r="X17" s="24" t="s">
        <v>25</v>
      </c>
      <c r="Y17" s="26">
        <v>42923</v>
      </c>
      <c r="Z17" s="26">
        <v>43000</v>
      </c>
      <c r="AA17" s="26">
        <v>43653</v>
      </c>
      <c r="AB17" s="27"/>
      <c r="AC17" s="28"/>
      <c r="AD17" s="26"/>
      <c r="AE17" s="28"/>
      <c r="AF17" s="26"/>
      <c r="AG17" s="26"/>
      <c r="AH17" s="26"/>
      <c r="AI17" s="27">
        <f>COUNTIF(DangKyThamGapThuongXuyen!$L$4:$L$5261,DaTa!$T17)</f>
        <v>0</v>
      </c>
    </row>
    <row r="18" spans="1:35" ht="18" customHeight="1" x14ac:dyDescent="0.25">
      <c r="A18" s="12">
        <v>16</v>
      </c>
      <c r="B18" s="13" t="str">
        <f t="shared" si="6"/>
        <v/>
      </c>
      <c r="C18" s="13" t="str">
        <f t="shared" si="6"/>
        <v/>
      </c>
      <c r="D18" s="84" t="str">
        <f t="shared" si="6"/>
        <v/>
      </c>
      <c r="E18" s="85" t="str">
        <f t="shared" si="6"/>
        <v/>
      </c>
      <c r="F18" s="78" t="str">
        <f t="shared" si="6"/>
        <v/>
      </c>
      <c r="G18" s="83" t="str">
        <f t="shared" si="6"/>
        <v/>
      </c>
      <c r="H18" s="83" t="str">
        <f t="shared" si="6"/>
        <v/>
      </c>
      <c r="I18" s="83" t="str">
        <f t="shared" si="6"/>
        <v/>
      </c>
      <c r="J18" s="85" t="str">
        <f t="shared" si="1"/>
        <v/>
      </c>
      <c r="K18" s="86" t="str">
        <f t="shared" si="2"/>
        <v/>
      </c>
      <c r="L18" s="87" t="str">
        <f t="shared" si="3"/>
        <v/>
      </c>
      <c r="M18" s="88" t="str">
        <f t="shared" si="4"/>
        <v/>
      </c>
      <c r="N18" s="87" t="str">
        <f t="shared" si="5"/>
        <v/>
      </c>
      <c r="O18" s="88"/>
      <c r="P18" s="88"/>
      <c r="Q18" s="1"/>
      <c r="R18" s="30" t="str">
        <f>IF($V18=$R$1,MAX($R$3:R17)+1,"")</f>
        <v/>
      </c>
      <c r="S18" s="24">
        <v>16</v>
      </c>
      <c r="T18" s="39" t="s">
        <v>68</v>
      </c>
      <c r="U18" s="25" t="s">
        <v>69</v>
      </c>
      <c r="V18" s="25" t="s">
        <v>70</v>
      </c>
      <c r="W18" s="24">
        <v>1980</v>
      </c>
      <c r="X18" s="24" t="s">
        <v>29</v>
      </c>
      <c r="Y18" s="26">
        <v>42939</v>
      </c>
      <c r="Z18" s="26">
        <v>43007</v>
      </c>
      <c r="AA18" s="26">
        <v>43669</v>
      </c>
      <c r="AB18" s="27"/>
      <c r="AC18" s="28"/>
      <c r="AD18" s="26"/>
      <c r="AE18" s="28"/>
      <c r="AF18" s="26"/>
      <c r="AG18" s="26"/>
      <c r="AH18" s="26"/>
      <c r="AI18" s="27">
        <f>COUNTIF(DangKyThamGapThuongXuyen!$L$4:$L$5261,DaTa!$T18)</f>
        <v>0</v>
      </c>
    </row>
    <row r="19" spans="1:35" ht="18" customHeight="1" x14ac:dyDescent="0.25">
      <c r="A19" s="12">
        <v>17</v>
      </c>
      <c r="B19" s="13" t="str">
        <f t="shared" si="6"/>
        <v/>
      </c>
      <c r="C19" s="13" t="str">
        <f t="shared" si="6"/>
        <v/>
      </c>
      <c r="D19" s="84" t="str">
        <f t="shared" si="6"/>
        <v/>
      </c>
      <c r="E19" s="85" t="str">
        <f t="shared" si="6"/>
        <v/>
      </c>
      <c r="F19" s="85" t="str">
        <f t="shared" si="6"/>
        <v/>
      </c>
      <c r="G19" s="89" t="str">
        <f t="shared" si="6"/>
        <v/>
      </c>
      <c r="H19" s="89" t="str">
        <f t="shared" si="6"/>
        <v/>
      </c>
      <c r="I19" s="89" t="str">
        <f t="shared" si="6"/>
        <v/>
      </c>
      <c r="J19" s="85" t="str">
        <f t="shared" si="1"/>
        <v/>
      </c>
      <c r="K19" s="86" t="str">
        <f t="shared" si="2"/>
        <v/>
      </c>
      <c r="L19" s="87" t="str">
        <f t="shared" si="3"/>
        <v/>
      </c>
      <c r="M19" s="88" t="str">
        <f t="shared" si="4"/>
        <v/>
      </c>
      <c r="N19" s="87" t="str">
        <f t="shared" si="5"/>
        <v/>
      </c>
      <c r="O19" s="88"/>
      <c r="P19" s="88"/>
      <c r="Q19" s="1"/>
      <c r="R19" s="30" t="str">
        <f>IF($V19=$R$1,MAX($R$3:R18)+1,"")</f>
        <v/>
      </c>
      <c r="S19" s="24">
        <v>17</v>
      </c>
      <c r="T19" s="39" t="s">
        <v>71</v>
      </c>
      <c r="U19" s="25" t="s">
        <v>72</v>
      </c>
      <c r="V19" s="25" t="s">
        <v>48</v>
      </c>
      <c r="W19" s="24">
        <v>1971</v>
      </c>
      <c r="X19" s="24" t="s">
        <v>73</v>
      </c>
      <c r="Y19" s="26">
        <v>42956</v>
      </c>
      <c r="Z19" s="26">
        <v>43013</v>
      </c>
      <c r="AA19" s="26">
        <v>43686</v>
      </c>
      <c r="AB19" s="27"/>
      <c r="AC19" s="28"/>
      <c r="AD19" s="26"/>
      <c r="AE19" s="28"/>
      <c r="AF19" s="26"/>
      <c r="AG19" s="26"/>
      <c r="AH19" s="26"/>
      <c r="AI19" s="27">
        <f>COUNTIF(DangKyThamGapThuongXuyen!$L$4:$L$5261,DaTa!$T19)</f>
        <v>0</v>
      </c>
    </row>
    <row r="20" spans="1:35" ht="18" customHeight="1" x14ac:dyDescent="0.25">
      <c r="A20" s="12">
        <v>18</v>
      </c>
      <c r="B20" s="13" t="str">
        <f t="shared" si="6"/>
        <v/>
      </c>
      <c r="C20" s="13" t="str">
        <f t="shared" si="6"/>
        <v/>
      </c>
      <c r="D20" s="84" t="str">
        <f t="shared" si="6"/>
        <v/>
      </c>
      <c r="E20" s="85" t="str">
        <f t="shared" si="6"/>
        <v/>
      </c>
      <c r="F20" s="85" t="str">
        <f t="shared" si="6"/>
        <v/>
      </c>
      <c r="G20" s="90" t="str">
        <f t="shared" si="6"/>
        <v/>
      </c>
      <c r="H20" s="90" t="str">
        <f t="shared" si="6"/>
        <v/>
      </c>
      <c r="I20" s="90" t="str">
        <f t="shared" si="6"/>
        <v/>
      </c>
      <c r="J20" s="85" t="str">
        <f t="shared" si="1"/>
        <v/>
      </c>
      <c r="K20" s="86" t="str">
        <f t="shared" si="2"/>
        <v/>
      </c>
      <c r="L20" s="87" t="str">
        <f t="shared" si="3"/>
        <v/>
      </c>
      <c r="M20" s="88" t="str">
        <f t="shared" si="4"/>
        <v/>
      </c>
      <c r="N20" s="87" t="str">
        <f t="shared" si="5"/>
        <v/>
      </c>
      <c r="O20" s="88"/>
      <c r="P20" s="88"/>
      <c r="Q20" s="1"/>
      <c r="R20" s="23" t="str">
        <f>IF($V20=$R$1,MAX($R$3:R19)+1,"")</f>
        <v/>
      </c>
      <c r="S20" s="24">
        <v>18</v>
      </c>
      <c r="T20" s="39" t="s">
        <v>74</v>
      </c>
      <c r="U20" s="25" t="s">
        <v>75</v>
      </c>
      <c r="V20" s="25" t="s">
        <v>76</v>
      </c>
      <c r="W20" s="24">
        <v>1990</v>
      </c>
      <c r="X20" s="24" t="s">
        <v>42</v>
      </c>
      <c r="Y20" s="26">
        <v>42927</v>
      </c>
      <c r="Z20" s="26">
        <v>43013</v>
      </c>
      <c r="AA20" s="26">
        <v>43657</v>
      </c>
      <c r="AB20" s="27"/>
      <c r="AC20" s="28"/>
      <c r="AD20" s="26"/>
      <c r="AE20" s="28"/>
      <c r="AF20" s="26"/>
      <c r="AG20" s="26"/>
      <c r="AH20" s="26"/>
      <c r="AI20" s="27">
        <f>COUNTIF(DangKyThamGapThuongXuyen!$L$4:$L$5261,DaTa!$T20)</f>
        <v>0</v>
      </c>
    </row>
    <row r="21" spans="1:35" ht="18" customHeight="1" x14ac:dyDescent="0.25">
      <c r="A21" s="12">
        <v>19</v>
      </c>
      <c r="B21" s="13" t="str">
        <f t="shared" si="6"/>
        <v/>
      </c>
      <c r="C21" s="13" t="str">
        <f t="shared" si="6"/>
        <v/>
      </c>
      <c r="D21" s="84" t="str">
        <f t="shared" si="6"/>
        <v/>
      </c>
      <c r="E21" s="85" t="str">
        <f t="shared" si="6"/>
        <v/>
      </c>
      <c r="F21" s="85" t="str">
        <f t="shared" si="6"/>
        <v/>
      </c>
      <c r="G21" s="90" t="str">
        <f t="shared" si="6"/>
        <v/>
      </c>
      <c r="H21" s="90" t="str">
        <f t="shared" si="6"/>
        <v/>
      </c>
      <c r="I21" s="90" t="str">
        <f t="shared" si="6"/>
        <v/>
      </c>
      <c r="J21" s="85" t="str">
        <f t="shared" si="1"/>
        <v/>
      </c>
      <c r="K21" s="86" t="str">
        <f t="shared" si="2"/>
        <v/>
      </c>
      <c r="L21" s="87" t="str">
        <f t="shared" si="3"/>
        <v/>
      </c>
      <c r="M21" s="88" t="str">
        <f t="shared" si="4"/>
        <v/>
      </c>
      <c r="N21" s="87" t="str">
        <f t="shared" si="5"/>
        <v/>
      </c>
      <c r="O21" s="88"/>
      <c r="P21" s="88"/>
      <c r="Q21" s="1"/>
      <c r="R21" s="30" t="str">
        <f>IF($V21=$R$1,MAX($R$3:R20)+1,"")</f>
        <v/>
      </c>
      <c r="S21" s="24">
        <v>19</v>
      </c>
      <c r="T21" s="39" t="s">
        <v>77</v>
      </c>
      <c r="U21" s="25" t="s">
        <v>78</v>
      </c>
      <c r="V21" s="25" t="s">
        <v>79</v>
      </c>
      <c r="W21" s="24">
        <v>1990</v>
      </c>
      <c r="X21" s="24" t="s">
        <v>21</v>
      </c>
      <c r="Y21" s="45">
        <v>42942</v>
      </c>
      <c r="Z21" s="26">
        <v>43019</v>
      </c>
      <c r="AA21" s="26">
        <v>43672</v>
      </c>
      <c r="AB21" s="27"/>
      <c r="AC21" s="28"/>
      <c r="AD21" s="26"/>
      <c r="AE21" s="28"/>
      <c r="AF21" s="26"/>
      <c r="AG21" s="26"/>
      <c r="AH21" s="26"/>
      <c r="AI21" s="27">
        <f>COUNTIF(DangKyThamGapThuongXuyen!$L$4:$L$5261,DaTa!$T21)</f>
        <v>1</v>
      </c>
    </row>
    <row r="22" spans="1:35" ht="18" customHeight="1" x14ac:dyDescent="0.25">
      <c r="A22" s="12">
        <v>20</v>
      </c>
      <c r="B22" s="13" t="str">
        <f t="shared" si="6"/>
        <v/>
      </c>
      <c r="C22" s="13" t="str">
        <f t="shared" si="6"/>
        <v/>
      </c>
      <c r="D22" s="85" t="str">
        <f t="shared" si="6"/>
        <v/>
      </c>
      <c r="E22" s="85" t="str">
        <f t="shared" si="6"/>
        <v/>
      </c>
      <c r="F22" s="85" t="str">
        <f t="shared" si="6"/>
        <v/>
      </c>
      <c r="G22" s="90" t="str">
        <f t="shared" si="6"/>
        <v/>
      </c>
      <c r="H22" s="90" t="str">
        <f t="shared" si="6"/>
        <v/>
      </c>
      <c r="I22" s="90" t="str">
        <f t="shared" si="6"/>
        <v/>
      </c>
      <c r="J22" s="85" t="str">
        <f t="shared" si="1"/>
        <v/>
      </c>
      <c r="K22" s="86" t="str">
        <f t="shared" si="2"/>
        <v/>
      </c>
      <c r="L22" s="90" t="str">
        <f t="shared" si="3"/>
        <v/>
      </c>
      <c r="M22" s="86" t="str">
        <f t="shared" si="4"/>
        <v/>
      </c>
      <c r="N22" s="90" t="str">
        <f t="shared" si="5"/>
        <v/>
      </c>
      <c r="O22" s="86"/>
      <c r="P22" s="86"/>
      <c r="Q22" s="1"/>
      <c r="R22" s="30" t="str">
        <f>IF($V22=$R$1,MAX($R$3:R21)+1,"")</f>
        <v/>
      </c>
      <c r="S22" s="24">
        <v>20</v>
      </c>
      <c r="T22" s="39" t="s">
        <v>80</v>
      </c>
      <c r="U22" s="25" t="s">
        <v>81</v>
      </c>
      <c r="V22" s="25" t="s">
        <v>82</v>
      </c>
      <c r="W22" s="24">
        <v>1991</v>
      </c>
      <c r="X22" s="24" t="s">
        <v>21</v>
      </c>
      <c r="Y22" s="26">
        <v>43003</v>
      </c>
      <c r="Z22" s="26">
        <v>43020</v>
      </c>
      <c r="AA22" s="26">
        <v>43733</v>
      </c>
      <c r="AB22" s="27"/>
      <c r="AC22" s="28"/>
      <c r="AD22" s="26"/>
      <c r="AE22" s="28"/>
      <c r="AF22" s="26"/>
      <c r="AG22" s="26"/>
      <c r="AH22" s="26"/>
      <c r="AI22" s="27">
        <f>COUNTIF(DangKyThamGapThuongXuyen!$L$4:$L$5261,DaTa!$T22)</f>
        <v>0</v>
      </c>
    </row>
    <row r="23" spans="1:35" ht="18" customHeight="1" x14ac:dyDescent="0.25">
      <c r="A23" s="12">
        <v>21</v>
      </c>
      <c r="B23" s="13" t="str">
        <f t="shared" si="6"/>
        <v/>
      </c>
      <c r="C23" s="13" t="str">
        <f t="shared" si="6"/>
        <v/>
      </c>
      <c r="D23" s="85" t="str">
        <f t="shared" si="6"/>
        <v/>
      </c>
      <c r="E23" s="85" t="str">
        <f t="shared" si="6"/>
        <v/>
      </c>
      <c r="F23" s="85" t="str">
        <f t="shared" si="6"/>
        <v/>
      </c>
      <c r="G23" s="90" t="str">
        <f t="shared" si="6"/>
        <v/>
      </c>
      <c r="H23" s="90" t="str">
        <f t="shared" si="6"/>
        <v/>
      </c>
      <c r="I23" s="90" t="str">
        <f t="shared" si="6"/>
        <v/>
      </c>
      <c r="J23" s="85" t="str">
        <f t="shared" si="1"/>
        <v/>
      </c>
      <c r="K23" s="86" t="str">
        <f t="shared" si="2"/>
        <v/>
      </c>
      <c r="L23" s="90" t="str">
        <f t="shared" si="3"/>
        <v/>
      </c>
      <c r="M23" s="86" t="str">
        <f t="shared" si="4"/>
        <v/>
      </c>
      <c r="N23" s="90" t="str">
        <f t="shared" si="5"/>
        <v/>
      </c>
      <c r="O23" s="86"/>
      <c r="P23" s="86"/>
      <c r="Q23" s="1"/>
      <c r="R23" s="30" t="str">
        <f>IF($V23=$R$1,MAX($R$3:R22)+1,"")</f>
        <v/>
      </c>
      <c r="S23" s="24">
        <v>21</v>
      </c>
      <c r="T23" s="39" t="s">
        <v>83</v>
      </c>
      <c r="U23" s="25" t="s">
        <v>84</v>
      </c>
      <c r="V23" s="25" t="s">
        <v>48</v>
      </c>
      <c r="W23" s="24">
        <v>1984</v>
      </c>
      <c r="X23" s="24" t="s">
        <v>21</v>
      </c>
      <c r="Y23" s="46">
        <v>42996</v>
      </c>
      <c r="Z23" s="26">
        <v>43020</v>
      </c>
      <c r="AA23" s="47">
        <v>43726</v>
      </c>
      <c r="AB23" s="27"/>
      <c r="AC23" s="28"/>
      <c r="AD23" s="26"/>
      <c r="AE23" s="28"/>
      <c r="AF23" s="26"/>
      <c r="AG23" s="26"/>
      <c r="AH23" s="26"/>
      <c r="AI23" s="27">
        <f>COUNTIF(DangKyThamGapThuongXuyen!$L$4:$L$5261,DaTa!$T23)</f>
        <v>3</v>
      </c>
    </row>
    <row r="24" spans="1:35" ht="18" customHeight="1" x14ac:dyDescent="0.25">
      <c r="A24" s="12">
        <v>22</v>
      </c>
      <c r="B24" s="13" t="str">
        <f t="shared" si="6"/>
        <v/>
      </c>
      <c r="C24" s="13" t="str">
        <f t="shared" si="6"/>
        <v/>
      </c>
      <c r="D24" s="85" t="str">
        <f t="shared" si="6"/>
        <v/>
      </c>
      <c r="E24" s="85" t="str">
        <f t="shared" si="6"/>
        <v/>
      </c>
      <c r="F24" s="85" t="str">
        <f t="shared" si="6"/>
        <v/>
      </c>
      <c r="G24" s="90" t="str">
        <f t="shared" si="6"/>
        <v/>
      </c>
      <c r="H24" s="90" t="str">
        <f t="shared" si="6"/>
        <v/>
      </c>
      <c r="I24" s="90" t="str">
        <f t="shared" si="6"/>
        <v/>
      </c>
      <c r="J24" s="85" t="str">
        <f t="shared" si="1"/>
        <v/>
      </c>
      <c r="K24" s="86" t="str">
        <f t="shared" si="2"/>
        <v/>
      </c>
      <c r="L24" s="90" t="str">
        <f t="shared" si="3"/>
        <v/>
      </c>
      <c r="M24" s="86" t="str">
        <f t="shared" si="4"/>
        <v/>
      </c>
      <c r="N24" s="90" t="str">
        <f t="shared" si="5"/>
        <v/>
      </c>
      <c r="O24" s="86"/>
      <c r="P24" s="86"/>
      <c r="Q24" s="1"/>
      <c r="R24" s="30" t="str">
        <f>IF($V24=$R$1,MAX($R$3:R23)+1,"")</f>
        <v/>
      </c>
      <c r="S24" s="24">
        <v>22</v>
      </c>
      <c r="T24" s="39" t="s">
        <v>85</v>
      </c>
      <c r="U24" s="25" t="s">
        <v>86</v>
      </c>
      <c r="V24" s="25" t="s">
        <v>87</v>
      </c>
      <c r="W24" s="24">
        <v>1974</v>
      </c>
      <c r="X24" s="24" t="s">
        <v>25</v>
      </c>
      <c r="Y24" s="26">
        <v>42947</v>
      </c>
      <c r="Z24" s="26">
        <v>43027</v>
      </c>
      <c r="AA24" s="26">
        <v>43677</v>
      </c>
      <c r="AB24" s="27"/>
      <c r="AC24" s="28" t="s">
        <v>88</v>
      </c>
      <c r="AD24" s="26">
        <v>43577</v>
      </c>
      <c r="AE24" s="28">
        <v>95</v>
      </c>
      <c r="AF24" s="26">
        <v>43672</v>
      </c>
      <c r="AG24" s="26"/>
      <c r="AH24" s="26"/>
      <c r="AI24" s="27">
        <f>COUNTIF(DangKyThamGapThuongXuyen!$L$4:$L$5261,DaTa!$T24)</f>
        <v>0</v>
      </c>
    </row>
    <row r="25" spans="1:35" ht="18" customHeight="1" x14ac:dyDescent="0.25">
      <c r="A25" s="12">
        <v>23</v>
      </c>
      <c r="B25" s="13" t="str">
        <f t="shared" si="6"/>
        <v/>
      </c>
      <c r="C25" s="13" t="str">
        <f t="shared" si="6"/>
        <v/>
      </c>
      <c r="D25" s="85" t="str">
        <f t="shared" si="6"/>
        <v/>
      </c>
      <c r="E25" s="85" t="str">
        <f t="shared" si="6"/>
        <v/>
      </c>
      <c r="F25" s="85" t="str">
        <f t="shared" si="6"/>
        <v/>
      </c>
      <c r="G25" s="90" t="str">
        <f t="shared" si="6"/>
        <v/>
      </c>
      <c r="H25" s="90" t="str">
        <f t="shared" si="6"/>
        <v/>
      </c>
      <c r="I25" s="90" t="str">
        <f t="shared" si="6"/>
        <v/>
      </c>
      <c r="J25" s="85" t="str">
        <f t="shared" si="1"/>
        <v/>
      </c>
      <c r="K25" s="86" t="str">
        <f t="shared" si="2"/>
        <v/>
      </c>
      <c r="L25" s="90" t="str">
        <f t="shared" si="3"/>
        <v/>
      </c>
      <c r="M25" s="86" t="str">
        <f t="shared" si="4"/>
        <v/>
      </c>
      <c r="N25" s="90" t="str">
        <f t="shared" si="5"/>
        <v/>
      </c>
      <c r="O25" s="86"/>
      <c r="P25" s="86"/>
      <c r="Q25" s="1"/>
      <c r="R25" s="30" t="str">
        <f>IF($V25=$R$1,MAX($R$3:R24)+1,"")</f>
        <v/>
      </c>
      <c r="S25" s="24">
        <v>23</v>
      </c>
      <c r="T25" s="39" t="s">
        <v>89</v>
      </c>
      <c r="U25" s="25" t="s">
        <v>90</v>
      </c>
      <c r="V25" s="25" t="s">
        <v>48</v>
      </c>
      <c r="W25" s="24">
        <v>1971</v>
      </c>
      <c r="X25" s="24" t="s">
        <v>42</v>
      </c>
      <c r="Y25" s="26">
        <v>42939</v>
      </c>
      <c r="Z25" s="26">
        <v>43028</v>
      </c>
      <c r="AA25" s="26">
        <v>43669</v>
      </c>
      <c r="AB25" s="27"/>
      <c r="AC25" s="28"/>
      <c r="AD25" s="26"/>
      <c r="AE25" s="28"/>
      <c r="AF25" s="26"/>
      <c r="AG25" s="26"/>
      <c r="AH25" s="26"/>
      <c r="AI25" s="27">
        <f>COUNTIF(DangKyThamGapThuongXuyen!$L$4:$L$5261,DaTa!$T25)</f>
        <v>0</v>
      </c>
    </row>
    <row r="26" spans="1:35" ht="18" customHeight="1" x14ac:dyDescent="0.25">
      <c r="A26" s="12">
        <v>24</v>
      </c>
      <c r="B26" s="13" t="str">
        <f t="shared" si="6"/>
        <v/>
      </c>
      <c r="C26" s="13" t="str">
        <f t="shared" si="6"/>
        <v/>
      </c>
      <c r="D26" s="85" t="str">
        <f t="shared" si="6"/>
        <v/>
      </c>
      <c r="E26" s="85" t="str">
        <f t="shared" si="6"/>
        <v/>
      </c>
      <c r="F26" s="85" t="str">
        <f t="shared" si="6"/>
        <v/>
      </c>
      <c r="G26" s="90" t="str">
        <f t="shared" si="6"/>
        <v/>
      </c>
      <c r="H26" s="90" t="str">
        <f t="shared" si="6"/>
        <v/>
      </c>
      <c r="I26" s="90" t="str">
        <f t="shared" si="6"/>
        <v/>
      </c>
      <c r="J26" s="85" t="str">
        <f t="shared" si="1"/>
        <v/>
      </c>
      <c r="K26" s="86" t="str">
        <f t="shared" si="2"/>
        <v/>
      </c>
      <c r="L26" s="90" t="str">
        <f t="shared" si="3"/>
        <v/>
      </c>
      <c r="M26" s="86" t="str">
        <f t="shared" si="4"/>
        <v/>
      </c>
      <c r="N26" s="90" t="str">
        <f t="shared" si="5"/>
        <v/>
      </c>
      <c r="O26" s="86"/>
      <c r="P26" s="86"/>
      <c r="Q26" s="1"/>
      <c r="R26" s="30" t="str">
        <f>IF($V26=$R$1,MAX($R$3:R25)+1,"")</f>
        <v/>
      </c>
      <c r="S26" s="24">
        <v>24</v>
      </c>
      <c r="T26" s="39" t="s">
        <v>91</v>
      </c>
      <c r="U26" s="25" t="s">
        <v>92</v>
      </c>
      <c r="V26" s="25" t="s">
        <v>93</v>
      </c>
      <c r="W26" s="24">
        <v>1959</v>
      </c>
      <c r="X26" s="24" t="s">
        <v>21</v>
      </c>
      <c r="Y26" s="26">
        <v>42930</v>
      </c>
      <c r="Z26" s="26">
        <v>43032</v>
      </c>
      <c r="AA26" s="26">
        <v>43660</v>
      </c>
      <c r="AB26" s="27"/>
      <c r="AC26" s="28"/>
      <c r="AD26" s="26"/>
      <c r="AE26" s="28"/>
      <c r="AF26" s="26"/>
      <c r="AG26" s="26"/>
      <c r="AH26" s="26"/>
      <c r="AI26" s="27">
        <f>COUNTIF(DangKyThamGapThuongXuyen!$L$4:$L$5261,DaTa!$T26)</f>
        <v>2</v>
      </c>
    </row>
    <row r="27" spans="1:35" ht="18" customHeight="1" x14ac:dyDescent="0.25">
      <c r="A27" s="12">
        <v>25</v>
      </c>
      <c r="B27" s="13" t="str">
        <f t="shared" si="6"/>
        <v/>
      </c>
      <c r="C27" s="13" t="str">
        <f t="shared" si="6"/>
        <v/>
      </c>
      <c r="D27" s="85" t="str">
        <f t="shared" si="6"/>
        <v/>
      </c>
      <c r="E27" s="85" t="str">
        <f t="shared" si="6"/>
        <v/>
      </c>
      <c r="F27" s="85" t="str">
        <f t="shared" si="6"/>
        <v/>
      </c>
      <c r="G27" s="90" t="str">
        <f t="shared" si="6"/>
        <v/>
      </c>
      <c r="H27" s="90" t="str">
        <f t="shared" si="6"/>
        <v/>
      </c>
      <c r="I27" s="90" t="str">
        <f t="shared" si="6"/>
        <v/>
      </c>
      <c r="J27" s="85" t="str">
        <f t="shared" si="1"/>
        <v/>
      </c>
      <c r="K27" s="86" t="str">
        <f t="shared" si="2"/>
        <v/>
      </c>
      <c r="L27" s="90" t="str">
        <f t="shared" si="3"/>
        <v/>
      </c>
      <c r="M27" s="86" t="str">
        <f t="shared" si="4"/>
        <v/>
      </c>
      <c r="N27" s="90" t="str">
        <f t="shared" si="5"/>
        <v/>
      </c>
      <c r="O27" s="86"/>
      <c r="P27" s="86"/>
      <c r="Q27" s="1"/>
      <c r="R27" s="30" t="str">
        <f>IF($V27=$R$1,MAX($R$3:R26)+1,"")</f>
        <v/>
      </c>
      <c r="S27" s="24">
        <v>25</v>
      </c>
      <c r="T27" s="39" t="s">
        <v>94</v>
      </c>
      <c r="U27" s="25" t="s">
        <v>95</v>
      </c>
      <c r="V27" s="25" t="s">
        <v>96</v>
      </c>
      <c r="W27" s="24">
        <v>1979</v>
      </c>
      <c r="X27" s="24" t="s">
        <v>29</v>
      </c>
      <c r="Y27" s="26">
        <v>42943</v>
      </c>
      <c r="Z27" s="26">
        <v>43035</v>
      </c>
      <c r="AA27" s="26">
        <v>43673</v>
      </c>
      <c r="AB27" s="27"/>
      <c r="AC27" s="28" t="s">
        <v>88</v>
      </c>
      <c r="AD27" s="26">
        <v>43503</v>
      </c>
      <c r="AE27" s="28">
        <v>185</v>
      </c>
      <c r="AF27" s="26">
        <v>43688</v>
      </c>
      <c r="AG27" s="26"/>
      <c r="AH27" s="26"/>
      <c r="AI27" s="27">
        <f>COUNTIF(DangKyThamGapThuongXuyen!$L$4:$L$5261,DaTa!$T27)</f>
        <v>0</v>
      </c>
    </row>
    <row r="28" spans="1:35" ht="15" x14ac:dyDescent="0.25">
      <c r="A28" s="12">
        <v>26</v>
      </c>
      <c r="B28" s="10" t="str">
        <f t="shared" ref="B28:B42" si="7">IFERROR(VLOOKUP($A28,$R$2:$AH$588,MATCH(B$2,$R$2:$AH$2,0),0),"")</f>
        <v/>
      </c>
      <c r="C28" s="10" t="str">
        <f t="shared" ref="C28:C42" si="8">IFERROR(VLOOKUP($A28,$R$2:$AH$588,MATCH(C$2,$R$2:$AH$2,0),0),"")</f>
        <v/>
      </c>
      <c r="D28" s="77" t="str">
        <f t="shared" ref="D28:D42" si="9">IFERROR(VLOOKUP($A28,$R$2:$AH$588,MATCH(D$2,$R$2:$AH$2,0),0),"")</f>
        <v/>
      </c>
      <c r="E28" s="77" t="str">
        <f t="shared" ref="E28:E42" si="10">IFERROR(VLOOKUP($A28,$R$2:$AH$588,MATCH(E$2,$R$2:$AH$2,0),0),"")</f>
        <v/>
      </c>
      <c r="F28" s="77" t="str">
        <f t="shared" ref="F28:F42" si="11">IFERROR(VLOOKUP($A28,$R$2:$AH$588,MATCH(F$2,$R$2:$AH$2,0),0),"")</f>
        <v/>
      </c>
      <c r="G28" s="77" t="str">
        <f t="shared" ref="G28:G42" si="12">IFERROR(VLOOKUP($A28,$R$2:$AH$588,MATCH(G$2,$R$2:$AH$2,0),0),"")</f>
        <v/>
      </c>
      <c r="H28" s="77" t="str">
        <f t="shared" ref="H28:H42" si="13">IFERROR(VLOOKUP($A28,$R$2:$AH$588,MATCH(H$2,$R$2:$AH$2,0),0),"")</f>
        <v/>
      </c>
      <c r="I28" s="10" t="str">
        <f t="shared" ref="I28:I42" si="14">IFERROR(VLOOKUP($A28,$R$2:$AH$588,MATCH(I$2,$R$2:$AH$2,0),0),"")</f>
        <v/>
      </c>
      <c r="J28" s="91" t="str">
        <f t="shared" ref="J28:J42" si="15">IFERROR(ROUND(VLOOKUP($A28,$R$2:$AH$588,MATCH(J$2,$R$2:$AH$2,0),0),0),"")</f>
        <v/>
      </c>
      <c r="K28" s="79" t="str">
        <f t="shared" ref="K28:K42" si="16">IFERROR(VLOOKUP($A28,$R$2:$AH$588,MATCH(K$2,$R$2:$AH$2,0),0),"")</f>
        <v/>
      </c>
      <c r="L28" s="80" t="str">
        <f t="shared" ref="L28:L42" si="17">IFERROR(IF(K28="Kl",VLOOKUP($A28,$R$2:$AH$588,MATCH(L$2,$R$2:$AH$2,0),0),""),"")</f>
        <v/>
      </c>
      <c r="M28" s="81" t="str">
        <f t="shared" ref="M28:M42" si="18">IFERROR(VLOOKUP($A28,$R$2:$AH$588,MATCH(M$2,$R$2:$AH$2,0),0),"")</f>
        <v/>
      </c>
      <c r="N28" s="80" t="str">
        <f t="shared" ref="N28:N42" si="19">IFERROR(IF(K28="kl",VLOOKUP($A28,$R$2:$AH$588,MATCH(N$2,$R$2:$AH$2,0),0),""),"")</f>
        <v/>
      </c>
      <c r="O28" s="81"/>
      <c r="P28" s="81"/>
      <c r="Q28" s="1"/>
      <c r="R28" s="23" t="str">
        <f>IF($V28=$R$1,MAX($R$3:R27)+1,"")</f>
        <v/>
      </c>
      <c r="S28" s="24">
        <v>26</v>
      </c>
      <c r="T28" s="39" t="s">
        <v>97</v>
      </c>
      <c r="U28" s="25" t="s">
        <v>98</v>
      </c>
      <c r="V28" s="25" t="s">
        <v>99</v>
      </c>
      <c r="W28" s="24">
        <v>1988</v>
      </c>
      <c r="X28" s="24" t="s">
        <v>29</v>
      </c>
      <c r="Y28" s="26">
        <v>42936</v>
      </c>
      <c r="Z28" s="26">
        <v>43035</v>
      </c>
      <c r="AA28" s="26">
        <v>43666</v>
      </c>
      <c r="AB28" s="27"/>
      <c r="AC28" s="28"/>
      <c r="AD28" s="26"/>
      <c r="AE28" s="28"/>
      <c r="AF28" s="26"/>
      <c r="AG28" s="26"/>
      <c r="AH28" s="26"/>
      <c r="AI28" s="27">
        <f>COUNTIF(DangKyThamGapThuongXuyen!$L$4:$L$5261,DaTa!$T28)</f>
        <v>0</v>
      </c>
    </row>
    <row r="29" spans="1:35" ht="33.6" customHeight="1" x14ac:dyDescent="0.2">
      <c r="A29" s="12">
        <v>27</v>
      </c>
      <c r="B29" s="10" t="str">
        <f t="shared" si="7"/>
        <v/>
      </c>
      <c r="C29" s="10" t="str">
        <f t="shared" si="8"/>
        <v/>
      </c>
      <c r="D29" s="77" t="str">
        <f t="shared" si="9"/>
        <v/>
      </c>
      <c r="E29" s="77" t="str">
        <f t="shared" si="10"/>
        <v/>
      </c>
      <c r="F29" s="77" t="str">
        <f t="shared" si="11"/>
        <v/>
      </c>
      <c r="G29" s="77" t="str">
        <f t="shared" si="12"/>
        <v/>
      </c>
      <c r="H29" s="77" t="str">
        <f t="shared" si="13"/>
        <v/>
      </c>
      <c r="I29" s="10" t="str">
        <f t="shared" si="14"/>
        <v/>
      </c>
      <c r="J29" s="91" t="str">
        <f t="shared" si="15"/>
        <v/>
      </c>
      <c r="K29" s="79" t="str">
        <f t="shared" si="16"/>
        <v/>
      </c>
      <c r="L29" s="80" t="str">
        <f t="shared" si="17"/>
        <v/>
      </c>
      <c r="M29" s="81" t="str">
        <f t="shared" si="18"/>
        <v/>
      </c>
      <c r="N29" s="80" t="str">
        <f t="shared" si="19"/>
        <v/>
      </c>
      <c r="O29" s="81"/>
      <c r="P29" s="81"/>
      <c r="R29" s="30" t="str">
        <f>IF($V29=$R$1,MAX($R$3:R28)+1,"")</f>
        <v/>
      </c>
      <c r="S29" s="24">
        <v>27</v>
      </c>
      <c r="T29" s="39" t="s">
        <v>100</v>
      </c>
      <c r="U29" s="25" t="s">
        <v>63</v>
      </c>
      <c r="V29" s="48" t="s">
        <v>101</v>
      </c>
      <c r="W29" s="24">
        <v>1982</v>
      </c>
      <c r="X29" s="24" t="s">
        <v>42</v>
      </c>
      <c r="Y29" s="26">
        <v>42951</v>
      </c>
      <c r="Z29" s="26">
        <v>43035</v>
      </c>
      <c r="AA29" s="26">
        <v>43681</v>
      </c>
      <c r="AB29" s="27"/>
      <c r="AC29" s="28"/>
      <c r="AD29" s="26"/>
      <c r="AE29" s="28"/>
      <c r="AF29" s="26"/>
      <c r="AG29" s="26"/>
      <c r="AH29" s="26"/>
      <c r="AI29" s="27">
        <f>COUNTIF(DangKyThamGapThuongXuyen!$L$4:$L$5261,DaTa!$T29)</f>
        <v>0</v>
      </c>
    </row>
    <row r="30" spans="1:35" ht="15" x14ac:dyDescent="0.2">
      <c r="A30" s="12">
        <v>28</v>
      </c>
      <c r="B30" s="10" t="str">
        <f t="shared" si="7"/>
        <v/>
      </c>
      <c r="C30" s="10" t="str">
        <f t="shared" si="8"/>
        <v/>
      </c>
      <c r="D30" s="77" t="str">
        <f t="shared" si="9"/>
        <v/>
      </c>
      <c r="E30" s="77" t="str">
        <f t="shared" si="10"/>
        <v/>
      </c>
      <c r="F30" s="77" t="str">
        <f t="shared" si="11"/>
        <v/>
      </c>
      <c r="G30" s="77" t="str">
        <f t="shared" si="12"/>
        <v/>
      </c>
      <c r="H30" s="77" t="str">
        <f t="shared" si="13"/>
        <v/>
      </c>
      <c r="I30" s="10" t="str">
        <f t="shared" si="14"/>
        <v/>
      </c>
      <c r="J30" s="91" t="str">
        <f t="shared" si="15"/>
        <v/>
      </c>
      <c r="K30" s="79" t="str">
        <f t="shared" si="16"/>
        <v/>
      </c>
      <c r="L30" s="80" t="str">
        <f t="shared" si="17"/>
        <v/>
      </c>
      <c r="M30" s="81" t="str">
        <f t="shared" si="18"/>
        <v/>
      </c>
      <c r="N30" s="80" t="str">
        <f t="shared" si="19"/>
        <v/>
      </c>
      <c r="O30" s="81"/>
      <c r="P30" s="81"/>
      <c r="Q30" s="29"/>
      <c r="R30" s="30" t="str">
        <f>IF($V30=$R$1,MAX($R$3:R29)+1,"")</f>
        <v/>
      </c>
      <c r="S30" s="24">
        <v>28</v>
      </c>
      <c r="T30" s="39" t="s">
        <v>102</v>
      </c>
      <c r="U30" s="25" t="s">
        <v>103</v>
      </c>
      <c r="V30" s="25" t="s">
        <v>104</v>
      </c>
      <c r="W30" s="24">
        <v>1979</v>
      </c>
      <c r="X30" s="24" t="s">
        <v>29</v>
      </c>
      <c r="Y30" s="26">
        <v>42929</v>
      </c>
      <c r="Z30" s="26">
        <v>43035</v>
      </c>
      <c r="AA30" s="26">
        <v>43659</v>
      </c>
      <c r="AB30" s="49"/>
      <c r="AC30" s="28"/>
      <c r="AD30" s="26"/>
      <c r="AE30" s="28"/>
      <c r="AF30" s="26"/>
      <c r="AG30" s="26"/>
      <c r="AH30" s="26"/>
      <c r="AI30" s="27">
        <f>COUNTIF(DangKyThamGapThuongXuyen!$L$4:$L$5261,DaTa!$T30)</f>
        <v>0</v>
      </c>
    </row>
    <row r="31" spans="1:35" ht="15" x14ac:dyDescent="0.2">
      <c r="A31" s="12">
        <v>29</v>
      </c>
      <c r="B31" s="10" t="str">
        <f t="shared" si="7"/>
        <v/>
      </c>
      <c r="C31" s="10" t="str">
        <f t="shared" si="8"/>
        <v/>
      </c>
      <c r="D31" s="77" t="str">
        <f t="shared" si="9"/>
        <v/>
      </c>
      <c r="E31" s="77" t="str">
        <f t="shared" si="10"/>
        <v/>
      </c>
      <c r="F31" s="77" t="str">
        <f t="shared" si="11"/>
        <v/>
      </c>
      <c r="G31" s="77" t="str">
        <f t="shared" si="12"/>
        <v/>
      </c>
      <c r="H31" s="77" t="str">
        <f t="shared" si="13"/>
        <v/>
      </c>
      <c r="I31" s="10" t="str">
        <f t="shared" si="14"/>
        <v/>
      </c>
      <c r="J31" s="91" t="str">
        <f t="shared" si="15"/>
        <v/>
      </c>
      <c r="K31" s="79" t="str">
        <f t="shared" si="16"/>
        <v/>
      </c>
      <c r="L31" s="80" t="str">
        <f t="shared" si="17"/>
        <v/>
      </c>
      <c r="M31" s="81" t="str">
        <f t="shared" si="18"/>
        <v/>
      </c>
      <c r="N31" s="80" t="str">
        <f t="shared" si="19"/>
        <v/>
      </c>
      <c r="O31" s="81"/>
      <c r="P31" s="81"/>
      <c r="Q31" s="29"/>
      <c r="R31" s="30" t="str">
        <f>IF($V31=$R$1,MAX($R$3:R30)+1,"")</f>
        <v/>
      </c>
      <c r="S31" s="24">
        <v>29</v>
      </c>
      <c r="T31" s="39" t="s">
        <v>105</v>
      </c>
      <c r="U31" s="25" t="s">
        <v>106</v>
      </c>
      <c r="V31" s="25" t="s">
        <v>107</v>
      </c>
      <c r="W31" s="24">
        <v>1983</v>
      </c>
      <c r="X31" s="24" t="s">
        <v>29</v>
      </c>
      <c r="Y31" s="46">
        <v>42984</v>
      </c>
      <c r="Z31" s="26">
        <v>43035</v>
      </c>
      <c r="AA31" s="47">
        <v>43714</v>
      </c>
      <c r="AB31" s="27"/>
      <c r="AC31" s="28"/>
      <c r="AD31" s="26"/>
      <c r="AE31" s="28"/>
      <c r="AF31" s="26"/>
      <c r="AG31" s="26"/>
      <c r="AH31" s="26"/>
      <c r="AI31" s="27">
        <f>COUNTIF(DangKyThamGapThuongXuyen!$L$4:$L$5261,DaTa!$T31)</f>
        <v>0</v>
      </c>
    </row>
    <row r="32" spans="1:35" ht="12.75" x14ac:dyDescent="0.2">
      <c r="A32" s="12">
        <v>30</v>
      </c>
      <c r="B32" s="10" t="str">
        <f t="shared" si="7"/>
        <v/>
      </c>
      <c r="C32" s="10" t="str">
        <f t="shared" si="8"/>
        <v/>
      </c>
      <c r="D32" s="77" t="str">
        <f t="shared" si="9"/>
        <v/>
      </c>
      <c r="E32" s="77" t="str">
        <f t="shared" si="10"/>
        <v/>
      </c>
      <c r="F32" s="77" t="str">
        <f t="shared" si="11"/>
        <v/>
      </c>
      <c r="G32" s="77" t="str">
        <f t="shared" si="12"/>
        <v/>
      </c>
      <c r="H32" s="77" t="str">
        <f t="shared" si="13"/>
        <v/>
      </c>
      <c r="I32" s="10" t="str">
        <f t="shared" si="14"/>
        <v/>
      </c>
      <c r="J32" s="91" t="str">
        <f t="shared" si="15"/>
        <v/>
      </c>
      <c r="K32" s="79" t="str">
        <f t="shared" si="16"/>
        <v/>
      </c>
      <c r="L32" s="80" t="str">
        <f t="shared" si="17"/>
        <v/>
      </c>
      <c r="M32" s="81" t="str">
        <f t="shared" si="18"/>
        <v/>
      </c>
      <c r="N32" s="80" t="str">
        <f t="shared" si="19"/>
        <v/>
      </c>
      <c r="O32" s="81"/>
      <c r="P32" s="81"/>
      <c r="Q32" s="29"/>
      <c r="R32" s="30" t="str">
        <f>IF($V32=$R$1,MAX($R$3:R31)+1,"")</f>
        <v/>
      </c>
      <c r="S32" s="24">
        <v>30</v>
      </c>
      <c r="T32" s="39" t="s">
        <v>108</v>
      </c>
      <c r="U32" s="40" t="s">
        <v>63</v>
      </c>
      <c r="V32" s="40" t="s">
        <v>109</v>
      </c>
      <c r="W32" s="41">
        <v>1989</v>
      </c>
      <c r="X32" s="24" t="s">
        <v>73</v>
      </c>
      <c r="Y32" s="42">
        <v>42958</v>
      </c>
      <c r="Z32" s="42">
        <v>43040</v>
      </c>
      <c r="AA32" s="42">
        <v>43688</v>
      </c>
      <c r="AB32" s="27"/>
      <c r="AC32" s="43"/>
      <c r="AD32" s="26"/>
      <c r="AE32" s="43"/>
      <c r="AF32" s="26"/>
      <c r="AG32" s="26"/>
      <c r="AH32" s="26"/>
      <c r="AI32" s="27">
        <f>COUNTIF(DangKyThamGapThuongXuyen!$L$4:$L$5261,DaTa!$T32)</f>
        <v>0</v>
      </c>
    </row>
    <row r="33" spans="1:35" ht="12.75" x14ac:dyDescent="0.2">
      <c r="A33" s="12">
        <v>31</v>
      </c>
      <c r="B33" s="10" t="str">
        <f t="shared" si="7"/>
        <v/>
      </c>
      <c r="C33" s="10" t="str">
        <f t="shared" si="8"/>
        <v/>
      </c>
      <c r="D33" s="77" t="str">
        <f t="shared" si="9"/>
        <v/>
      </c>
      <c r="E33" s="77" t="str">
        <f t="shared" si="10"/>
        <v/>
      </c>
      <c r="F33" s="77" t="str">
        <f t="shared" si="11"/>
        <v/>
      </c>
      <c r="G33" s="77" t="str">
        <f t="shared" si="12"/>
        <v/>
      </c>
      <c r="H33" s="77" t="str">
        <f t="shared" si="13"/>
        <v/>
      </c>
      <c r="I33" s="10" t="str">
        <f t="shared" si="14"/>
        <v/>
      </c>
      <c r="J33" s="91" t="str">
        <f t="shared" si="15"/>
        <v/>
      </c>
      <c r="K33" s="79" t="str">
        <f t="shared" si="16"/>
        <v/>
      </c>
      <c r="L33" s="80" t="str">
        <f t="shared" si="17"/>
        <v/>
      </c>
      <c r="M33" s="81" t="str">
        <f t="shared" si="18"/>
        <v/>
      </c>
      <c r="N33" s="80" t="str">
        <f t="shared" si="19"/>
        <v/>
      </c>
      <c r="O33" s="81"/>
      <c r="P33" s="81"/>
      <c r="Q33" s="29"/>
      <c r="R33" s="30" t="str">
        <f>IF($V33=$R$1,MAX($R$3:R32)+1,"")</f>
        <v/>
      </c>
      <c r="S33" s="24">
        <v>31</v>
      </c>
      <c r="T33" s="39" t="s">
        <v>110</v>
      </c>
      <c r="U33" s="40" t="s">
        <v>111</v>
      </c>
      <c r="V33" s="40" t="s">
        <v>112</v>
      </c>
      <c r="W33" s="41">
        <v>1989</v>
      </c>
      <c r="X33" s="24" t="s">
        <v>21</v>
      </c>
      <c r="Y33" s="42">
        <v>42938</v>
      </c>
      <c r="Z33" s="42">
        <v>43042</v>
      </c>
      <c r="AA33" s="42">
        <v>43668</v>
      </c>
      <c r="AB33" s="27"/>
      <c r="AC33" s="43" t="s">
        <v>88</v>
      </c>
      <c r="AD33" s="26">
        <v>43613</v>
      </c>
      <c r="AE33" s="43">
        <v>35</v>
      </c>
      <c r="AF33" s="26">
        <v>43648</v>
      </c>
      <c r="AG33" s="26"/>
      <c r="AH33" s="26"/>
      <c r="AI33" s="27">
        <f>COUNTIF(DangKyThamGapThuongXuyen!$L$4:$L$5261,DaTa!$T33)</f>
        <v>2</v>
      </c>
    </row>
    <row r="34" spans="1:35" ht="15" x14ac:dyDescent="0.2">
      <c r="A34" s="12">
        <v>32</v>
      </c>
      <c r="B34" s="10" t="str">
        <f t="shared" si="7"/>
        <v/>
      </c>
      <c r="C34" s="10" t="str">
        <f t="shared" si="8"/>
        <v/>
      </c>
      <c r="D34" s="77" t="str">
        <f t="shared" si="9"/>
        <v/>
      </c>
      <c r="E34" s="77" t="str">
        <f t="shared" si="10"/>
        <v/>
      </c>
      <c r="F34" s="77" t="str">
        <f t="shared" si="11"/>
        <v/>
      </c>
      <c r="G34" s="77" t="str">
        <f t="shared" si="12"/>
        <v/>
      </c>
      <c r="H34" s="77" t="str">
        <f t="shared" si="13"/>
        <v/>
      </c>
      <c r="I34" s="10" t="str">
        <f t="shared" si="14"/>
        <v/>
      </c>
      <c r="J34" s="91" t="str">
        <f t="shared" si="15"/>
        <v/>
      </c>
      <c r="K34" s="79" t="str">
        <f t="shared" si="16"/>
        <v/>
      </c>
      <c r="L34" s="80" t="str">
        <f t="shared" si="17"/>
        <v/>
      </c>
      <c r="M34" s="81" t="str">
        <f t="shared" si="18"/>
        <v/>
      </c>
      <c r="N34" s="80" t="str">
        <f t="shared" si="19"/>
        <v/>
      </c>
      <c r="O34" s="81"/>
      <c r="P34" s="81"/>
      <c r="Q34" s="29"/>
      <c r="R34" s="23" t="str">
        <f>IF($V34=$R$1,MAX($R$3:R33)+1,"")</f>
        <v/>
      </c>
      <c r="S34" s="24">
        <v>32</v>
      </c>
      <c r="T34" s="39" t="s">
        <v>113</v>
      </c>
      <c r="U34" s="25" t="s">
        <v>114</v>
      </c>
      <c r="V34" s="25" t="s">
        <v>115</v>
      </c>
      <c r="W34" s="24">
        <v>1978</v>
      </c>
      <c r="X34" s="24" t="s">
        <v>25</v>
      </c>
      <c r="Y34" s="26">
        <v>42962</v>
      </c>
      <c r="Z34" s="26">
        <v>43042</v>
      </c>
      <c r="AA34" s="26">
        <v>43692</v>
      </c>
      <c r="AB34" s="27"/>
      <c r="AC34" s="28"/>
      <c r="AD34" s="26"/>
      <c r="AE34" s="28"/>
      <c r="AF34" s="26"/>
      <c r="AG34" s="26"/>
      <c r="AH34" s="26"/>
      <c r="AI34" s="27">
        <f>COUNTIF(DangKyThamGapThuongXuyen!$L$4:$L$5261,DaTa!$T34)</f>
        <v>0</v>
      </c>
    </row>
    <row r="35" spans="1:35" ht="15" x14ac:dyDescent="0.2">
      <c r="A35" s="12">
        <v>33</v>
      </c>
      <c r="B35" s="10" t="str">
        <f t="shared" si="7"/>
        <v/>
      </c>
      <c r="C35" s="10" t="str">
        <f t="shared" si="8"/>
        <v/>
      </c>
      <c r="D35" s="77" t="str">
        <f t="shared" si="9"/>
        <v/>
      </c>
      <c r="E35" s="77" t="str">
        <f t="shared" si="10"/>
        <v/>
      </c>
      <c r="F35" s="77" t="str">
        <f t="shared" si="11"/>
        <v/>
      </c>
      <c r="G35" s="77" t="str">
        <f t="shared" si="12"/>
        <v/>
      </c>
      <c r="H35" s="77" t="str">
        <f t="shared" si="13"/>
        <v/>
      </c>
      <c r="I35" s="10" t="str">
        <f t="shared" si="14"/>
        <v/>
      </c>
      <c r="J35" s="91" t="str">
        <f t="shared" si="15"/>
        <v/>
      </c>
      <c r="K35" s="79" t="str">
        <f t="shared" si="16"/>
        <v/>
      </c>
      <c r="L35" s="80" t="str">
        <f t="shared" si="17"/>
        <v/>
      </c>
      <c r="M35" s="81" t="str">
        <f t="shared" si="18"/>
        <v/>
      </c>
      <c r="N35" s="80" t="str">
        <f t="shared" si="19"/>
        <v/>
      </c>
      <c r="O35" s="81"/>
      <c r="P35" s="81"/>
      <c r="Q35" s="29"/>
      <c r="R35" s="30" t="str">
        <f>IF($V35=$R$1,MAX($R$3:R34)+1,"")</f>
        <v/>
      </c>
      <c r="S35" s="24">
        <v>33</v>
      </c>
      <c r="T35" s="39" t="s">
        <v>116</v>
      </c>
      <c r="U35" s="25" t="s">
        <v>117</v>
      </c>
      <c r="V35" s="25" t="s">
        <v>54</v>
      </c>
      <c r="W35" s="24">
        <v>1982</v>
      </c>
      <c r="X35" s="24" t="s">
        <v>25</v>
      </c>
      <c r="Y35" s="26">
        <v>42966</v>
      </c>
      <c r="Z35" s="26">
        <v>43042</v>
      </c>
      <c r="AA35" s="26">
        <v>43696</v>
      </c>
      <c r="AB35" s="27"/>
      <c r="AC35" s="28"/>
      <c r="AD35" s="26"/>
      <c r="AE35" s="28"/>
      <c r="AF35" s="26"/>
      <c r="AG35" s="26"/>
      <c r="AH35" s="26"/>
      <c r="AI35" s="27">
        <f>COUNTIF(DangKyThamGapThuongXuyen!$L$4:$L$5261,DaTa!$T35)</f>
        <v>0</v>
      </c>
    </row>
    <row r="36" spans="1:35" ht="15" x14ac:dyDescent="0.2">
      <c r="A36" s="12">
        <v>34</v>
      </c>
      <c r="B36" s="10" t="str">
        <f t="shared" si="7"/>
        <v/>
      </c>
      <c r="C36" s="10" t="str">
        <f t="shared" si="8"/>
        <v/>
      </c>
      <c r="D36" s="77" t="str">
        <f t="shared" si="9"/>
        <v/>
      </c>
      <c r="E36" s="77" t="str">
        <f t="shared" si="10"/>
        <v/>
      </c>
      <c r="F36" s="77" t="str">
        <f t="shared" si="11"/>
        <v/>
      </c>
      <c r="G36" s="77" t="str">
        <f t="shared" si="12"/>
        <v/>
      </c>
      <c r="H36" s="77" t="str">
        <f t="shared" si="13"/>
        <v/>
      </c>
      <c r="I36" s="10" t="str">
        <f t="shared" si="14"/>
        <v/>
      </c>
      <c r="J36" s="91" t="str">
        <f t="shared" si="15"/>
        <v/>
      </c>
      <c r="K36" s="79" t="str">
        <f t="shared" si="16"/>
        <v/>
      </c>
      <c r="L36" s="80" t="str">
        <f t="shared" si="17"/>
        <v/>
      </c>
      <c r="M36" s="81" t="str">
        <f t="shared" si="18"/>
        <v/>
      </c>
      <c r="N36" s="80" t="str">
        <f t="shared" si="19"/>
        <v/>
      </c>
      <c r="O36" s="81"/>
      <c r="P36" s="81"/>
      <c r="Q36" s="29"/>
      <c r="R36" s="30" t="str">
        <f>IF($V36=$R$1,MAX($R$3:R35)+1,"")</f>
        <v/>
      </c>
      <c r="S36" s="24">
        <v>34</v>
      </c>
      <c r="T36" s="39" t="s">
        <v>118</v>
      </c>
      <c r="U36" s="25" t="s">
        <v>119</v>
      </c>
      <c r="V36" s="25" t="s">
        <v>120</v>
      </c>
      <c r="W36" s="24">
        <v>1986</v>
      </c>
      <c r="X36" s="24" t="s">
        <v>42</v>
      </c>
      <c r="Y36" s="26">
        <v>43025</v>
      </c>
      <c r="Z36" s="26">
        <v>43046</v>
      </c>
      <c r="AA36" s="26">
        <v>43755</v>
      </c>
      <c r="AB36" s="27"/>
      <c r="AC36" s="28"/>
      <c r="AD36" s="26"/>
      <c r="AE36" s="28"/>
      <c r="AF36" s="26"/>
      <c r="AG36" s="26"/>
      <c r="AH36" s="26"/>
      <c r="AI36" s="27">
        <f>COUNTIF(DangKyThamGapThuongXuyen!$L$4:$L$5261,DaTa!$T36)</f>
        <v>0</v>
      </c>
    </row>
    <row r="37" spans="1:35" ht="15" x14ac:dyDescent="0.2">
      <c r="A37" s="12">
        <v>35</v>
      </c>
      <c r="B37" s="10" t="str">
        <f t="shared" si="7"/>
        <v/>
      </c>
      <c r="C37" s="10" t="str">
        <f t="shared" si="8"/>
        <v/>
      </c>
      <c r="D37" s="77" t="str">
        <f t="shared" si="9"/>
        <v/>
      </c>
      <c r="E37" s="77" t="str">
        <f t="shared" si="10"/>
        <v/>
      </c>
      <c r="F37" s="77" t="str">
        <f t="shared" si="11"/>
        <v/>
      </c>
      <c r="G37" s="77" t="str">
        <f t="shared" si="12"/>
        <v/>
      </c>
      <c r="H37" s="77" t="str">
        <f t="shared" si="13"/>
        <v/>
      </c>
      <c r="I37" s="10" t="str">
        <f t="shared" si="14"/>
        <v/>
      </c>
      <c r="J37" s="91" t="str">
        <f t="shared" si="15"/>
        <v/>
      </c>
      <c r="K37" s="79" t="str">
        <f t="shared" si="16"/>
        <v/>
      </c>
      <c r="L37" s="80" t="str">
        <f t="shared" si="17"/>
        <v/>
      </c>
      <c r="M37" s="81" t="str">
        <f t="shared" si="18"/>
        <v/>
      </c>
      <c r="N37" s="80" t="str">
        <f t="shared" si="19"/>
        <v/>
      </c>
      <c r="O37" s="81"/>
      <c r="P37" s="81"/>
      <c r="Q37" s="29"/>
      <c r="R37" s="30" t="str">
        <f>IF($V37=$R$1,MAX($R$3:R36)+1,"")</f>
        <v/>
      </c>
      <c r="S37" s="24">
        <v>35</v>
      </c>
      <c r="T37" s="39" t="s">
        <v>121</v>
      </c>
      <c r="U37" s="25" t="s">
        <v>122</v>
      </c>
      <c r="V37" s="25" t="s">
        <v>123</v>
      </c>
      <c r="W37" s="24">
        <v>1986</v>
      </c>
      <c r="X37" s="24" t="s">
        <v>42</v>
      </c>
      <c r="Y37" s="46">
        <v>43014</v>
      </c>
      <c r="Z37" s="26">
        <v>43046</v>
      </c>
      <c r="AA37" s="50">
        <v>43744</v>
      </c>
      <c r="AB37" s="27"/>
      <c r="AC37" s="28"/>
      <c r="AD37" s="26"/>
      <c r="AE37" s="28"/>
      <c r="AF37" s="26"/>
      <c r="AG37" s="26"/>
      <c r="AH37" s="26"/>
      <c r="AI37" s="27">
        <f>COUNTIF(DangKyThamGapThuongXuyen!$L$4:$L$5261,DaTa!$T37)</f>
        <v>0</v>
      </c>
    </row>
    <row r="38" spans="1:35" ht="15" x14ac:dyDescent="0.2">
      <c r="A38" s="12">
        <v>36</v>
      </c>
      <c r="B38" s="10" t="str">
        <f t="shared" si="7"/>
        <v/>
      </c>
      <c r="C38" s="10" t="str">
        <f t="shared" si="8"/>
        <v/>
      </c>
      <c r="D38" s="77" t="str">
        <f t="shared" si="9"/>
        <v/>
      </c>
      <c r="E38" s="77" t="str">
        <f t="shared" si="10"/>
        <v/>
      </c>
      <c r="F38" s="77" t="str">
        <f t="shared" si="11"/>
        <v/>
      </c>
      <c r="G38" s="77" t="str">
        <f t="shared" si="12"/>
        <v/>
      </c>
      <c r="H38" s="77" t="str">
        <f t="shared" si="13"/>
        <v/>
      </c>
      <c r="I38" s="10" t="str">
        <f t="shared" si="14"/>
        <v/>
      </c>
      <c r="J38" s="91" t="str">
        <f t="shared" si="15"/>
        <v/>
      </c>
      <c r="K38" s="79" t="str">
        <f t="shared" si="16"/>
        <v/>
      </c>
      <c r="L38" s="80" t="str">
        <f t="shared" si="17"/>
        <v/>
      </c>
      <c r="M38" s="81" t="str">
        <f t="shared" si="18"/>
        <v/>
      </c>
      <c r="N38" s="80" t="str">
        <f t="shared" si="19"/>
        <v/>
      </c>
      <c r="O38" s="81"/>
      <c r="P38" s="81"/>
      <c r="Q38" s="29"/>
      <c r="R38" s="30" t="str">
        <f>IF($V38=$R$1,MAX($R$3:R37)+1,"")</f>
        <v/>
      </c>
      <c r="S38" s="24">
        <v>36</v>
      </c>
      <c r="T38" s="39" t="s">
        <v>124</v>
      </c>
      <c r="U38" s="25" t="s">
        <v>125</v>
      </c>
      <c r="V38" s="25" t="s">
        <v>126</v>
      </c>
      <c r="W38" s="24">
        <v>1979</v>
      </c>
      <c r="X38" s="24" t="s">
        <v>42</v>
      </c>
      <c r="Y38" s="45">
        <v>43024</v>
      </c>
      <c r="Z38" s="26">
        <v>43046</v>
      </c>
      <c r="AA38" s="26">
        <v>43754</v>
      </c>
      <c r="AB38" s="27"/>
      <c r="AC38" s="28"/>
      <c r="AD38" s="26"/>
      <c r="AE38" s="28"/>
      <c r="AF38" s="26"/>
      <c r="AG38" s="26"/>
      <c r="AH38" s="26"/>
      <c r="AI38" s="27">
        <f>COUNTIF(DangKyThamGapThuongXuyen!$L$4:$L$5261,DaTa!$T38)</f>
        <v>0</v>
      </c>
    </row>
    <row r="39" spans="1:35" ht="15" x14ac:dyDescent="0.2">
      <c r="A39" s="12">
        <v>37</v>
      </c>
      <c r="B39" s="10" t="str">
        <f t="shared" si="7"/>
        <v/>
      </c>
      <c r="C39" s="10" t="str">
        <f t="shared" si="8"/>
        <v/>
      </c>
      <c r="D39" s="77" t="str">
        <f t="shared" si="9"/>
        <v/>
      </c>
      <c r="E39" s="77" t="str">
        <f t="shared" si="10"/>
        <v/>
      </c>
      <c r="F39" s="77" t="str">
        <f t="shared" si="11"/>
        <v/>
      </c>
      <c r="G39" s="77" t="str">
        <f t="shared" si="12"/>
        <v/>
      </c>
      <c r="H39" s="77" t="str">
        <f t="shared" si="13"/>
        <v/>
      </c>
      <c r="I39" s="10" t="str">
        <f t="shared" si="14"/>
        <v/>
      </c>
      <c r="J39" s="91" t="str">
        <f t="shared" si="15"/>
        <v/>
      </c>
      <c r="K39" s="79" t="str">
        <f t="shared" si="16"/>
        <v/>
      </c>
      <c r="L39" s="80" t="str">
        <f t="shared" si="17"/>
        <v/>
      </c>
      <c r="M39" s="81" t="str">
        <f t="shared" si="18"/>
        <v/>
      </c>
      <c r="N39" s="80" t="str">
        <f t="shared" si="19"/>
        <v/>
      </c>
      <c r="O39" s="81"/>
      <c r="P39" s="81"/>
      <c r="Q39" s="29"/>
      <c r="R39" s="30" t="str">
        <f>IF($V39=$R$1,MAX($R$3:R38)+1,"")</f>
        <v/>
      </c>
      <c r="S39" s="24">
        <v>37</v>
      </c>
      <c r="T39" s="39" t="s">
        <v>127</v>
      </c>
      <c r="U39" s="25" t="s">
        <v>128</v>
      </c>
      <c r="V39" s="25" t="s">
        <v>120</v>
      </c>
      <c r="W39" s="24">
        <v>1983</v>
      </c>
      <c r="X39" s="24" t="s">
        <v>42</v>
      </c>
      <c r="Y39" s="26">
        <v>43014</v>
      </c>
      <c r="Z39" s="26">
        <v>43046</v>
      </c>
      <c r="AA39" s="26">
        <v>43744</v>
      </c>
      <c r="AB39" s="27"/>
      <c r="AC39" s="28"/>
      <c r="AD39" s="26"/>
      <c r="AE39" s="28"/>
      <c r="AF39" s="26"/>
      <c r="AG39" s="26"/>
      <c r="AH39" s="26"/>
      <c r="AI39" s="27">
        <f>COUNTIF(DangKyThamGapThuongXuyen!$L$4:$L$5261,DaTa!$T39)</f>
        <v>0</v>
      </c>
    </row>
    <row r="40" spans="1:35" ht="15" x14ac:dyDescent="0.2">
      <c r="A40" s="12">
        <v>38</v>
      </c>
      <c r="B40" s="10" t="str">
        <f t="shared" si="7"/>
        <v/>
      </c>
      <c r="C40" s="10" t="str">
        <f t="shared" si="8"/>
        <v/>
      </c>
      <c r="D40" s="77" t="str">
        <f t="shared" si="9"/>
        <v/>
      </c>
      <c r="E40" s="77" t="str">
        <f t="shared" si="10"/>
        <v/>
      </c>
      <c r="F40" s="77" t="str">
        <f t="shared" si="11"/>
        <v/>
      </c>
      <c r="G40" s="77" t="str">
        <f t="shared" si="12"/>
        <v/>
      </c>
      <c r="H40" s="77" t="str">
        <f t="shared" si="13"/>
        <v/>
      </c>
      <c r="I40" s="10" t="str">
        <f t="shared" si="14"/>
        <v/>
      </c>
      <c r="J40" s="91" t="str">
        <f t="shared" si="15"/>
        <v/>
      </c>
      <c r="K40" s="79" t="str">
        <f t="shared" si="16"/>
        <v/>
      </c>
      <c r="L40" s="80" t="str">
        <f t="shared" si="17"/>
        <v/>
      </c>
      <c r="M40" s="81" t="str">
        <f t="shared" si="18"/>
        <v/>
      </c>
      <c r="N40" s="80" t="str">
        <f t="shared" si="19"/>
        <v/>
      </c>
      <c r="O40" s="81"/>
      <c r="P40" s="81"/>
      <c r="Q40" s="29"/>
      <c r="R40" s="30" t="str">
        <f>IF($V40=$R$1,MAX($R$3:R39)+1,"")</f>
        <v/>
      </c>
      <c r="S40" s="24">
        <v>38</v>
      </c>
      <c r="T40" s="39" t="s">
        <v>129</v>
      </c>
      <c r="U40" s="25" t="s">
        <v>130</v>
      </c>
      <c r="V40" s="25" t="s">
        <v>131</v>
      </c>
      <c r="W40" s="24">
        <v>1977</v>
      </c>
      <c r="X40" s="24" t="s">
        <v>21</v>
      </c>
      <c r="Y40" s="26">
        <v>43020</v>
      </c>
      <c r="Z40" s="26">
        <v>43046</v>
      </c>
      <c r="AA40" s="26">
        <v>43658</v>
      </c>
      <c r="AB40" s="27"/>
      <c r="AC40" s="28"/>
      <c r="AD40" s="26"/>
      <c r="AE40" s="28"/>
      <c r="AF40" s="26"/>
      <c r="AG40" s="26"/>
      <c r="AH40" s="26"/>
      <c r="AI40" s="27">
        <f>COUNTIF(DangKyThamGapThuongXuyen!$L$4:$L$5261,DaTa!$T40)</f>
        <v>3</v>
      </c>
    </row>
    <row r="41" spans="1:35" ht="15" x14ac:dyDescent="0.2">
      <c r="A41" s="12">
        <v>39</v>
      </c>
      <c r="B41" s="10" t="str">
        <f t="shared" si="7"/>
        <v/>
      </c>
      <c r="C41" s="10" t="str">
        <f t="shared" si="8"/>
        <v/>
      </c>
      <c r="D41" s="77" t="str">
        <f t="shared" si="9"/>
        <v/>
      </c>
      <c r="E41" s="77" t="str">
        <f t="shared" si="10"/>
        <v/>
      </c>
      <c r="F41" s="77" t="str">
        <f t="shared" si="11"/>
        <v/>
      </c>
      <c r="G41" s="77" t="str">
        <f t="shared" si="12"/>
        <v/>
      </c>
      <c r="H41" s="77" t="str">
        <f t="shared" si="13"/>
        <v/>
      </c>
      <c r="I41" s="10" t="str">
        <f t="shared" si="14"/>
        <v/>
      </c>
      <c r="J41" s="91" t="str">
        <f t="shared" si="15"/>
        <v/>
      </c>
      <c r="K41" s="79" t="str">
        <f t="shared" si="16"/>
        <v/>
      </c>
      <c r="L41" s="80" t="str">
        <f t="shared" si="17"/>
        <v/>
      </c>
      <c r="M41" s="81" t="str">
        <f t="shared" si="18"/>
        <v/>
      </c>
      <c r="N41" s="80" t="str">
        <f t="shared" si="19"/>
        <v/>
      </c>
      <c r="O41" s="81"/>
      <c r="P41" s="81"/>
      <c r="Q41" s="29"/>
      <c r="R41" s="30" t="str">
        <f>IF($V41=$R$1,MAX($R$3:R40)+1,"")</f>
        <v/>
      </c>
      <c r="S41" s="24">
        <v>39</v>
      </c>
      <c r="T41" s="39" t="s">
        <v>132</v>
      </c>
      <c r="U41" s="25" t="s">
        <v>133</v>
      </c>
      <c r="V41" s="25" t="s">
        <v>134</v>
      </c>
      <c r="W41" s="24">
        <v>1980</v>
      </c>
      <c r="X41" s="24" t="s">
        <v>42</v>
      </c>
      <c r="Y41" s="26">
        <v>42958</v>
      </c>
      <c r="Z41" s="26">
        <v>43049</v>
      </c>
      <c r="AA41" s="26">
        <v>43688</v>
      </c>
      <c r="AB41" s="27"/>
      <c r="AC41" s="28"/>
      <c r="AD41" s="26"/>
      <c r="AE41" s="28"/>
      <c r="AF41" s="26"/>
      <c r="AG41" s="26"/>
      <c r="AH41" s="26"/>
      <c r="AI41" s="27">
        <f>COUNTIF(DangKyThamGapThuongXuyen!$L$4:$L$5261,DaTa!$T41)</f>
        <v>0</v>
      </c>
    </row>
    <row r="42" spans="1:35" ht="15" x14ac:dyDescent="0.2">
      <c r="A42" s="12">
        <v>40</v>
      </c>
      <c r="B42" s="10" t="str">
        <f t="shared" si="7"/>
        <v/>
      </c>
      <c r="C42" s="10" t="str">
        <f t="shared" si="8"/>
        <v/>
      </c>
      <c r="D42" s="77" t="str">
        <f t="shared" si="9"/>
        <v/>
      </c>
      <c r="E42" s="77" t="str">
        <f t="shared" si="10"/>
        <v/>
      </c>
      <c r="F42" s="77" t="str">
        <f t="shared" si="11"/>
        <v/>
      </c>
      <c r="G42" s="77" t="str">
        <f t="shared" si="12"/>
        <v/>
      </c>
      <c r="H42" s="77" t="str">
        <f t="shared" si="13"/>
        <v/>
      </c>
      <c r="I42" s="10" t="str">
        <f t="shared" si="14"/>
        <v/>
      </c>
      <c r="J42" s="91" t="str">
        <f t="shared" si="15"/>
        <v/>
      </c>
      <c r="K42" s="79" t="str">
        <f t="shared" si="16"/>
        <v/>
      </c>
      <c r="L42" s="80" t="str">
        <f t="shared" si="17"/>
        <v/>
      </c>
      <c r="M42" s="81" t="str">
        <f t="shared" si="18"/>
        <v/>
      </c>
      <c r="N42" s="80" t="str">
        <f t="shared" si="19"/>
        <v/>
      </c>
      <c r="O42" s="81"/>
      <c r="P42" s="81"/>
      <c r="Q42" s="29"/>
      <c r="R42" s="30" t="str">
        <f>IF($V42=$R$1,MAX($R$3:R41)+1,"")</f>
        <v/>
      </c>
      <c r="S42" s="24">
        <v>40</v>
      </c>
      <c r="T42" s="39" t="s">
        <v>135</v>
      </c>
      <c r="U42" s="25" t="s">
        <v>136</v>
      </c>
      <c r="V42" s="25" t="s">
        <v>107</v>
      </c>
      <c r="W42" s="24">
        <v>1979</v>
      </c>
      <c r="X42" s="24" t="s">
        <v>42</v>
      </c>
      <c r="Y42" s="26">
        <v>42965</v>
      </c>
      <c r="Z42" s="26">
        <v>43049</v>
      </c>
      <c r="AA42" s="26">
        <v>43695</v>
      </c>
      <c r="AB42" s="27"/>
      <c r="AC42" s="28"/>
      <c r="AD42" s="26"/>
      <c r="AE42" s="28"/>
      <c r="AF42" s="26"/>
      <c r="AG42" s="26"/>
      <c r="AH42" s="26"/>
      <c r="AI42" s="27">
        <f>COUNTIF(DangKyThamGapThuongXuyen!$L$4:$L$5261,DaTa!$T42)</f>
        <v>0</v>
      </c>
    </row>
    <row r="43" spans="1:35" ht="15" x14ac:dyDescent="0.2">
      <c r="Q43" s="29"/>
      <c r="R43" s="30" t="str">
        <f>IF($V43=$R$1,MAX($R$3:R42)+1,"")</f>
        <v/>
      </c>
      <c r="S43" s="24">
        <v>41</v>
      </c>
      <c r="T43" s="39" t="s">
        <v>137</v>
      </c>
      <c r="U43" s="25" t="s">
        <v>138</v>
      </c>
      <c r="V43" s="25" t="s">
        <v>139</v>
      </c>
      <c r="W43" s="24">
        <v>1971</v>
      </c>
      <c r="X43" s="24" t="s">
        <v>25</v>
      </c>
      <c r="Y43" s="26">
        <v>42964</v>
      </c>
      <c r="Z43" s="26">
        <v>43056</v>
      </c>
      <c r="AA43" s="26">
        <v>43694</v>
      </c>
      <c r="AB43" s="27"/>
      <c r="AC43" s="28"/>
      <c r="AD43" s="26"/>
      <c r="AE43" s="28"/>
      <c r="AF43" s="26"/>
      <c r="AG43" s="26"/>
      <c r="AH43" s="26"/>
      <c r="AI43" s="27">
        <f>COUNTIF(DangKyThamGapThuongXuyen!$L$4:$L$5261,DaTa!$T43)</f>
        <v>2</v>
      </c>
    </row>
    <row r="44" spans="1:35" ht="15" x14ac:dyDescent="0.2">
      <c r="Q44" s="29"/>
      <c r="R44" s="30" t="str">
        <f>IF($V44=$R$1,MAX($R$3:R43)+1,"")</f>
        <v/>
      </c>
      <c r="S44" s="24">
        <v>42</v>
      </c>
      <c r="T44" s="39" t="s">
        <v>140</v>
      </c>
      <c r="U44" s="25" t="s">
        <v>141</v>
      </c>
      <c r="V44" s="25" t="s">
        <v>87</v>
      </c>
      <c r="W44" s="24">
        <v>1975</v>
      </c>
      <c r="X44" s="24" t="s">
        <v>25</v>
      </c>
      <c r="Y44" s="26">
        <v>42953</v>
      </c>
      <c r="Z44" s="26">
        <v>43056</v>
      </c>
      <c r="AA44" s="26">
        <v>43683</v>
      </c>
      <c r="AB44" s="27"/>
      <c r="AC44" s="28"/>
      <c r="AD44" s="26"/>
      <c r="AE44" s="28"/>
      <c r="AF44" s="26"/>
      <c r="AG44" s="26"/>
      <c r="AH44" s="26"/>
      <c r="AI44" s="27">
        <f>COUNTIF(DangKyThamGapThuongXuyen!$L$4:$L$5261,DaTa!$T44)</f>
        <v>0</v>
      </c>
    </row>
    <row r="45" spans="1:35" ht="15" x14ac:dyDescent="0.2">
      <c r="Q45" s="29"/>
      <c r="R45" s="30" t="str">
        <f>IF($V45=$R$1,MAX($R$3:R44)+1,"")</f>
        <v/>
      </c>
      <c r="S45" s="24">
        <v>43</v>
      </c>
      <c r="T45" s="39" t="s">
        <v>142</v>
      </c>
      <c r="U45" s="25" t="s">
        <v>143</v>
      </c>
      <c r="V45" s="25" t="s">
        <v>93</v>
      </c>
      <c r="W45" s="24">
        <v>1987</v>
      </c>
      <c r="X45" s="24" t="s">
        <v>25</v>
      </c>
      <c r="Y45" s="45">
        <v>42985</v>
      </c>
      <c r="Z45" s="26">
        <v>43056</v>
      </c>
      <c r="AA45" s="26">
        <v>43715</v>
      </c>
      <c r="AB45" s="27"/>
      <c r="AC45" s="28"/>
      <c r="AD45" s="26"/>
      <c r="AE45" s="28"/>
      <c r="AF45" s="26"/>
      <c r="AG45" s="26"/>
      <c r="AH45" s="26"/>
      <c r="AI45" s="27">
        <f>COUNTIF(DangKyThamGapThuongXuyen!$L$4:$L$5261,DaTa!$T45)</f>
        <v>3</v>
      </c>
    </row>
    <row r="46" spans="1:35" ht="15" x14ac:dyDescent="0.2">
      <c r="Q46" s="29"/>
      <c r="R46" s="30" t="str">
        <f>IF($V46=$R$1,MAX($R$3:R45)+1,"")</f>
        <v/>
      </c>
      <c r="S46" s="24">
        <v>44</v>
      </c>
      <c r="T46" s="39" t="s">
        <v>144</v>
      </c>
      <c r="U46" s="25" t="s">
        <v>145</v>
      </c>
      <c r="V46" s="25" t="s">
        <v>146</v>
      </c>
      <c r="W46" s="24">
        <v>1988</v>
      </c>
      <c r="X46" s="24" t="s">
        <v>73</v>
      </c>
      <c r="Y46" s="26">
        <v>42996</v>
      </c>
      <c r="Z46" s="26">
        <v>43063</v>
      </c>
      <c r="AA46" s="26">
        <v>43726</v>
      </c>
      <c r="AB46" s="27"/>
      <c r="AC46" s="28" t="s">
        <v>88</v>
      </c>
      <c r="AD46" s="26">
        <v>43604</v>
      </c>
      <c r="AE46" s="28">
        <v>45</v>
      </c>
      <c r="AF46" s="26">
        <v>43649</v>
      </c>
      <c r="AG46" s="26"/>
      <c r="AH46" s="26"/>
      <c r="AI46" s="27">
        <f>COUNTIF(DangKyThamGapThuongXuyen!$L$4:$L$5261,DaTa!$T46)</f>
        <v>1</v>
      </c>
    </row>
    <row r="47" spans="1:35" ht="15" x14ac:dyDescent="0.2">
      <c r="Q47" s="29"/>
      <c r="R47" s="30" t="str">
        <f>IF($V47=$R$1,MAX($R$3:R46)+1,"")</f>
        <v/>
      </c>
      <c r="S47" s="24">
        <v>45</v>
      </c>
      <c r="T47" s="39" t="s">
        <v>147</v>
      </c>
      <c r="U47" s="25" t="s">
        <v>63</v>
      </c>
      <c r="V47" s="25" t="s">
        <v>148</v>
      </c>
      <c r="W47" s="24">
        <v>1974</v>
      </c>
      <c r="X47" s="24" t="s">
        <v>73</v>
      </c>
      <c r="Y47" s="26">
        <v>42977</v>
      </c>
      <c r="Z47" s="26">
        <v>43070</v>
      </c>
      <c r="AA47" s="26">
        <v>43676</v>
      </c>
      <c r="AB47" s="27"/>
      <c r="AC47" s="28"/>
      <c r="AD47" s="26"/>
      <c r="AE47" s="28"/>
      <c r="AF47" s="26"/>
      <c r="AG47" s="26"/>
      <c r="AH47" s="26"/>
      <c r="AI47" s="27">
        <f>COUNTIF(DangKyThamGapThuongXuyen!$L$4:$L$5261,DaTa!$T47)</f>
        <v>0</v>
      </c>
    </row>
    <row r="48" spans="1:35" ht="15" x14ac:dyDescent="0.2">
      <c r="Q48" s="29"/>
      <c r="R48" s="30" t="str">
        <f>IF($V48=$R$1,MAX($R$3:R47)+1,"")</f>
        <v/>
      </c>
      <c r="S48" s="24">
        <v>46</v>
      </c>
      <c r="T48" s="39" t="s">
        <v>149</v>
      </c>
      <c r="U48" s="25" t="s">
        <v>150</v>
      </c>
      <c r="V48" s="25" t="s">
        <v>41</v>
      </c>
      <c r="W48" s="24">
        <v>1986</v>
      </c>
      <c r="X48" s="24" t="s">
        <v>29</v>
      </c>
      <c r="Y48" s="26">
        <v>43002</v>
      </c>
      <c r="Z48" s="26">
        <v>43070</v>
      </c>
      <c r="AA48" s="44">
        <v>43732</v>
      </c>
      <c r="AB48" s="27"/>
      <c r="AC48" s="28"/>
      <c r="AD48" s="26"/>
      <c r="AE48" s="28"/>
      <c r="AF48" s="26"/>
      <c r="AG48" s="26"/>
      <c r="AH48" s="26"/>
      <c r="AI48" s="27">
        <f>COUNTIF(DangKyThamGapThuongXuyen!$L$4:$L$5261,DaTa!$T48)</f>
        <v>0</v>
      </c>
    </row>
    <row r="49" spans="17:35" ht="12.75" x14ac:dyDescent="0.2">
      <c r="Q49" s="29"/>
      <c r="R49" s="30" t="str">
        <f>IF($V49=$R$1,MAX($R$3:R48)+1,"")</f>
        <v/>
      </c>
      <c r="S49" s="24">
        <v>47</v>
      </c>
      <c r="T49" s="39" t="s">
        <v>151</v>
      </c>
      <c r="U49" s="40" t="s">
        <v>152</v>
      </c>
      <c r="V49" s="40" t="s">
        <v>153</v>
      </c>
      <c r="W49" s="41">
        <v>1976</v>
      </c>
      <c r="X49" s="24" t="s">
        <v>29</v>
      </c>
      <c r="Y49" s="42">
        <v>43001</v>
      </c>
      <c r="Z49" s="42">
        <v>43070</v>
      </c>
      <c r="AA49" s="42">
        <v>43731</v>
      </c>
      <c r="AB49" s="27"/>
      <c r="AC49" s="43"/>
      <c r="AD49" s="26"/>
      <c r="AE49" s="43"/>
      <c r="AF49" s="26"/>
      <c r="AG49" s="26"/>
      <c r="AH49" s="26"/>
      <c r="AI49" s="27">
        <f>COUNTIF(DangKyThamGapThuongXuyen!$L$4:$L$5261,DaTa!$T49)</f>
        <v>0</v>
      </c>
    </row>
    <row r="50" spans="17:35" ht="15" x14ac:dyDescent="0.2">
      <c r="Q50" s="29"/>
      <c r="R50" s="30" t="str">
        <f>IF($V50=$R$1,MAX($R$3:R49)+1,"")</f>
        <v/>
      </c>
      <c r="S50" s="24">
        <v>48</v>
      </c>
      <c r="T50" s="39" t="s">
        <v>154</v>
      </c>
      <c r="U50" s="25" t="s">
        <v>155</v>
      </c>
      <c r="V50" s="25" t="s">
        <v>156</v>
      </c>
      <c r="W50" s="24">
        <v>1965</v>
      </c>
      <c r="X50" s="24" t="s">
        <v>29</v>
      </c>
      <c r="Y50" s="45">
        <v>43009</v>
      </c>
      <c r="Z50" s="26">
        <v>43070</v>
      </c>
      <c r="AA50" s="26">
        <v>43709</v>
      </c>
      <c r="AB50" s="27"/>
      <c r="AC50" s="28"/>
      <c r="AD50" s="26"/>
      <c r="AE50" s="28"/>
      <c r="AF50" s="26"/>
      <c r="AG50" s="26"/>
      <c r="AH50" s="26"/>
      <c r="AI50" s="27">
        <f>COUNTIF(DangKyThamGapThuongXuyen!$L$4:$L$5261,DaTa!$T50)</f>
        <v>0</v>
      </c>
    </row>
    <row r="51" spans="17:35" ht="15" x14ac:dyDescent="0.2">
      <c r="Q51" s="29"/>
      <c r="R51" s="30" t="str">
        <f>IF($V51=$R$1,MAX($R$3:R50)+1,"")</f>
        <v/>
      </c>
      <c r="S51" s="24">
        <v>49</v>
      </c>
      <c r="T51" s="39" t="s">
        <v>157</v>
      </c>
      <c r="U51" s="25" t="s">
        <v>158</v>
      </c>
      <c r="V51" s="25" t="s">
        <v>107</v>
      </c>
      <c r="W51" s="24">
        <v>1991</v>
      </c>
      <c r="X51" s="24" t="s">
        <v>29</v>
      </c>
      <c r="Y51" s="26">
        <v>43013</v>
      </c>
      <c r="Z51" s="26">
        <v>43070</v>
      </c>
      <c r="AA51" s="26">
        <v>43651</v>
      </c>
      <c r="AB51" s="27"/>
      <c r="AC51" s="28"/>
      <c r="AD51" s="26"/>
      <c r="AE51" s="28"/>
      <c r="AF51" s="26"/>
      <c r="AG51" s="26"/>
      <c r="AH51" s="26"/>
      <c r="AI51" s="27">
        <f>COUNTIF(DangKyThamGapThuongXuyen!$L$4:$L$5261,DaTa!$T51)</f>
        <v>0</v>
      </c>
    </row>
    <row r="52" spans="17:35" ht="15" x14ac:dyDescent="0.2">
      <c r="Q52" s="29"/>
      <c r="R52" s="30" t="str">
        <f>IF($V52=$R$1,MAX($R$3:R51)+1,"")</f>
        <v/>
      </c>
      <c r="S52" s="24">
        <v>50</v>
      </c>
      <c r="T52" s="39" t="s">
        <v>159</v>
      </c>
      <c r="U52" s="25" t="s">
        <v>160</v>
      </c>
      <c r="V52" s="25" t="s">
        <v>161</v>
      </c>
      <c r="W52" s="24">
        <v>1989</v>
      </c>
      <c r="X52" s="24" t="s">
        <v>21</v>
      </c>
      <c r="Y52" s="26">
        <v>42968</v>
      </c>
      <c r="Z52" s="26">
        <v>43075</v>
      </c>
      <c r="AA52" s="26">
        <v>43698</v>
      </c>
      <c r="AB52" s="27"/>
      <c r="AC52" s="28"/>
      <c r="AD52" s="26"/>
      <c r="AE52" s="28"/>
      <c r="AF52" s="26"/>
      <c r="AG52" s="26"/>
      <c r="AH52" s="26"/>
      <c r="AI52" s="27">
        <f>COUNTIF(DangKyThamGapThuongXuyen!$L$4:$L$5261,DaTa!$T52)</f>
        <v>0</v>
      </c>
    </row>
    <row r="53" spans="17:35" ht="12.75" x14ac:dyDescent="0.2">
      <c r="Q53" s="29"/>
      <c r="R53" s="30" t="str">
        <f>IF($V53=$R$1,MAX($R$3:R52)+1,"")</f>
        <v/>
      </c>
      <c r="S53" s="24">
        <v>51</v>
      </c>
      <c r="T53" s="39" t="s">
        <v>162</v>
      </c>
      <c r="U53" s="40" t="s">
        <v>163</v>
      </c>
      <c r="V53" s="40" t="s">
        <v>164</v>
      </c>
      <c r="W53" s="41">
        <v>1986</v>
      </c>
      <c r="X53" s="24" t="s">
        <v>25</v>
      </c>
      <c r="Y53" s="42">
        <v>43052</v>
      </c>
      <c r="Z53" s="42">
        <v>43082</v>
      </c>
      <c r="AA53" s="42">
        <v>43782</v>
      </c>
      <c r="AB53" s="27"/>
      <c r="AC53" s="43"/>
      <c r="AD53" s="26"/>
      <c r="AE53" s="43"/>
      <c r="AF53" s="26"/>
      <c r="AG53" s="26"/>
      <c r="AH53" s="26"/>
      <c r="AI53" s="27">
        <f>COUNTIF(DangKyThamGapThuongXuyen!$L$4:$L$5261,DaTa!$T53)</f>
        <v>2</v>
      </c>
    </row>
    <row r="54" spans="17:35" ht="15" x14ac:dyDescent="0.2">
      <c r="Q54" s="29"/>
      <c r="R54" s="30" t="str">
        <f>IF($V54=$R$1,MAX($R$3:R53)+1,"")</f>
        <v/>
      </c>
      <c r="S54" s="24">
        <v>52</v>
      </c>
      <c r="T54" s="39" t="s">
        <v>165</v>
      </c>
      <c r="U54" s="25" t="s">
        <v>166</v>
      </c>
      <c r="V54" s="25" t="s">
        <v>87</v>
      </c>
      <c r="W54" s="24">
        <v>1975</v>
      </c>
      <c r="X54" s="24" t="s">
        <v>25</v>
      </c>
      <c r="Y54" s="26">
        <v>43059</v>
      </c>
      <c r="Z54" s="26">
        <v>43082</v>
      </c>
      <c r="AA54" s="26">
        <v>43697</v>
      </c>
      <c r="AB54" s="27"/>
      <c r="AC54" s="28"/>
      <c r="AD54" s="26"/>
      <c r="AE54" s="28"/>
      <c r="AF54" s="26"/>
      <c r="AG54" s="26"/>
      <c r="AH54" s="26"/>
      <c r="AI54" s="27">
        <f>COUNTIF(DangKyThamGapThuongXuyen!$L$4:$L$5261,DaTa!$T54)</f>
        <v>0</v>
      </c>
    </row>
    <row r="55" spans="17:35" ht="15" x14ac:dyDescent="0.2">
      <c r="Q55" s="29"/>
      <c r="R55" s="30" t="str">
        <f>IF($V55=$R$1,MAX($R$3:R54)+1,"")</f>
        <v/>
      </c>
      <c r="S55" s="24">
        <v>53</v>
      </c>
      <c r="T55" s="39" t="s">
        <v>167</v>
      </c>
      <c r="U55" s="25" t="s">
        <v>63</v>
      </c>
      <c r="V55" s="25" t="s">
        <v>168</v>
      </c>
      <c r="W55" s="24">
        <v>1978</v>
      </c>
      <c r="X55" s="24" t="s">
        <v>25</v>
      </c>
      <c r="Y55" s="26">
        <v>42981</v>
      </c>
      <c r="Z55" s="26">
        <v>43084</v>
      </c>
      <c r="AA55" s="26">
        <v>43711</v>
      </c>
      <c r="AB55" s="27"/>
      <c r="AC55" s="28"/>
      <c r="AD55" s="26"/>
      <c r="AE55" s="28"/>
      <c r="AF55" s="26"/>
      <c r="AG55" s="26"/>
      <c r="AH55" s="26"/>
      <c r="AI55" s="27">
        <f>COUNTIF(DangKyThamGapThuongXuyen!$L$4:$L$5261,DaTa!$T55)</f>
        <v>0</v>
      </c>
    </row>
    <row r="56" spans="17:35" ht="12.75" x14ac:dyDescent="0.2">
      <c r="Q56" s="29"/>
      <c r="R56" s="30" t="str">
        <f>IF($V56=$R$1,MAX($R$3:R55)+1,"")</f>
        <v/>
      </c>
      <c r="S56" s="24">
        <v>54</v>
      </c>
      <c r="T56" s="39" t="s">
        <v>169</v>
      </c>
      <c r="U56" s="40" t="s">
        <v>170</v>
      </c>
      <c r="V56" s="40" t="s">
        <v>107</v>
      </c>
      <c r="W56" s="41">
        <v>1986</v>
      </c>
      <c r="X56" s="24" t="s">
        <v>42</v>
      </c>
      <c r="Y56" s="42">
        <v>43013</v>
      </c>
      <c r="Z56" s="42">
        <v>43084</v>
      </c>
      <c r="AA56" s="42">
        <v>43743</v>
      </c>
      <c r="AB56" s="27"/>
      <c r="AC56" s="43"/>
      <c r="AD56" s="26"/>
      <c r="AE56" s="43"/>
      <c r="AF56" s="26"/>
      <c r="AG56" s="26"/>
      <c r="AH56" s="26"/>
      <c r="AI56" s="27">
        <f>COUNTIF(DangKyThamGapThuongXuyen!$L$4:$L$5261,DaTa!$T56)</f>
        <v>0</v>
      </c>
    </row>
    <row r="57" spans="17:35" ht="15" x14ac:dyDescent="0.2">
      <c r="Q57" s="29"/>
      <c r="R57" s="30" t="str">
        <f>IF($V57=$R$1,MAX($R$3:R56)+1,"")</f>
        <v/>
      </c>
      <c r="S57" s="24">
        <v>55</v>
      </c>
      <c r="T57" s="39" t="s">
        <v>171</v>
      </c>
      <c r="U57" s="25" t="s">
        <v>172</v>
      </c>
      <c r="V57" s="25" t="s">
        <v>24</v>
      </c>
      <c r="W57" s="24">
        <v>1965</v>
      </c>
      <c r="X57" s="24" t="s">
        <v>42</v>
      </c>
      <c r="Y57" s="45">
        <v>43032</v>
      </c>
      <c r="Z57" s="26">
        <v>43088</v>
      </c>
      <c r="AA57" s="26">
        <v>43762</v>
      </c>
      <c r="AB57" s="27"/>
      <c r="AC57" s="28"/>
      <c r="AD57" s="26"/>
      <c r="AE57" s="28"/>
      <c r="AF57" s="26"/>
      <c r="AG57" s="26"/>
      <c r="AH57" s="26"/>
      <c r="AI57" s="27">
        <f>COUNTIF(DangKyThamGapThuongXuyen!$L$4:$L$5261,DaTa!$T57)</f>
        <v>1</v>
      </c>
    </row>
    <row r="58" spans="17:35" ht="15" x14ac:dyDescent="0.2">
      <c r="Q58" s="29"/>
      <c r="R58" s="23" t="str">
        <f>IF($V58=$R$1,MAX($R$3:R57)+1,"")</f>
        <v/>
      </c>
      <c r="S58" s="24">
        <v>56</v>
      </c>
      <c r="T58" s="39" t="s">
        <v>173</v>
      </c>
      <c r="U58" s="25" t="s">
        <v>174</v>
      </c>
      <c r="V58" s="25" t="s">
        <v>175</v>
      </c>
      <c r="W58" s="24">
        <v>1978</v>
      </c>
      <c r="X58" s="24" t="s">
        <v>42</v>
      </c>
      <c r="Y58" s="26">
        <v>43032</v>
      </c>
      <c r="Z58" s="26">
        <v>43088</v>
      </c>
      <c r="AA58" s="26">
        <v>43762</v>
      </c>
      <c r="AB58" s="27"/>
      <c r="AC58" s="28"/>
      <c r="AD58" s="26"/>
      <c r="AE58" s="28"/>
      <c r="AF58" s="26"/>
      <c r="AG58" s="26"/>
      <c r="AH58" s="26"/>
      <c r="AI58" s="27">
        <f>COUNTIF(DangKyThamGapThuongXuyen!$L$4:$L$5261,DaTa!$T58)</f>
        <v>0</v>
      </c>
    </row>
    <row r="59" spans="17:35" ht="15" x14ac:dyDescent="0.2">
      <c r="Q59" s="29"/>
      <c r="R59" s="30" t="str">
        <f>IF($V59=$R$1,MAX($R$3:R58)+1,"")</f>
        <v/>
      </c>
      <c r="S59" s="24">
        <v>57</v>
      </c>
      <c r="T59" s="39" t="s">
        <v>176</v>
      </c>
      <c r="U59" s="25" t="s">
        <v>63</v>
      </c>
      <c r="V59" s="25" t="s">
        <v>177</v>
      </c>
      <c r="W59" s="24">
        <v>1981</v>
      </c>
      <c r="X59" s="24" t="s">
        <v>42</v>
      </c>
      <c r="Y59" s="26">
        <v>43035</v>
      </c>
      <c r="Z59" s="26">
        <v>43088</v>
      </c>
      <c r="AA59" s="26">
        <v>43673</v>
      </c>
      <c r="AB59" s="27"/>
      <c r="AC59" s="28"/>
      <c r="AD59" s="26"/>
      <c r="AE59" s="28"/>
      <c r="AF59" s="26"/>
      <c r="AG59" s="26"/>
      <c r="AH59" s="26"/>
      <c r="AI59" s="27">
        <f>COUNTIF(DangKyThamGapThuongXuyen!$L$4:$L$5261,DaTa!$T59)</f>
        <v>0</v>
      </c>
    </row>
    <row r="60" spans="17:35" ht="15" x14ac:dyDescent="0.2">
      <c r="Q60" s="29"/>
      <c r="R60" s="30" t="str">
        <f>IF($V60=$R$1,MAX($R$3:R59)+1,"")</f>
        <v/>
      </c>
      <c r="S60" s="24">
        <v>58</v>
      </c>
      <c r="T60" s="39" t="s">
        <v>178</v>
      </c>
      <c r="U60" s="25" t="s">
        <v>63</v>
      </c>
      <c r="V60" s="25" t="s">
        <v>179</v>
      </c>
      <c r="W60" s="24">
        <v>1993</v>
      </c>
      <c r="X60" s="24" t="s">
        <v>73</v>
      </c>
      <c r="Y60" s="26">
        <v>42998</v>
      </c>
      <c r="Z60" s="26">
        <v>43091</v>
      </c>
      <c r="AA60" s="26">
        <v>43728</v>
      </c>
      <c r="AB60" s="27"/>
      <c r="AC60" s="28"/>
      <c r="AD60" s="26"/>
      <c r="AE60" s="28"/>
      <c r="AF60" s="26"/>
      <c r="AG60" s="26"/>
      <c r="AH60" s="26"/>
      <c r="AI60" s="27">
        <f>COUNTIF(DangKyThamGapThuongXuyen!$L$4:$L$5261,DaTa!$T60)</f>
        <v>1</v>
      </c>
    </row>
    <row r="61" spans="17:35" ht="15" x14ac:dyDescent="0.2">
      <c r="Q61" s="29"/>
      <c r="R61" s="30" t="str">
        <f>IF($V61=$R$1,MAX($R$3:R60)+1,"")</f>
        <v/>
      </c>
      <c r="S61" s="24">
        <v>59</v>
      </c>
      <c r="T61" s="39" t="s">
        <v>180</v>
      </c>
      <c r="U61" s="25" t="s">
        <v>59</v>
      </c>
      <c r="V61" s="25" t="s">
        <v>181</v>
      </c>
      <c r="W61" s="24">
        <v>1974</v>
      </c>
      <c r="X61" s="24" t="s">
        <v>73</v>
      </c>
      <c r="Y61" s="26">
        <v>43035</v>
      </c>
      <c r="Z61" s="26">
        <v>43091</v>
      </c>
      <c r="AA61" s="26">
        <v>43765</v>
      </c>
      <c r="AB61" s="27"/>
      <c r="AC61" s="28"/>
      <c r="AD61" s="26"/>
      <c r="AE61" s="28"/>
      <c r="AF61" s="26"/>
      <c r="AG61" s="26"/>
      <c r="AH61" s="26"/>
      <c r="AI61" s="27">
        <f>COUNTIF(DangKyThamGapThuongXuyen!$L$4:$L$5261,DaTa!$T61)</f>
        <v>0</v>
      </c>
    </row>
    <row r="62" spans="17:35" ht="15" x14ac:dyDescent="0.2">
      <c r="Q62" s="29"/>
      <c r="R62" s="30" t="str">
        <f>IF($V62=$R$1,MAX($R$3:R61)+1,"")</f>
        <v/>
      </c>
      <c r="S62" s="24">
        <v>60</v>
      </c>
      <c r="T62" s="39" t="s">
        <v>182</v>
      </c>
      <c r="U62" s="25" t="s">
        <v>183</v>
      </c>
      <c r="V62" s="25" t="s">
        <v>184</v>
      </c>
      <c r="W62" s="24">
        <v>1992</v>
      </c>
      <c r="X62" s="24" t="s">
        <v>21</v>
      </c>
      <c r="Y62" s="26">
        <v>43042</v>
      </c>
      <c r="Z62" s="26">
        <v>43096</v>
      </c>
      <c r="AA62" s="26">
        <v>43680</v>
      </c>
      <c r="AB62" s="27"/>
      <c r="AC62" s="28"/>
      <c r="AD62" s="26"/>
      <c r="AE62" s="28"/>
      <c r="AF62" s="26"/>
      <c r="AG62" s="26"/>
      <c r="AH62" s="26"/>
      <c r="AI62" s="27">
        <f>COUNTIF(DangKyThamGapThuongXuyen!$L$4:$L$5261,DaTa!$T62)</f>
        <v>0</v>
      </c>
    </row>
    <row r="63" spans="17:35" ht="15" x14ac:dyDescent="0.2">
      <c r="Q63" s="29"/>
      <c r="R63" s="30" t="str">
        <f>IF($V63=$R$1,MAX($R$3:R62)+1,"")</f>
        <v/>
      </c>
      <c r="S63" s="24">
        <v>61</v>
      </c>
      <c r="T63" s="39" t="s">
        <v>185</v>
      </c>
      <c r="U63" s="25" t="s">
        <v>186</v>
      </c>
      <c r="V63" s="25" t="s">
        <v>187</v>
      </c>
      <c r="W63" s="24">
        <v>1987</v>
      </c>
      <c r="X63" s="24" t="s">
        <v>25</v>
      </c>
      <c r="Y63" s="26">
        <v>42992</v>
      </c>
      <c r="Z63" s="26">
        <v>43098</v>
      </c>
      <c r="AA63" s="26">
        <v>43722</v>
      </c>
      <c r="AB63" s="27"/>
      <c r="AC63" s="28"/>
      <c r="AD63" s="26"/>
      <c r="AE63" s="28"/>
      <c r="AF63" s="26"/>
      <c r="AG63" s="26"/>
      <c r="AH63" s="26"/>
      <c r="AI63" s="27">
        <f>COUNTIF(DangKyThamGapThuongXuyen!$L$4:$L$5261,DaTa!$T63)</f>
        <v>0</v>
      </c>
    </row>
    <row r="64" spans="17:35" ht="15" x14ac:dyDescent="0.2">
      <c r="Q64" s="29"/>
      <c r="R64" s="30" t="str">
        <f>IF($V64=$R$1,MAX($R$3:R63)+1,"")</f>
        <v/>
      </c>
      <c r="S64" s="24">
        <v>62</v>
      </c>
      <c r="T64" s="39" t="s">
        <v>188</v>
      </c>
      <c r="U64" s="25" t="s">
        <v>111</v>
      </c>
      <c r="V64" s="25" t="s">
        <v>38</v>
      </c>
      <c r="W64" s="24">
        <v>1977</v>
      </c>
      <c r="X64" s="24" t="s">
        <v>25</v>
      </c>
      <c r="Y64" s="26">
        <v>43006</v>
      </c>
      <c r="Z64" s="26">
        <v>43098</v>
      </c>
      <c r="AA64" s="26">
        <v>43736</v>
      </c>
      <c r="AB64" s="24"/>
      <c r="AC64" s="28"/>
      <c r="AD64" s="26"/>
      <c r="AE64" s="28"/>
      <c r="AF64" s="26"/>
      <c r="AG64" s="26"/>
      <c r="AH64" s="26"/>
      <c r="AI64" s="27">
        <f>COUNTIF(DangKyThamGapThuongXuyen!$L$4:$L$5261,DaTa!$T64)</f>
        <v>0</v>
      </c>
    </row>
    <row r="65" spans="17:35" ht="15" x14ac:dyDescent="0.2">
      <c r="Q65" s="29"/>
      <c r="R65" s="30" t="str">
        <f>IF($V65=$R$1,MAX($R$3:R64)+1,"")</f>
        <v/>
      </c>
      <c r="S65" s="24">
        <v>63</v>
      </c>
      <c r="T65" s="39" t="s">
        <v>189</v>
      </c>
      <c r="U65" s="25" t="s">
        <v>63</v>
      </c>
      <c r="V65" s="25" t="s">
        <v>190</v>
      </c>
      <c r="W65" s="24">
        <v>1968</v>
      </c>
      <c r="X65" s="24" t="s">
        <v>25</v>
      </c>
      <c r="Y65" s="26">
        <v>43005</v>
      </c>
      <c r="Z65" s="26">
        <v>43098</v>
      </c>
      <c r="AA65" s="26">
        <v>43735</v>
      </c>
      <c r="AB65" s="27"/>
      <c r="AC65" s="28"/>
      <c r="AD65" s="26"/>
      <c r="AE65" s="28"/>
      <c r="AF65" s="26"/>
      <c r="AG65" s="26"/>
      <c r="AH65" s="26"/>
      <c r="AI65" s="27">
        <f>COUNTIF(DangKyThamGapThuongXuyen!$L$4:$L$5261,DaTa!$T65)</f>
        <v>0</v>
      </c>
    </row>
    <row r="66" spans="17:35" ht="15" x14ac:dyDescent="0.2">
      <c r="Q66" s="29"/>
      <c r="R66" s="30" t="str">
        <f>IF($V66=$R$1,MAX($R$3:R65)+1,"")</f>
        <v/>
      </c>
      <c r="S66" s="24">
        <v>64</v>
      </c>
      <c r="T66" s="39" t="s">
        <v>191</v>
      </c>
      <c r="U66" s="25" t="s">
        <v>192</v>
      </c>
      <c r="V66" s="25" t="s">
        <v>193</v>
      </c>
      <c r="W66" s="24">
        <v>1973</v>
      </c>
      <c r="X66" s="24" t="s">
        <v>21</v>
      </c>
      <c r="Y66" s="26">
        <v>42986</v>
      </c>
      <c r="Z66" s="26">
        <v>43104</v>
      </c>
      <c r="AA66" s="26">
        <v>43716</v>
      </c>
      <c r="AB66" s="27"/>
      <c r="AC66" s="28"/>
      <c r="AD66" s="26"/>
      <c r="AE66" s="28"/>
      <c r="AF66" s="26"/>
      <c r="AG66" s="26"/>
      <c r="AH66" s="26"/>
      <c r="AI66" s="27">
        <f>COUNTIF(DangKyThamGapThuongXuyen!$L$4:$L$5261,DaTa!$T66)</f>
        <v>0</v>
      </c>
    </row>
    <row r="67" spans="17:35" ht="15" x14ac:dyDescent="0.2">
      <c r="Q67" s="29"/>
      <c r="R67" s="30" t="str">
        <f>IF($V67=$R$1,MAX($R$3:R66)+1,"")</f>
        <v/>
      </c>
      <c r="S67" s="24">
        <v>65</v>
      </c>
      <c r="T67" s="39" t="s">
        <v>194</v>
      </c>
      <c r="U67" s="25" t="s">
        <v>47</v>
      </c>
      <c r="V67" s="25" t="s">
        <v>195</v>
      </c>
      <c r="W67" s="24">
        <v>1974</v>
      </c>
      <c r="X67" s="24" t="s">
        <v>21</v>
      </c>
      <c r="Y67" s="26">
        <v>43026</v>
      </c>
      <c r="Z67" s="26">
        <v>43104</v>
      </c>
      <c r="AA67" s="26">
        <v>43756</v>
      </c>
      <c r="AB67" s="27"/>
      <c r="AC67" s="28"/>
      <c r="AD67" s="26"/>
      <c r="AE67" s="28"/>
      <c r="AF67" s="26"/>
      <c r="AG67" s="26"/>
      <c r="AH67" s="26"/>
      <c r="AI67" s="27">
        <f>COUNTIF(DangKyThamGapThuongXuyen!$L$4:$L$5261,DaTa!$T67)</f>
        <v>3</v>
      </c>
    </row>
    <row r="68" spans="17:35" ht="15" x14ac:dyDescent="0.2">
      <c r="Q68" s="29"/>
      <c r="R68" s="30" t="str">
        <f>IF($V68=$R$1,MAX($R$3:R67)+1,"")</f>
        <v/>
      </c>
      <c r="S68" s="24">
        <v>66</v>
      </c>
      <c r="T68" s="39" t="s">
        <v>196</v>
      </c>
      <c r="U68" s="25" t="s">
        <v>197</v>
      </c>
      <c r="V68" s="25" t="s">
        <v>24</v>
      </c>
      <c r="W68" s="24">
        <v>1962</v>
      </c>
      <c r="X68" s="24" t="s">
        <v>21</v>
      </c>
      <c r="Y68" s="26">
        <v>43000</v>
      </c>
      <c r="Z68" s="26">
        <v>43104</v>
      </c>
      <c r="AA68" s="44">
        <v>43730</v>
      </c>
      <c r="AB68" s="27"/>
      <c r="AC68" s="28"/>
      <c r="AD68" s="26"/>
      <c r="AE68" s="28"/>
      <c r="AF68" s="26"/>
      <c r="AG68" s="26"/>
      <c r="AH68" s="26"/>
      <c r="AI68" s="27">
        <f>COUNTIF(DangKyThamGapThuongXuyen!$L$4:$L$5261,DaTa!$T68)</f>
        <v>0</v>
      </c>
    </row>
    <row r="69" spans="17:35" ht="12.75" x14ac:dyDescent="0.2">
      <c r="Q69" s="29"/>
      <c r="R69" s="30" t="str">
        <f>IF($V69=$R$1,MAX($R$3:R68)+1,"")</f>
        <v/>
      </c>
      <c r="S69" s="24">
        <v>67</v>
      </c>
      <c r="T69" s="39" t="s">
        <v>198</v>
      </c>
      <c r="U69" s="40" t="s">
        <v>199</v>
      </c>
      <c r="V69" s="40" t="s">
        <v>195</v>
      </c>
      <c r="W69" s="41">
        <v>1983</v>
      </c>
      <c r="X69" s="24" t="s">
        <v>21</v>
      </c>
      <c r="Y69" s="42">
        <v>43038</v>
      </c>
      <c r="Z69" s="42">
        <v>43104</v>
      </c>
      <c r="AA69" s="42">
        <v>43676</v>
      </c>
      <c r="AB69" s="27"/>
      <c r="AC69" s="43"/>
      <c r="AD69" s="26"/>
      <c r="AE69" s="43"/>
      <c r="AF69" s="26"/>
      <c r="AG69" s="26"/>
      <c r="AH69" s="26"/>
      <c r="AI69" s="27">
        <f>COUNTIF(DangKyThamGapThuongXuyen!$L$4:$L$5261,DaTa!$T69)</f>
        <v>0</v>
      </c>
    </row>
    <row r="70" spans="17:35" ht="12.75" x14ac:dyDescent="0.2">
      <c r="Q70" s="29"/>
      <c r="R70" s="30" t="str">
        <f>IF($V70=$R$1,MAX($R$3:R69)+1,"")</f>
        <v/>
      </c>
      <c r="S70" s="24">
        <v>68</v>
      </c>
      <c r="T70" s="39" t="s">
        <v>200</v>
      </c>
      <c r="U70" s="40" t="s">
        <v>201</v>
      </c>
      <c r="V70" s="40" t="s">
        <v>93</v>
      </c>
      <c r="W70" s="41">
        <v>1980</v>
      </c>
      <c r="X70" s="24" t="s">
        <v>21</v>
      </c>
      <c r="Y70" s="42">
        <v>43075</v>
      </c>
      <c r="Z70" s="42">
        <v>43104</v>
      </c>
      <c r="AA70" s="42">
        <v>43805</v>
      </c>
      <c r="AB70" s="27"/>
      <c r="AC70" s="43"/>
      <c r="AD70" s="26"/>
      <c r="AE70" s="43"/>
      <c r="AF70" s="26"/>
      <c r="AG70" s="26"/>
      <c r="AH70" s="26"/>
      <c r="AI70" s="27">
        <f>COUNTIF(DangKyThamGapThuongXuyen!$L$4:$L$5261,DaTa!$T70)</f>
        <v>0</v>
      </c>
    </row>
    <row r="71" spans="17:35" ht="15" x14ac:dyDescent="0.2">
      <c r="Q71" s="29"/>
      <c r="R71" s="30" t="str">
        <f>IF($V71=$R$1,MAX($R$3:R70)+1,"")</f>
        <v/>
      </c>
      <c r="S71" s="24">
        <v>69</v>
      </c>
      <c r="T71" s="39" t="s">
        <v>202</v>
      </c>
      <c r="U71" s="25" t="s">
        <v>203</v>
      </c>
      <c r="V71" s="25" t="s">
        <v>38</v>
      </c>
      <c r="W71" s="24">
        <v>1982</v>
      </c>
      <c r="X71" s="24" t="s">
        <v>21</v>
      </c>
      <c r="Y71" s="26">
        <v>43012</v>
      </c>
      <c r="Z71" s="26">
        <v>43104</v>
      </c>
      <c r="AA71" s="26">
        <v>43681</v>
      </c>
      <c r="AB71" s="27"/>
      <c r="AC71" s="28"/>
      <c r="AD71" s="26"/>
      <c r="AE71" s="28"/>
      <c r="AF71" s="26"/>
      <c r="AG71" s="26"/>
      <c r="AH71" s="26"/>
      <c r="AI71" s="27">
        <f>COUNTIF(DangKyThamGapThuongXuyen!$L$4:$L$5261,DaTa!$T71)</f>
        <v>0</v>
      </c>
    </row>
    <row r="72" spans="17:35" ht="12.75" x14ac:dyDescent="0.2">
      <c r="Q72" s="29"/>
      <c r="R72" s="30" t="str">
        <f>IF($V72=$R$1,MAX($R$3:R71)+1,"")</f>
        <v/>
      </c>
      <c r="S72" s="24">
        <v>70</v>
      </c>
      <c r="T72" s="39" t="s">
        <v>204</v>
      </c>
      <c r="U72" s="40" t="s">
        <v>205</v>
      </c>
      <c r="V72" s="40" t="s">
        <v>206</v>
      </c>
      <c r="W72" s="41">
        <v>1990</v>
      </c>
      <c r="X72" s="24" t="s">
        <v>21</v>
      </c>
      <c r="Y72" s="42">
        <v>42984</v>
      </c>
      <c r="Z72" s="42">
        <v>43106</v>
      </c>
      <c r="AA72" s="42">
        <v>43714</v>
      </c>
      <c r="AB72" s="27"/>
      <c r="AC72" s="43"/>
      <c r="AD72" s="26"/>
      <c r="AE72" s="43"/>
      <c r="AF72" s="26"/>
      <c r="AG72" s="26"/>
      <c r="AH72" s="26"/>
      <c r="AI72" s="27">
        <f>COUNTIF(DangKyThamGapThuongXuyen!$L$4:$L$5261,DaTa!$T72)</f>
        <v>0</v>
      </c>
    </row>
    <row r="73" spans="17:35" ht="14.25" x14ac:dyDescent="0.2">
      <c r="Q73" s="29"/>
      <c r="R73" s="30" t="str">
        <f>IF($V73=$R$1,MAX($R$3:R72)+1,"")</f>
        <v/>
      </c>
      <c r="S73" s="24">
        <v>71</v>
      </c>
      <c r="T73" s="39" t="s">
        <v>207</v>
      </c>
      <c r="U73" s="40" t="s">
        <v>208</v>
      </c>
      <c r="V73" s="40" t="s">
        <v>209</v>
      </c>
      <c r="W73" s="41">
        <v>1979</v>
      </c>
      <c r="X73" s="24" t="s">
        <v>21</v>
      </c>
      <c r="Y73" s="42">
        <v>43080</v>
      </c>
      <c r="Z73" s="42">
        <v>43109</v>
      </c>
      <c r="AA73" s="42">
        <v>43810</v>
      </c>
      <c r="AB73" s="27"/>
      <c r="AC73" s="51"/>
      <c r="AD73" s="26"/>
      <c r="AE73" s="51"/>
      <c r="AF73" s="26"/>
      <c r="AG73" s="26"/>
      <c r="AH73" s="26"/>
      <c r="AI73" s="27">
        <f>COUNTIF(DangKyThamGapThuongXuyen!$L$4:$L$5261,DaTa!$T73)</f>
        <v>11</v>
      </c>
    </row>
    <row r="74" spans="17:35" ht="15" x14ac:dyDescent="0.2">
      <c r="Q74" s="29"/>
      <c r="R74" s="30" t="str">
        <f>IF($V74=$R$1,MAX($R$3:R73)+1,"")</f>
        <v/>
      </c>
      <c r="S74" s="24">
        <v>72</v>
      </c>
      <c r="T74" s="39" t="s">
        <v>210</v>
      </c>
      <c r="U74" s="25" t="s">
        <v>211</v>
      </c>
      <c r="V74" s="25" t="s">
        <v>24</v>
      </c>
      <c r="W74" s="24">
        <v>1975</v>
      </c>
      <c r="X74" s="24" t="s">
        <v>42</v>
      </c>
      <c r="Y74" s="26">
        <v>43044</v>
      </c>
      <c r="Z74" s="26">
        <v>43112</v>
      </c>
      <c r="AA74" s="26">
        <v>43713</v>
      </c>
      <c r="AB74" s="27"/>
      <c r="AC74" s="28"/>
      <c r="AD74" s="26"/>
      <c r="AE74" s="28"/>
      <c r="AF74" s="26"/>
      <c r="AG74" s="26"/>
      <c r="AH74" s="26"/>
      <c r="AI74" s="27">
        <f>COUNTIF(DangKyThamGapThuongXuyen!$L$4:$L$5261,DaTa!$T74)</f>
        <v>0</v>
      </c>
    </row>
    <row r="75" spans="17:35" ht="15" x14ac:dyDescent="0.2">
      <c r="Q75" s="29"/>
      <c r="R75" s="30" t="str">
        <f>IF($V75=$R$1,MAX($R$3:R74)+1,"")</f>
        <v/>
      </c>
      <c r="S75" s="24">
        <v>73</v>
      </c>
      <c r="T75" s="39" t="s">
        <v>212</v>
      </c>
      <c r="U75" s="25" t="s">
        <v>213</v>
      </c>
      <c r="V75" s="25" t="s">
        <v>214</v>
      </c>
      <c r="W75" s="24">
        <v>1970</v>
      </c>
      <c r="X75" s="24" t="s">
        <v>21</v>
      </c>
      <c r="Y75" s="26">
        <v>43033</v>
      </c>
      <c r="Z75" s="26">
        <v>43112</v>
      </c>
      <c r="AA75" s="26">
        <v>43671</v>
      </c>
      <c r="AB75" s="27"/>
      <c r="AC75" s="28"/>
      <c r="AD75" s="26"/>
      <c r="AE75" s="28"/>
      <c r="AF75" s="26"/>
      <c r="AG75" s="26"/>
      <c r="AH75" s="26"/>
      <c r="AI75" s="27">
        <f>COUNTIF(DangKyThamGapThuongXuyen!$L$4:$L$5261,DaTa!$T75)</f>
        <v>0</v>
      </c>
    </row>
    <row r="76" spans="17:35" ht="15" x14ac:dyDescent="0.2">
      <c r="Q76" s="29"/>
      <c r="R76" s="30" t="str">
        <f>IF($V76=$R$1,MAX($R$3:R75)+1,"")</f>
        <v/>
      </c>
      <c r="S76" s="24">
        <v>74</v>
      </c>
      <c r="T76" s="39" t="s">
        <v>215</v>
      </c>
      <c r="U76" s="25" t="s">
        <v>216</v>
      </c>
      <c r="V76" s="25" t="s">
        <v>38</v>
      </c>
      <c r="W76" s="24">
        <v>1980</v>
      </c>
      <c r="X76" s="24" t="s">
        <v>21</v>
      </c>
      <c r="Y76" s="26">
        <v>43056</v>
      </c>
      <c r="Z76" s="26">
        <v>43112</v>
      </c>
      <c r="AA76" s="26">
        <v>43663</v>
      </c>
      <c r="AB76" s="27"/>
      <c r="AC76" s="28"/>
      <c r="AD76" s="26"/>
      <c r="AE76" s="28"/>
      <c r="AF76" s="26"/>
      <c r="AG76" s="26"/>
      <c r="AH76" s="26"/>
      <c r="AI76" s="27">
        <f>COUNTIF(DangKyThamGapThuongXuyen!$L$4:$L$5261,DaTa!$T76)</f>
        <v>0</v>
      </c>
    </row>
    <row r="77" spans="17:35" ht="12.75" x14ac:dyDescent="0.2">
      <c r="Q77" s="29"/>
      <c r="R77" s="30" t="str">
        <f>IF($V77=$R$1,MAX($R$3:R76)+1,"")</f>
        <v/>
      </c>
      <c r="S77" s="24">
        <v>75</v>
      </c>
      <c r="T77" s="39" t="s">
        <v>217</v>
      </c>
      <c r="U77" s="40" t="s">
        <v>218</v>
      </c>
      <c r="V77" s="40" t="s">
        <v>219</v>
      </c>
      <c r="W77" s="41">
        <v>1978</v>
      </c>
      <c r="X77" s="24" t="s">
        <v>25</v>
      </c>
      <c r="Y77" s="42">
        <v>43062</v>
      </c>
      <c r="Z77" s="42">
        <v>43117</v>
      </c>
      <c r="AA77" s="42">
        <v>43700</v>
      </c>
      <c r="AB77" s="27"/>
      <c r="AC77" s="43"/>
      <c r="AD77" s="26"/>
      <c r="AE77" s="43"/>
      <c r="AF77" s="26"/>
      <c r="AG77" s="26"/>
      <c r="AH77" s="26"/>
      <c r="AI77" s="27">
        <f>COUNTIF(DangKyThamGapThuongXuyen!$L$4:$L$5261,DaTa!$T77)</f>
        <v>0</v>
      </c>
    </row>
    <row r="78" spans="17:35" ht="15" x14ac:dyDescent="0.2">
      <c r="Q78" s="29"/>
      <c r="R78" s="30" t="str">
        <f>IF($V78=$R$1,MAX($R$3:R77)+1,"")</f>
        <v/>
      </c>
      <c r="S78" s="24">
        <v>76</v>
      </c>
      <c r="T78" s="39" t="s">
        <v>220</v>
      </c>
      <c r="U78" s="25" t="s">
        <v>221</v>
      </c>
      <c r="V78" s="25" t="s">
        <v>222</v>
      </c>
      <c r="W78" s="24">
        <v>1971</v>
      </c>
      <c r="X78" s="24" t="s">
        <v>25</v>
      </c>
      <c r="Y78" s="26">
        <v>43063</v>
      </c>
      <c r="Z78" s="26">
        <v>43117</v>
      </c>
      <c r="AA78" s="26">
        <v>43701</v>
      </c>
      <c r="AB78" s="27"/>
      <c r="AC78" s="28"/>
      <c r="AD78" s="26"/>
      <c r="AE78" s="28"/>
      <c r="AF78" s="26"/>
      <c r="AG78" s="26"/>
      <c r="AH78" s="26"/>
      <c r="AI78" s="27">
        <f>COUNTIF(DangKyThamGapThuongXuyen!$L$4:$L$5261,DaTa!$T78)</f>
        <v>2</v>
      </c>
    </row>
    <row r="79" spans="17:35" ht="15" x14ac:dyDescent="0.2">
      <c r="Q79" s="29"/>
      <c r="R79" s="30" t="str">
        <f>IF($V79=$R$1,MAX($R$3:R78)+1,"")</f>
        <v/>
      </c>
      <c r="S79" s="24">
        <v>77</v>
      </c>
      <c r="T79" s="39" t="s">
        <v>223</v>
      </c>
      <c r="U79" s="25" t="s">
        <v>224</v>
      </c>
      <c r="V79" s="25" t="s">
        <v>225</v>
      </c>
      <c r="W79" s="24">
        <v>1987</v>
      </c>
      <c r="X79" s="24" t="s">
        <v>25</v>
      </c>
      <c r="Y79" s="26">
        <v>43062</v>
      </c>
      <c r="Z79" s="26">
        <v>43117</v>
      </c>
      <c r="AA79" s="26">
        <v>43700</v>
      </c>
      <c r="AB79" s="27"/>
      <c r="AC79" s="28"/>
      <c r="AD79" s="26"/>
      <c r="AE79" s="28"/>
      <c r="AF79" s="26"/>
      <c r="AG79" s="26"/>
      <c r="AH79" s="26"/>
      <c r="AI79" s="27">
        <f>COUNTIF(DangKyThamGapThuongXuyen!$L$4:$L$5261,DaTa!$T79)</f>
        <v>0</v>
      </c>
    </row>
    <row r="80" spans="17:35" ht="15" x14ac:dyDescent="0.2">
      <c r="Q80" s="29"/>
      <c r="R80" s="30" t="str">
        <f>IF($V80=$R$1,MAX($R$3:R79)+1,"")</f>
        <v/>
      </c>
      <c r="S80" s="24">
        <v>78</v>
      </c>
      <c r="T80" s="39" t="s">
        <v>226</v>
      </c>
      <c r="U80" s="25" t="s">
        <v>227</v>
      </c>
      <c r="V80" s="25" t="s">
        <v>228</v>
      </c>
      <c r="W80" s="24">
        <v>1976</v>
      </c>
      <c r="X80" s="24" t="s">
        <v>25</v>
      </c>
      <c r="Y80" s="26">
        <v>43028</v>
      </c>
      <c r="Z80" s="26">
        <v>43117</v>
      </c>
      <c r="AA80" s="26">
        <v>43758</v>
      </c>
      <c r="AB80" s="27"/>
      <c r="AC80" s="28"/>
      <c r="AD80" s="26"/>
      <c r="AE80" s="28"/>
      <c r="AF80" s="26"/>
      <c r="AG80" s="26"/>
      <c r="AH80" s="26"/>
      <c r="AI80" s="27">
        <f>COUNTIF(DangKyThamGapThuongXuyen!$L$4:$L$5261,DaTa!$T80)</f>
        <v>1</v>
      </c>
    </row>
    <row r="81" spans="17:35" ht="15" x14ac:dyDescent="0.2">
      <c r="Q81" s="29"/>
      <c r="R81" s="30" t="str">
        <f>IF($V81=$R$1,MAX($R$3:R80)+1,"")</f>
        <v/>
      </c>
      <c r="S81" s="24">
        <v>79</v>
      </c>
      <c r="T81" s="39" t="s">
        <v>229</v>
      </c>
      <c r="U81" s="25" t="s">
        <v>63</v>
      </c>
      <c r="V81" s="25" t="s">
        <v>101</v>
      </c>
      <c r="W81" s="24">
        <v>1978</v>
      </c>
      <c r="X81" s="24" t="s">
        <v>25</v>
      </c>
      <c r="Y81" s="26">
        <v>43022</v>
      </c>
      <c r="Z81" s="26">
        <v>43117</v>
      </c>
      <c r="AA81" s="26">
        <v>43660</v>
      </c>
      <c r="AB81" s="27"/>
      <c r="AC81" s="28"/>
      <c r="AD81" s="26"/>
      <c r="AE81" s="28"/>
      <c r="AF81" s="26"/>
      <c r="AG81" s="26"/>
      <c r="AH81" s="26"/>
      <c r="AI81" s="27">
        <f>COUNTIF(DangKyThamGapThuongXuyen!$L$4:$L$5261,DaTa!$T81)</f>
        <v>0</v>
      </c>
    </row>
    <row r="82" spans="17:35" ht="15" x14ac:dyDescent="0.2">
      <c r="Q82" s="29"/>
      <c r="R82" s="30" t="str">
        <f>IF($V82=$R$1,MAX($R$3:R81)+1,"")</f>
        <v/>
      </c>
      <c r="S82" s="24">
        <v>80</v>
      </c>
      <c r="T82" s="39" t="s">
        <v>230</v>
      </c>
      <c r="U82" s="25" t="s">
        <v>152</v>
      </c>
      <c r="V82" s="25" t="s">
        <v>231</v>
      </c>
      <c r="W82" s="24">
        <v>1983</v>
      </c>
      <c r="X82" s="24" t="s">
        <v>25</v>
      </c>
      <c r="Y82" s="26">
        <v>43055</v>
      </c>
      <c r="Z82" s="26">
        <v>43118</v>
      </c>
      <c r="AA82" s="26">
        <v>43754</v>
      </c>
      <c r="AB82" s="27"/>
      <c r="AC82" s="28"/>
      <c r="AD82" s="26"/>
      <c r="AE82" s="28"/>
      <c r="AF82" s="26"/>
      <c r="AG82" s="26"/>
      <c r="AH82" s="26"/>
      <c r="AI82" s="27">
        <f>COUNTIF(DangKyThamGapThuongXuyen!$L$4:$L$5261,DaTa!$T82)</f>
        <v>0</v>
      </c>
    </row>
    <row r="83" spans="17:35" ht="15" x14ac:dyDescent="0.2">
      <c r="Q83" s="29"/>
      <c r="R83" s="30" t="str">
        <f>IF($V83=$R$1,MAX($R$3:R82)+1,"")</f>
        <v/>
      </c>
      <c r="S83" s="24">
        <v>81</v>
      </c>
      <c r="T83" s="39" t="s">
        <v>232</v>
      </c>
      <c r="U83" s="25" t="s">
        <v>233</v>
      </c>
      <c r="V83" s="25" t="s">
        <v>93</v>
      </c>
      <c r="W83" s="24">
        <v>1981</v>
      </c>
      <c r="X83" s="24" t="s">
        <v>25</v>
      </c>
      <c r="Y83" s="46">
        <v>43060</v>
      </c>
      <c r="Z83" s="26">
        <v>43118</v>
      </c>
      <c r="AA83" s="47">
        <v>43729</v>
      </c>
      <c r="AB83" s="27"/>
      <c r="AC83" s="28"/>
      <c r="AD83" s="26"/>
      <c r="AE83" s="28"/>
      <c r="AF83" s="26"/>
      <c r="AG83" s="26"/>
      <c r="AH83" s="26"/>
      <c r="AI83" s="27">
        <f>COUNTIF(DangKyThamGapThuongXuyen!$L$4:$L$5261,DaTa!$T83)</f>
        <v>0</v>
      </c>
    </row>
    <row r="84" spans="17:35" ht="15" x14ac:dyDescent="0.2">
      <c r="Q84" s="29"/>
      <c r="R84" s="52" t="str">
        <f>IF($V84=$R$1,MAX($R$3:R83)+1,"")</f>
        <v/>
      </c>
      <c r="S84" s="24">
        <v>82</v>
      </c>
      <c r="T84" s="39" t="s">
        <v>234</v>
      </c>
      <c r="U84" s="25" t="s">
        <v>235</v>
      </c>
      <c r="V84" s="25" t="s">
        <v>236</v>
      </c>
      <c r="W84" s="24">
        <v>1995</v>
      </c>
      <c r="X84" s="24" t="s">
        <v>25</v>
      </c>
      <c r="Y84" s="46">
        <v>43021</v>
      </c>
      <c r="Z84" s="26">
        <v>43118</v>
      </c>
      <c r="AA84" s="47">
        <v>43659</v>
      </c>
      <c r="AB84" s="27"/>
      <c r="AC84" s="28"/>
      <c r="AD84" s="26"/>
      <c r="AE84" s="28"/>
      <c r="AF84" s="26"/>
      <c r="AG84" s="26"/>
      <c r="AH84" s="26"/>
      <c r="AI84" s="27">
        <f>COUNTIF(DangKyThamGapThuongXuyen!$L$4:$L$5261,DaTa!$T84)</f>
        <v>0</v>
      </c>
    </row>
    <row r="85" spans="17:35" ht="15" x14ac:dyDescent="0.2">
      <c r="Q85" s="29"/>
      <c r="R85" s="30" t="str">
        <f>IF($V85=$R$1,MAX($R$3:R84)+1,"")</f>
        <v/>
      </c>
      <c r="S85" s="24">
        <v>83</v>
      </c>
      <c r="T85" s="39" t="s">
        <v>237</v>
      </c>
      <c r="U85" s="25" t="s">
        <v>238</v>
      </c>
      <c r="V85" s="25" t="s">
        <v>239</v>
      </c>
      <c r="W85" s="24">
        <v>1988</v>
      </c>
      <c r="X85" s="24" t="s">
        <v>42</v>
      </c>
      <c r="Y85" s="46">
        <v>43038</v>
      </c>
      <c r="Z85" s="26">
        <v>43123</v>
      </c>
      <c r="AA85" s="47">
        <v>43676</v>
      </c>
      <c r="AB85" s="27"/>
      <c r="AC85" s="28"/>
      <c r="AD85" s="26"/>
      <c r="AE85" s="28"/>
      <c r="AF85" s="26"/>
      <c r="AG85" s="26"/>
      <c r="AH85" s="26"/>
      <c r="AI85" s="27">
        <f>COUNTIF(DangKyThamGapThuongXuyen!$L$4:$L$5261,DaTa!$T85)</f>
        <v>0</v>
      </c>
    </row>
    <row r="86" spans="17:35" ht="15" x14ac:dyDescent="0.2">
      <c r="Q86" s="29"/>
      <c r="R86" s="30" t="str">
        <f>IF($V86=$R$1,MAX($R$3:R85)+1,"")</f>
        <v/>
      </c>
      <c r="S86" s="24">
        <v>84</v>
      </c>
      <c r="T86" s="39" t="s">
        <v>240</v>
      </c>
      <c r="U86" s="25" t="s">
        <v>241</v>
      </c>
      <c r="V86" s="25" t="s">
        <v>242</v>
      </c>
      <c r="W86" s="24">
        <v>1981</v>
      </c>
      <c r="X86" s="24" t="s">
        <v>73</v>
      </c>
      <c r="Y86" s="26">
        <v>43067</v>
      </c>
      <c r="Z86" s="26">
        <v>43123</v>
      </c>
      <c r="AA86" s="26">
        <v>43705</v>
      </c>
      <c r="AB86" s="27"/>
      <c r="AC86" s="28" t="s">
        <v>243</v>
      </c>
      <c r="AD86" s="26"/>
      <c r="AE86" s="28"/>
      <c r="AF86" s="26"/>
      <c r="AG86" s="26"/>
      <c r="AH86" s="26"/>
      <c r="AI86" s="27">
        <f>COUNTIF(DangKyThamGapThuongXuyen!$L$4:$L$5261,DaTa!$T86)</f>
        <v>0</v>
      </c>
    </row>
    <row r="87" spans="17:35" ht="15" x14ac:dyDescent="0.2">
      <c r="Q87" s="29"/>
      <c r="R87" s="30" t="str">
        <f>IF($V87=$R$1,MAX($R$3:R86)+1,"")</f>
        <v/>
      </c>
      <c r="S87" s="24">
        <v>85</v>
      </c>
      <c r="T87" s="39" t="s">
        <v>244</v>
      </c>
      <c r="U87" s="25" t="s">
        <v>245</v>
      </c>
      <c r="V87" s="25" t="s">
        <v>246</v>
      </c>
      <c r="W87" s="24">
        <v>1968</v>
      </c>
      <c r="X87" s="24" t="s">
        <v>73</v>
      </c>
      <c r="Y87" s="26">
        <v>43096</v>
      </c>
      <c r="Z87" s="26">
        <v>43124</v>
      </c>
      <c r="AA87" s="26">
        <v>43735</v>
      </c>
      <c r="AB87" s="27"/>
      <c r="AC87" s="28"/>
      <c r="AD87" s="26"/>
      <c r="AE87" s="28"/>
      <c r="AF87" s="26"/>
      <c r="AG87" s="26"/>
      <c r="AH87" s="26"/>
      <c r="AI87" s="27">
        <f>COUNTIF(DangKyThamGapThuongXuyen!$L$4:$L$5261,DaTa!$T87)</f>
        <v>0</v>
      </c>
    </row>
    <row r="88" spans="17:35" ht="15" x14ac:dyDescent="0.2">
      <c r="Q88" s="29"/>
      <c r="R88" s="30" t="str">
        <f>IF($V88=$R$1,MAX($R$3:R87)+1,"")</f>
        <v/>
      </c>
      <c r="S88" s="24">
        <v>86</v>
      </c>
      <c r="T88" s="39" t="s">
        <v>247</v>
      </c>
      <c r="U88" s="25" t="s">
        <v>248</v>
      </c>
      <c r="V88" s="25" t="s">
        <v>222</v>
      </c>
      <c r="W88" s="24">
        <v>1973</v>
      </c>
      <c r="X88" s="24" t="s">
        <v>73</v>
      </c>
      <c r="Y88" s="26">
        <v>43045</v>
      </c>
      <c r="Z88" s="26">
        <v>43126</v>
      </c>
      <c r="AA88" s="26">
        <v>43775</v>
      </c>
      <c r="AB88" s="27"/>
      <c r="AC88" s="28"/>
      <c r="AD88" s="26"/>
      <c r="AE88" s="28"/>
      <c r="AF88" s="26"/>
      <c r="AG88" s="26"/>
      <c r="AH88" s="26"/>
      <c r="AI88" s="27">
        <f>COUNTIF(DangKyThamGapThuongXuyen!$L$4:$L$5261,DaTa!$T88)</f>
        <v>0</v>
      </c>
    </row>
    <row r="89" spans="17:35" ht="15" x14ac:dyDescent="0.2">
      <c r="Q89" s="29"/>
      <c r="R89" s="30" t="str">
        <f>IF($V89=$R$1,MAX($R$3:R88)+1,"")</f>
        <v/>
      </c>
      <c r="S89" s="24">
        <v>87</v>
      </c>
      <c r="T89" s="39" t="s">
        <v>249</v>
      </c>
      <c r="U89" s="25" t="s">
        <v>63</v>
      </c>
      <c r="V89" s="25" t="s">
        <v>54</v>
      </c>
      <c r="W89" s="24">
        <v>1989</v>
      </c>
      <c r="X89" s="24" t="s">
        <v>73</v>
      </c>
      <c r="Y89" s="26">
        <v>43074</v>
      </c>
      <c r="Z89" s="26">
        <v>43137</v>
      </c>
      <c r="AA89" s="26">
        <v>43804</v>
      </c>
      <c r="AB89" s="27"/>
      <c r="AC89" s="53"/>
      <c r="AD89" s="26"/>
      <c r="AE89" s="53"/>
      <c r="AF89" s="26"/>
      <c r="AG89" s="26"/>
      <c r="AH89" s="26"/>
      <c r="AI89" s="27">
        <f>COUNTIF(DangKyThamGapThuongXuyen!$L$4:$L$5261,DaTa!$T89)</f>
        <v>0</v>
      </c>
    </row>
    <row r="90" spans="17:35" ht="15" x14ac:dyDescent="0.2">
      <c r="Q90" s="29"/>
      <c r="R90" s="30" t="str">
        <f>IF($V90=$R$1,MAX($R$3:R89)+1,"")</f>
        <v/>
      </c>
      <c r="S90" s="24">
        <v>88</v>
      </c>
      <c r="T90" s="39" t="s">
        <v>250</v>
      </c>
      <c r="U90" s="25" t="s">
        <v>145</v>
      </c>
      <c r="V90" s="25" t="s">
        <v>222</v>
      </c>
      <c r="W90" s="24">
        <v>1982</v>
      </c>
      <c r="X90" s="24" t="s">
        <v>73</v>
      </c>
      <c r="Y90" s="26">
        <v>43100</v>
      </c>
      <c r="Z90" s="26">
        <v>43137</v>
      </c>
      <c r="AA90" s="26">
        <v>43799</v>
      </c>
      <c r="AB90" s="27"/>
      <c r="AC90" s="28"/>
      <c r="AD90" s="26"/>
      <c r="AE90" s="28"/>
      <c r="AF90" s="26"/>
      <c r="AG90" s="26"/>
      <c r="AH90" s="26"/>
      <c r="AI90" s="27">
        <f>COUNTIF(DangKyThamGapThuongXuyen!$L$4:$L$5261,DaTa!$T90)</f>
        <v>0</v>
      </c>
    </row>
    <row r="91" spans="17:35" ht="15" x14ac:dyDescent="0.2">
      <c r="Q91" s="29"/>
      <c r="R91" s="30" t="str">
        <f>IF($V91=$R$1,MAX($R$3:R90)+1,"")</f>
        <v/>
      </c>
      <c r="S91" s="24">
        <v>89</v>
      </c>
      <c r="T91" s="39" t="s">
        <v>251</v>
      </c>
      <c r="U91" s="25" t="s">
        <v>252</v>
      </c>
      <c r="V91" s="25" t="s">
        <v>161</v>
      </c>
      <c r="W91" s="24">
        <v>1964</v>
      </c>
      <c r="X91" s="24" t="s">
        <v>29</v>
      </c>
      <c r="Y91" s="26">
        <v>43110</v>
      </c>
      <c r="Z91" s="26">
        <v>43139</v>
      </c>
      <c r="AA91" s="26">
        <v>43718</v>
      </c>
      <c r="AB91" s="27"/>
      <c r="AC91" s="28"/>
      <c r="AD91" s="26"/>
      <c r="AE91" s="28"/>
      <c r="AF91" s="26"/>
      <c r="AG91" s="26"/>
      <c r="AH91" s="26"/>
      <c r="AI91" s="27">
        <f>COUNTIF(DangKyThamGapThuongXuyen!$L$4:$L$5261,DaTa!$T91)</f>
        <v>0</v>
      </c>
    </row>
    <row r="92" spans="17:35" ht="15" x14ac:dyDescent="0.2">
      <c r="Q92" s="29"/>
      <c r="R92" s="30" t="str">
        <f>IF($V92=$R$1,MAX($R$3:R91)+1,"")</f>
        <v/>
      </c>
      <c r="S92" s="24">
        <v>90</v>
      </c>
      <c r="T92" s="39" t="s">
        <v>253</v>
      </c>
      <c r="U92" s="25" t="s">
        <v>63</v>
      </c>
      <c r="V92" s="25" t="s">
        <v>123</v>
      </c>
      <c r="W92" s="24">
        <v>1967</v>
      </c>
      <c r="X92" s="24" t="s">
        <v>29</v>
      </c>
      <c r="Y92" s="26">
        <v>43083</v>
      </c>
      <c r="Z92" s="26">
        <v>43139</v>
      </c>
      <c r="AA92" s="26">
        <v>43813</v>
      </c>
      <c r="AB92" s="27"/>
      <c r="AC92" s="28"/>
      <c r="AD92" s="26"/>
      <c r="AE92" s="28"/>
      <c r="AF92" s="26"/>
      <c r="AG92" s="26"/>
      <c r="AH92" s="26"/>
      <c r="AI92" s="27">
        <f>COUNTIF(DangKyThamGapThuongXuyen!$L$4:$L$5261,DaTa!$T92)</f>
        <v>0</v>
      </c>
    </row>
    <row r="93" spans="17:35" ht="15" x14ac:dyDescent="0.2">
      <c r="Q93" s="29"/>
      <c r="R93" s="30" t="str">
        <f>IF($V93=$R$1,MAX($R$3:R92)+1,"")</f>
        <v/>
      </c>
      <c r="S93" s="24">
        <v>91</v>
      </c>
      <c r="T93" s="39" t="s">
        <v>254</v>
      </c>
      <c r="U93" s="25" t="s">
        <v>143</v>
      </c>
      <c r="V93" s="25" t="s">
        <v>99</v>
      </c>
      <c r="W93" s="24">
        <v>1992</v>
      </c>
      <c r="X93" s="24" t="s">
        <v>29</v>
      </c>
      <c r="Y93" s="26">
        <v>43040</v>
      </c>
      <c r="Z93" s="26">
        <v>43139</v>
      </c>
      <c r="AA93" s="26">
        <v>43770</v>
      </c>
      <c r="AB93" s="27"/>
      <c r="AC93" s="28"/>
      <c r="AD93" s="26"/>
      <c r="AE93" s="28"/>
      <c r="AF93" s="26"/>
      <c r="AG93" s="26"/>
      <c r="AH93" s="26"/>
      <c r="AI93" s="27">
        <f>COUNTIF(DangKyThamGapThuongXuyen!$L$4:$L$5261,DaTa!$T93)</f>
        <v>1</v>
      </c>
    </row>
    <row r="94" spans="17:35" ht="15" x14ac:dyDescent="0.2">
      <c r="Q94" s="29"/>
      <c r="R94" s="30">
        <f>IF($V94=$R$1,MAX($R$3:R93)+1,"")</f>
        <v>1</v>
      </c>
      <c r="S94" s="24">
        <v>92</v>
      </c>
      <c r="T94" s="39" t="s">
        <v>255</v>
      </c>
      <c r="U94" s="25" t="s">
        <v>256</v>
      </c>
      <c r="V94" s="25" t="s">
        <v>257</v>
      </c>
      <c r="W94" s="24">
        <v>1985</v>
      </c>
      <c r="X94" s="24" t="s">
        <v>29</v>
      </c>
      <c r="Y94" s="26">
        <v>43090</v>
      </c>
      <c r="Z94" s="26">
        <v>43139</v>
      </c>
      <c r="AA94" s="26">
        <v>43729</v>
      </c>
      <c r="AB94" s="27"/>
      <c r="AC94" s="28"/>
      <c r="AD94" s="26"/>
      <c r="AE94" s="28"/>
      <c r="AF94" s="26"/>
      <c r="AG94" s="26"/>
      <c r="AH94" s="26"/>
      <c r="AI94" s="27">
        <f>COUNTIF(DangKyThamGapThuongXuyen!$L$4:$L$5261,DaTa!$T94)</f>
        <v>2</v>
      </c>
    </row>
    <row r="95" spans="17:35" ht="15" x14ac:dyDescent="0.2">
      <c r="Q95" s="29"/>
      <c r="R95" s="30" t="str">
        <f>IF($V95=$R$1,MAX($R$3:R94)+1,"")</f>
        <v/>
      </c>
      <c r="S95" s="24">
        <v>93</v>
      </c>
      <c r="T95" s="39" t="s">
        <v>258</v>
      </c>
      <c r="U95" s="25" t="s">
        <v>259</v>
      </c>
      <c r="V95" s="25" t="s">
        <v>231</v>
      </c>
      <c r="W95" s="24">
        <v>1984</v>
      </c>
      <c r="X95" s="24" t="s">
        <v>29</v>
      </c>
      <c r="Y95" s="46">
        <v>43087</v>
      </c>
      <c r="Z95" s="26">
        <v>43139</v>
      </c>
      <c r="AA95" s="50">
        <v>43817</v>
      </c>
      <c r="AB95" s="27"/>
      <c r="AC95" s="28"/>
      <c r="AD95" s="26"/>
      <c r="AE95" s="28"/>
      <c r="AF95" s="26"/>
      <c r="AG95" s="26"/>
      <c r="AH95" s="26"/>
      <c r="AI95" s="27">
        <f>COUNTIF(DangKyThamGapThuongXuyen!$L$4:$L$5261,DaTa!$T95)</f>
        <v>2</v>
      </c>
    </row>
    <row r="96" spans="17:35" ht="15" x14ac:dyDescent="0.2">
      <c r="Q96" s="29"/>
      <c r="R96" s="30" t="str">
        <f>IF($V96=$R$1,MAX($R$3:R95)+1,"")</f>
        <v/>
      </c>
      <c r="S96" s="24">
        <v>94</v>
      </c>
      <c r="T96" s="39" t="s">
        <v>260</v>
      </c>
      <c r="U96" s="25" t="s">
        <v>261</v>
      </c>
      <c r="V96" s="25" t="s">
        <v>206</v>
      </c>
      <c r="W96" s="24">
        <v>1973</v>
      </c>
      <c r="X96" s="24" t="s">
        <v>29</v>
      </c>
      <c r="Y96" s="46">
        <v>43074</v>
      </c>
      <c r="Z96" s="45">
        <v>43140</v>
      </c>
      <c r="AA96" s="50">
        <v>43713</v>
      </c>
      <c r="AB96" s="27"/>
      <c r="AC96" s="28" t="s">
        <v>243</v>
      </c>
      <c r="AD96" s="26"/>
      <c r="AE96" s="28"/>
      <c r="AF96" s="26"/>
      <c r="AG96" s="26"/>
      <c r="AH96" s="26"/>
      <c r="AI96" s="27">
        <f>COUNTIF(DangKyThamGapThuongXuyen!$L$4:$L$5261,DaTa!$T96)</f>
        <v>0</v>
      </c>
    </row>
    <row r="97" spans="17:35" ht="15" x14ac:dyDescent="0.2">
      <c r="Q97" s="29"/>
      <c r="R97" s="23" t="str">
        <f>IF($V97=$R$1,MAX($R$3:R96)+1,"")</f>
        <v/>
      </c>
      <c r="S97" s="24">
        <v>95</v>
      </c>
      <c r="T97" s="39" t="s">
        <v>262</v>
      </c>
      <c r="U97" s="25" t="s">
        <v>203</v>
      </c>
      <c r="V97" s="25" t="s">
        <v>228</v>
      </c>
      <c r="W97" s="24">
        <v>1984</v>
      </c>
      <c r="X97" s="24" t="s">
        <v>42</v>
      </c>
      <c r="Y97" s="46">
        <v>43048</v>
      </c>
      <c r="Z97" s="26">
        <v>43144</v>
      </c>
      <c r="AA97" s="47">
        <v>43778</v>
      </c>
      <c r="AB97" s="27"/>
      <c r="AC97" s="28"/>
      <c r="AD97" s="26"/>
      <c r="AE97" s="28"/>
      <c r="AF97" s="26"/>
      <c r="AG97" s="26"/>
      <c r="AH97" s="26"/>
      <c r="AI97" s="27">
        <f>COUNTIF(DangKyThamGapThuongXuyen!$L$4:$L$5261,DaTa!$T97)</f>
        <v>0</v>
      </c>
    </row>
    <row r="98" spans="17:35" ht="15" x14ac:dyDescent="0.2">
      <c r="Q98" s="29"/>
      <c r="R98" s="23" t="str">
        <f>IF($V98=$R$1,MAX($R$3:R97)+1,"")</f>
        <v/>
      </c>
      <c r="S98" s="24">
        <v>96</v>
      </c>
      <c r="T98" s="39" t="s">
        <v>263</v>
      </c>
      <c r="U98" s="25" t="s">
        <v>264</v>
      </c>
      <c r="V98" s="25" t="s">
        <v>231</v>
      </c>
      <c r="W98" s="24">
        <v>1975</v>
      </c>
      <c r="X98" s="24" t="s">
        <v>42</v>
      </c>
      <c r="Y98" s="26">
        <v>43093</v>
      </c>
      <c r="Z98" s="26">
        <v>43144</v>
      </c>
      <c r="AA98" s="26">
        <v>43823</v>
      </c>
      <c r="AB98" s="27"/>
      <c r="AC98" s="28"/>
      <c r="AD98" s="26"/>
      <c r="AE98" s="28"/>
      <c r="AF98" s="26"/>
      <c r="AG98" s="26"/>
      <c r="AH98" s="26"/>
      <c r="AI98" s="27">
        <f>COUNTIF(DangKyThamGapThuongXuyen!$L$4:$L$5261,DaTa!$T98)</f>
        <v>0</v>
      </c>
    </row>
    <row r="99" spans="17:35" ht="12.75" x14ac:dyDescent="0.2">
      <c r="Q99" s="29"/>
      <c r="R99" s="30" t="str">
        <f>IF($V99=$R$1,MAX($R$3:R98)+1,"")</f>
        <v/>
      </c>
      <c r="S99" s="24">
        <v>97</v>
      </c>
      <c r="T99" s="39" t="s">
        <v>265</v>
      </c>
      <c r="U99" s="40" t="s">
        <v>266</v>
      </c>
      <c r="V99" s="40" t="s">
        <v>267</v>
      </c>
      <c r="W99" s="41">
        <v>1980</v>
      </c>
      <c r="X99" s="24" t="s">
        <v>42</v>
      </c>
      <c r="Y99" s="42">
        <v>43049</v>
      </c>
      <c r="Z99" s="42">
        <v>43144</v>
      </c>
      <c r="AA99" s="42">
        <v>43687</v>
      </c>
      <c r="AB99" s="27"/>
      <c r="AC99" s="43" t="s">
        <v>243</v>
      </c>
      <c r="AD99" s="26"/>
      <c r="AE99" s="43"/>
      <c r="AF99" s="26"/>
      <c r="AG99" s="26"/>
      <c r="AH99" s="26"/>
      <c r="AI99" s="27">
        <f>COUNTIF(DangKyThamGapThuongXuyen!$L$4:$L$5261,DaTa!$T99)</f>
        <v>0</v>
      </c>
    </row>
    <row r="100" spans="17:35" ht="12.75" x14ac:dyDescent="0.2">
      <c r="Q100" s="29"/>
      <c r="R100" s="30" t="str">
        <f>IF($V100=$R$1,MAX($R$3:R99)+1,"")</f>
        <v/>
      </c>
      <c r="S100" s="24">
        <v>98</v>
      </c>
      <c r="T100" s="39" t="s">
        <v>268</v>
      </c>
      <c r="U100" s="40" t="s">
        <v>103</v>
      </c>
      <c r="V100" s="40" t="s">
        <v>222</v>
      </c>
      <c r="W100" s="41">
        <v>1991</v>
      </c>
      <c r="X100" s="24" t="s">
        <v>42</v>
      </c>
      <c r="Y100" s="42">
        <v>43106</v>
      </c>
      <c r="Z100" s="42">
        <v>43144</v>
      </c>
      <c r="AA100" s="42">
        <v>43744</v>
      </c>
      <c r="AB100" s="27"/>
      <c r="AC100" s="43"/>
      <c r="AD100" s="26"/>
      <c r="AE100" s="43"/>
      <c r="AF100" s="26"/>
      <c r="AG100" s="26"/>
      <c r="AH100" s="26"/>
      <c r="AI100" s="27">
        <f>COUNTIF(DangKyThamGapThuongXuyen!$L$4:$L$5261,DaTa!$T100)</f>
        <v>0</v>
      </c>
    </row>
    <row r="101" spans="17:35" ht="12.75" x14ac:dyDescent="0.2">
      <c r="Q101" s="29"/>
      <c r="R101" s="30" t="str">
        <f>IF($V101=$R$1,MAX($R$3:R100)+1,"")</f>
        <v/>
      </c>
      <c r="S101" s="24">
        <v>99</v>
      </c>
      <c r="T101" s="39" t="s">
        <v>269</v>
      </c>
      <c r="U101" s="40" t="s">
        <v>270</v>
      </c>
      <c r="V101" s="40" t="s">
        <v>271</v>
      </c>
      <c r="W101" s="41">
        <v>1967</v>
      </c>
      <c r="X101" s="24" t="s">
        <v>29</v>
      </c>
      <c r="Y101" s="42">
        <v>43040</v>
      </c>
      <c r="Z101" s="42">
        <v>43146</v>
      </c>
      <c r="AA101" s="42">
        <v>43678</v>
      </c>
      <c r="AB101" s="27"/>
      <c r="AC101" s="43"/>
      <c r="AD101" s="26"/>
      <c r="AE101" s="43"/>
      <c r="AF101" s="26"/>
      <c r="AG101" s="26"/>
      <c r="AH101" s="26"/>
      <c r="AI101" s="27">
        <f>COUNTIF(DangKyThamGapThuongXuyen!$L$4:$L$5261,DaTa!$T101)</f>
        <v>2</v>
      </c>
    </row>
    <row r="102" spans="17:35" ht="12.75" x14ac:dyDescent="0.2">
      <c r="Q102" s="29"/>
      <c r="R102" s="30" t="str">
        <f>IF($V102=$R$1,MAX($R$3:R101)+1,"")</f>
        <v/>
      </c>
      <c r="S102" s="24">
        <v>100</v>
      </c>
      <c r="T102" s="39" t="s">
        <v>272</v>
      </c>
      <c r="U102" s="40" t="s">
        <v>273</v>
      </c>
      <c r="V102" s="40" t="s">
        <v>274</v>
      </c>
      <c r="W102" s="41">
        <v>1994</v>
      </c>
      <c r="X102" s="24" t="s">
        <v>29</v>
      </c>
      <c r="Y102" s="42">
        <v>43072</v>
      </c>
      <c r="Z102" s="42">
        <v>43146</v>
      </c>
      <c r="AA102" s="42">
        <v>43711</v>
      </c>
      <c r="AB102" s="27"/>
      <c r="AC102" s="43"/>
      <c r="AD102" s="26"/>
      <c r="AE102" s="43"/>
      <c r="AF102" s="26"/>
      <c r="AG102" s="26"/>
      <c r="AH102" s="26"/>
      <c r="AI102" s="27">
        <f>COUNTIF(DangKyThamGapThuongXuyen!$L$4:$L$5261,DaTa!$T102)</f>
        <v>0</v>
      </c>
    </row>
    <row r="103" spans="17:35" ht="12.75" x14ac:dyDescent="0.2">
      <c r="Q103" s="29"/>
      <c r="R103" s="30" t="str">
        <f>IF($V103=$R$1,MAX($R$3:R102)+1,"")</f>
        <v/>
      </c>
      <c r="S103" s="24">
        <v>101</v>
      </c>
      <c r="T103" s="39" t="s">
        <v>275</v>
      </c>
      <c r="U103" s="40" t="s">
        <v>276</v>
      </c>
      <c r="V103" s="40" t="s">
        <v>277</v>
      </c>
      <c r="W103" s="41">
        <v>1983</v>
      </c>
      <c r="X103" s="24" t="s">
        <v>73</v>
      </c>
      <c r="Y103" s="42">
        <v>43080</v>
      </c>
      <c r="Z103" s="42">
        <v>43146</v>
      </c>
      <c r="AA103" s="42">
        <v>43688</v>
      </c>
      <c r="AB103" s="27"/>
      <c r="AC103" s="43"/>
      <c r="AD103" s="26"/>
      <c r="AE103" s="43"/>
      <c r="AF103" s="26"/>
      <c r="AG103" s="26"/>
      <c r="AH103" s="26"/>
      <c r="AI103" s="27">
        <f>COUNTIF(DangKyThamGapThuongXuyen!$L$4:$L$5261,DaTa!$T103)</f>
        <v>0</v>
      </c>
    </row>
    <row r="104" spans="17:35" ht="12.75" x14ac:dyDescent="0.2">
      <c r="Q104" s="29"/>
      <c r="R104" s="30" t="str">
        <f>IF($V104=$R$1,MAX($R$3:R103)+1,"")</f>
        <v/>
      </c>
      <c r="S104" s="24">
        <v>102</v>
      </c>
      <c r="T104" s="39" t="s">
        <v>278</v>
      </c>
      <c r="U104" s="40" t="s">
        <v>279</v>
      </c>
      <c r="V104" s="40" t="s">
        <v>231</v>
      </c>
      <c r="W104" s="41">
        <v>1984</v>
      </c>
      <c r="X104" s="24" t="s">
        <v>25</v>
      </c>
      <c r="Y104" s="42">
        <v>43067</v>
      </c>
      <c r="Z104" s="42">
        <v>43158</v>
      </c>
      <c r="AA104" s="42">
        <v>43705</v>
      </c>
      <c r="AB104" s="27"/>
      <c r="AC104" s="43"/>
      <c r="AD104" s="26"/>
      <c r="AE104" s="43"/>
      <c r="AF104" s="26"/>
      <c r="AG104" s="26"/>
      <c r="AH104" s="26"/>
      <c r="AI104" s="27">
        <f>COUNTIF(DangKyThamGapThuongXuyen!$L$4:$L$5261,DaTa!$T104)</f>
        <v>0</v>
      </c>
    </row>
    <row r="105" spans="17:35" ht="12.75" x14ac:dyDescent="0.2">
      <c r="Q105" s="29"/>
      <c r="R105" s="30" t="str">
        <f>IF($V105=$R$1,MAX($R$3:R104)+1,"")</f>
        <v/>
      </c>
      <c r="S105" s="24">
        <v>103</v>
      </c>
      <c r="T105" s="39" t="s">
        <v>280</v>
      </c>
      <c r="U105" s="40" t="s">
        <v>281</v>
      </c>
      <c r="V105" s="40" t="s">
        <v>282</v>
      </c>
      <c r="W105" s="41">
        <v>1992</v>
      </c>
      <c r="X105" s="24" t="s">
        <v>42</v>
      </c>
      <c r="Y105" s="42">
        <v>43138</v>
      </c>
      <c r="Z105" s="42">
        <v>43165</v>
      </c>
      <c r="AA105" s="42">
        <v>43868</v>
      </c>
      <c r="AB105" s="27"/>
      <c r="AC105" s="43"/>
      <c r="AD105" s="26"/>
      <c r="AE105" s="43"/>
      <c r="AF105" s="26"/>
      <c r="AG105" s="26"/>
      <c r="AH105" s="26"/>
      <c r="AI105" s="27">
        <f>COUNTIF(DangKyThamGapThuongXuyen!$L$4:$L$5261,DaTa!$T105)</f>
        <v>0</v>
      </c>
    </row>
    <row r="106" spans="17:35" ht="15" x14ac:dyDescent="0.2">
      <c r="Q106" s="29"/>
      <c r="R106" s="30" t="str">
        <f>IF($V106=$R$1,MAX($R$3:R105)+1,"")</f>
        <v/>
      </c>
      <c r="S106" s="24">
        <v>104</v>
      </c>
      <c r="T106" s="39" t="s">
        <v>283</v>
      </c>
      <c r="U106" s="25" t="s">
        <v>284</v>
      </c>
      <c r="V106" s="25" t="s">
        <v>131</v>
      </c>
      <c r="W106" s="24">
        <v>1987</v>
      </c>
      <c r="X106" s="24" t="s">
        <v>42</v>
      </c>
      <c r="Y106" s="26">
        <v>43137</v>
      </c>
      <c r="Z106" s="26">
        <v>43165</v>
      </c>
      <c r="AA106" s="26">
        <v>43775</v>
      </c>
      <c r="AB106" s="27"/>
      <c r="AC106" s="28"/>
      <c r="AD106" s="26"/>
      <c r="AE106" s="28"/>
      <c r="AF106" s="26"/>
      <c r="AG106" s="26"/>
      <c r="AH106" s="26"/>
      <c r="AI106" s="27">
        <f>COUNTIF(DangKyThamGapThuongXuyen!$L$4:$L$5261,DaTa!$T106)</f>
        <v>0</v>
      </c>
    </row>
    <row r="107" spans="17:35" ht="15" x14ac:dyDescent="0.2">
      <c r="Q107" s="29"/>
      <c r="R107" s="30" t="str">
        <f>IF($V107=$R$1,MAX($R$3:R106)+1,"")</f>
        <v/>
      </c>
      <c r="S107" s="24">
        <v>105</v>
      </c>
      <c r="T107" s="39" t="s">
        <v>285</v>
      </c>
      <c r="U107" s="25" t="s">
        <v>286</v>
      </c>
      <c r="V107" s="25" t="s">
        <v>87</v>
      </c>
      <c r="W107" s="24">
        <v>1991</v>
      </c>
      <c r="X107" s="24" t="s">
        <v>29</v>
      </c>
      <c r="Y107" s="26">
        <v>43073</v>
      </c>
      <c r="Z107" s="26">
        <v>43166</v>
      </c>
      <c r="AA107" s="26">
        <v>43803</v>
      </c>
      <c r="AB107" s="27"/>
      <c r="AC107" s="28"/>
      <c r="AD107" s="26"/>
      <c r="AE107" s="28"/>
      <c r="AF107" s="26"/>
      <c r="AG107" s="26"/>
      <c r="AH107" s="26"/>
      <c r="AI107" s="27">
        <f>COUNTIF(DangKyThamGapThuongXuyen!$L$4:$L$5261,DaTa!$T107)</f>
        <v>0</v>
      </c>
    </row>
    <row r="108" spans="17:35" ht="15" x14ac:dyDescent="0.2">
      <c r="Q108" s="29"/>
      <c r="R108" s="30" t="str">
        <f>IF($V108=$R$1,MAX($R$3:R107)+1,"")</f>
        <v/>
      </c>
      <c r="S108" s="24">
        <v>106</v>
      </c>
      <c r="T108" s="39" t="s">
        <v>287</v>
      </c>
      <c r="U108" s="25" t="s">
        <v>288</v>
      </c>
      <c r="V108" s="25" t="s">
        <v>193</v>
      </c>
      <c r="W108" s="24">
        <v>1977</v>
      </c>
      <c r="X108" s="24" t="s">
        <v>21</v>
      </c>
      <c r="Y108" s="26">
        <v>43088</v>
      </c>
      <c r="Z108" s="26">
        <v>43167</v>
      </c>
      <c r="AA108" s="26">
        <v>43818</v>
      </c>
      <c r="AB108" s="27"/>
      <c r="AC108" s="28"/>
      <c r="AD108" s="26"/>
      <c r="AE108" s="28"/>
      <c r="AF108" s="26"/>
      <c r="AG108" s="26"/>
      <c r="AH108" s="26"/>
      <c r="AI108" s="27">
        <f>COUNTIF(DangKyThamGapThuongXuyen!$L$4:$L$5261,DaTa!$T108)</f>
        <v>0</v>
      </c>
    </row>
    <row r="109" spans="17:35" ht="15" x14ac:dyDescent="0.2">
      <c r="Q109" s="29"/>
      <c r="R109" s="30" t="str">
        <f>IF($V109=$R$1,MAX($R$3:R108)+1,"")</f>
        <v/>
      </c>
      <c r="S109" s="24">
        <v>107</v>
      </c>
      <c r="T109" s="39" t="s">
        <v>289</v>
      </c>
      <c r="U109" s="25" t="s">
        <v>143</v>
      </c>
      <c r="V109" s="25" t="s">
        <v>290</v>
      </c>
      <c r="W109" s="24">
        <v>1986</v>
      </c>
      <c r="X109" s="24" t="s">
        <v>21</v>
      </c>
      <c r="Y109" s="46">
        <v>43084</v>
      </c>
      <c r="Z109" s="26">
        <v>43167</v>
      </c>
      <c r="AA109" s="50">
        <v>43723</v>
      </c>
      <c r="AB109" s="27"/>
      <c r="AC109" s="28"/>
      <c r="AD109" s="26"/>
      <c r="AE109" s="28"/>
      <c r="AF109" s="26"/>
      <c r="AG109" s="26"/>
      <c r="AH109" s="26"/>
      <c r="AI109" s="27">
        <f>COUNTIF(DangKyThamGapThuongXuyen!$L$4:$L$5261,DaTa!$T109)</f>
        <v>0</v>
      </c>
    </row>
    <row r="110" spans="17:35" ht="15" x14ac:dyDescent="0.2">
      <c r="Q110" s="29"/>
      <c r="R110" s="30" t="str">
        <f>IF($V110=$R$1,MAX($R$3:R109)+1,"")</f>
        <v/>
      </c>
      <c r="S110" s="24">
        <v>108</v>
      </c>
      <c r="T110" s="39" t="s">
        <v>291</v>
      </c>
      <c r="U110" s="25" t="s">
        <v>292</v>
      </c>
      <c r="V110" s="25" t="s">
        <v>293</v>
      </c>
      <c r="W110" s="24">
        <v>1991</v>
      </c>
      <c r="X110" s="24" t="s">
        <v>21</v>
      </c>
      <c r="Y110" s="46">
        <v>43109</v>
      </c>
      <c r="Z110" s="26">
        <v>43167</v>
      </c>
      <c r="AA110" s="50">
        <v>43747</v>
      </c>
      <c r="AB110" s="27"/>
      <c r="AC110" s="28"/>
      <c r="AD110" s="26"/>
      <c r="AE110" s="28"/>
      <c r="AF110" s="26"/>
      <c r="AG110" s="26"/>
      <c r="AH110" s="26"/>
      <c r="AI110" s="27">
        <f>COUNTIF(DangKyThamGapThuongXuyen!$L$4:$L$5261,DaTa!$T110)</f>
        <v>1</v>
      </c>
    </row>
    <row r="111" spans="17:35" ht="15" x14ac:dyDescent="0.2">
      <c r="Q111" s="29"/>
      <c r="R111" s="23" t="str">
        <f>IF($V111=$R$1,MAX($R$3:R110)+1,"")</f>
        <v/>
      </c>
      <c r="S111" s="24">
        <v>109</v>
      </c>
      <c r="T111" s="39" t="s">
        <v>294</v>
      </c>
      <c r="U111" s="25" t="s">
        <v>295</v>
      </c>
      <c r="V111" s="25" t="s">
        <v>24</v>
      </c>
      <c r="W111" s="24">
        <v>1979</v>
      </c>
      <c r="X111" s="24" t="s">
        <v>21</v>
      </c>
      <c r="Y111" s="26">
        <v>43090</v>
      </c>
      <c r="Z111" s="26">
        <v>43167</v>
      </c>
      <c r="AA111" s="26">
        <v>43820</v>
      </c>
      <c r="AB111" s="27"/>
      <c r="AC111" s="28"/>
      <c r="AD111" s="26"/>
      <c r="AE111" s="28"/>
      <c r="AF111" s="26"/>
      <c r="AG111" s="26"/>
      <c r="AH111" s="26"/>
      <c r="AI111" s="27">
        <f>COUNTIF(DangKyThamGapThuongXuyen!$L$4:$L$5261,DaTa!$T111)</f>
        <v>0</v>
      </c>
    </row>
    <row r="112" spans="17:35" ht="15" x14ac:dyDescent="0.2">
      <c r="Q112" s="29"/>
      <c r="R112" s="30" t="str">
        <f>IF($V112=$R$1,MAX($R$3:R111)+1,"")</f>
        <v/>
      </c>
      <c r="S112" s="24">
        <v>110</v>
      </c>
      <c r="T112" s="39" t="s">
        <v>296</v>
      </c>
      <c r="U112" s="25" t="s">
        <v>297</v>
      </c>
      <c r="V112" s="25" t="s">
        <v>87</v>
      </c>
      <c r="W112" s="24">
        <v>1988</v>
      </c>
      <c r="X112" s="24" t="s">
        <v>21</v>
      </c>
      <c r="Y112" s="26">
        <v>43100</v>
      </c>
      <c r="Z112" s="26">
        <v>43167</v>
      </c>
      <c r="AA112" s="26">
        <v>43738</v>
      </c>
      <c r="AB112" s="27"/>
      <c r="AC112" s="28"/>
      <c r="AD112" s="26"/>
      <c r="AE112" s="28"/>
      <c r="AF112" s="26"/>
      <c r="AG112" s="26"/>
      <c r="AH112" s="26"/>
      <c r="AI112" s="27">
        <f>COUNTIF(DangKyThamGapThuongXuyen!$L$4:$L$5261,DaTa!$T112)</f>
        <v>0</v>
      </c>
    </row>
    <row r="113" spans="17:35" ht="15" x14ac:dyDescent="0.2">
      <c r="Q113" s="29"/>
      <c r="R113" s="30" t="str">
        <f>IF($V113=$R$1,MAX($R$3:R112)+1,"")</f>
        <v/>
      </c>
      <c r="S113" s="24">
        <v>111</v>
      </c>
      <c r="T113" s="39" t="s">
        <v>298</v>
      </c>
      <c r="U113" s="25" t="s">
        <v>299</v>
      </c>
      <c r="V113" s="25" t="s">
        <v>300</v>
      </c>
      <c r="W113" s="24">
        <v>1986</v>
      </c>
      <c r="X113" s="24" t="s">
        <v>42</v>
      </c>
      <c r="Y113" s="26">
        <v>43100</v>
      </c>
      <c r="Z113" s="26">
        <v>43174</v>
      </c>
      <c r="AA113" s="26">
        <v>43830</v>
      </c>
      <c r="AB113" s="27"/>
      <c r="AC113" s="28"/>
      <c r="AD113" s="26"/>
      <c r="AE113" s="28"/>
      <c r="AF113" s="26"/>
      <c r="AG113" s="26"/>
      <c r="AH113" s="26"/>
      <c r="AI113" s="27">
        <f>COUNTIF(DangKyThamGapThuongXuyen!$L$4:$L$5261,DaTa!$T113)</f>
        <v>0</v>
      </c>
    </row>
    <row r="114" spans="17:35" ht="15" x14ac:dyDescent="0.2">
      <c r="Q114" s="29"/>
      <c r="R114" s="30" t="str">
        <f>IF($V114=$R$1,MAX($R$3:R113)+1,"")</f>
        <v/>
      </c>
      <c r="S114" s="24">
        <v>112</v>
      </c>
      <c r="T114" s="39" t="s">
        <v>301</v>
      </c>
      <c r="U114" s="25" t="s">
        <v>302</v>
      </c>
      <c r="V114" s="25" t="s">
        <v>300</v>
      </c>
      <c r="W114" s="24">
        <v>1987</v>
      </c>
      <c r="X114" s="24" t="s">
        <v>42</v>
      </c>
      <c r="Y114" s="46">
        <v>43109</v>
      </c>
      <c r="Z114" s="26">
        <v>43174</v>
      </c>
      <c r="AA114" s="47">
        <v>43655</v>
      </c>
      <c r="AB114" s="27"/>
      <c r="AC114" s="28"/>
      <c r="AD114" s="26"/>
      <c r="AE114" s="28"/>
      <c r="AF114" s="26"/>
      <c r="AG114" s="26"/>
      <c r="AH114" s="26"/>
      <c r="AI114" s="27">
        <f>COUNTIF(DangKyThamGapThuongXuyen!$L$4:$L$5261,DaTa!$T114)</f>
        <v>2</v>
      </c>
    </row>
    <row r="115" spans="17:35" ht="15" x14ac:dyDescent="0.2">
      <c r="Q115" s="29"/>
      <c r="R115" s="30" t="str">
        <f>IF($V115=$R$1,MAX($R$3:R114)+1,"")</f>
        <v/>
      </c>
      <c r="S115" s="24">
        <v>113</v>
      </c>
      <c r="T115" s="39" t="s">
        <v>303</v>
      </c>
      <c r="U115" s="25" t="s">
        <v>203</v>
      </c>
      <c r="V115" s="25" t="s">
        <v>304</v>
      </c>
      <c r="W115" s="24">
        <v>1966</v>
      </c>
      <c r="X115" s="24" t="s">
        <v>42</v>
      </c>
      <c r="Y115" s="26">
        <v>43111</v>
      </c>
      <c r="Z115" s="26">
        <v>43174</v>
      </c>
      <c r="AA115" s="26">
        <v>43810</v>
      </c>
      <c r="AB115" s="27"/>
      <c r="AC115" s="28"/>
      <c r="AD115" s="26"/>
      <c r="AE115" s="28"/>
      <c r="AF115" s="26"/>
      <c r="AG115" s="26"/>
      <c r="AH115" s="26"/>
      <c r="AI115" s="27">
        <f>COUNTIF(DangKyThamGapThuongXuyen!$L$4:$L$5261,DaTa!$T115)</f>
        <v>0</v>
      </c>
    </row>
    <row r="116" spans="17:35" ht="15" x14ac:dyDescent="0.2">
      <c r="Q116" s="29"/>
      <c r="R116" s="30" t="str">
        <f>IF($V116=$R$1,MAX($R$3:R115)+1,"")</f>
        <v/>
      </c>
      <c r="S116" s="24">
        <v>114</v>
      </c>
      <c r="T116" s="39" t="s">
        <v>305</v>
      </c>
      <c r="U116" s="25" t="s">
        <v>306</v>
      </c>
      <c r="V116" s="25" t="s">
        <v>206</v>
      </c>
      <c r="W116" s="24">
        <v>1983</v>
      </c>
      <c r="X116" s="24" t="s">
        <v>42</v>
      </c>
      <c r="Y116" s="26">
        <v>43107</v>
      </c>
      <c r="Z116" s="26">
        <v>43174</v>
      </c>
      <c r="AA116" s="26">
        <v>43745</v>
      </c>
      <c r="AB116" s="27"/>
      <c r="AC116" s="28" t="s">
        <v>61</v>
      </c>
      <c r="AD116" s="26">
        <v>43359</v>
      </c>
      <c r="AE116" s="28"/>
      <c r="AF116" s="26"/>
      <c r="AG116" s="26"/>
      <c r="AH116" s="26"/>
      <c r="AI116" s="27">
        <f>COUNTIF(DangKyThamGapThuongXuyen!$L$4:$L$5261,DaTa!$T116)</f>
        <v>0</v>
      </c>
    </row>
    <row r="117" spans="17:35" ht="15" x14ac:dyDescent="0.2">
      <c r="Q117" s="29"/>
      <c r="R117" s="30" t="str">
        <f>IF($V117=$R$1,MAX($R$3:R116)+1,"")</f>
        <v/>
      </c>
      <c r="S117" s="24">
        <v>115</v>
      </c>
      <c r="T117" s="39" t="s">
        <v>307</v>
      </c>
      <c r="U117" s="40" t="s">
        <v>308</v>
      </c>
      <c r="V117" s="40" t="s">
        <v>219</v>
      </c>
      <c r="W117" s="41">
        <v>1971</v>
      </c>
      <c r="X117" s="24" t="s">
        <v>42</v>
      </c>
      <c r="Y117" s="42">
        <v>43073</v>
      </c>
      <c r="Z117" s="42">
        <v>43175</v>
      </c>
      <c r="AA117" s="42">
        <v>43803</v>
      </c>
      <c r="AB117" s="27"/>
      <c r="AC117" s="28" t="s">
        <v>243</v>
      </c>
      <c r="AD117" s="26"/>
      <c r="AE117" s="28"/>
      <c r="AF117" s="26"/>
      <c r="AG117" s="26"/>
      <c r="AH117" s="26"/>
      <c r="AI117" s="27">
        <f>COUNTIF(DangKyThamGapThuongXuyen!$L$4:$L$5261,DaTa!$T117)</f>
        <v>0</v>
      </c>
    </row>
    <row r="118" spans="17:35" ht="15" x14ac:dyDescent="0.2">
      <c r="Q118" s="29"/>
      <c r="R118" s="30" t="str">
        <f>IF($V118=$R$1,MAX($R$3:R117)+1,"")</f>
        <v/>
      </c>
      <c r="S118" s="24">
        <v>116</v>
      </c>
      <c r="T118" s="39" t="s">
        <v>309</v>
      </c>
      <c r="U118" s="25" t="s">
        <v>310</v>
      </c>
      <c r="V118" s="25" t="s">
        <v>219</v>
      </c>
      <c r="W118" s="24">
        <v>1980</v>
      </c>
      <c r="X118" s="24" t="s">
        <v>73</v>
      </c>
      <c r="Y118" s="26">
        <v>43073</v>
      </c>
      <c r="Z118" s="26">
        <v>43182</v>
      </c>
      <c r="AA118" s="26">
        <v>43803</v>
      </c>
      <c r="AB118" s="27"/>
      <c r="AC118" s="28"/>
      <c r="AD118" s="26"/>
      <c r="AE118" s="28"/>
      <c r="AF118" s="26"/>
      <c r="AG118" s="26"/>
      <c r="AH118" s="26"/>
      <c r="AI118" s="27">
        <f>COUNTIF(DangKyThamGapThuongXuyen!$L$4:$L$5261,DaTa!$T118)</f>
        <v>1</v>
      </c>
    </row>
    <row r="119" spans="17:35" ht="15" x14ac:dyDescent="0.2">
      <c r="Q119" s="29"/>
      <c r="R119" s="30" t="str">
        <f>IF($V119=$R$1,MAX($R$3:R118)+1,"")</f>
        <v/>
      </c>
      <c r="S119" s="24">
        <v>117</v>
      </c>
      <c r="T119" s="39" t="s">
        <v>311</v>
      </c>
      <c r="U119" s="25" t="s">
        <v>312</v>
      </c>
      <c r="V119" s="25" t="s">
        <v>313</v>
      </c>
      <c r="W119" s="24">
        <v>1969</v>
      </c>
      <c r="X119" s="24" t="s">
        <v>73</v>
      </c>
      <c r="Y119" s="26">
        <v>43085</v>
      </c>
      <c r="Z119" s="26">
        <v>43182</v>
      </c>
      <c r="AA119" s="26">
        <v>43815</v>
      </c>
      <c r="AB119" s="27"/>
      <c r="AC119" s="28"/>
      <c r="AD119" s="26"/>
      <c r="AE119" s="28"/>
      <c r="AF119" s="26"/>
      <c r="AG119" s="26"/>
      <c r="AH119" s="26"/>
      <c r="AI119" s="27">
        <f>COUNTIF(DangKyThamGapThuongXuyen!$L$4:$L$5261,DaTa!$T119)</f>
        <v>0</v>
      </c>
    </row>
    <row r="120" spans="17:35" ht="15" x14ac:dyDescent="0.2">
      <c r="Q120" s="29"/>
      <c r="R120" s="30" t="str">
        <f>IF($V120=$R$1,MAX($R$3:R119)+1,"")</f>
        <v/>
      </c>
      <c r="S120" s="24">
        <v>118</v>
      </c>
      <c r="T120" s="39" t="s">
        <v>314</v>
      </c>
      <c r="U120" s="25" t="s">
        <v>315</v>
      </c>
      <c r="V120" s="25" t="s">
        <v>87</v>
      </c>
      <c r="W120" s="24">
        <v>1984</v>
      </c>
      <c r="X120" s="24" t="s">
        <v>73</v>
      </c>
      <c r="Y120" s="46">
        <v>43115</v>
      </c>
      <c r="Z120" s="26">
        <v>43182</v>
      </c>
      <c r="AA120" s="50">
        <v>43845</v>
      </c>
      <c r="AB120" s="49"/>
      <c r="AC120" s="28"/>
      <c r="AD120" s="26"/>
      <c r="AE120" s="28"/>
      <c r="AF120" s="26"/>
      <c r="AG120" s="26"/>
      <c r="AH120" s="26"/>
      <c r="AI120" s="27">
        <f>COUNTIF(DangKyThamGapThuongXuyen!$L$4:$L$5261,DaTa!$T120)</f>
        <v>0</v>
      </c>
    </row>
    <row r="121" spans="17:35" ht="15" x14ac:dyDescent="0.2">
      <c r="Q121" s="29"/>
      <c r="R121" s="30" t="str">
        <f>IF($V121=$R$1,MAX($R$3:R120)+1,"")</f>
        <v/>
      </c>
      <c r="S121" s="24">
        <v>119</v>
      </c>
      <c r="T121" s="39" t="s">
        <v>316</v>
      </c>
      <c r="U121" s="25" t="s">
        <v>317</v>
      </c>
      <c r="V121" s="25" t="s">
        <v>318</v>
      </c>
      <c r="W121" s="24">
        <v>1980</v>
      </c>
      <c r="X121" s="24" t="s">
        <v>73</v>
      </c>
      <c r="Y121" s="26">
        <v>43107</v>
      </c>
      <c r="Z121" s="26">
        <v>43182</v>
      </c>
      <c r="AA121" s="26">
        <v>43837</v>
      </c>
      <c r="AB121" s="27"/>
      <c r="AC121" s="28" t="s">
        <v>243</v>
      </c>
      <c r="AD121" s="26"/>
      <c r="AE121" s="28"/>
      <c r="AF121" s="26"/>
      <c r="AG121" s="26"/>
      <c r="AH121" s="26"/>
      <c r="AI121" s="27">
        <f>COUNTIF(DangKyThamGapThuongXuyen!$L$4:$L$5261,DaTa!$T121)</f>
        <v>0</v>
      </c>
    </row>
    <row r="122" spans="17:35" ht="15" x14ac:dyDescent="0.2">
      <c r="Q122" s="29"/>
      <c r="R122" s="30" t="str">
        <f>IF($V122=$R$1,MAX($R$3:R121)+1,"")</f>
        <v/>
      </c>
      <c r="S122" s="24">
        <v>120</v>
      </c>
      <c r="T122" s="39" t="s">
        <v>319</v>
      </c>
      <c r="U122" s="25" t="s">
        <v>320</v>
      </c>
      <c r="V122" s="25" t="s">
        <v>313</v>
      </c>
      <c r="W122" s="24">
        <v>1989</v>
      </c>
      <c r="X122" s="24" t="s">
        <v>73</v>
      </c>
      <c r="Y122" s="26">
        <v>43075</v>
      </c>
      <c r="Z122" s="26">
        <v>43182</v>
      </c>
      <c r="AA122" s="26">
        <v>43714</v>
      </c>
      <c r="AB122" s="27"/>
      <c r="AC122" s="28" t="s">
        <v>88</v>
      </c>
      <c r="AD122" s="26">
        <v>43629</v>
      </c>
      <c r="AE122" s="28">
        <v>20</v>
      </c>
      <c r="AF122" s="26">
        <v>43649</v>
      </c>
      <c r="AG122" s="26"/>
      <c r="AH122" s="26"/>
      <c r="AI122" s="27">
        <f>COUNTIF(DangKyThamGapThuongXuyen!$L$4:$L$5261,DaTa!$T122)</f>
        <v>0</v>
      </c>
    </row>
    <row r="123" spans="17:35" ht="15" x14ac:dyDescent="0.2">
      <c r="Q123" s="29"/>
      <c r="R123" s="30" t="str">
        <f>IF($V123=$R$1,MAX($R$3:R122)+1,"")</f>
        <v/>
      </c>
      <c r="S123" s="24">
        <v>121</v>
      </c>
      <c r="T123" s="39" t="s">
        <v>321</v>
      </c>
      <c r="U123" s="25" t="s">
        <v>163</v>
      </c>
      <c r="V123" s="25" t="s">
        <v>120</v>
      </c>
      <c r="W123" s="24">
        <v>1983</v>
      </c>
      <c r="X123" s="24" t="s">
        <v>42</v>
      </c>
      <c r="Y123" s="26">
        <v>43091</v>
      </c>
      <c r="Z123" s="26">
        <v>43188</v>
      </c>
      <c r="AA123" s="26">
        <v>43821</v>
      </c>
      <c r="AB123" s="27"/>
      <c r="AC123" s="28"/>
      <c r="AD123" s="26"/>
      <c r="AE123" s="28"/>
      <c r="AF123" s="26"/>
      <c r="AG123" s="26"/>
      <c r="AH123" s="26"/>
      <c r="AI123" s="27">
        <f>COUNTIF(DangKyThamGapThuongXuyen!$L$4:$L$5261,DaTa!$T123)</f>
        <v>0</v>
      </c>
    </row>
    <row r="124" spans="17:35" ht="15" x14ac:dyDescent="0.2">
      <c r="Q124" s="29"/>
      <c r="R124" s="30" t="str">
        <f>IF($V124=$R$1,MAX($R$3:R123)+1,"")</f>
        <v/>
      </c>
      <c r="S124" s="24">
        <v>122</v>
      </c>
      <c r="T124" s="39" t="s">
        <v>322</v>
      </c>
      <c r="U124" s="25" t="s">
        <v>286</v>
      </c>
      <c r="V124" s="25" t="s">
        <v>228</v>
      </c>
      <c r="W124" s="24">
        <v>1988</v>
      </c>
      <c r="X124" s="24" t="s">
        <v>25</v>
      </c>
      <c r="Y124" s="26">
        <v>43097</v>
      </c>
      <c r="Z124" s="26">
        <v>43188</v>
      </c>
      <c r="AA124" s="26">
        <v>43736</v>
      </c>
      <c r="AB124" s="27"/>
      <c r="AC124" s="28"/>
      <c r="AD124" s="26"/>
      <c r="AE124" s="28"/>
      <c r="AF124" s="26"/>
      <c r="AG124" s="26"/>
      <c r="AH124" s="26"/>
      <c r="AI124" s="27">
        <f>COUNTIF(DangKyThamGapThuongXuyen!$L$4:$L$5261,DaTa!$T124)</f>
        <v>0</v>
      </c>
    </row>
    <row r="125" spans="17:35" ht="15" x14ac:dyDescent="0.2">
      <c r="Q125" s="29"/>
      <c r="R125" s="30" t="str">
        <f>IF($V125=$R$1,MAX($R$3:R124)+1,"")</f>
        <v/>
      </c>
      <c r="S125" s="24">
        <v>123</v>
      </c>
      <c r="T125" s="39" t="s">
        <v>323</v>
      </c>
      <c r="U125" s="25" t="s">
        <v>324</v>
      </c>
      <c r="V125" s="25" t="s">
        <v>325</v>
      </c>
      <c r="W125" s="24">
        <v>1987</v>
      </c>
      <c r="X125" s="24" t="s">
        <v>25</v>
      </c>
      <c r="Y125" s="26">
        <v>43112</v>
      </c>
      <c r="Z125" s="26">
        <v>43189</v>
      </c>
      <c r="AA125" s="26">
        <v>43842</v>
      </c>
      <c r="AB125" s="27"/>
      <c r="AC125" s="28"/>
      <c r="AD125" s="26"/>
      <c r="AE125" s="28"/>
      <c r="AF125" s="26"/>
      <c r="AG125" s="26"/>
      <c r="AH125" s="26"/>
      <c r="AI125" s="27">
        <f>COUNTIF(DangKyThamGapThuongXuyen!$L$4:$L$5261,DaTa!$T125)</f>
        <v>6</v>
      </c>
    </row>
    <row r="126" spans="17:35" ht="15" x14ac:dyDescent="0.2">
      <c r="Q126" s="29"/>
      <c r="R126" s="30" t="str">
        <f>IF($V126=$R$1,MAX($R$3:R125)+1,"")</f>
        <v/>
      </c>
      <c r="S126" s="24">
        <v>124</v>
      </c>
      <c r="T126" s="39" t="s">
        <v>326</v>
      </c>
      <c r="U126" s="25" t="s">
        <v>203</v>
      </c>
      <c r="V126" s="25" t="s">
        <v>327</v>
      </c>
      <c r="W126" s="24">
        <v>1977</v>
      </c>
      <c r="X126" s="24" t="s">
        <v>25</v>
      </c>
      <c r="Y126" s="26">
        <v>43102</v>
      </c>
      <c r="Z126" s="26">
        <v>43195</v>
      </c>
      <c r="AA126" s="26">
        <v>43740</v>
      </c>
      <c r="AB126" s="27"/>
      <c r="AC126" s="28"/>
      <c r="AD126" s="26"/>
      <c r="AE126" s="28"/>
      <c r="AF126" s="26"/>
      <c r="AG126" s="26"/>
      <c r="AH126" s="26"/>
      <c r="AI126" s="27">
        <f>COUNTIF(DangKyThamGapThuongXuyen!$L$4:$L$5261,DaTa!$T126)</f>
        <v>0</v>
      </c>
    </row>
    <row r="127" spans="17:35" ht="12.75" x14ac:dyDescent="0.2">
      <c r="Q127" s="29"/>
      <c r="R127" s="30" t="str">
        <f>IF($V127=$R$1,MAX($R$3:R126)+1,"")</f>
        <v/>
      </c>
      <c r="S127" s="24">
        <v>125</v>
      </c>
      <c r="T127" s="39" t="s">
        <v>328</v>
      </c>
      <c r="U127" s="40" t="s">
        <v>329</v>
      </c>
      <c r="V127" s="40" t="s">
        <v>330</v>
      </c>
      <c r="W127" s="41">
        <v>1975</v>
      </c>
      <c r="X127" s="24" t="s">
        <v>25</v>
      </c>
      <c r="Y127" s="42">
        <v>43099</v>
      </c>
      <c r="Z127" s="42">
        <v>43195</v>
      </c>
      <c r="AA127" s="42">
        <v>43738</v>
      </c>
      <c r="AB127" s="27"/>
      <c r="AC127" s="43"/>
      <c r="AD127" s="26"/>
      <c r="AE127" s="43"/>
      <c r="AF127" s="26"/>
      <c r="AG127" s="26"/>
      <c r="AH127" s="26"/>
      <c r="AI127" s="27">
        <f>COUNTIF(DangKyThamGapThuongXuyen!$L$4:$L$5261,DaTa!$T127)</f>
        <v>0</v>
      </c>
    </row>
    <row r="128" spans="17:35" ht="15" x14ac:dyDescent="0.2">
      <c r="Q128" s="29"/>
      <c r="R128" s="30" t="str">
        <f>IF($V128=$R$1,MAX($R$3:R127)+1,"")</f>
        <v/>
      </c>
      <c r="S128" s="24">
        <v>126</v>
      </c>
      <c r="T128" s="39" t="s">
        <v>331</v>
      </c>
      <c r="U128" s="40" t="s">
        <v>332</v>
      </c>
      <c r="V128" s="40" t="s">
        <v>246</v>
      </c>
      <c r="W128" s="41">
        <v>1968</v>
      </c>
      <c r="X128" s="24" t="s">
        <v>25</v>
      </c>
      <c r="Y128" s="42">
        <v>43116</v>
      </c>
      <c r="Z128" s="42">
        <v>43195</v>
      </c>
      <c r="AA128" s="42">
        <v>43785</v>
      </c>
      <c r="AB128" s="27"/>
      <c r="AC128" s="28"/>
      <c r="AD128" s="26"/>
      <c r="AE128" s="28"/>
      <c r="AF128" s="26"/>
      <c r="AG128" s="26"/>
      <c r="AH128" s="26"/>
      <c r="AI128" s="27">
        <f>COUNTIF(DangKyThamGapThuongXuyen!$L$4:$L$5261,DaTa!$T128)</f>
        <v>0</v>
      </c>
    </row>
    <row r="129" spans="17:35" ht="15" x14ac:dyDescent="0.2">
      <c r="Q129" s="29"/>
      <c r="R129" s="30" t="str">
        <f>IF($V129=$R$1,MAX($R$3:R128)+1,"")</f>
        <v/>
      </c>
      <c r="S129" s="24">
        <v>127</v>
      </c>
      <c r="T129" s="39" t="s">
        <v>333</v>
      </c>
      <c r="U129" s="25" t="s">
        <v>334</v>
      </c>
      <c r="V129" s="25" t="s">
        <v>222</v>
      </c>
      <c r="W129" s="24">
        <v>1986</v>
      </c>
      <c r="X129" s="24" t="s">
        <v>25</v>
      </c>
      <c r="Y129" s="26">
        <v>43122</v>
      </c>
      <c r="Z129" s="26">
        <v>43200</v>
      </c>
      <c r="AA129" s="26">
        <v>43668</v>
      </c>
      <c r="AB129" s="27"/>
      <c r="AC129" s="28"/>
      <c r="AD129" s="26"/>
      <c r="AE129" s="28"/>
      <c r="AF129" s="26"/>
      <c r="AG129" s="26"/>
      <c r="AH129" s="26"/>
      <c r="AI129" s="27">
        <f>COUNTIF(DangKyThamGapThuongXuyen!$L$4:$L$5261,DaTa!$T129)</f>
        <v>0</v>
      </c>
    </row>
    <row r="130" spans="17:35" ht="15" x14ac:dyDescent="0.2">
      <c r="Q130" s="29"/>
      <c r="R130" s="30" t="str">
        <f>IF($V130=$R$1,MAX($R$3:R129)+1,"")</f>
        <v/>
      </c>
      <c r="S130" s="24">
        <v>128</v>
      </c>
      <c r="T130" s="39" t="s">
        <v>335</v>
      </c>
      <c r="U130" s="25" t="s">
        <v>336</v>
      </c>
      <c r="V130" s="25" t="s">
        <v>107</v>
      </c>
      <c r="W130" s="24">
        <v>1986</v>
      </c>
      <c r="X130" s="24" t="s">
        <v>25</v>
      </c>
      <c r="Y130" s="26">
        <v>43172</v>
      </c>
      <c r="Z130" s="26">
        <v>43202</v>
      </c>
      <c r="AA130" s="26">
        <v>43812</v>
      </c>
      <c r="AB130" s="27"/>
      <c r="AC130" s="28"/>
      <c r="AD130" s="26"/>
      <c r="AE130" s="28"/>
      <c r="AF130" s="26"/>
      <c r="AG130" s="26"/>
      <c r="AH130" s="26"/>
      <c r="AI130" s="27">
        <f>COUNTIF(DangKyThamGapThuongXuyen!$L$4:$L$5261,DaTa!$T130)</f>
        <v>2</v>
      </c>
    </row>
    <row r="131" spans="17:35" ht="15" x14ac:dyDescent="0.2">
      <c r="Q131" s="29"/>
      <c r="R131" s="30" t="str">
        <f>IF($V131=$R$1,MAX($R$3:R130)+1,"")</f>
        <v/>
      </c>
      <c r="S131" s="24">
        <v>129</v>
      </c>
      <c r="T131" s="39" t="s">
        <v>337</v>
      </c>
      <c r="U131" s="25" t="s">
        <v>338</v>
      </c>
      <c r="V131" s="25" t="s">
        <v>32</v>
      </c>
      <c r="W131" s="24">
        <v>1965</v>
      </c>
      <c r="X131" s="24" t="s">
        <v>25</v>
      </c>
      <c r="Y131" s="26">
        <v>43110</v>
      </c>
      <c r="Z131" s="26">
        <v>43203</v>
      </c>
      <c r="AA131" s="26">
        <v>43748</v>
      </c>
      <c r="AB131" s="27"/>
      <c r="AC131" s="28"/>
      <c r="AD131" s="26"/>
      <c r="AE131" s="28"/>
      <c r="AF131" s="26"/>
      <c r="AG131" s="26"/>
      <c r="AH131" s="26"/>
      <c r="AI131" s="27">
        <f>COUNTIF(DangKyThamGapThuongXuyen!$L$4:$L$5261,DaTa!$T131)</f>
        <v>0</v>
      </c>
    </row>
    <row r="132" spans="17:35" ht="15" x14ac:dyDescent="0.2">
      <c r="Q132" s="29"/>
      <c r="R132" s="30" t="str">
        <f>IF($V132=$R$1,MAX($R$3:R131)+1,"")</f>
        <v/>
      </c>
      <c r="S132" s="24">
        <v>130</v>
      </c>
      <c r="T132" s="39" t="s">
        <v>339</v>
      </c>
      <c r="U132" s="25" t="s">
        <v>286</v>
      </c>
      <c r="V132" s="25" t="s">
        <v>107</v>
      </c>
      <c r="W132" s="24">
        <v>1979</v>
      </c>
      <c r="X132" s="24" t="s">
        <v>25</v>
      </c>
      <c r="Y132" s="26">
        <v>43117</v>
      </c>
      <c r="Z132" s="26">
        <v>43203</v>
      </c>
      <c r="AA132" s="26">
        <v>43755</v>
      </c>
      <c r="AB132" s="27"/>
      <c r="AC132" s="28"/>
      <c r="AD132" s="26"/>
      <c r="AE132" s="28"/>
      <c r="AF132" s="26"/>
      <c r="AG132" s="26"/>
      <c r="AH132" s="26"/>
      <c r="AI132" s="27">
        <f>COUNTIF(DangKyThamGapThuongXuyen!$L$4:$L$5261,DaTa!$T132)</f>
        <v>3</v>
      </c>
    </row>
    <row r="133" spans="17:35" ht="15" x14ac:dyDescent="0.2">
      <c r="Q133" s="29"/>
      <c r="R133" s="30" t="str">
        <f>IF($V133=$R$1,MAX($R$3:R132)+1,"")</f>
        <v/>
      </c>
      <c r="S133" s="24">
        <v>131</v>
      </c>
      <c r="T133" s="39" t="s">
        <v>340</v>
      </c>
      <c r="U133" s="25" t="s">
        <v>341</v>
      </c>
      <c r="V133" s="25" t="s">
        <v>313</v>
      </c>
      <c r="W133" s="24">
        <v>1975</v>
      </c>
      <c r="X133" s="24" t="s">
        <v>42</v>
      </c>
      <c r="Y133" s="26">
        <v>43116</v>
      </c>
      <c r="Z133" s="26">
        <v>43203</v>
      </c>
      <c r="AA133" s="26">
        <v>43846</v>
      </c>
      <c r="AB133" s="27"/>
      <c r="AC133" s="28"/>
      <c r="AD133" s="26"/>
      <c r="AE133" s="28"/>
      <c r="AF133" s="26"/>
      <c r="AG133" s="26"/>
      <c r="AH133" s="26"/>
      <c r="AI133" s="27">
        <f>COUNTIF(DangKyThamGapThuongXuyen!$L$4:$L$5261,DaTa!$T133)</f>
        <v>0</v>
      </c>
    </row>
    <row r="134" spans="17:35" ht="15" x14ac:dyDescent="0.2">
      <c r="Q134" s="29"/>
      <c r="R134" s="30" t="str">
        <f>IF($V134=$R$1,MAX($R$3:R133)+1,"")</f>
        <v/>
      </c>
      <c r="S134" s="24">
        <v>132</v>
      </c>
      <c r="T134" s="39" t="s">
        <v>342</v>
      </c>
      <c r="U134" s="25" t="s">
        <v>286</v>
      </c>
      <c r="V134" s="25" t="s">
        <v>193</v>
      </c>
      <c r="W134" s="24">
        <v>1979</v>
      </c>
      <c r="X134" s="24" t="s">
        <v>42</v>
      </c>
      <c r="Y134" s="26">
        <v>43123</v>
      </c>
      <c r="Z134" s="26">
        <v>43203</v>
      </c>
      <c r="AA134" s="26">
        <v>43761</v>
      </c>
      <c r="AB134" s="27"/>
      <c r="AC134" s="28"/>
      <c r="AD134" s="26"/>
      <c r="AE134" s="28"/>
      <c r="AF134" s="26"/>
      <c r="AG134" s="26"/>
      <c r="AH134" s="26"/>
      <c r="AI134" s="27">
        <f>COUNTIF(DangKyThamGapThuongXuyen!$L$4:$L$5261,DaTa!$T134)</f>
        <v>2</v>
      </c>
    </row>
    <row r="135" spans="17:35" ht="15" x14ac:dyDescent="0.2">
      <c r="Q135" s="29"/>
      <c r="R135" s="30" t="str">
        <f>IF($V135=$R$1,MAX($R$3:R134)+1,"")</f>
        <v/>
      </c>
      <c r="S135" s="24">
        <v>133</v>
      </c>
      <c r="T135" s="39" t="s">
        <v>343</v>
      </c>
      <c r="U135" s="25" t="s">
        <v>344</v>
      </c>
      <c r="V135" s="25" t="s">
        <v>345</v>
      </c>
      <c r="W135" s="24">
        <v>1991</v>
      </c>
      <c r="X135" s="24" t="s">
        <v>73</v>
      </c>
      <c r="Y135" s="26">
        <v>43130</v>
      </c>
      <c r="Z135" s="26">
        <v>43203</v>
      </c>
      <c r="AA135" s="26">
        <v>43768</v>
      </c>
      <c r="AB135" s="27"/>
      <c r="AC135" s="28"/>
      <c r="AD135" s="26"/>
      <c r="AE135" s="28"/>
      <c r="AF135" s="26"/>
      <c r="AG135" s="26"/>
      <c r="AH135" s="26"/>
      <c r="AI135" s="27">
        <f>COUNTIF(DangKyThamGapThuongXuyen!$L$4:$L$5261,DaTa!$T135)</f>
        <v>0</v>
      </c>
    </row>
    <row r="136" spans="17:35" ht="15" x14ac:dyDescent="0.2">
      <c r="Q136" s="29"/>
      <c r="R136" s="23" t="str">
        <f>IF($V136=$R$1,MAX($R$3:R135)+1,"")</f>
        <v/>
      </c>
      <c r="S136" s="24">
        <v>134</v>
      </c>
      <c r="T136" s="39" t="s">
        <v>346</v>
      </c>
      <c r="U136" s="25" t="s">
        <v>63</v>
      </c>
      <c r="V136" s="25" t="s">
        <v>300</v>
      </c>
      <c r="W136" s="24">
        <v>1987</v>
      </c>
      <c r="X136" s="24" t="s">
        <v>21</v>
      </c>
      <c r="Y136" s="26">
        <v>43114</v>
      </c>
      <c r="Z136" s="26">
        <v>43208</v>
      </c>
      <c r="AA136" s="26">
        <v>43660</v>
      </c>
      <c r="AB136" s="27"/>
      <c r="AC136" s="28"/>
      <c r="AD136" s="26"/>
      <c r="AE136" s="28"/>
      <c r="AF136" s="26"/>
      <c r="AG136" s="26"/>
      <c r="AH136" s="26"/>
      <c r="AI136" s="27">
        <f>COUNTIF(DangKyThamGapThuongXuyen!$L$4:$L$5261,DaTa!$T136)</f>
        <v>0</v>
      </c>
    </row>
    <row r="137" spans="17:35" ht="12.75" x14ac:dyDescent="0.2">
      <c r="Q137" s="29"/>
      <c r="R137" s="30" t="str">
        <f>IF($V137=$R$1,MAX($R$3:R136)+1,"")</f>
        <v/>
      </c>
      <c r="S137" s="24">
        <v>135</v>
      </c>
      <c r="T137" s="39" t="s">
        <v>347</v>
      </c>
      <c r="U137" s="25" t="s">
        <v>348</v>
      </c>
      <c r="V137" s="25" t="s">
        <v>131</v>
      </c>
      <c r="W137" s="24">
        <v>1993</v>
      </c>
      <c r="X137" s="24" t="s">
        <v>21</v>
      </c>
      <c r="Y137" s="26">
        <v>43130</v>
      </c>
      <c r="Z137" s="26">
        <v>43214</v>
      </c>
      <c r="AA137" s="26">
        <v>43860</v>
      </c>
      <c r="AB137" s="27"/>
      <c r="AC137" s="43"/>
      <c r="AD137" s="26"/>
      <c r="AE137" s="43"/>
      <c r="AF137" s="26"/>
      <c r="AG137" s="26"/>
      <c r="AH137" s="26"/>
      <c r="AI137" s="27">
        <f>COUNTIF(DangKyThamGapThuongXuyen!$L$4:$L$5261,DaTa!$T137)</f>
        <v>2</v>
      </c>
    </row>
    <row r="138" spans="17:35" ht="12.75" x14ac:dyDescent="0.2">
      <c r="Q138" s="29"/>
      <c r="R138" s="30" t="str">
        <f>IF($V138=$R$1,MAX($R$3:R137)+1,"")</f>
        <v/>
      </c>
      <c r="S138" s="24">
        <v>136</v>
      </c>
      <c r="T138" s="39" t="s">
        <v>349</v>
      </c>
      <c r="U138" s="40" t="s">
        <v>350</v>
      </c>
      <c r="V138" s="40" t="s">
        <v>351</v>
      </c>
      <c r="W138" s="41">
        <v>1994</v>
      </c>
      <c r="X138" s="24" t="s">
        <v>21</v>
      </c>
      <c r="Y138" s="42">
        <v>43156</v>
      </c>
      <c r="Z138" s="42">
        <v>43214</v>
      </c>
      <c r="AA138" s="42">
        <v>43794</v>
      </c>
      <c r="AB138" s="27"/>
      <c r="AC138" s="43"/>
      <c r="AD138" s="26"/>
      <c r="AE138" s="43"/>
      <c r="AF138" s="26"/>
      <c r="AG138" s="26"/>
      <c r="AH138" s="26"/>
      <c r="AI138" s="27">
        <f>COUNTIF(DangKyThamGapThuongXuyen!$L$4:$L$5261,DaTa!$T138)</f>
        <v>0</v>
      </c>
    </row>
    <row r="139" spans="17:35" ht="12.75" x14ac:dyDescent="0.2">
      <c r="Q139" s="29"/>
      <c r="R139" s="23" t="str">
        <f>IF($V139=$R$1,MAX($R$3:R138)+1,"")</f>
        <v/>
      </c>
      <c r="S139" s="24">
        <v>137</v>
      </c>
      <c r="T139" s="39" t="s">
        <v>352</v>
      </c>
      <c r="U139" s="40" t="s">
        <v>353</v>
      </c>
      <c r="V139" s="40" t="s">
        <v>354</v>
      </c>
      <c r="W139" s="41">
        <v>1967</v>
      </c>
      <c r="X139" s="24" t="s">
        <v>21</v>
      </c>
      <c r="Y139" s="42">
        <v>43119</v>
      </c>
      <c r="Z139" s="42">
        <v>43214</v>
      </c>
      <c r="AA139" s="42">
        <v>43665</v>
      </c>
      <c r="AB139" s="27"/>
      <c r="AC139" s="43"/>
      <c r="AD139" s="26"/>
      <c r="AE139" s="43"/>
      <c r="AF139" s="26"/>
      <c r="AG139" s="26"/>
      <c r="AH139" s="26"/>
      <c r="AI139" s="27">
        <f>COUNTIF(DangKyThamGapThuongXuyen!$L$4:$L$5261,DaTa!$T139)</f>
        <v>1</v>
      </c>
    </row>
    <row r="140" spans="17:35" ht="12.75" x14ac:dyDescent="0.2">
      <c r="Q140" s="29"/>
      <c r="R140" s="30" t="str">
        <f>IF($V140=$R$1,MAX($R$3:R139)+1,"")</f>
        <v/>
      </c>
      <c r="S140" s="24">
        <v>138</v>
      </c>
      <c r="T140" s="39" t="s">
        <v>355</v>
      </c>
      <c r="U140" s="40" t="s">
        <v>317</v>
      </c>
      <c r="V140" s="40" t="s">
        <v>356</v>
      </c>
      <c r="W140" s="41">
        <v>1992</v>
      </c>
      <c r="X140" s="24" t="s">
        <v>73</v>
      </c>
      <c r="Y140" s="42">
        <v>43068</v>
      </c>
      <c r="Z140" s="42">
        <v>43214</v>
      </c>
      <c r="AA140" s="42">
        <v>43706</v>
      </c>
      <c r="AB140" s="27"/>
      <c r="AC140" s="43"/>
      <c r="AD140" s="26"/>
      <c r="AE140" s="43"/>
      <c r="AF140" s="26"/>
      <c r="AG140" s="26"/>
      <c r="AH140" s="26"/>
      <c r="AI140" s="27">
        <f>COUNTIF(DangKyThamGapThuongXuyen!$L$4:$L$5261,DaTa!$T140)</f>
        <v>0</v>
      </c>
    </row>
    <row r="141" spans="17:35" ht="12.75" x14ac:dyDescent="0.2">
      <c r="Q141" s="29"/>
      <c r="R141" s="30" t="str">
        <f>IF($V141=$R$1,MAX($R$3:R140)+1,"")</f>
        <v/>
      </c>
      <c r="S141" s="24">
        <v>139</v>
      </c>
      <c r="T141" s="39" t="s">
        <v>357</v>
      </c>
      <c r="U141" s="40" t="s">
        <v>358</v>
      </c>
      <c r="V141" s="40" t="s">
        <v>54</v>
      </c>
      <c r="W141" s="41">
        <v>1984</v>
      </c>
      <c r="X141" s="24" t="s">
        <v>21</v>
      </c>
      <c r="Y141" s="42">
        <v>43192</v>
      </c>
      <c r="Z141" s="42">
        <v>43215</v>
      </c>
      <c r="AA141" s="42">
        <v>43923</v>
      </c>
      <c r="AB141" s="27"/>
      <c r="AC141" s="43"/>
      <c r="AD141" s="26"/>
      <c r="AE141" s="43"/>
      <c r="AF141" s="26"/>
      <c r="AG141" s="26"/>
      <c r="AH141" s="26"/>
      <c r="AI141" s="27">
        <f>COUNTIF(DangKyThamGapThuongXuyen!$L$4:$L$5261,DaTa!$T141)</f>
        <v>2</v>
      </c>
    </row>
    <row r="142" spans="17:35" ht="15" x14ac:dyDescent="0.2">
      <c r="Q142" s="29"/>
      <c r="R142" s="30" t="str">
        <f>IF($V142=$R$1,MAX($R$3:R141)+1,"")</f>
        <v/>
      </c>
      <c r="S142" s="24">
        <v>140</v>
      </c>
      <c r="T142" s="39" t="s">
        <v>359</v>
      </c>
      <c r="U142" s="25" t="s">
        <v>360</v>
      </c>
      <c r="V142" s="25" t="s">
        <v>228</v>
      </c>
      <c r="W142" s="24">
        <v>1969</v>
      </c>
      <c r="X142" s="24" t="s">
        <v>25</v>
      </c>
      <c r="Y142" s="26">
        <v>43134</v>
      </c>
      <c r="Z142" s="26">
        <v>43216</v>
      </c>
      <c r="AA142" s="26">
        <v>43680</v>
      </c>
      <c r="AB142" s="27"/>
      <c r="AC142" s="28"/>
      <c r="AD142" s="26"/>
      <c r="AE142" s="28"/>
      <c r="AF142" s="26"/>
      <c r="AG142" s="26"/>
      <c r="AH142" s="26"/>
      <c r="AI142" s="27">
        <f>COUNTIF(DangKyThamGapThuongXuyen!$L$4:$L$5261,DaTa!$T142)</f>
        <v>1</v>
      </c>
    </row>
    <row r="143" spans="17:35" ht="15" x14ac:dyDescent="0.2">
      <c r="Q143" s="29"/>
      <c r="R143" s="30" t="str">
        <f>IF($V143=$R$1,MAX($R$3:R142)+1,"")</f>
        <v/>
      </c>
      <c r="S143" s="24">
        <v>141</v>
      </c>
      <c r="T143" s="39" t="s">
        <v>361</v>
      </c>
      <c r="U143" s="25" t="s">
        <v>143</v>
      </c>
      <c r="V143" s="25" t="s">
        <v>231</v>
      </c>
      <c r="W143" s="24">
        <v>1974</v>
      </c>
      <c r="X143" s="24" t="s">
        <v>25</v>
      </c>
      <c r="Y143" s="46">
        <v>43127</v>
      </c>
      <c r="Z143" s="26">
        <v>43216</v>
      </c>
      <c r="AA143" s="47">
        <v>43765</v>
      </c>
      <c r="AB143" s="27"/>
      <c r="AC143" s="28"/>
      <c r="AD143" s="26"/>
      <c r="AE143" s="28"/>
      <c r="AF143" s="26"/>
      <c r="AG143" s="26"/>
      <c r="AH143" s="26"/>
      <c r="AI143" s="27">
        <f>COUNTIF(DangKyThamGapThuongXuyen!$L$4:$L$5261,DaTa!$T143)</f>
        <v>0</v>
      </c>
    </row>
    <row r="144" spans="17:35" ht="15" x14ac:dyDescent="0.2">
      <c r="Q144" s="29"/>
      <c r="R144" s="30" t="str">
        <f>IF($V144=$R$1,MAX($R$3:R143)+1,"")</f>
        <v/>
      </c>
      <c r="S144" s="24">
        <v>142</v>
      </c>
      <c r="T144" s="39" t="s">
        <v>362</v>
      </c>
      <c r="U144" s="25" t="s">
        <v>363</v>
      </c>
      <c r="V144" s="25" t="s">
        <v>364</v>
      </c>
      <c r="W144" s="24">
        <v>1988</v>
      </c>
      <c r="X144" s="24" t="s">
        <v>25</v>
      </c>
      <c r="Y144" s="46">
        <v>43141</v>
      </c>
      <c r="Z144" s="26">
        <v>43223</v>
      </c>
      <c r="AA144" s="47">
        <v>43748</v>
      </c>
      <c r="AB144" s="27"/>
      <c r="AC144" s="28"/>
      <c r="AD144" s="26"/>
      <c r="AE144" s="28"/>
      <c r="AF144" s="26"/>
      <c r="AG144" s="26"/>
      <c r="AH144" s="26"/>
      <c r="AI144" s="27">
        <f>COUNTIF(DangKyThamGapThuongXuyen!$L$4:$L$5261,DaTa!$T144)</f>
        <v>0</v>
      </c>
    </row>
    <row r="145" spans="17:35" ht="15" x14ac:dyDescent="0.2">
      <c r="Q145" s="29"/>
      <c r="R145" s="30" t="str">
        <f>IF($V145=$R$1,MAX($R$3:R144)+1,"")</f>
        <v/>
      </c>
      <c r="S145" s="24">
        <v>143</v>
      </c>
      <c r="T145" s="39" t="s">
        <v>365</v>
      </c>
      <c r="U145" s="25" t="s">
        <v>366</v>
      </c>
      <c r="V145" s="25" t="s">
        <v>367</v>
      </c>
      <c r="W145" s="24">
        <v>1976</v>
      </c>
      <c r="X145" s="24" t="s">
        <v>25</v>
      </c>
      <c r="Y145" s="26">
        <v>43151</v>
      </c>
      <c r="Z145" s="26">
        <v>43224</v>
      </c>
      <c r="AA145" s="26">
        <v>43789</v>
      </c>
      <c r="AB145" s="27"/>
      <c r="AC145" s="28"/>
      <c r="AD145" s="26"/>
      <c r="AE145" s="28"/>
      <c r="AF145" s="26"/>
      <c r="AG145" s="26"/>
      <c r="AH145" s="26"/>
      <c r="AI145" s="27">
        <f>COUNTIF(DangKyThamGapThuongXuyen!$L$4:$L$5261,DaTa!$T145)</f>
        <v>0</v>
      </c>
    </row>
    <row r="146" spans="17:35" ht="15" x14ac:dyDescent="0.2">
      <c r="Q146" s="29"/>
      <c r="R146" s="30" t="str">
        <f>IF($V146=$R$1,MAX($R$3:R145)+1,"")</f>
        <v/>
      </c>
      <c r="S146" s="24">
        <v>144</v>
      </c>
      <c r="T146" s="39" t="s">
        <v>368</v>
      </c>
      <c r="U146" s="25" t="s">
        <v>369</v>
      </c>
      <c r="V146" s="25" t="s">
        <v>370</v>
      </c>
      <c r="W146" s="24">
        <v>1976</v>
      </c>
      <c r="X146" s="24" t="s">
        <v>25</v>
      </c>
      <c r="Y146" s="26">
        <v>43154</v>
      </c>
      <c r="Z146" s="26">
        <v>43224</v>
      </c>
      <c r="AA146" s="26">
        <v>43761</v>
      </c>
      <c r="AB146" s="27"/>
      <c r="AC146" s="28"/>
      <c r="AD146" s="26"/>
      <c r="AE146" s="28"/>
      <c r="AF146" s="26"/>
      <c r="AG146" s="26"/>
      <c r="AH146" s="26"/>
      <c r="AI146" s="27">
        <f>COUNTIF(DangKyThamGapThuongXuyen!$L$4:$L$5261,DaTa!$T146)</f>
        <v>0</v>
      </c>
    </row>
    <row r="147" spans="17:35" ht="15" x14ac:dyDescent="0.2">
      <c r="Q147" s="29"/>
      <c r="R147" s="30" t="str">
        <f>IF($V147=$R$1,MAX($R$3:R146)+1,"")</f>
        <v/>
      </c>
      <c r="S147" s="24">
        <v>145</v>
      </c>
      <c r="T147" s="39" t="s">
        <v>371</v>
      </c>
      <c r="U147" s="25" t="s">
        <v>372</v>
      </c>
      <c r="V147" s="25" t="s">
        <v>134</v>
      </c>
      <c r="W147" s="24">
        <v>1973</v>
      </c>
      <c r="X147" s="24" t="s">
        <v>25</v>
      </c>
      <c r="Y147" s="26">
        <v>43131</v>
      </c>
      <c r="Z147" s="26">
        <v>43225</v>
      </c>
      <c r="AA147" s="26">
        <v>43861</v>
      </c>
      <c r="AB147" s="27"/>
      <c r="AC147" s="28"/>
      <c r="AD147" s="26"/>
      <c r="AE147" s="28"/>
      <c r="AF147" s="26"/>
      <c r="AG147" s="26"/>
      <c r="AH147" s="26"/>
      <c r="AI147" s="27">
        <f>COUNTIF(DangKyThamGapThuongXuyen!$L$4:$L$5261,DaTa!$T147)</f>
        <v>0</v>
      </c>
    </row>
    <row r="148" spans="17:35" ht="15" x14ac:dyDescent="0.2">
      <c r="Q148" s="29"/>
      <c r="R148" s="30" t="str">
        <f>IF($V148=$R$1,MAX($R$3:R147)+1,"")</f>
        <v/>
      </c>
      <c r="S148" s="24">
        <v>146</v>
      </c>
      <c r="T148" s="39" t="s">
        <v>373</v>
      </c>
      <c r="U148" s="25" t="s">
        <v>374</v>
      </c>
      <c r="V148" s="25" t="s">
        <v>293</v>
      </c>
      <c r="W148" s="24">
        <v>1985</v>
      </c>
      <c r="X148" s="24" t="s">
        <v>29</v>
      </c>
      <c r="Y148" s="46">
        <v>43164</v>
      </c>
      <c r="Z148" s="26">
        <v>43231</v>
      </c>
      <c r="AA148" s="47">
        <v>43895</v>
      </c>
      <c r="AB148" s="27"/>
      <c r="AC148" s="28"/>
      <c r="AD148" s="26"/>
      <c r="AE148" s="28"/>
      <c r="AF148" s="26"/>
      <c r="AG148" s="26"/>
      <c r="AH148" s="26"/>
      <c r="AI148" s="27">
        <f>COUNTIF(DangKyThamGapThuongXuyen!$L$4:$L$5261,DaTa!$T148)</f>
        <v>1</v>
      </c>
    </row>
    <row r="149" spans="17:35" ht="15" x14ac:dyDescent="0.2">
      <c r="Q149" s="29"/>
      <c r="R149" s="30" t="str">
        <f>IF($V149=$R$1,MAX($R$3:R148)+1,"")</f>
        <v/>
      </c>
      <c r="S149" s="24">
        <v>147</v>
      </c>
      <c r="T149" s="39" t="s">
        <v>375</v>
      </c>
      <c r="U149" s="25" t="s">
        <v>358</v>
      </c>
      <c r="V149" s="25" t="s">
        <v>376</v>
      </c>
      <c r="W149" s="24">
        <v>1965</v>
      </c>
      <c r="X149" s="24" t="s">
        <v>29</v>
      </c>
      <c r="Y149" s="26">
        <v>43081</v>
      </c>
      <c r="Z149" s="26">
        <v>43231</v>
      </c>
      <c r="AA149" s="26">
        <v>43750</v>
      </c>
      <c r="AB149" s="27"/>
      <c r="AC149" s="28"/>
      <c r="AD149" s="26"/>
      <c r="AE149" s="28"/>
      <c r="AF149" s="26"/>
      <c r="AG149" s="26"/>
      <c r="AH149" s="26"/>
      <c r="AI149" s="27">
        <f>COUNTIF(DangKyThamGapThuongXuyen!$L$4:$L$5261,DaTa!$T149)</f>
        <v>0</v>
      </c>
    </row>
    <row r="150" spans="17:35" ht="15" x14ac:dyDescent="0.2">
      <c r="Q150" s="29"/>
      <c r="R150" s="30" t="str">
        <f>IF($V150=$R$1,MAX($R$3:R149)+1,"")</f>
        <v/>
      </c>
      <c r="S150" s="24">
        <v>148</v>
      </c>
      <c r="T150" s="39" t="s">
        <v>377</v>
      </c>
      <c r="U150" s="25" t="s">
        <v>245</v>
      </c>
      <c r="V150" s="25" t="s">
        <v>57</v>
      </c>
      <c r="W150" s="24">
        <v>1987</v>
      </c>
      <c r="X150" s="24" t="s">
        <v>73</v>
      </c>
      <c r="Y150" s="26">
        <v>43209</v>
      </c>
      <c r="Z150" s="26">
        <v>43236</v>
      </c>
      <c r="AA150" s="26">
        <v>43757</v>
      </c>
      <c r="AB150" s="27"/>
      <c r="AC150" s="28"/>
      <c r="AD150" s="26"/>
      <c r="AE150" s="28"/>
      <c r="AF150" s="26"/>
      <c r="AG150" s="26"/>
      <c r="AH150" s="26"/>
      <c r="AI150" s="27">
        <f>COUNTIF(DangKyThamGapThuongXuyen!$L$4:$L$5261,DaTa!$T150)</f>
        <v>4</v>
      </c>
    </row>
    <row r="151" spans="17:35" ht="15" x14ac:dyDescent="0.2">
      <c r="Q151" s="29"/>
      <c r="R151" s="30" t="str">
        <f>IF($V151=$R$1,MAX($R$3:R150)+1,"")</f>
        <v/>
      </c>
      <c r="S151" s="24">
        <v>149</v>
      </c>
      <c r="T151" s="39" t="s">
        <v>378</v>
      </c>
      <c r="U151" s="25" t="s">
        <v>63</v>
      </c>
      <c r="V151" s="25" t="s">
        <v>354</v>
      </c>
      <c r="W151" s="24">
        <v>1995</v>
      </c>
      <c r="X151" s="24" t="s">
        <v>73</v>
      </c>
      <c r="Y151" s="26">
        <v>43206</v>
      </c>
      <c r="Z151" s="26">
        <v>43236</v>
      </c>
      <c r="AA151" s="26">
        <v>43937</v>
      </c>
      <c r="AB151" s="27"/>
      <c r="AC151" s="28"/>
      <c r="AD151" s="26"/>
      <c r="AE151" s="28"/>
      <c r="AF151" s="26"/>
      <c r="AG151" s="26"/>
      <c r="AH151" s="26"/>
      <c r="AI151" s="27">
        <f>COUNTIF(DangKyThamGapThuongXuyen!$L$4:$L$5261,DaTa!$T151)</f>
        <v>0</v>
      </c>
    </row>
    <row r="152" spans="17:35" ht="15" x14ac:dyDescent="0.2">
      <c r="Q152" s="29"/>
      <c r="R152" s="30" t="str">
        <f>IF($V152=$R$1,MAX($R$3:R151)+1,"")</f>
        <v/>
      </c>
      <c r="S152" s="24">
        <v>150</v>
      </c>
      <c r="T152" s="39" t="s">
        <v>379</v>
      </c>
      <c r="U152" s="25" t="s">
        <v>380</v>
      </c>
      <c r="V152" s="25" t="s">
        <v>381</v>
      </c>
      <c r="W152" s="24">
        <v>1970</v>
      </c>
      <c r="X152" s="24" t="s">
        <v>73</v>
      </c>
      <c r="Y152" s="26">
        <v>43105</v>
      </c>
      <c r="Z152" s="26">
        <v>43238</v>
      </c>
      <c r="AA152" s="26">
        <v>43651</v>
      </c>
      <c r="AB152" s="27"/>
      <c r="AC152" s="28"/>
      <c r="AD152" s="26"/>
      <c r="AE152" s="28"/>
      <c r="AF152" s="26"/>
      <c r="AG152" s="26"/>
      <c r="AH152" s="26"/>
      <c r="AI152" s="27">
        <f>COUNTIF(DangKyThamGapThuongXuyen!$L$4:$L$5261,DaTa!$T152)</f>
        <v>0</v>
      </c>
    </row>
    <row r="153" spans="17:35" ht="15" x14ac:dyDescent="0.2">
      <c r="Q153" s="29"/>
      <c r="R153" s="30" t="str">
        <f>IF($V153=$R$1,MAX($R$3:R152)+1,"")</f>
        <v/>
      </c>
      <c r="S153" s="24">
        <v>151</v>
      </c>
      <c r="T153" s="39" t="s">
        <v>382</v>
      </c>
      <c r="U153" s="25" t="s">
        <v>78</v>
      </c>
      <c r="V153" s="25" t="s">
        <v>376</v>
      </c>
      <c r="W153" s="24">
        <v>1975</v>
      </c>
      <c r="X153" s="24" t="s">
        <v>73</v>
      </c>
      <c r="Y153" s="26">
        <v>43173</v>
      </c>
      <c r="Z153" s="26">
        <v>43238</v>
      </c>
      <c r="AA153" s="26">
        <v>43904</v>
      </c>
      <c r="AB153" s="27"/>
      <c r="AC153" s="28"/>
      <c r="AD153" s="26"/>
      <c r="AE153" s="28"/>
      <c r="AF153" s="26"/>
      <c r="AG153" s="26"/>
      <c r="AH153" s="26"/>
      <c r="AI153" s="27">
        <f>COUNTIF(DangKyThamGapThuongXuyen!$L$4:$L$5261,DaTa!$T153)</f>
        <v>1</v>
      </c>
    </row>
    <row r="154" spans="17:35" ht="15" x14ac:dyDescent="0.2">
      <c r="Q154" s="29"/>
      <c r="R154" s="30" t="str">
        <f>IF($V154=$R$1,MAX($R$3:R153)+1,"")</f>
        <v/>
      </c>
      <c r="S154" s="24">
        <v>152</v>
      </c>
      <c r="T154" s="39" t="s">
        <v>383</v>
      </c>
      <c r="U154" s="25" t="s">
        <v>384</v>
      </c>
      <c r="V154" s="25" t="s">
        <v>107</v>
      </c>
      <c r="W154" s="24">
        <v>1982</v>
      </c>
      <c r="X154" s="24" t="s">
        <v>42</v>
      </c>
      <c r="Y154" s="26">
        <v>43144</v>
      </c>
      <c r="Z154" s="26">
        <v>43238</v>
      </c>
      <c r="AA154" s="26">
        <v>43690</v>
      </c>
      <c r="AB154" s="27"/>
      <c r="AC154" s="53"/>
      <c r="AD154" s="26"/>
      <c r="AE154" s="53"/>
      <c r="AF154" s="26"/>
      <c r="AG154" s="26"/>
      <c r="AH154" s="26"/>
      <c r="AI154" s="27">
        <f>COUNTIF(DangKyThamGapThuongXuyen!$L$4:$L$5261,DaTa!$T154)</f>
        <v>0</v>
      </c>
    </row>
    <row r="155" spans="17:35" ht="12.75" x14ac:dyDescent="0.2">
      <c r="Q155" s="29"/>
      <c r="R155" s="30" t="str">
        <f>IF($V155=$R$1,MAX($R$3:R154)+1,"")</f>
        <v/>
      </c>
      <c r="S155" s="24">
        <v>153</v>
      </c>
      <c r="T155" s="39" t="s">
        <v>385</v>
      </c>
      <c r="U155" s="40" t="s">
        <v>386</v>
      </c>
      <c r="V155" s="40" t="s">
        <v>20</v>
      </c>
      <c r="W155" s="41">
        <v>1979</v>
      </c>
      <c r="X155" s="24" t="s">
        <v>73</v>
      </c>
      <c r="Y155" s="42">
        <v>43144</v>
      </c>
      <c r="Z155" s="42">
        <v>43238</v>
      </c>
      <c r="AA155" s="42">
        <v>43782</v>
      </c>
      <c r="AB155" s="27"/>
      <c r="AC155" s="43" t="s">
        <v>88</v>
      </c>
      <c r="AD155" s="26">
        <v>43629</v>
      </c>
      <c r="AE155" s="43">
        <v>20</v>
      </c>
      <c r="AF155" s="26">
        <v>43649</v>
      </c>
      <c r="AG155" s="26"/>
      <c r="AH155" s="26"/>
      <c r="AI155" s="27">
        <f>COUNTIF(DangKyThamGapThuongXuyen!$L$4:$L$5261,DaTa!$T155)</f>
        <v>0</v>
      </c>
    </row>
    <row r="156" spans="17:35" ht="15" x14ac:dyDescent="0.2">
      <c r="Q156" s="29"/>
      <c r="R156" s="30" t="str">
        <f>IF($V156=$R$1,MAX($R$3:R155)+1,"")</f>
        <v/>
      </c>
      <c r="S156" s="24">
        <v>154</v>
      </c>
      <c r="T156" s="39" t="s">
        <v>387</v>
      </c>
      <c r="U156" s="25" t="s">
        <v>388</v>
      </c>
      <c r="V156" s="25" t="s">
        <v>389</v>
      </c>
      <c r="W156" s="24">
        <v>1967</v>
      </c>
      <c r="X156" s="24" t="s">
        <v>73</v>
      </c>
      <c r="Y156" s="26">
        <v>43173</v>
      </c>
      <c r="Z156" s="26">
        <v>43238</v>
      </c>
      <c r="AA156" s="26">
        <v>43904</v>
      </c>
      <c r="AB156" s="27"/>
      <c r="AC156" s="28"/>
      <c r="AD156" s="26"/>
      <c r="AE156" s="28"/>
      <c r="AF156" s="26"/>
      <c r="AG156" s="26"/>
      <c r="AH156" s="26"/>
      <c r="AI156" s="27">
        <f>COUNTIF(DangKyThamGapThuongXuyen!$L$4:$L$5261,DaTa!$T156)</f>
        <v>0</v>
      </c>
    </row>
    <row r="157" spans="17:35" ht="15" x14ac:dyDescent="0.2">
      <c r="Q157" s="29"/>
      <c r="R157" s="30" t="str">
        <f>IF($V157=$R$1,MAX($R$3:R156)+1,"")</f>
        <v/>
      </c>
      <c r="S157" s="24">
        <v>155</v>
      </c>
      <c r="T157" s="39" t="s">
        <v>390</v>
      </c>
      <c r="U157" s="25" t="s">
        <v>391</v>
      </c>
      <c r="V157" s="25" t="s">
        <v>228</v>
      </c>
      <c r="W157" s="24">
        <v>1969</v>
      </c>
      <c r="X157" s="24" t="s">
        <v>73</v>
      </c>
      <c r="Y157" s="26">
        <v>43164</v>
      </c>
      <c r="Z157" s="26">
        <v>43238</v>
      </c>
      <c r="AA157" s="26">
        <v>43895</v>
      </c>
      <c r="AB157" s="27"/>
      <c r="AC157" s="28"/>
      <c r="AD157" s="26"/>
      <c r="AE157" s="28"/>
      <c r="AF157" s="26"/>
      <c r="AG157" s="26"/>
      <c r="AH157" s="26"/>
      <c r="AI157" s="27">
        <f>COUNTIF(DangKyThamGapThuongXuyen!$L$4:$L$5261,DaTa!$T157)</f>
        <v>0</v>
      </c>
    </row>
    <row r="158" spans="17:35" ht="15" x14ac:dyDescent="0.2">
      <c r="Q158" s="29"/>
      <c r="R158" s="30" t="str">
        <f>IF($V158=$R$1,MAX($R$3:R157)+1,"")</f>
        <v/>
      </c>
      <c r="S158" s="24">
        <v>156</v>
      </c>
      <c r="T158" s="39" t="s">
        <v>392</v>
      </c>
      <c r="U158" s="25" t="s">
        <v>393</v>
      </c>
      <c r="V158" s="25" t="s">
        <v>179</v>
      </c>
      <c r="W158" s="24">
        <v>1983</v>
      </c>
      <c r="X158" s="24" t="s">
        <v>73</v>
      </c>
      <c r="Y158" s="26">
        <v>43120</v>
      </c>
      <c r="Z158" s="26">
        <v>43238</v>
      </c>
      <c r="AA158" s="26">
        <v>43850</v>
      </c>
      <c r="AB158" s="27"/>
      <c r="AC158" s="28"/>
      <c r="AD158" s="26"/>
      <c r="AE158" s="28"/>
      <c r="AF158" s="26"/>
      <c r="AG158" s="26"/>
      <c r="AH158" s="26"/>
      <c r="AI158" s="27">
        <f>COUNTIF(DangKyThamGapThuongXuyen!$L$4:$L$5261,DaTa!$T158)</f>
        <v>0</v>
      </c>
    </row>
    <row r="159" spans="17:35" ht="15" x14ac:dyDescent="0.2">
      <c r="Q159" s="29"/>
      <c r="R159" s="30" t="str">
        <f>IF($V159=$R$1,MAX($R$3:R158)+1,"")</f>
        <v/>
      </c>
      <c r="S159" s="24">
        <v>157</v>
      </c>
      <c r="T159" s="39" t="s">
        <v>394</v>
      </c>
      <c r="U159" s="25" t="s">
        <v>395</v>
      </c>
      <c r="V159" s="25" t="s">
        <v>376</v>
      </c>
      <c r="W159" s="24">
        <v>1976</v>
      </c>
      <c r="X159" s="24" t="s">
        <v>73</v>
      </c>
      <c r="Y159" s="26">
        <v>43180</v>
      </c>
      <c r="Z159" s="26">
        <v>43238</v>
      </c>
      <c r="AA159" s="26">
        <v>43911</v>
      </c>
      <c r="AB159" s="27"/>
      <c r="AC159" s="28"/>
      <c r="AD159" s="26"/>
      <c r="AE159" s="28"/>
      <c r="AF159" s="26"/>
      <c r="AG159" s="26"/>
      <c r="AH159" s="26"/>
      <c r="AI159" s="27">
        <f>COUNTIF(DangKyThamGapThuongXuyen!$L$4:$L$5261,DaTa!$T159)</f>
        <v>0</v>
      </c>
    </row>
    <row r="160" spans="17:35" ht="15" x14ac:dyDescent="0.2">
      <c r="Q160" s="29"/>
      <c r="R160" s="30" t="str">
        <f>IF($V160=$R$1,MAX($R$3:R159)+1,"")</f>
        <v/>
      </c>
      <c r="S160" s="24">
        <v>158</v>
      </c>
      <c r="T160" s="39" t="s">
        <v>396</v>
      </c>
      <c r="U160" s="25" t="s">
        <v>397</v>
      </c>
      <c r="V160" s="25" t="s">
        <v>398</v>
      </c>
      <c r="W160" s="24">
        <v>1987</v>
      </c>
      <c r="X160" s="24" t="s">
        <v>73</v>
      </c>
      <c r="Y160" s="26">
        <v>43175</v>
      </c>
      <c r="Z160" s="26">
        <v>43242</v>
      </c>
      <c r="AA160" s="26">
        <v>43815</v>
      </c>
      <c r="AB160" s="27"/>
      <c r="AC160" s="28"/>
      <c r="AD160" s="26"/>
      <c r="AE160" s="28"/>
      <c r="AF160" s="26"/>
      <c r="AG160" s="26"/>
      <c r="AH160" s="26"/>
      <c r="AI160" s="27">
        <f>COUNTIF(DangKyThamGapThuongXuyen!$L$4:$L$5261,DaTa!$T160)</f>
        <v>0</v>
      </c>
    </row>
    <row r="161" spans="17:35" ht="15" x14ac:dyDescent="0.2">
      <c r="Q161" s="29"/>
      <c r="R161" s="30" t="str">
        <f>IF($V161=$R$1,MAX($R$3:R160)+1,"")</f>
        <v/>
      </c>
      <c r="S161" s="24">
        <v>159</v>
      </c>
      <c r="T161" s="39" t="s">
        <v>399</v>
      </c>
      <c r="U161" s="25" t="s">
        <v>400</v>
      </c>
      <c r="V161" s="25" t="s">
        <v>20</v>
      </c>
      <c r="W161" s="24">
        <v>1977</v>
      </c>
      <c r="X161" s="24" t="s">
        <v>73</v>
      </c>
      <c r="Y161" s="26">
        <v>43173</v>
      </c>
      <c r="Z161" s="26">
        <v>43242</v>
      </c>
      <c r="AA161" s="26">
        <v>43904</v>
      </c>
      <c r="AB161" s="27"/>
      <c r="AC161" s="28"/>
      <c r="AD161" s="26"/>
      <c r="AE161" s="28"/>
      <c r="AF161" s="26"/>
      <c r="AG161" s="26"/>
      <c r="AH161" s="26"/>
      <c r="AI161" s="27">
        <f>COUNTIF(DangKyThamGapThuongXuyen!$L$4:$L$5261,DaTa!$T161)</f>
        <v>1</v>
      </c>
    </row>
    <row r="162" spans="17:35" ht="15" x14ac:dyDescent="0.2">
      <c r="Q162" s="29"/>
      <c r="R162" s="30" t="str">
        <f>IF($V162=$R$1,MAX($R$3:R161)+1,"")</f>
        <v/>
      </c>
      <c r="S162" s="24">
        <v>160</v>
      </c>
      <c r="T162" s="39" t="s">
        <v>401</v>
      </c>
      <c r="U162" s="25" t="s">
        <v>402</v>
      </c>
      <c r="V162" s="25" t="s">
        <v>54</v>
      </c>
      <c r="W162" s="24">
        <v>1966</v>
      </c>
      <c r="X162" s="24" t="s">
        <v>42</v>
      </c>
      <c r="Y162" s="26">
        <v>43168</v>
      </c>
      <c r="Z162" s="26">
        <v>43244</v>
      </c>
      <c r="AA162" s="26">
        <v>43839</v>
      </c>
      <c r="AB162" s="27"/>
      <c r="AC162" s="28"/>
      <c r="AD162" s="26"/>
      <c r="AE162" s="28"/>
      <c r="AF162" s="26"/>
      <c r="AG162" s="26"/>
      <c r="AH162" s="26"/>
      <c r="AI162" s="27">
        <f>COUNTIF(DangKyThamGapThuongXuyen!$L$4:$L$5261,DaTa!$T162)</f>
        <v>0</v>
      </c>
    </row>
    <row r="163" spans="17:35" ht="15" x14ac:dyDescent="0.2">
      <c r="Q163" s="29"/>
      <c r="R163" s="30" t="str">
        <f>IF($V163=$R$1,MAX($R$3:R162)+1,"")</f>
        <v/>
      </c>
      <c r="S163" s="24">
        <v>161</v>
      </c>
      <c r="T163" s="39" t="s">
        <v>403</v>
      </c>
      <c r="U163" s="25" t="s">
        <v>203</v>
      </c>
      <c r="V163" s="25" t="s">
        <v>222</v>
      </c>
      <c r="W163" s="24">
        <v>1975</v>
      </c>
      <c r="X163" s="24" t="s">
        <v>73</v>
      </c>
      <c r="Y163" s="26">
        <v>43158</v>
      </c>
      <c r="Z163" s="26">
        <v>43244</v>
      </c>
      <c r="AA163" s="26">
        <v>43796</v>
      </c>
      <c r="AB163" s="27"/>
      <c r="AC163" s="28"/>
      <c r="AD163" s="26"/>
      <c r="AE163" s="28"/>
      <c r="AF163" s="26"/>
      <c r="AG163" s="26"/>
      <c r="AH163" s="26"/>
      <c r="AI163" s="27">
        <f>COUNTIF(DangKyThamGapThuongXuyen!$L$4:$L$5261,DaTa!$T163)</f>
        <v>5</v>
      </c>
    </row>
    <row r="164" spans="17:35" ht="15" x14ac:dyDescent="0.2">
      <c r="Q164" s="29"/>
      <c r="R164" s="30" t="str">
        <f>IF($V164=$R$1,MAX($R$3:R163)+1,"")</f>
        <v/>
      </c>
      <c r="S164" s="24">
        <v>162</v>
      </c>
      <c r="T164" s="39" t="s">
        <v>404</v>
      </c>
      <c r="U164" s="25" t="s">
        <v>128</v>
      </c>
      <c r="V164" s="25" t="s">
        <v>228</v>
      </c>
      <c r="W164" s="24">
        <v>1990</v>
      </c>
      <c r="X164" s="24" t="s">
        <v>73</v>
      </c>
      <c r="Y164" s="26">
        <v>43158</v>
      </c>
      <c r="Z164" s="26">
        <v>43244</v>
      </c>
      <c r="AA164" s="26">
        <v>43704</v>
      </c>
      <c r="AB164" s="27"/>
      <c r="AC164" s="28"/>
      <c r="AD164" s="26"/>
      <c r="AE164" s="28"/>
      <c r="AF164" s="26"/>
      <c r="AG164" s="26"/>
      <c r="AH164" s="26"/>
      <c r="AI164" s="27">
        <f>COUNTIF(DangKyThamGapThuongXuyen!$L$4:$L$5261,DaTa!$T164)</f>
        <v>2</v>
      </c>
    </row>
    <row r="165" spans="17:35" ht="15" x14ac:dyDescent="0.2">
      <c r="Q165" s="29"/>
      <c r="R165" s="30" t="str">
        <f>IF($V165=$R$1,MAX($R$3:R164)+1,"")</f>
        <v/>
      </c>
      <c r="S165" s="24">
        <v>163</v>
      </c>
      <c r="T165" s="39" t="s">
        <v>405</v>
      </c>
      <c r="U165" s="25" t="s">
        <v>406</v>
      </c>
      <c r="V165" s="25" t="s">
        <v>407</v>
      </c>
      <c r="W165" s="24">
        <v>1971</v>
      </c>
      <c r="X165" s="24" t="s">
        <v>25</v>
      </c>
      <c r="Y165" s="26">
        <v>43172</v>
      </c>
      <c r="Z165" s="26">
        <v>43245</v>
      </c>
      <c r="AA165" s="26">
        <v>43721</v>
      </c>
      <c r="AB165" s="27"/>
      <c r="AC165" s="28"/>
      <c r="AD165" s="26"/>
      <c r="AE165" s="28"/>
      <c r="AF165" s="26"/>
      <c r="AG165" s="26"/>
      <c r="AH165" s="26"/>
      <c r="AI165" s="27">
        <f>COUNTIF(DangKyThamGapThuongXuyen!$L$4:$L$5261,DaTa!$T165)</f>
        <v>0</v>
      </c>
    </row>
    <row r="166" spans="17:35" ht="15" x14ac:dyDescent="0.2">
      <c r="Q166" s="29"/>
      <c r="R166" s="30" t="str">
        <f>IF($V166=$R$1,MAX($R$3:R165)+1,"")</f>
        <v/>
      </c>
      <c r="S166" s="24">
        <v>164</v>
      </c>
      <c r="T166" s="39" t="s">
        <v>408</v>
      </c>
      <c r="U166" s="40" t="s">
        <v>409</v>
      </c>
      <c r="V166" s="40" t="s">
        <v>153</v>
      </c>
      <c r="W166" s="41">
        <v>1979</v>
      </c>
      <c r="X166" s="24" t="s">
        <v>42</v>
      </c>
      <c r="Y166" s="42">
        <v>43161</v>
      </c>
      <c r="Z166" s="42">
        <v>43252</v>
      </c>
      <c r="AA166" s="42">
        <v>43801</v>
      </c>
      <c r="AB166" s="27"/>
      <c r="AC166" s="28"/>
      <c r="AD166" s="26"/>
      <c r="AE166" s="28"/>
      <c r="AF166" s="26"/>
      <c r="AG166" s="26"/>
      <c r="AH166" s="26"/>
      <c r="AI166" s="27">
        <f>COUNTIF(DangKyThamGapThuongXuyen!$L$4:$L$5261,DaTa!$T166)</f>
        <v>0</v>
      </c>
    </row>
    <row r="167" spans="17:35" ht="12.75" x14ac:dyDescent="0.2">
      <c r="Q167" s="29"/>
      <c r="R167" s="30" t="str">
        <f>IF($V167=$R$1,MAX($R$3:R166)+1,"")</f>
        <v/>
      </c>
      <c r="S167" s="24">
        <v>165</v>
      </c>
      <c r="T167" s="39" t="s">
        <v>410</v>
      </c>
      <c r="U167" s="40" t="s">
        <v>411</v>
      </c>
      <c r="V167" s="40" t="s">
        <v>412</v>
      </c>
      <c r="W167" s="41">
        <v>1989</v>
      </c>
      <c r="X167" s="24" t="s">
        <v>42</v>
      </c>
      <c r="Y167" s="42">
        <v>43178</v>
      </c>
      <c r="Z167" s="42">
        <v>43252</v>
      </c>
      <c r="AA167" s="42">
        <v>43818</v>
      </c>
      <c r="AB167" s="27"/>
      <c r="AC167" s="43" t="s">
        <v>88</v>
      </c>
      <c r="AD167" s="26">
        <v>43600</v>
      </c>
      <c r="AE167" s="43">
        <v>50</v>
      </c>
      <c r="AF167" s="26">
        <v>43650</v>
      </c>
      <c r="AG167" s="26"/>
      <c r="AH167" s="26"/>
      <c r="AI167" s="27">
        <f>COUNTIF(DangKyThamGapThuongXuyen!$L$4:$L$5261,DaTa!$T167)</f>
        <v>0</v>
      </c>
    </row>
    <row r="168" spans="17:35" ht="12.75" x14ac:dyDescent="0.2">
      <c r="Q168" s="29"/>
      <c r="R168" s="30">
        <f>IF($V168=$R$1,MAX($R$3:R167)+1,"")</f>
        <v>2</v>
      </c>
      <c r="S168" s="24">
        <v>166</v>
      </c>
      <c r="T168" s="39" t="s">
        <v>413</v>
      </c>
      <c r="U168" s="40" t="s">
        <v>414</v>
      </c>
      <c r="V168" s="40" t="s">
        <v>257</v>
      </c>
      <c r="W168" s="41">
        <v>1982</v>
      </c>
      <c r="X168" s="24" t="s">
        <v>42</v>
      </c>
      <c r="Y168" s="42">
        <v>43021</v>
      </c>
      <c r="Z168" s="42">
        <v>43256</v>
      </c>
      <c r="AA168" s="42">
        <v>43751</v>
      </c>
      <c r="AB168" s="27"/>
      <c r="AC168" s="43"/>
      <c r="AD168" s="26"/>
      <c r="AE168" s="43"/>
      <c r="AF168" s="26"/>
      <c r="AG168" s="26"/>
      <c r="AH168" s="26"/>
      <c r="AI168" s="27">
        <f>COUNTIF(DangKyThamGapThuongXuyen!$L$4:$L$5261,DaTa!$T168)</f>
        <v>0</v>
      </c>
    </row>
    <row r="169" spans="17:35" ht="15" x14ac:dyDescent="0.2">
      <c r="Q169" s="29"/>
      <c r="R169" s="30" t="str">
        <f>IF($V169=$R$1,MAX($R$3:R168)+1,"")</f>
        <v/>
      </c>
      <c r="S169" s="24">
        <v>167</v>
      </c>
      <c r="T169" s="39" t="s">
        <v>415</v>
      </c>
      <c r="U169" s="25" t="s">
        <v>416</v>
      </c>
      <c r="V169" s="25" t="s">
        <v>417</v>
      </c>
      <c r="W169" s="24">
        <v>1973</v>
      </c>
      <c r="X169" s="24" t="s">
        <v>21</v>
      </c>
      <c r="Y169" s="26">
        <v>43230</v>
      </c>
      <c r="Z169" s="26">
        <v>43257</v>
      </c>
      <c r="AA169" s="26">
        <v>43961</v>
      </c>
      <c r="AB169" s="27"/>
      <c r="AC169" s="28"/>
      <c r="AD169" s="26"/>
      <c r="AE169" s="28"/>
      <c r="AF169" s="26"/>
      <c r="AG169" s="26"/>
      <c r="AH169" s="26"/>
      <c r="AI169" s="27">
        <f>COUNTIF(DangKyThamGapThuongXuyen!$L$4:$L$5261,DaTa!$T169)</f>
        <v>0</v>
      </c>
    </row>
    <row r="170" spans="17:35" ht="15" x14ac:dyDescent="0.2">
      <c r="Q170" s="29"/>
      <c r="R170" s="23" t="str">
        <f>IF($V170=$R$1,MAX($R$3:R169)+1,"")</f>
        <v/>
      </c>
      <c r="S170" s="24">
        <v>168</v>
      </c>
      <c r="T170" s="39" t="s">
        <v>418</v>
      </c>
      <c r="U170" s="25" t="s">
        <v>419</v>
      </c>
      <c r="V170" s="25" t="s">
        <v>420</v>
      </c>
      <c r="W170" s="24">
        <v>1981</v>
      </c>
      <c r="X170" s="24" t="s">
        <v>21</v>
      </c>
      <c r="Y170" s="46">
        <v>43201</v>
      </c>
      <c r="Z170" s="26">
        <v>43259</v>
      </c>
      <c r="AA170" s="47">
        <v>43841</v>
      </c>
      <c r="AB170" s="27"/>
      <c r="AC170" s="28"/>
      <c r="AD170" s="26"/>
      <c r="AE170" s="28"/>
      <c r="AF170" s="26"/>
      <c r="AG170" s="26"/>
      <c r="AH170" s="26"/>
      <c r="AI170" s="27">
        <f>COUNTIF(DangKyThamGapThuongXuyen!$L$4:$L$5261,DaTa!$T170)</f>
        <v>0</v>
      </c>
    </row>
    <row r="171" spans="17:35" ht="15" x14ac:dyDescent="0.2">
      <c r="Q171" s="29"/>
      <c r="R171" s="30" t="str">
        <f>IF($V171=$R$1,MAX($R$3:R170)+1,"")</f>
        <v/>
      </c>
      <c r="S171" s="24">
        <v>169</v>
      </c>
      <c r="T171" s="39" t="s">
        <v>421</v>
      </c>
      <c r="U171" s="25" t="s">
        <v>348</v>
      </c>
      <c r="V171" s="25" t="s">
        <v>54</v>
      </c>
      <c r="W171" s="24">
        <v>1979</v>
      </c>
      <c r="X171" s="24" t="s">
        <v>29</v>
      </c>
      <c r="Y171" s="26">
        <v>42895</v>
      </c>
      <c r="Z171" s="26">
        <v>43261</v>
      </c>
      <c r="AA171" s="26">
        <v>43781</v>
      </c>
      <c r="AB171" s="27"/>
      <c r="AC171" s="28"/>
      <c r="AD171" s="26"/>
      <c r="AE171" s="28"/>
      <c r="AF171" s="26"/>
      <c r="AG171" s="26"/>
      <c r="AH171" s="26"/>
      <c r="AI171" s="27">
        <f>COUNTIF(DangKyThamGapThuongXuyen!$L$4:$L$5261,DaTa!$T171)</f>
        <v>0</v>
      </c>
    </row>
    <row r="172" spans="17:35" ht="15" x14ac:dyDescent="0.2">
      <c r="Q172" s="29"/>
      <c r="R172" s="30" t="str">
        <f>IF($V172=$R$1,MAX($R$3:R171)+1,"")</f>
        <v/>
      </c>
      <c r="S172" s="24">
        <v>170</v>
      </c>
      <c r="T172" s="39" t="s">
        <v>422</v>
      </c>
      <c r="U172" s="25" t="s">
        <v>317</v>
      </c>
      <c r="V172" s="25" t="s">
        <v>423</v>
      </c>
      <c r="W172" s="24">
        <v>1973</v>
      </c>
      <c r="X172" s="24" t="s">
        <v>42</v>
      </c>
      <c r="Y172" s="26">
        <v>43167</v>
      </c>
      <c r="Z172" s="26">
        <v>43263</v>
      </c>
      <c r="AA172" s="26">
        <v>43898</v>
      </c>
      <c r="AB172" s="27"/>
      <c r="AC172" s="28"/>
      <c r="AD172" s="26"/>
      <c r="AE172" s="28"/>
      <c r="AF172" s="26"/>
      <c r="AG172" s="26"/>
      <c r="AH172" s="26"/>
      <c r="AI172" s="27">
        <f>COUNTIF(DangKyThamGapThuongXuyen!$L$4:$L$5261,DaTa!$T172)</f>
        <v>0</v>
      </c>
    </row>
    <row r="173" spans="17:35" ht="15" x14ac:dyDescent="0.2">
      <c r="Q173" s="29"/>
      <c r="R173" s="30" t="str">
        <f>IF($V173=$R$1,MAX($R$3:R172)+1,"")</f>
        <v/>
      </c>
      <c r="S173" s="24">
        <v>171</v>
      </c>
      <c r="T173" s="39" t="s">
        <v>424</v>
      </c>
      <c r="U173" s="25" t="s">
        <v>286</v>
      </c>
      <c r="V173" s="25" t="s">
        <v>222</v>
      </c>
      <c r="W173" s="24">
        <v>1992</v>
      </c>
      <c r="X173" s="24" t="s">
        <v>42</v>
      </c>
      <c r="Y173" s="26">
        <v>43168</v>
      </c>
      <c r="Z173" s="26">
        <v>43263</v>
      </c>
      <c r="AA173" s="26">
        <v>43899</v>
      </c>
      <c r="AB173" s="27"/>
      <c r="AC173" s="28" t="s">
        <v>88</v>
      </c>
      <c r="AD173" s="26">
        <v>43625</v>
      </c>
      <c r="AE173" s="28">
        <v>95</v>
      </c>
      <c r="AF173" s="26">
        <v>43720</v>
      </c>
      <c r="AG173" s="26"/>
      <c r="AH173" s="26"/>
      <c r="AI173" s="27">
        <f>COUNTIF(DangKyThamGapThuongXuyen!$L$4:$L$5261,DaTa!$T173)</f>
        <v>0</v>
      </c>
    </row>
    <row r="174" spans="17:35" ht="15" x14ac:dyDescent="0.2">
      <c r="Q174" s="29"/>
      <c r="R174" s="30" t="str">
        <f>IF($V174=$R$1,MAX($R$3:R173)+1,"")</f>
        <v/>
      </c>
      <c r="S174" s="24">
        <v>172</v>
      </c>
      <c r="T174" s="39" t="s">
        <v>425</v>
      </c>
      <c r="U174" s="25" t="s">
        <v>63</v>
      </c>
      <c r="V174" s="25" t="s">
        <v>231</v>
      </c>
      <c r="W174" s="24">
        <v>1973</v>
      </c>
      <c r="X174" s="24" t="s">
        <v>42</v>
      </c>
      <c r="Y174" s="26">
        <v>43234</v>
      </c>
      <c r="Z174" s="26">
        <v>43264</v>
      </c>
      <c r="AA174" s="26">
        <v>43965</v>
      </c>
      <c r="AB174" s="27"/>
      <c r="AC174" s="28"/>
      <c r="AD174" s="26"/>
      <c r="AE174" s="28"/>
      <c r="AF174" s="26"/>
      <c r="AG174" s="26"/>
      <c r="AH174" s="26"/>
      <c r="AI174" s="27">
        <f>COUNTIF(DangKyThamGapThuongXuyen!$L$4:$L$5261,DaTa!$T174)</f>
        <v>1</v>
      </c>
    </row>
    <row r="175" spans="17:35" ht="15" x14ac:dyDescent="0.2">
      <c r="Q175" s="29"/>
      <c r="R175" s="30" t="str">
        <f>IF($V175=$R$1,MAX($R$3:R174)+1,"")</f>
        <v/>
      </c>
      <c r="S175" s="24">
        <v>173</v>
      </c>
      <c r="T175" s="39" t="s">
        <v>426</v>
      </c>
      <c r="U175" s="25" t="s">
        <v>427</v>
      </c>
      <c r="V175" s="25" t="s">
        <v>428</v>
      </c>
      <c r="W175" s="24">
        <v>1972</v>
      </c>
      <c r="X175" s="24" t="s">
        <v>42</v>
      </c>
      <c r="Y175" s="26">
        <v>43237</v>
      </c>
      <c r="Z175" s="26">
        <v>43264</v>
      </c>
      <c r="AA175" s="26">
        <v>43786</v>
      </c>
      <c r="AB175" s="27"/>
      <c r="AC175" s="28"/>
      <c r="AD175" s="26"/>
      <c r="AE175" s="28"/>
      <c r="AF175" s="26"/>
      <c r="AG175" s="26"/>
      <c r="AH175" s="26"/>
      <c r="AI175" s="27">
        <f>COUNTIF(DangKyThamGapThuongXuyen!$L$4:$L$5261,DaTa!$T175)</f>
        <v>0</v>
      </c>
    </row>
    <row r="176" spans="17:35" ht="15" x14ac:dyDescent="0.2">
      <c r="Q176" s="29"/>
      <c r="R176" s="30" t="str">
        <f>IF($V176=$R$1,MAX($R$3:R175)+1,"")</f>
        <v/>
      </c>
      <c r="S176" s="24">
        <v>174</v>
      </c>
      <c r="T176" s="39" t="s">
        <v>429</v>
      </c>
      <c r="U176" s="25" t="s">
        <v>430</v>
      </c>
      <c r="V176" s="25" t="s">
        <v>35</v>
      </c>
      <c r="W176" s="24">
        <v>1979</v>
      </c>
      <c r="X176" s="24" t="s">
        <v>29</v>
      </c>
      <c r="Y176" s="46">
        <v>43147</v>
      </c>
      <c r="Z176" s="26">
        <v>43265</v>
      </c>
      <c r="AA176" s="50">
        <v>43877</v>
      </c>
      <c r="AB176" s="27"/>
      <c r="AC176" s="28" t="s">
        <v>88</v>
      </c>
      <c r="AD176" s="26">
        <v>43571</v>
      </c>
      <c r="AE176" s="28">
        <v>315</v>
      </c>
      <c r="AF176" s="26">
        <v>43886</v>
      </c>
      <c r="AG176" s="26"/>
      <c r="AH176" s="26"/>
      <c r="AI176" s="27">
        <f>COUNTIF(DangKyThamGapThuongXuyen!$L$4:$L$5261,DaTa!$T176)</f>
        <v>0</v>
      </c>
    </row>
    <row r="177" spans="17:35" ht="15" x14ac:dyDescent="0.2">
      <c r="Q177" s="29"/>
      <c r="R177" s="30" t="str">
        <f>IF($V177=$R$1,MAX($R$3:R176)+1,"")</f>
        <v/>
      </c>
      <c r="S177" s="24">
        <v>175</v>
      </c>
      <c r="T177" s="39" t="s">
        <v>431</v>
      </c>
      <c r="U177" s="54" t="s">
        <v>432</v>
      </c>
      <c r="V177" s="54" t="s">
        <v>107</v>
      </c>
      <c r="W177" s="55">
        <v>1981</v>
      </c>
      <c r="X177" s="24" t="s">
        <v>29</v>
      </c>
      <c r="Y177" s="46">
        <v>43188</v>
      </c>
      <c r="Z177" s="46">
        <v>43265</v>
      </c>
      <c r="AA177" s="46">
        <v>43919</v>
      </c>
      <c r="AB177" s="27"/>
      <c r="AC177" s="28"/>
      <c r="AD177" s="26"/>
      <c r="AE177" s="28"/>
      <c r="AF177" s="26"/>
      <c r="AG177" s="26"/>
      <c r="AH177" s="26"/>
      <c r="AI177" s="27">
        <f>COUNTIF(DangKyThamGapThuongXuyen!$L$4:$L$5261,DaTa!$T177)</f>
        <v>0</v>
      </c>
    </row>
    <row r="178" spans="17:35" ht="12.75" x14ac:dyDescent="0.2">
      <c r="Q178" s="29"/>
      <c r="R178" s="30" t="str">
        <f>IF($V178=$R$1,MAX($R$3:R177)+1,"")</f>
        <v/>
      </c>
      <c r="S178" s="24">
        <v>176</v>
      </c>
      <c r="T178" s="39" t="s">
        <v>433</v>
      </c>
      <c r="U178" s="40" t="s">
        <v>434</v>
      </c>
      <c r="V178" s="40" t="s">
        <v>435</v>
      </c>
      <c r="W178" s="41">
        <v>1968</v>
      </c>
      <c r="X178" s="24" t="s">
        <v>29</v>
      </c>
      <c r="Y178" s="42">
        <v>43187</v>
      </c>
      <c r="Z178" s="42">
        <v>43265</v>
      </c>
      <c r="AA178" s="42">
        <v>43918</v>
      </c>
      <c r="AB178" s="27"/>
      <c r="AC178" s="43"/>
      <c r="AD178" s="26"/>
      <c r="AE178" s="43"/>
      <c r="AF178" s="26"/>
      <c r="AG178" s="26"/>
      <c r="AH178" s="26"/>
      <c r="AI178" s="27">
        <f>COUNTIF(DangKyThamGapThuongXuyen!$L$4:$L$5261,DaTa!$T178)</f>
        <v>0</v>
      </c>
    </row>
    <row r="179" spans="17:35" ht="15" x14ac:dyDescent="0.2">
      <c r="Q179" s="29"/>
      <c r="R179" s="30" t="str">
        <f>IF($V179=$R$1,MAX($R$3:R178)+1,"")</f>
        <v/>
      </c>
      <c r="S179" s="24">
        <v>177</v>
      </c>
      <c r="T179" s="39" t="s">
        <v>436</v>
      </c>
      <c r="U179" s="25" t="s">
        <v>437</v>
      </c>
      <c r="V179" s="25" t="s">
        <v>438</v>
      </c>
      <c r="W179" s="24">
        <v>1992</v>
      </c>
      <c r="X179" s="24" t="s">
        <v>29</v>
      </c>
      <c r="Y179" s="45">
        <v>43170</v>
      </c>
      <c r="Z179" s="26">
        <v>43266</v>
      </c>
      <c r="AA179" s="26">
        <v>43901</v>
      </c>
      <c r="AB179" s="27"/>
      <c r="AC179" s="28"/>
      <c r="AD179" s="26"/>
      <c r="AE179" s="28"/>
      <c r="AF179" s="26"/>
      <c r="AG179" s="26"/>
      <c r="AH179" s="26"/>
      <c r="AI179" s="27">
        <f>COUNTIF(DangKyThamGapThuongXuyen!$L$4:$L$5261,DaTa!$T179)</f>
        <v>0</v>
      </c>
    </row>
    <row r="180" spans="17:35" ht="15" x14ac:dyDescent="0.2">
      <c r="Q180" s="29"/>
      <c r="R180" s="30" t="str">
        <f>IF($V180=$R$1,MAX($R$3:R179)+1,"")</f>
        <v/>
      </c>
      <c r="S180" s="24">
        <v>178</v>
      </c>
      <c r="T180" s="39" t="s">
        <v>439</v>
      </c>
      <c r="U180" s="25" t="s">
        <v>440</v>
      </c>
      <c r="V180" s="25" t="s">
        <v>441</v>
      </c>
      <c r="W180" s="24">
        <v>1976</v>
      </c>
      <c r="X180" s="24" t="s">
        <v>29</v>
      </c>
      <c r="Y180" s="46">
        <v>43207</v>
      </c>
      <c r="Z180" s="26">
        <v>43266</v>
      </c>
      <c r="AA180" s="50">
        <v>43755</v>
      </c>
      <c r="AB180" s="27"/>
      <c r="AC180" s="28"/>
      <c r="AD180" s="26"/>
      <c r="AE180" s="28"/>
      <c r="AF180" s="26"/>
      <c r="AG180" s="26"/>
      <c r="AH180" s="26"/>
      <c r="AI180" s="27">
        <f>COUNTIF(DangKyThamGapThuongXuyen!$L$4:$L$5261,DaTa!$T180)</f>
        <v>2</v>
      </c>
    </row>
    <row r="181" spans="17:35" ht="15" x14ac:dyDescent="0.2">
      <c r="Q181" s="29"/>
      <c r="R181" s="30" t="str">
        <f>IF($V181=$R$1,MAX($R$3:R180)+1,"")</f>
        <v/>
      </c>
      <c r="S181" s="24">
        <v>179</v>
      </c>
      <c r="T181" s="39" t="s">
        <v>442</v>
      </c>
      <c r="U181" s="40" t="s">
        <v>443</v>
      </c>
      <c r="V181" s="40" t="s">
        <v>24</v>
      </c>
      <c r="W181" s="41">
        <v>1988</v>
      </c>
      <c r="X181" s="24" t="s">
        <v>29</v>
      </c>
      <c r="Y181" s="42">
        <v>43126</v>
      </c>
      <c r="Z181" s="42">
        <v>43266</v>
      </c>
      <c r="AA181" s="42">
        <v>43856</v>
      </c>
      <c r="AB181" s="27"/>
      <c r="AC181" s="28"/>
      <c r="AD181" s="26"/>
      <c r="AE181" s="28"/>
      <c r="AF181" s="26"/>
      <c r="AG181" s="26"/>
      <c r="AH181" s="26"/>
      <c r="AI181" s="27">
        <f>COUNTIF(DangKyThamGapThuongXuyen!$L$4:$L$5261,DaTa!$T181)</f>
        <v>0</v>
      </c>
    </row>
    <row r="182" spans="17:35" ht="15" x14ac:dyDescent="0.2">
      <c r="Q182" s="29"/>
      <c r="R182" s="30" t="str">
        <f>IF($V182=$R$1,MAX($R$3:R181)+1,"")</f>
        <v/>
      </c>
      <c r="S182" s="24">
        <v>180</v>
      </c>
      <c r="T182" s="39" t="s">
        <v>444</v>
      </c>
      <c r="U182" s="25" t="s">
        <v>341</v>
      </c>
      <c r="V182" s="25" t="s">
        <v>445</v>
      </c>
      <c r="W182" s="24">
        <v>1990</v>
      </c>
      <c r="X182" s="24" t="s">
        <v>29</v>
      </c>
      <c r="Y182" s="26">
        <v>43192</v>
      </c>
      <c r="Z182" s="26">
        <v>43272</v>
      </c>
      <c r="AA182" s="26">
        <v>43923</v>
      </c>
      <c r="AB182" s="27"/>
      <c r="AC182" s="28"/>
      <c r="AD182" s="26"/>
      <c r="AE182" s="28"/>
      <c r="AF182" s="26"/>
      <c r="AG182" s="26"/>
      <c r="AH182" s="26"/>
      <c r="AI182" s="27">
        <f>COUNTIF(DangKyThamGapThuongXuyen!$L$4:$L$5261,DaTa!$T182)</f>
        <v>0</v>
      </c>
    </row>
    <row r="183" spans="17:35" ht="15" x14ac:dyDescent="0.2">
      <c r="Q183" s="29"/>
      <c r="R183" s="30" t="str">
        <f>IF($V183=$R$1,MAX($R$3:R182)+1,"")</f>
        <v/>
      </c>
      <c r="S183" s="24">
        <v>181</v>
      </c>
      <c r="T183" s="39" t="s">
        <v>446</v>
      </c>
      <c r="U183" s="40" t="s">
        <v>208</v>
      </c>
      <c r="V183" s="40" t="s">
        <v>93</v>
      </c>
      <c r="W183" s="41">
        <v>1981</v>
      </c>
      <c r="X183" s="24" t="s">
        <v>29</v>
      </c>
      <c r="Y183" s="42">
        <v>43193</v>
      </c>
      <c r="Z183" s="42">
        <v>43272</v>
      </c>
      <c r="AA183" s="42">
        <v>43833</v>
      </c>
      <c r="AB183" s="27"/>
      <c r="AC183" s="28"/>
      <c r="AD183" s="26"/>
      <c r="AE183" s="28"/>
      <c r="AF183" s="26"/>
      <c r="AG183" s="26"/>
      <c r="AH183" s="26"/>
      <c r="AI183" s="27">
        <f>COUNTIF(DangKyThamGapThuongXuyen!$L$4:$L$5261,DaTa!$T183)</f>
        <v>5</v>
      </c>
    </row>
    <row r="184" spans="17:35" ht="15" x14ac:dyDescent="0.2">
      <c r="Q184" s="29"/>
      <c r="R184" s="30" t="str">
        <f>IF($V184=$R$1,MAX($R$3:R183)+1,"")</f>
        <v/>
      </c>
      <c r="S184" s="24">
        <v>182</v>
      </c>
      <c r="T184" s="39" t="s">
        <v>447</v>
      </c>
      <c r="U184" s="25" t="s">
        <v>203</v>
      </c>
      <c r="V184" s="25" t="s">
        <v>354</v>
      </c>
      <c r="W184" s="24">
        <v>1975</v>
      </c>
      <c r="X184" s="24" t="s">
        <v>29</v>
      </c>
      <c r="Y184" s="26">
        <v>43207</v>
      </c>
      <c r="Z184" s="26">
        <v>43272</v>
      </c>
      <c r="AA184" s="26">
        <v>43755</v>
      </c>
      <c r="AB184" s="27"/>
      <c r="AC184" s="28" t="s">
        <v>88</v>
      </c>
      <c r="AD184" s="26">
        <v>43612</v>
      </c>
      <c r="AE184" s="28">
        <v>65</v>
      </c>
      <c r="AF184" s="26">
        <v>43677</v>
      </c>
      <c r="AG184" s="26"/>
      <c r="AH184" s="26"/>
      <c r="AI184" s="27">
        <f>COUNTIF(DangKyThamGapThuongXuyen!$L$4:$L$5261,DaTa!$T184)</f>
        <v>0</v>
      </c>
    </row>
    <row r="185" spans="17:35" ht="15" x14ac:dyDescent="0.2">
      <c r="Q185" s="29"/>
      <c r="R185" s="30" t="str">
        <f>IF($V185=$R$1,MAX($R$3:R184)+1,"")</f>
        <v/>
      </c>
      <c r="S185" s="24">
        <v>183</v>
      </c>
      <c r="T185" s="39" t="s">
        <v>448</v>
      </c>
      <c r="U185" s="25" t="s">
        <v>449</v>
      </c>
      <c r="V185" s="25" t="s">
        <v>376</v>
      </c>
      <c r="W185" s="24">
        <v>1980</v>
      </c>
      <c r="X185" s="24" t="s">
        <v>29</v>
      </c>
      <c r="Y185" s="26">
        <v>43202</v>
      </c>
      <c r="Z185" s="26">
        <v>43273</v>
      </c>
      <c r="AA185" s="26">
        <v>43750</v>
      </c>
      <c r="AB185" s="27"/>
      <c r="AC185" s="28"/>
      <c r="AD185" s="26"/>
      <c r="AE185" s="28"/>
      <c r="AF185" s="26"/>
      <c r="AG185" s="26"/>
      <c r="AH185" s="26"/>
      <c r="AI185" s="27">
        <f>COUNTIF(DangKyThamGapThuongXuyen!$L$4:$L$5261,DaTa!$T185)</f>
        <v>1</v>
      </c>
    </row>
    <row r="186" spans="17:35" ht="15" x14ac:dyDescent="0.2">
      <c r="Q186" s="29"/>
      <c r="R186" s="23">
        <f>IF($V186=$R$1,MAX($R$3:R185)+1,"")</f>
        <v>3</v>
      </c>
      <c r="S186" s="24">
        <v>184</v>
      </c>
      <c r="T186" s="39" t="s">
        <v>450</v>
      </c>
      <c r="U186" s="25" t="s">
        <v>451</v>
      </c>
      <c r="V186" s="25" t="s">
        <v>257</v>
      </c>
      <c r="W186" s="24">
        <v>1978</v>
      </c>
      <c r="X186" s="24" t="s">
        <v>29</v>
      </c>
      <c r="Y186" s="26">
        <v>43203</v>
      </c>
      <c r="Z186" s="26">
        <v>43273</v>
      </c>
      <c r="AA186" s="26">
        <v>43934</v>
      </c>
      <c r="AB186" s="27"/>
      <c r="AC186" s="28"/>
      <c r="AD186" s="26"/>
      <c r="AE186" s="28"/>
      <c r="AF186" s="26"/>
      <c r="AG186" s="26"/>
      <c r="AH186" s="26"/>
      <c r="AI186" s="27">
        <f>COUNTIF(DangKyThamGapThuongXuyen!$L$4:$L$5261,DaTa!$T186)</f>
        <v>0</v>
      </c>
    </row>
    <row r="187" spans="17:35" ht="15" x14ac:dyDescent="0.2">
      <c r="Q187" s="29"/>
      <c r="R187" s="30" t="str">
        <f>IF($V187=$R$1,MAX($R$3:R186)+1,"")</f>
        <v/>
      </c>
      <c r="S187" s="24">
        <v>185</v>
      </c>
      <c r="T187" s="39" t="s">
        <v>452</v>
      </c>
      <c r="U187" s="25" t="s">
        <v>453</v>
      </c>
      <c r="V187" s="25" t="s">
        <v>364</v>
      </c>
      <c r="W187" s="24">
        <v>1987</v>
      </c>
      <c r="X187" s="24" t="s">
        <v>29</v>
      </c>
      <c r="Y187" s="26">
        <v>43177</v>
      </c>
      <c r="Z187" s="26">
        <v>43273</v>
      </c>
      <c r="AA187" s="26">
        <v>43726</v>
      </c>
      <c r="AB187" s="27"/>
      <c r="AC187" s="28"/>
      <c r="AD187" s="26"/>
      <c r="AE187" s="28"/>
      <c r="AF187" s="26"/>
      <c r="AG187" s="26"/>
      <c r="AH187" s="26"/>
      <c r="AI187" s="27">
        <f>COUNTIF(DangKyThamGapThuongXuyen!$L$4:$L$5261,DaTa!$T187)</f>
        <v>1</v>
      </c>
    </row>
    <row r="188" spans="17:35" ht="15" x14ac:dyDescent="0.2">
      <c r="Q188" s="29"/>
      <c r="R188" s="30" t="str">
        <f>IF($V188=$R$1,MAX($R$3:R187)+1,"")</f>
        <v/>
      </c>
      <c r="S188" s="24">
        <v>186</v>
      </c>
      <c r="T188" s="39" t="s">
        <v>454</v>
      </c>
      <c r="U188" s="25" t="s">
        <v>455</v>
      </c>
      <c r="V188" s="25" t="s">
        <v>267</v>
      </c>
      <c r="W188" s="24">
        <v>1971</v>
      </c>
      <c r="X188" s="24" t="s">
        <v>29</v>
      </c>
      <c r="Y188" s="26">
        <v>43210</v>
      </c>
      <c r="Z188" s="26">
        <v>43273</v>
      </c>
      <c r="AA188" s="26">
        <v>43941</v>
      </c>
      <c r="AB188" s="24"/>
      <c r="AC188" s="28"/>
      <c r="AD188" s="26"/>
      <c r="AE188" s="28"/>
      <c r="AF188" s="26"/>
      <c r="AG188" s="26"/>
      <c r="AH188" s="26"/>
      <c r="AI188" s="27">
        <f>COUNTIF(DangKyThamGapThuongXuyen!$L$4:$L$5261,DaTa!$T188)</f>
        <v>0</v>
      </c>
    </row>
    <row r="189" spans="17:35" ht="15" x14ac:dyDescent="0.2">
      <c r="Q189" s="29"/>
      <c r="R189" s="30" t="str">
        <f>IF($V189=$R$1,MAX($R$3:R188)+1,"")</f>
        <v/>
      </c>
      <c r="S189" s="24">
        <v>187</v>
      </c>
      <c r="T189" s="39" t="s">
        <v>456</v>
      </c>
      <c r="U189" s="25" t="s">
        <v>47</v>
      </c>
      <c r="V189" s="25" t="s">
        <v>274</v>
      </c>
      <c r="W189" s="24">
        <v>1976</v>
      </c>
      <c r="X189" s="24" t="s">
        <v>25</v>
      </c>
      <c r="Y189" s="26">
        <v>43249</v>
      </c>
      <c r="Z189" s="26">
        <v>43277</v>
      </c>
      <c r="AA189" s="26">
        <v>43890</v>
      </c>
      <c r="AB189" s="27"/>
      <c r="AC189" s="28"/>
      <c r="AD189" s="26"/>
      <c r="AE189" s="28"/>
      <c r="AF189" s="26"/>
      <c r="AG189" s="26"/>
      <c r="AH189" s="26"/>
      <c r="AI189" s="27">
        <f>COUNTIF(DangKyThamGapThuongXuyen!$L$4:$L$5261,DaTa!$T189)</f>
        <v>2</v>
      </c>
    </row>
    <row r="190" spans="17:35" ht="15" x14ac:dyDescent="0.2">
      <c r="Q190" s="29"/>
      <c r="R190" s="30" t="str">
        <f>IF($V190=$R$1,MAX($R$3:R189)+1,"")</f>
        <v/>
      </c>
      <c r="S190" s="24">
        <v>188</v>
      </c>
      <c r="T190" s="39" t="s">
        <v>457</v>
      </c>
      <c r="U190" s="25" t="s">
        <v>458</v>
      </c>
      <c r="V190" s="25" t="s">
        <v>222</v>
      </c>
      <c r="W190" s="24">
        <v>1966</v>
      </c>
      <c r="X190" s="24" t="s">
        <v>25</v>
      </c>
      <c r="Y190" s="26">
        <v>43251</v>
      </c>
      <c r="Z190" s="26">
        <v>43277</v>
      </c>
      <c r="AA190" s="26">
        <v>43890</v>
      </c>
      <c r="AB190" s="27"/>
      <c r="AC190" s="28"/>
      <c r="AD190" s="26"/>
      <c r="AE190" s="28"/>
      <c r="AF190" s="26"/>
      <c r="AG190" s="26"/>
      <c r="AH190" s="26"/>
      <c r="AI190" s="27">
        <f>COUNTIF(DangKyThamGapThuongXuyen!$L$4:$L$5261,DaTa!$T190)</f>
        <v>0</v>
      </c>
    </row>
    <row r="191" spans="17:35" ht="15" x14ac:dyDescent="0.2">
      <c r="Q191" s="29"/>
      <c r="R191" s="30" t="str">
        <f>IF($V191=$R$1,MAX($R$3:R190)+1,"")</f>
        <v/>
      </c>
      <c r="S191" s="24">
        <v>189</v>
      </c>
      <c r="T191" s="39" t="s">
        <v>459</v>
      </c>
      <c r="U191" s="25" t="s">
        <v>460</v>
      </c>
      <c r="V191" s="25" t="s">
        <v>35</v>
      </c>
      <c r="W191" s="24">
        <v>1972</v>
      </c>
      <c r="X191" s="24" t="s">
        <v>25</v>
      </c>
      <c r="Y191" s="26">
        <v>43205</v>
      </c>
      <c r="Z191" s="26">
        <v>43279</v>
      </c>
      <c r="AA191" s="26">
        <v>43753</v>
      </c>
      <c r="AB191" s="27"/>
      <c r="AC191" s="28"/>
      <c r="AD191" s="26"/>
      <c r="AE191" s="28"/>
      <c r="AF191" s="26"/>
      <c r="AG191" s="26"/>
      <c r="AH191" s="26"/>
      <c r="AI191" s="27">
        <f>COUNTIF(DangKyThamGapThuongXuyen!$L$4:$L$5261,DaTa!$T191)</f>
        <v>0</v>
      </c>
    </row>
    <row r="192" spans="17:35" ht="15" x14ac:dyDescent="0.2">
      <c r="Q192" s="29"/>
      <c r="R192" s="30" t="str">
        <f>IF($V192=$R$1,MAX($R$3:R191)+1,"")</f>
        <v/>
      </c>
      <c r="S192" s="24">
        <v>190</v>
      </c>
      <c r="T192" s="39" t="s">
        <v>461</v>
      </c>
      <c r="U192" s="25" t="s">
        <v>462</v>
      </c>
      <c r="V192" s="25" t="s">
        <v>120</v>
      </c>
      <c r="W192" s="24">
        <v>1983</v>
      </c>
      <c r="X192" s="24" t="s">
        <v>25</v>
      </c>
      <c r="Y192" s="50">
        <v>43215</v>
      </c>
      <c r="Z192" s="26">
        <v>43280</v>
      </c>
      <c r="AA192" s="50">
        <v>43763</v>
      </c>
      <c r="AB192" s="27"/>
      <c r="AC192" s="28"/>
      <c r="AD192" s="26"/>
      <c r="AE192" s="28"/>
      <c r="AF192" s="26"/>
      <c r="AG192" s="26"/>
      <c r="AH192" s="26"/>
      <c r="AI192" s="27">
        <f>COUNTIF(DangKyThamGapThuongXuyen!$L$4:$L$5261,DaTa!$T192)</f>
        <v>0</v>
      </c>
    </row>
    <row r="193" spans="17:35" ht="15" x14ac:dyDescent="0.2">
      <c r="Q193" s="29"/>
      <c r="R193" s="30" t="str">
        <f>IF($V193=$R$1,MAX($R$3:R192)+1,"")</f>
        <v/>
      </c>
      <c r="S193" s="24">
        <v>191</v>
      </c>
      <c r="T193" s="39" t="s">
        <v>463</v>
      </c>
      <c r="U193" s="40" t="s">
        <v>334</v>
      </c>
      <c r="V193" s="40" t="s">
        <v>156</v>
      </c>
      <c r="W193" s="41">
        <v>1990</v>
      </c>
      <c r="X193" s="24" t="s">
        <v>25</v>
      </c>
      <c r="Y193" s="42">
        <v>43189</v>
      </c>
      <c r="Z193" s="42">
        <v>43280</v>
      </c>
      <c r="AA193" s="42">
        <v>43829</v>
      </c>
      <c r="AB193" s="27"/>
      <c r="AC193" s="28"/>
      <c r="AD193" s="26"/>
      <c r="AE193" s="28"/>
      <c r="AF193" s="26"/>
      <c r="AG193" s="26"/>
      <c r="AH193" s="26"/>
      <c r="AI193" s="27">
        <f>COUNTIF(DangKyThamGapThuongXuyen!$L$4:$L$5261,DaTa!$T193)</f>
        <v>3</v>
      </c>
    </row>
    <row r="194" spans="17:35" ht="15" x14ac:dyDescent="0.2">
      <c r="Q194" s="29"/>
      <c r="R194" s="30" t="str">
        <f>IF($V194=$R$1,MAX($R$3:R193)+1,"")</f>
        <v/>
      </c>
      <c r="S194" s="24">
        <v>192</v>
      </c>
      <c r="T194" s="39" t="s">
        <v>464</v>
      </c>
      <c r="U194" s="40" t="s">
        <v>286</v>
      </c>
      <c r="V194" s="40" t="s">
        <v>193</v>
      </c>
      <c r="W194" s="41">
        <v>1986</v>
      </c>
      <c r="X194" s="24" t="s">
        <v>25</v>
      </c>
      <c r="Y194" s="42">
        <v>43193</v>
      </c>
      <c r="Z194" s="42">
        <v>43287</v>
      </c>
      <c r="AA194" s="42">
        <v>43802</v>
      </c>
      <c r="AB194" s="27"/>
      <c r="AC194" s="28"/>
      <c r="AD194" s="26"/>
      <c r="AE194" s="28"/>
      <c r="AF194" s="26"/>
      <c r="AG194" s="26"/>
      <c r="AH194" s="26"/>
      <c r="AI194" s="27">
        <f>COUNTIF(DangKyThamGapThuongXuyen!$L$4:$L$5261,DaTa!$T194)</f>
        <v>1</v>
      </c>
    </row>
    <row r="195" spans="17:35" ht="15" x14ac:dyDescent="0.2">
      <c r="Q195" s="29"/>
      <c r="R195" s="30" t="str">
        <f>IF($V195=$R$1,MAX($R$3:R194)+1,"")</f>
        <v/>
      </c>
      <c r="S195" s="24">
        <v>193</v>
      </c>
      <c r="T195" s="39" t="s">
        <v>465</v>
      </c>
      <c r="U195" s="25" t="s">
        <v>63</v>
      </c>
      <c r="V195" s="25" t="s">
        <v>466</v>
      </c>
      <c r="W195" s="24">
        <v>1966</v>
      </c>
      <c r="X195" s="24" t="s">
        <v>25</v>
      </c>
      <c r="Y195" s="46">
        <v>43217</v>
      </c>
      <c r="Z195" s="26">
        <v>43287</v>
      </c>
      <c r="AA195" s="47">
        <v>43948</v>
      </c>
      <c r="AB195" s="27"/>
      <c r="AC195" s="28" t="s">
        <v>88</v>
      </c>
      <c r="AD195" s="26">
        <v>43542</v>
      </c>
      <c r="AE195" s="28">
        <v>130</v>
      </c>
      <c r="AF195" s="26">
        <v>43672</v>
      </c>
      <c r="AG195" s="26"/>
      <c r="AH195" s="26"/>
      <c r="AI195" s="27">
        <f>COUNTIF(DangKyThamGapThuongXuyen!$L$4:$L$5261,DaTa!$T195)</f>
        <v>0</v>
      </c>
    </row>
    <row r="196" spans="17:35" ht="15" x14ac:dyDescent="0.2">
      <c r="Q196" s="29"/>
      <c r="R196" s="30" t="str">
        <f>IF($V196=$R$1,MAX($R$3:R195)+1,"")</f>
        <v/>
      </c>
      <c r="S196" s="24">
        <v>194</v>
      </c>
      <c r="T196" s="39" t="s">
        <v>467</v>
      </c>
      <c r="U196" s="25" t="s">
        <v>468</v>
      </c>
      <c r="V196" s="25" t="s">
        <v>190</v>
      </c>
      <c r="W196" s="24">
        <v>1985</v>
      </c>
      <c r="X196" s="24" t="s">
        <v>25</v>
      </c>
      <c r="Y196" s="26">
        <v>43211</v>
      </c>
      <c r="Z196" s="26">
        <v>43291</v>
      </c>
      <c r="AA196" s="26">
        <v>43851</v>
      </c>
      <c r="AB196" s="27"/>
      <c r="AC196" s="28" t="s">
        <v>61</v>
      </c>
      <c r="AD196" s="26">
        <v>43529</v>
      </c>
      <c r="AE196" s="28"/>
      <c r="AF196" s="26"/>
      <c r="AG196" s="26"/>
      <c r="AH196" s="26"/>
      <c r="AI196" s="27">
        <f>COUNTIF(DangKyThamGapThuongXuyen!$L$4:$L$5261,DaTa!$T196)</f>
        <v>2</v>
      </c>
    </row>
    <row r="197" spans="17:35" ht="15" x14ac:dyDescent="0.2">
      <c r="Q197" s="29"/>
      <c r="R197" s="30" t="str">
        <f>IF($V197=$R$1,MAX($R$3:R196)+1,"")</f>
        <v/>
      </c>
      <c r="S197" s="24">
        <v>195</v>
      </c>
      <c r="T197" s="39" t="s">
        <v>469</v>
      </c>
      <c r="U197" s="25" t="s">
        <v>341</v>
      </c>
      <c r="V197" s="25" t="s">
        <v>282</v>
      </c>
      <c r="W197" s="24">
        <v>1989</v>
      </c>
      <c r="X197" s="24" t="s">
        <v>25</v>
      </c>
      <c r="Y197" s="26">
        <v>43224</v>
      </c>
      <c r="Z197" s="45">
        <v>43291</v>
      </c>
      <c r="AA197" s="50">
        <v>43955</v>
      </c>
      <c r="AB197" s="27"/>
      <c r="AC197" s="28"/>
      <c r="AD197" s="26"/>
      <c r="AE197" s="28"/>
      <c r="AF197" s="26"/>
      <c r="AG197" s="26"/>
      <c r="AH197" s="26"/>
      <c r="AI197" s="27">
        <f>COUNTIF(DangKyThamGapThuongXuyen!$L$4:$L$5261,DaTa!$T197)</f>
        <v>0</v>
      </c>
    </row>
    <row r="198" spans="17:35" ht="12.75" x14ac:dyDescent="0.2">
      <c r="Q198" s="29"/>
      <c r="R198" s="30" t="str">
        <f>IF($V198=$R$1,MAX($R$3:R197)+1,"")</f>
        <v/>
      </c>
      <c r="S198" s="24">
        <v>196</v>
      </c>
      <c r="T198" s="39" t="s">
        <v>470</v>
      </c>
      <c r="U198" s="40" t="s">
        <v>471</v>
      </c>
      <c r="V198" s="40" t="s">
        <v>472</v>
      </c>
      <c r="W198" s="41">
        <v>1970</v>
      </c>
      <c r="X198" s="24" t="s">
        <v>25</v>
      </c>
      <c r="Y198" s="42">
        <v>43225</v>
      </c>
      <c r="Z198" s="42">
        <v>43291</v>
      </c>
      <c r="AA198" s="42">
        <v>43866</v>
      </c>
      <c r="AB198" s="27"/>
      <c r="AC198" s="43"/>
      <c r="AD198" s="26"/>
      <c r="AE198" s="43"/>
      <c r="AF198" s="26"/>
      <c r="AG198" s="26"/>
      <c r="AH198" s="26"/>
      <c r="AI198" s="27">
        <f>COUNTIF(DangKyThamGapThuongXuyen!$L$4:$L$5261,DaTa!$T198)</f>
        <v>0</v>
      </c>
    </row>
    <row r="199" spans="17:35" ht="15" x14ac:dyDescent="0.2">
      <c r="Q199" s="29"/>
      <c r="R199" s="30" t="str">
        <f>IF($V199=$R$1,MAX($R$3:R198)+1,"")</f>
        <v/>
      </c>
      <c r="S199" s="24">
        <v>197</v>
      </c>
      <c r="T199" s="39" t="s">
        <v>473</v>
      </c>
      <c r="U199" s="25" t="s">
        <v>474</v>
      </c>
      <c r="V199" s="25" t="s">
        <v>120</v>
      </c>
      <c r="W199" s="24">
        <v>1981</v>
      </c>
      <c r="X199" s="24" t="s">
        <v>25</v>
      </c>
      <c r="Y199" s="26">
        <v>43268</v>
      </c>
      <c r="Z199" s="26">
        <v>43292</v>
      </c>
      <c r="AA199" s="26">
        <v>43999</v>
      </c>
      <c r="AB199" s="27"/>
      <c r="AC199" s="28"/>
      <c r="AD199" s="26"/>
      <c r="AE199" s="28"/>
      <c r="AF199" s="26"/>
      <c r="AG199" s="26"/>
      <c r="AH199" s="26"/>
      <c r="AI199" s="27">
        <f>COUNTIF(DangKyThamGapThuongXuyen!$L$4:$L$5261,DaTa!$T199)</f>
        <v>4</v>
      </c>
    </row>
    <row r="200" spans="17:35" ht="15" x14ac:dyDescent="0.2">
      <c r="Q200" s="29"/>
      <c r="R200" s="23" t="str">
        <f>IF($V200=$R$1,MAX($R$3:R199)+1,"")</f>
        <v/>
      </c>
      <c r="S200" s="24">
        <v>198</v>
      </c>
      <c r="T200" s="39" t="s">
        <v>475</v>
      </c>
      <c r="U200" s="25" t="s">
        <v>476</v>
      </c>
      <c r="V200" s="25" t="s">
        <v>293</v>
      </c>
      <c r="W200" s="24">
        <v>1980</v>
      </c>
      <c r="X200" s="24" t="s">
        <v>25</v>
      </c>
      <c r="Y200" s="26">
        <v>43265</v>
      </c>
      <c r="Z200" s="26">
        <v>43292</v>
      </c>
      <c r="AA200" s="26">
        <v>43996</v>
      </c>
      <c r="AB200" s="27"/>
      <c r="AC200" s="28" t="s">
        <v>61</v>
      </c>
      <c r="AD200" s="26">
        <v>43610</v>
      </c>
      <c r="AE200" s="28"/>
      <c r="AF200" s="26"/>
      <c r="AG200" s="26"/>
      <c r="AH200" s="26"/>
      <c r="AI200" s="27">
        <f>COUNTIF(DangKyThamGapThuongXuyen!$L$4:$L$5261,DaTa!$T200)</f>
        <v>1</v>
      </c>
    </row>
    <row r="201" spans="17:35" ht="15" x14ac:dyDescent="0.2">
      <c r="Q201" s="29"/>
      <c r="R201" s="30" t="str">
        <f>IF($V201=$R$1,MAX($R$3:R200)+1,"")</f>
        <v/>
      </c>
      <c r="S201" s="24">
        <v>199</v>
      </c>
      <c r="T201" s="39" t="s">
        <v>477</v>
      </c>
      <c r="U201" s="25" t="s">
        <v>478</v>
      </c>
      <c r="V201" s="25" t="s">
        <v>479</v>
      </c>
      <c r="W201" s="24">
        <v>1979</v>
      </c>
      <c r="X201" s="24" t="s">
        <v>25</v>
      </c>
      <c r="Y201" s="26">
        <v>43209</v>
      </c>
      <c r="Z201" s="26" t="s">
        <v>480</v>
      </c>
      <c r="AA201" s="26">
        <v>43757</v>
      </c>
      <c r="AB201" s="27"/>
      <c r="AC201" s="28"/>
      <c r="AD201" s="26"/>
      <c r="AE201" s="28"/>
      <c r="AF201" s="26"/>
      <c r="AG201" s="26"/>
      <c r="AH201" s="26"/>
      <c r="AI201" s="27">
        <f>COUNTIF(DangKyThamGapThuongXuyen!$L$4:$L$5261,DaTa!$T201)</f>
        <v>1</v>
      </c>
    </row>
    <row r="202" spans="17:35" ht="15" x14ac:dyDescent="0.2">
      <c r="Q202" s="29"/>
      <c r="R202" s="30" t="str">
        <f>IF($V202=$R$1,MAX($R$3:R201)+1,"")</f>
        <v/>
      </c>
      <c r="S202" s="24">
        <v>200</v>
      </c>
      <c r="T202" s="39" t="s">
        <v>481</v>
      </c>
      <c r="U202" s="25" t="s">
        <v>348</v>
      </c>
      <c r="V202" s="25" t="s">
        <v>24</v>
      </c>
      <c r="W202" s="24">
        <v>1978</v>
      </c>
      <c r="X202" s="24" t="s">
        <v>25</v>
      </c>
      <c r="Y202" s="26">
        <v>43225</v>
      </c>
      <c r="Z202" s="26" t="s">
        <v>480</v>
      </c>
      <c r="AA202" s="26">
        <v>43682</v>
      </c>
      <c r="AB202" s="27"/>
      <c r="AC202" s="28"/>
      <c r="AD202" s="26"/>
      <c r="AE202" s="28"/>
      <c r="AF202" s="26"/>
      <c r="AG202" s="26"/>
      <c r="AH202" s="26"/>
      <c r="AI202" s="27">
        <f>COUNTIF(DangKyThamGapThuongXuyen!$L$4:$L$5261,DaTa!$T202)</f>
        <v>0</v>
      </c>
    </row>
    <row r="203" spans="17:35" ht="15" x14ac:dyDescent="0.2">
      <c r="Q203" s="29"/>
      <c r="R203" s="30" t="str">
        <f>IF($V203=$R$1,MAX($R$3:R202)+1,"")</f>
        <v/>
      </c>
      <c r="S203" s="24">
        <v>201</v>
      </c>
      <c r="T203" s="39" t="s">
        <v>482</v>
      </c>
      <c r="U203" s="25" t="s">
        <v>63</v>
      </c>
      <c r="V203" s="25" t="s">
        <v>483</v>
      </c>
      <c r="W203" s="24">
        <v>1978</v>
      </c>
      <c r="X203" s="24" t="s">
        <v>42</v>
      </c>
      <c r="Y203" s="26">
        <v>43221</v>
      </c>
      <c r="Z203" s="26" t="s">
        <v>480</v>
      </c>
      <c r="AA203" s="26">
        <v>43952</v>
      </c>
      <c r="AB203" s="27"/>
      <c r="AC203" s="28"/>
      <c r="AD203" s="26"/>
      <c r="AE203" s="28"/>
      <c r="AF203" s="26"/>
      <c r="AG203" s="26"/>
      <c r="AH203" s="26"/>
      <c r="AI203" s="27">
        <f>COUNTIF(DangKyThamGapThuongXuyen!$L$4:$L$5261,DaTa!$T203)</f>
        <v>1</v>
      </c>
    </row>
    <row r="204" spans="17:35" ht="15" x14ac:dyDescent="0.2">
      <c r="Q204" s="29"/>
      <c r="R204" s="30" t="str">
        <f>IF($V204=$R$1,MAX($R$3:R203)+1,"")</f>
        <v/>
      </c>
      <c r="S204" s="24">
        <v>202</v>
      </c>
      <c r="T204" s="39" t="s">
        <v>484</v>
      </c>
      <c r="U204" s="25" t="s">
        <v>485</v>
      </c>
      <c r="V204" s="25" t="s">
        <v>57</v>
      </c>
      <c r="W204" s="24">
        <v>1977</v>
      </c>
      <c r="X204" s="24" t="s">
        <v>25</v>
      </c>
      <c r="Y204" s="26">
        <v>43201</v>
      </c>
      <c r="Z204" s="26" t="s">
        <v>480</v>
      </c>
      <c r="AA204" s="26">
        <v>43932</v>
      </c>
      <c r="AB204" s="27"/>
      <c r="AC204" s="28"/>
      <c r="AD204" s="26"/>
      <c r="AE204" s="28"/>
      <c r="AF204" s="26"/>
      <c r="AG204" s="26"/>
      <c r="AH204" s="26"/>
      <c r="AI204" s="27">
        <f>COUNTIF(DangKyThamGapThuongXuyen!$L$4:$L$5261,DaTa!$T204)</f>
        <v>0</v>
      </c>
    </row>
    <row r="205" spans="17:35" ht="15" x14ac:dyDescent="0.2">
      <c r="Q205" s="29"/>
      <c r="R205" s="30" t="str">
        <f>IF($V205=$R$1,MAX($R$3:R204)+1,"")</f>
        <v/>
      </c>
      <c r="S205" s="24">
        <v>203</v>
      </c>
      <c r="T205" s="39" t="s">
        <v>486</v>
      </c>
      <c r="U205" s="25" t="s">
        <v>471</v>
      </c>
      <c r="V205" s="48" t="s">
        <v>35</v>
      </c>
      <c r="W205" s="24">
        <v>1984</v>
      </c>
      <c r="X205" s="24" t="s">
        <v>25</v>
      </c>
      <c r="Y205" s="26">
        <v>43225</v>
      </c>
      <c r="Z205" s="26" t="s">
        <v>480</v>
      </c>
      <c r="AA205" s="26">
        <v>43956</v>
      </c>
      <c r="AB205" s="27"/>
      <c r="AC205" s="28"/>
      <c r="AD205" s="26"/>
      <c r="AE205" s="28"/>
      <c r="AF205" s="26"/>
      <c r="AG205" s="26"/>
      <c r="AH205" s="26"/>
      <c r="AI205" s="27">
        <f>COUNTIF(DangKyThamGapThuongXuyen!$L$4:$L$5261,DaTa!$T205)</f>
        <v>1</v>
      </c>
    </row>
    <row r="206" spans="17:35" ht="15" x14ac:dyDescent="0.2">
      <c r="Q206" s="29"/>
      <c r="R206" s="30" t="str">
        <f>IF($V206=$R$1,MAX($R$3:R205)+1,"")</f>
        <v/>
      </c>
      <c r="S206" s="24">
        <v>204</v>
      </c>
      <c r="T206" s="39" t="s">
        <v>487</v>
      </c>
      <c r="U206" s="25" t="s">
        <v>308</v>
      </c>
      <c r="V206" s="25" t="s">
        <v>488</v>
      </c>
      <c r="W206" s="24">
        <v>1972</v>
      </c>
      <c r="X206" s="24" t="s">
        <v>25</v>
      </c>
      <c r="Y206" s="26">
        <v>43194</v>
      </c>
      <c r="Z206" s="26">
        <v>43294</v>
      </c>
      <c r="AA206" s="26">
        <v>43925</v>
      </c>
      <c r="AB206" s="27"/>
      <c r="AC206" s="28"/>
      <c r="AD206" s="26"/>
      <c r="AE206" s="28"/>
      <c r="AF206" s="26"/>
      <c r="AG206" s="26"/>
      <c r="AH206" s="26"/>
      <c r="AI206" s="27">
        <f>COUNTIF(DangKyThamGapThuongXuyen!$L$4:$L$5261,DaTa!$T206)</f>
        <v>2</v>
      </c>
    </row>
    <row r="207" spans="17:35" ht="15" x14ac:dyDescent="0.2">
      <c r="Q207" s="29"/>
      <c r="R207" s="30" t="str">
        <f>IF($V207=$R$1,MAX($R$3:R206)+1,"")</f>
        <v/>
      </c>
      <c r="S207" s="24">
        <v>205</v>
      </c>
      <c r="T207" s="39" t="s">
        <v>489</v>
      </c>
      <c r="U207" s="25" t="s">
        <v>490</v>
      </c>
      <c r="V207" s="25" t="s">
        <v>274</v>
      </c>
      <c r="W207" s="56">
        <v>1975</v>
      </c>
      <c r="X207" s="24" t="s">
        <v>25</v>
      </c>
      <c r="Y207" s="26">
        <v>43198</v>
      </c>
      <c r="Z207" s="26">
        <v>43294</v>
      </c>
      <c r="AA207" s="26">
        <v>43746</v>
      </c>
      <c r="AB207" s="27"/>
      <c r="AC207" s="28"/>
      <c r="AD207" s="26"/>
      <c r="AE207" s="28"/>
      <c r="AF207" s="26"/>
      <c r="AG207" s="26"/>
      <c r="AH207" s="26"/>
      <c r="AI207" s="27">
        <f>COUNTIF(DangKyThamGapThuongXuyen!$L$4:$L$5261,DaTa!$T207)</f>
        <v>0</v>
      </c>
    </row>
    <row r="208" spans="17:35" ht="15" x14ac:dyDescent="0.2">
      <c r="Q208" s="29"/>
      <c r="R208" s="30" t="str">
        <f>IF($V208=$R$1,MAX($R$3:R207)+1,"")</f>
        <v/>
      </c>
      <c r="S208" s="24">
        <v>206</v>
      </c>
      <c r="T208" s="39" t="s">
        <v>491</v>
      </c>
      <c r="U208" s="25" t="s">
        <v>492</v>
      </c>
      <c r="V208" s="25" t="s">
        <v>87</v>
      </c>
      <c r="W208" s="24">
        <v>1986</v>
      </c>
      <c r="X208" s="24" t="s">
        <v>73</v>
      </c>
      <c r="Y208" s="26">
        <v>43216</v>
      </c>
      <c r="Z208" s="26">
        <v>43300</v>
      </c>
      <c r="AA208" s="26">
        <v>43856</v>
      </c>
      <c r="AB208" s="27"/>
      <c r="AC208" s="28"/>
      <c r="AD208" s="26"/>
      <c r="AE208" s="28"/>
      <c r="AF208" s="26"/>
      <c r="AG208" s="26"/>
      <c r="AH208" s="26"/>
      <c r="AI208" s="27">
        <f>COUNTIF(DangKyThamGapThuongXuyen!$L$4:$L$5261,DaTa!$T208)</f>
        <v>0</v>
      </c>
    </row>
    <row r="209" spans="17:35" ht="15" x14ac:dyDescent="0.2">
      <c r="Q209" s="29"/>
      <c r="R209" s="30" t="str">
        <f>IF($V209=$R$1,MAX($R$3:R208)+1,"")</f>
        <v/>
      </c>
      <c r="S209" s="24">
        <v>207</v>
      </c>
      <c r="T209" s="39" t="s">
        <v>493</v>
      </c>
      <c r="U209" s="25" t="s">
        <v>494</v>
      </c>
      <c r="V209" s="25" t="s">
        <v>139</v>
      </c>
      <c r="W209" s="24">
        <v>1993</v>
      </c>
      <c r="X209" s="24" t="s">
        <v>73</v>
      </c>
      <c r="Y209" s="46">
        <v>43223</v>
      </c>
      <c r="Z209" s="26">
        <v>43300</v>
      </c>
      <c r="AA209" s="50">
        <v>43864</v>
      </c>
      <c r="AB209" s="27"/>
      <c r="AC209" s="28"/>
      <c r="AD209" s="26"/>
      <c r="AE209" s="28"/>
      <c r="AF209" s="26"/>
      <c r="AG209" s="26"/>
      <c r="AH209" s="26"/>
      <c r="AI209" s="27">
        <f>COUNTIF(DangKyThamGapThuongXuyen!$L$4:$L$5261,DaTa!$T209)</f>
        <v>0</v>
      </c>
    </row>
    <row r="210" spans="17:35" ht="15" x14ac:dyDescent="0.2">
      <c r="Q210" s="29"/>
      <c r="R210" s="30" t="str">
        <f>IF($V210=$R$1,MAX($R$3:R209)+1,"")</f>
        <v/>
      </c>
      <c r="S210" s="24">
        <v>208</v>
      </c>
      <c r="T210" s="39" t="s">
        <v>495</v>
      </c>
      <c r="U210" s="25" t="s">
        <v>496</v>
      </c>
      <c r="V210" s="25" t="s">
        <v>195</v>
      </c>
      <c r="W210" s="24">
        <v>1983</v>
      </c>
      <c r="X210" s="24" t="s">
        <v>73</v>
      </c>
      <c r="Y210" s="46">
        <v>43231</v>
      </c>
      <c r="Z210" s="26">
        <v>43300</v>
      </c>
      <c r="AA210" s="47">
        <v>43962</v>
      </c>
      <c r="AB210" s="27"/>
      <c r="AC210" s="28"/>
      <c r="AD210" s="26"/>
      <c r="AE210" s="28"/>
      <c r="AF210" s="26"/>
      <c r="AG210" s="26"/>
      <c r="AH210" s="26"/>
      <c r="AI210" s="27">
        <f>COUNTIF(DangKyThamGapThuongXuyen!$L$4:$L$5261,DaTa!$T210)</f>
        <v>0</v>
      </c>
    </row>
    <row r="211" spans="17:35" ht="15" x14ac:dyDescent="0.2">
      <c r="Q211" s="29"/>
      <c r="R211" s="30" t="str">
        <f>IF($V211=$R$1,MAX($R$3:R210)+1,"")</f>
        <v/>
      </c>
      <c r="S211" s="24">
        <v>209</v>
      </c>
      <c r="T211" s="39" t="s">
        <v>497</v>
      </c>
      <c r="U211" s="25" t="s">
        <v>498</v>
      </c>
      <c r="V211" s="25" t="s">
        <v>293</v>
      </c>
      <c r="W211" s="24">
        <v>1985</v>
      </c>
      <c r="X211" s="24" t="s">
        <v>73</v>
      </c>
      <c r="Y211" s="46">
        <v>43219</v>
      </c>
      <c r="Z211" s="26">
        <v>43300</v>
      </c>
      <c r="AA211" s="47">
        <v>43950</v>
      </c>
      <c r="AB211" s="27"/>
      <c r="AC211" s="28"/>
      <c r="AD211" s="26"/>
      <c r="AE211" s="28"/>
      <c r="AF211" s="26"/>
      <c r="AG211" s="26"/>
      <c r="AH211" s="26"/>
      <c r="AI211" s="27">
        <f>COUNTIF(DangKyThamGapThuongXuyen!$L$4:$L$5261,DaTa!$T211)</f>
        <v>0</v>
      </c>
    </row>
    <row r="212" spans="17:35" ht="15" x14ac:dyDescent="0.2">
      <c r="Q212" s="29"/>
      <c r="R212" s="30" t="str">
        <f>IF($V212=$R$1,MAX($R$3:R211)+1,"")</f>
        <v/>
      </c>
      <c r="S212" s="24">
        <v>210</v>
      </c>
      <c r="T212" s="39" t="s">
        <v>499</v>
      </c>
      <c r="U212" s="25" t="s">
        <v>500</v>
      </c>
      <c r="V212" s="25" t="s">
        <v>236</v>
      </c>
      <c r="W212" s="24">
        <v>1990</v>
      </c>
      <c r="X212" s="24" t="s">
        <v>73</v>
      </c>
      <c r="Y212" s="46">
        <v>43220</v>
      </c>
      <c r="Z212" s="26">
        <v>43301</v>
      </c>
      <c r="AA212" s="47">
        <v>43768</v>
      </c>
      <c r="AB212" s="27"/>
      <c r="AC212" s="28"/>
      <c r="AD212" s="26"/>
      <c r="AE212" s="28"/>
      <c r="AF212" s="26"/>
      <c r="AG212" s="26"/>
      <c r="AH212" s="26"/>
      <c r="AI212" s="27">
        <f>COUNTIF(DangKyThamGapThuongXuyen!$L$4:$L$5261,DaTa!$T212)</f>
        <v>0</v>
      </c>
    </row>
    <row r="213" spans="17:35" ht="15" x14ac:dyDescent="0.2">
      <c r="Q213" s="29"/>
      <c r="R213" s="30" t="str">
        <f>IF($V213=$R$1,MAX($R$3:R212)+1,"")</f>
        <v/>
      </c>
      <c r="S213" s="24">
        <v>211</v>
      </c>
      <c r="T213" s="39" t="s">
        <v>501</v>
      </c>
      <c r="U213" s="25" t="s">
        <v>502</v>
      </c>
      <c r="V213" s="25" t="s">
        <v>330</v>
      </c>
      <c r="W213" s="24">
        <v>1981</v>
      </c>
      <c r="X213" s="24" t="s">
        <v>21</v>
      </c>
      <c r="Y213" s="46">
        <v>43278</v>
      </c>
      <c r="Z213" s="26">
        <v>43306</v>
      </c>
      <c r="AA213" s="47">
        <v>43917</v>
      </c>
      <c r="AB213" s="27"/>
      <c r="AC213" s="28"/>
      <c r="AD213" s="26"/>
      <c r="AE213" s="28"/>
      <c r="AF213" s="26"/>
      <c r="AG213" s="26"/>
      <c r="AH213" s="26"/>
      <c r="AI213" s="27">
        <f>COUNTIF(DangKyThamGapThuongXuyen!$L$4:$L$5261,DaTa!$T213)</f>
        <v>0</v>
      </c>
    </row>
    <row r="214" spans="17:35" ht="15" x14ac:dyDescent="0.2">
      <c r="Q214" s="29"/>
      <c r="R214" s="30" t="str">
        <f>IF($V214=$R$1,MAX($R$3:R213)+1,"")</f>
        <v/>
      </c>
      <c r="S214" s="24">
        <v>212</v>
      </c>
      <c r="T214" s="39" t="s">
        <v>503</v>
      </c>
      <c r="U214" s="40" t="s">
        <v>471</v>
      </c>
      <c r="V214" s="40" t="s">
        <v>381</v>
      </c>
      <c r="W214" s="41">
        <v>1986</v>
      </c>
      <c r="X214" s="24" t="s">
        <v>21</v>
      </c>
      <c r="Y214" s="42">
        <v>43224</v>
      </c>
      <c r="Z214" s="42">
        <v>43307</v>
      </c>
      <c r="AA214" s="42">
        <v>43955</v>
      </c>
      <c r="AB214" s="27"/>
      <c r="AC214" s="28"/>
      <c r="AD214" s="26"/>
      <c r="AE214" s="28"/>
      <c r="AF214" s="26"/>
      <c r="AG214" s="26"/>
      <c r="AH214" s="26"/>
      <c r="AI214" s="27">
        <f>COUNTIF(DangKyThamGapThuongXuyen!$L$4:$L$5261,DaTa!$T214)</f>
        <v>1</v>
      </c>
    </row>
    <row r="215" spans="17:35" ht="15" x14ac:dyDescent="0.2">
      <c r="Q215" s="29"/>
      <c r="R215" s="30" t="str">
        <f>IF($V215=$R$1,MAX($R$3:R214)+1,"")</f>
        <v/>
      </c>
      <c r="S215" s="24">
        <v>213</v>
      </c>
      <c r="T215" s="39" t="s">
        <v>504</v>
      </c>
      <c r="U215" s="40" t="s">
        <v>505</v>
      </c>
      <c r="V215" s="40" t="s">
        <v>193</v>
      </c>
      <c r="W215" s="41">
        <v>1987</v>
      </c>
      <c r="X215" s="24" t="s">
        <v>21</v>
      </c>
      <c r="Y215" s="42">
        <v>43241</v>
      </c>
      <c r="Z215" s="42">
        <v>43307</v>
      </c>
      <c r="AA215" s="42">
        <v>43851</v>
      </c>
      <c r="AB215" s="27"/>
      <c r="AC215" s="28"/>
      <c r="AD215" s="26"/>
      <c r="AE215" s="28"/>
      <c r="AF215" s="26"/>
      <c r="AG215" s="26"/>
      <c r="AH215" s="26"/>
      <c r="AI215" s="27">
        <f>COUNTIF(DangKyThamGapThuongXuyen!$L$4:$L$5261,DaTa!$T215)</f>
        <v>2</v>
      </c>
    </row>
    <row r="216" spans="17:35" ht="12.75" x14ac:dyDescent="0.2">
      <c r="Q216" s="29"/>
      <c r="R216" s="30" t="str">
        <f>IF($V216=$R$1,MAX($R$3:R215)+1,"")</f>
        <v/>
      </c>
      <c r="S216" s="24">
        <v>214</v>
      </c>
      <c r="T216" s="39" t="s">
        <v>506</v>
      </c>
      <c r="U216" s="40" t="s">
        <v>507</v>
      </c>
      <c r="V216" s="40" t="s">
        <v>87</v>
      </c>
      <c r="W216" s="41">
        <v>1960</v>
      </c>
      <c r="X216" s="24" t="s">
        <v>21</v>
      </c>
      <c r="Y216" s="42">
        <v>43251</v>
      </c>
      <c r="Z216" s="42">
        <v>43307</v>
      </c>
      <c r="AA216" s="42">
        <v>43799</v>
      </c>
      <c r="AB216" s="27"/>
      <c r="AC216" s="43"/>
      <c r="AD216" s="26"/>
      <c r="AE216" s="43"/>
      <c r="AF216" s="26"/>
      <c r="AG216" s="26"/>
      <c r="AH216" s="26"/>
      <c r="AI216" s="27">
        <f>COUNTIF(DangKyThamGapThuongXuyen!$L$4:$L$5261,DaTa!$T216)</f>
        <v>0</v>
      </c>
    </row>
    <row r="217" spans="17:35" ht="12.75" x14ac:dyDescent="0.2">
      <c r="Q217" s="29"/>
      <c r="R217" s="30" t="str">
        <f>IF($V217=$R$1,MAX($R$3:R216)+1,"")</f>
        <v/>
      </c>
      <c r="S217" s="24">
        <v>215</v>
      </c>
      <c r="T217" s="39" t="s">
        <v>508</v>
      </c>
      <c r="U217" s="40" t="s">
        <v>509</v>
      </c>
      <c r="V217" s="40" t="s">
        <v>510</v>
      </c>
      <c r="W217" s="41">
        <v>1980</v>
      </c>
      <c r="X217" s="24" t="s">
        <v>21</v>
      </c>
      <c r="Y217" s="42">
        <v>43216</v>
      </c>
      <c r="Z217" s="42">
        <v>43307</v>
      </c>
      <c r="AA217" s="42">
        <v>43825</v>
      </c>
      <c r="AB217" s="27"/>
      <c r="AC217" s="43"/>
      <c r="AD217" s="26"/>
      <c r="AE217" s="43"/>
      <c r="AF217" s="26"/>
      <c r="AG217" s="26"/>
      <c r="AH217" s="26"/>
      <c r="AI217" s="27">
        <f>COUNTIF(DangKyThamGapThuongXuyen!$L$4:$L$5261,DaTa!$T217)</f>
        <v>2</v>
      </c>
    </row>
    <row r="218" spans="17:35" ht="12.75" x14ac:dyDescent="0.2">
      <c r="Q218" s="29"/>
      <c r="R218" s="30" t="str">
        <f>IF($V218=$R$1,MAX($R$3:R217)+1,"")</f>
        <v/>
      </c>
      <c r="S218" s="24">
        <v>216</v>
      </c>
      <c r="T218" s="39" t="s">
        <v>511</v>
      </c>
      <c r="U218" s="40" t="s">
        <v>512</v>
      </c>
      <c r="V218" s="40" t="s">
        <v>153</v>
      </c>
      <c r="W218" s="41">
        <v>1983</v>
      </c>
      <c r="X218" s="24" t="s">
        <v>21</v>
      </c>
      <c r="Y218" s="42">
        <v>43235</v>
      </c>
      <c r="Z218" s="42">
        <v>43312</v>
      </c>
      <c r="AA218" s="42">
        <v>43966</v>
      </c>
      <c r="AB218" s="27"/>
      <c r="AC218" s="43"/>
      <c r="AD218" s="26"/>
      <c r="AE218" s="43"/>
      <c r="AF218" s="26"/>
      <c r="AG218" s="26"/>
      <c r="AH218" s="26"/>
      <c r="AI218" s="27">
        <f>COUNTIF(DangKyThamGapThuongXuyen!$L$4:$L$5261,DaTa!$T218)</f>
        <v>0</v>
      </c>
    </row>
    <row r="219" spans="17:35" ht="12.75" x14ac:dyDescent="0.2">
      <c r="Q219" s="29"/>
      <c r="R219" s="30" t="str">
        <f>IF($V219=$R$1,MAX($R$3:R218)+1,"")</f>
        <v/>
      </c>
      <c r="S219" s="24">
        <v>217</v>
      </c>
      <c r="T219" s="39" t="s">
        <v>513</v>
      </c>
      <c r="U219" s="40" t="s">
        <v>63</v>
      </c>
      <c r="V219" s="40" t="s">
        <v>514</v>
      </c>
      <c r="W219" s="41">
        <v>1970</v>
      </c>
      <c r="X219" s="24" t="s">
        <v>21</v>
      </c>
      <c r="Y219" s="42">
        <v>43219</v>
      </c>
      <c r="Z219" s="42">
        <v>43312</v>
      </c>
      <c r="AA219" s="42">
        <v>43950</v>
      </c>
      <c r="AB219" s="27"/>
      <c r="AC219" s="43"/>
      <c r="AD219" s="26"/>
      <c r="AE219" s="43"/>
      <c r="AF219" s="26"/>
      <c r="AG219" s="26"/>
      <c r="AH219" s="26"/>
      <c r="AI219" s="27">
        <f>COUNTIF(DangKyThamGapThuongXuyen!$L$4:$L$5261,DaTa!$T219)</f>
        <v>2</v>
      </c>
    </row>
    <row r="220" spans="17:35" ht="12.75" x14ac:dyDescent="0.2">
      <c r="Q220" s="29"/>
      <c r="R220" s="30" t="str">
        <f>IF($V220=$R$1,MAX($R$3:R219)+1,"")</f>
        <v/>
      </c>
      <c r="S220" s="24">
        <v>218</v>
      </c>
      <c r="T220" s="39" t="s">
        <v>515</v>
      </c>
      <c r="U220" s="40" t="s">
        <v>516</v>
      </c>
      <c r="V220" s="40" t="s">
        <v>20</v>
      </c>
      <c r="W220" s="41">
        <v>1973</v>
      </c>
      <c r="X220" s="24" t="s">
        <v>21</v>
      </c>
      <c r="Y220" s="42">
        <v>43243</v>
      </c>
      <c r="Z220" s="42">
        <v>43312</v>
      </c>
      <c r="AA220" s="42">
        <v>43792</v>
      </c>
      <c r="AB220" s="27"/>
      <c r="AC220" s="43"/>
      <c r="AD220" s="26"/>
      <c r="AE220" s="43"/>
      <c r="AF220" s="26"/>
      <c r="AG220" s="26"/>
      <c r="AH220" s="26"/>
      <c r="AI220" s="27">
        <f>COUNTIF(DangKyThamGapThuongXuyen!$L$4:$L$5261,DaTa!$T220)</f>
        <v>0</v>
      </c>
    </row>
    <row r="221" spans="17:35" ht="15" x14ac:dyDescent="0.2">
      <c r="Q221" s="29"/>
      <c r="R221" s="30" t="str">
        <f>IF($V221=$R$1,MAX($R$3:R220)+1,"")</f>
        <v/>
      </c>
      <c r="S221" s="24">
        <v>219</v>
      </c>
      <c r="T221" s="39" t="s">
        <v>517</v>
      </c>
      <c r="U221" s="25" t="s">
        <v>518</v>
      </c>
      <c r="V221" s="25" t="s">
        <v>519</v>
      </c>
      <c r="W221" s="24">
        <v>1970</v>
      </c>
      <c r="X221" s="24" t="s">
        <v>21</v>
      </c>
      <c r="Y221" s="26">
        <v>43236</v>
      </c>
      <c r="Z221" s="26">
        <v>43312</v>
      </c>
      <c r="AA221" s="26">
        <v>43785</v>
      </c>
      <c r="AB221" s="27"/>
      <c r="AC221" s="28"/>
      <c r="AD221" s="26"/>
      <c r="AE221" s="28"/>
      <c r="AF221" s="26"/>
      <c r="AG221" s="26"/>
      <c r="AH221" s="26"/>
      <c r="AI221" s="27">
        <f>COUNTIF(DangKyThamGapThuongXuyen!$L$4:$L$5261,DaTa!$T221)</f>
        <v>0</v>
      </c>
    </row>
    <row r="222" spans="17:35" ht="15" x14ac:dyDescent="0.2">
      <c r="Q222" s="29"/>
      <c r="R222" s="30" t="str">
        <f>IF($V222=$R$1,MAX($R$3:R221)+1,"")</f>
        <v/>
      </c>
      <c r="S222" s="24">
        <v>220</v>
      </c>
      <c r="T222" s="39" t="s">
        <v>520</v>
      </c>
      <c r="U222" s="25" t="s">
        <v>521</v>
      </c>
      <c r="V222" s="25" t="s">
        <v>93</v>
      </c>
      <c r="W222" s="24">
        <v>1973</v>
      </c>
      <c r="X222" s="24" t="s">
        <v>21</v>
      </c>
      <c r="Y222" s="45">
        <v>43250</v>
      </c>
      <c r="Z222" s="57">
        <v>43312</v>
      </c>
      <c r="AA222" s="26">
        <v>43707</v>
      </c>
      <c r="AB222" s="27"/>
      <c r="AC222" s="28" t="s">
        <v>243</v>
      </c>
      <c r="AD222" s="26"/>
      <c r="AE222" s="28"/>
      <c r="AF222" s="26"/>
      <c r="AG222" s="26"/>
      <c r="AH222" s="26"/>
      <c r="AI222" s="27">
        <f>COUNTIF(DangKyThamGapThuongXuyen!$L$4:$L$5261,DaTa!$T222)</f>
        <v>0</v>
      </c>
    </row>
    <row r="223" spans="17:35" ht="15" x14ac:dyDescent="0.2">
      <c r="Q223" s="29"/>
      <c r="R223" s="30" t="str">
        <f>IF($V223=$R$1,MAX($R$3:R222)+1,"")</f>
        <v/>
      </c>
      <c r="S223" s="24">
        <v>221</v>
      </c>
      <c r="T223" s="39" t="s">
        <v>522</v>
      </c>
      <c r="U223" s="25" t="s">
        <v>523</v>
      </c>
      <c r="V223" s="25" t="s">
        <v>109</v>
      </c>
      <c r="W223" s="24">
        <v>1965</v>
      </c>
      <c r="X223" s="24" t="s">
        <v>21</v>
      </c>
      <c r="Y223" s="26">
        <v>43229</v>
      </c>
      <c r="Z223" s="26">
        <v>43312</v>
      </c>
      <c r="AA223" s="26">
        <v>43686</v>
      </c>
      <c r="AB223" s="27"/>
      <c r="AC223" s="28"/>
      <c r="AD223" s="26"/>
      <c r="AE223" s="28"/>
      <c r="AF223" s="26"/>
      <c r="AG223" s="26"/>
      <c r="AH223" s="26"/>
      <c r="AI223" s="27">
        <f>COUNTIF(DangKyThamGapThuongXuyen!$L$4:$L$5261,DaTa!$T223)</f>
        <v>0</v>
      </c>
    </row>
    <row r="224" spans="17:35" ht="15" x14ac:dyDescent="0.2">
      <c r="Q224" s="29"/>
      <c r="R224" s="30" t="str">
        <f>IF($V224=$R$1,MAX($R$3:R223)+1,"")</f>
        <v/>
      </c>
      <c r="S224" s="24">
        <v>222</v>
      </c>
      <c r="T224" s="39" t="s">
        <v>524</v>
      </c>
      <c r="U224" s="25" t="s">
        <v>63</v>
      </c>
      <c r="V224" s="25" t="s">
        <v>441</v>
      </c>
      <c r="W224" s="24">
        <v>1964</v>
      </c>
      <c r="X224" s="24" t="s">
        <v>21</v>
      </c>
      <c r="Y224" s="26">
        <v>43249</v>
      </c>
      <c r="Z224" s="26">
        <v>43312</v>
      </c>
      <c r="AA224" s="26">
        <v>43890</v>
      </c>
      <c r="AB224" s="27"/>
      <c r="AC224" s="28"/>
      <c r="AD224" s="26"/>
      <c r="AE224" s="28"/>
      <c r="AF224" s="26"/>
      <c r="AG224" s="26"/>
      <c r="AH224" s="26"/>
      <c r="AI224" s="27">
        <f>COUNTIF(DangKyThamGapThuongXuyen!$L$4:$L$5261,DaTa!$T224)</f>
        <v>0</v>
      </c>
    </row>
    <row r="225" spans="17:35" ht="15" x14ac:dyDescent="0.2">
      <c r="Q225" s="29"/>
      <c r="R225" s="30" t="str">
        <f>IF($V225=$R$1,MAX($R$3:R224)+1,"")</f>
        <v/>
      </c>
      <c r="S225" s="24">
        <v>223</v>
      </c>
      <c r="T225" s="39" t="s">
        <v>525</v>
      </c>
      <c r="U225" s="25" t="s">
        <v>526</v>
      </c>
      <c r="V225" s="25" t="s">
        <v>527</v>
      </c>
      <c r="W225" s="24">
        <v>1990</v>
      </c>
      <c r="X225" s="24" t="s">
        <v>21</v>
      </c>
      <c r="Y225" s="26">
        <v>43243</v>
      </c>
      <c r="Z225" s="26">
        <v>43312</v>
      </c>
      <c r="AA225" s="26">
        <v>43792</v>
      </c>
      <c r="AB225" s="27"/>
      <c r="AC225" s="28"/>
      <c r="AD225" s="26"/>
      <c r="AE225" s="28"/>
      <c r="AF225" s="26"/>
      <c r="AG225" s="26"/>
      <c r="AH225" s="26"/>
      <c r="AI225" s="27">
        <f>COUNTIF(DangKyThamGapThuongXuyen!$L$4:$L$5261,DaTa!$T225)</f>
        <v>0</v>
      </c>
    </row>
    <row r="226" spans="17:35" ht="15" x14ac:dyDescent="0.2">
      <c r="Q226" s="29"/>
      <c r="R226" s="30" t="str">
        <f>IF($V226=$R$1,MAX($R$3:R225)+1,"")</f>
        <v/>
      </c>
      <c r="S226" s="24">
        <v>224</v>
      </c>
      <c r="T226" s="39" t="s">
        <v>528</v>
      </c>
      <c r="U226" s="25" t="s">
        <v>63</v>
      </c>
      <c r="V226" s="25" t="s">
        <v>529</v>
      </c>
      <c r="W226" s="24">
        <v>1985</v>
      </c>
      <c r="X226" s="24" t="s">
        <v>21</v>
      </c>
      <c r="Y226" s="26">
        <v>43257</v>
      </c>
      <c r="Z226" s="26">
        <v>43312</v>
      </c>
      <c r="AA226" s="26">
        <v>43896</v>
      </c>
      <c r="AB226" s="27"/>
      <c r="AC226" s="28"/>
      <c r="AD226" s="26"/>
      <c r="AE226" s="28"/>
      <c r="AF226" s="26"/>
      <c r="AG226" s="26"/>
      <c r="AH226" s="26"/>
      <c r="AI226" s="27">
        <f>COUNTIF(DangKyThamGapThuongXuyen!$L$4:$L$5261,DaTa!$T226)</f>
        <v>0</v>
      </c>
    </row>
    <row r="227" spans="17:35" ht="12.75" x14ac:dyDescent="0.2">
      <c r="Q227" s="29"/>
      <c r="R227" s="30" t="str">
        <f>IF($V227=$R$1,MAX($R$3:R226)+1,"")</f>
        <v/>
      </c>
      <c r="S227" s="24">
        <v>225</v>
      </c>
      <c r="T227" s="39" t="s">
        <v>530</v>
      </c>
      <c r="U227" s="40" t="s">
        <v>531</v>
      </c>
      <c r="V227" s="40" t="s">
        <v>351</v>
      </c>
      <c r="W227" s="41">
        <v>1994</v>
      </c>
      <c r="X227" s="24" t="s">
        <v>21</v>
      </c>
      <c r="Y227" s="42">
        <v>43248</v>
      </c>
      <c r="Z227" s="42">
        <v>43312</v>
      </c>
      <c r="AA227" s="42">
        <v>43889</v>
      </c>
      <c r="AB227" s="27"/>
      <c r="AC227" s="43"/>
      <c r="AD227" s="26"/>
      <c r="AE227" s="43"/>
      <c r="AF227" s="26"/>
      <c r="AG227" s="26"/>
      <c r="AH227" s="26"/>
      <c r="AI227" s="27">
        <f>COUNTIF(DangKyThamGapThuongXuyen!$L$4:$L$5261,DaTa!$T227)</f>
        <v>0</v>
      </c>
    </row>
    <row r="228" spans="17:35" ht="15" x14ac:dyDescent="0.2">
      <c r="Q228" s="29"/>
      <c r="R228" s="30" t="str">
        <f>IF($V228=$R$1,MAX($R$3:R227)+1,"")</f>
        <v/>
      </c>
      <c r="S228" s="24">
        <v>226</v>
      </c>
      <c r="T228" s="39" t="s">
        <v>532</v>
      </c>
      <c r="U228" s="25" t="s">
        <v>533</v>
      </c>
      <c r="V228" s="25" t="s">
        <v>534</v>
      </c>
      <c r="W228" s="24">
        <v>1969</v>
      </c>
      <c r="X228" s="24" t="s">
        <v>21</v>
      </c>
      <c r="Y228" s="26">
        <v>43237</v>
      </c>
      <c r="Z228" s="26">
        <v>43312</v>
      </c>
      <c r="AA228" s="26">
        <v>43968</v>
      </c>
      <c r="AB228" s="27"/>
      <c r="AC228" s="28"/>
      <c r="AD228" s="26"/>
      <c r="AE228" s="28"/>
      <c r="AF228" s="26"/>
      <c r="AG228" s="26"/>
      <c r="AH228" s="26"/>
      <c r="AI228" s="27">
        <f>COUNTIF(DangKyThamGapThuongXuyen!$L$4:$L$5261,DaTa!$T228)</f>
        <v>0</v>
      </c>
    </row>
    <row r="229" spans="17:35" ht="15" x14ac:dyDescent="0.2">
      <c r="Q229" s="29"/>
      <c r="R229" s="30" t="str">
        <f>IF($V229=$R$1,MAX($R$3:R228)+1,"")</f>
        <v/>
      </c>
      <c r="S229" s="24">
        <v>227</v>
      </c>
      <c r="T229" s="39" t="s">
        <v>535</v>
      </c>
      <c r="U229" s="25" t="s">
        <v>536</v>
      </c>
      <c r="V229" s="25" t="s">
        <v>428</v>
      </c>
      <c r="W229" s="24">
        <v>1977</v>
      </c>
      <c r="X229" s="24" t="s">
        <v>21</v>
      </c>
      <c r="Y229" s="26">
        <v>43298</v>
      </c>
      <c r="Z229" s="26">
        <v>43313</v>
      </c>
      <c r="AA229" s="26">
        <v>44029</v>
      </c>
      <c r="AB229" s="27"/>
      <c r="AC229" s="28"/>
      <c r="AD229" s="26"/>
      <c r="AE229" s="28"/>
      <c r="AF229" s="26"/>
      <c r="AG229" s="26"/>
      <c r="AH229" s="26"/>
      <c r="AI229" s="27">
        <f>COUNTIF(DangKyThamGapThuongXuyen!$L$4:$L$5261,DaTa!$T229)</f>
        <v>1</v>
      </c>
    </row>
    <row r="230" spans="17:35" ht="12.75" x14ac:dyDescent="0.2">
      <c r="Q230" s="29"/>
      <c r="R230" s="30" t="str">
        <f>IF($V230=$R$1,MAX($R$3:R229)+1,"")</f>
        <v/>
      </c>
      <c r="S230" s="24">
        <v>228</v>
      </c>
      <c r="T230" s="39" t="s">
        <v>537</v>
      </c>
      <c r="U230" s="40" t="s">
        <v>538</v>
      </c>
      <c r="V230" s="40" t="s">
        <v>539</v>
      </c>
      <c r="W230" s="41">
        <v>1984</v>
      </c>
      <c r="X230" s="24" t="s">
        <v>42</v>
      </c>
      <c r="Y230" s="42">
        <v>43274</v>
      </c>
      <c r="Z230" s="42">
        <v>43314</v>
      </c>
      <c r="AA230" s="42">
        <v>43913</v>
      </c>
      <c r="AB230" s="27"/>
      <c r="AC230" s="43"/>
      <c r="AD230" s="26"/>
      <c r="AE230" s="43"/>
      <c r="AF230" s="26"/>
      <c r="AG230" s="26"/>
      <c r="AH230" s="26"/>
      <c r="AI230" s="27">
        <f>COUNTIF(DangKyThamGapThuongXuyen!$L$4:$L$5261,DaTa!$T230)</f>
        <v>0</v>
      </c>
    </row>
    <row r="231" spans="17:35" ht="12.75" x14ac:dyDescent="0.2">
      <c r="Q231" s="29"/>
      <c r="R231" s="30" t="str">
        <f>IF($V231=$R$1,MAX($R$3:R230)+1,"")</f>
        <v/>
      </c>
      <c r="S231" s="24">
        <v>229</v>
      </c>
      <c r="T231" s="39" t="s">
        <v>540</v>
      </c>
      <c r="U231" s="25" t="s">
        <v>541</v>
      </c>
      <c r="V231" s="25" t="s">
        <v>20</v>
      </c>
      <c r="W231" s="24">
        <v>1975</v>
      </c>
      <c r="X231" s="24" t="s">
        <v>42</v>
      </c>
      <c r="Y231" s="26">
        <v>43250</v>
      </c>
      <c r="Z231" s="26">
        <v>43316</v>
      </c>
      <c r="AA231" s="26">
        <v>43799</v>
      </c>
      <c r="AB231" s="27"/>
      <c r="AC231" s="43"/>
      <c r="AD231" s="26"/>
      <c r="AE231" s="43"/>
      <c r="AF231" s="26"/>
      <c r="AG231" s="26"/>
      <c r="AH231" s="26"/>
      <c r="AI231" s="27">
        <f>COUNTIF(DangKyThamGapThuongXuyen!$L$4:$L$5261,DaTa!$T231)</f>
        <v>0</v>
      </c>
    </row>
    <row r="232" spans="17:35" ht="15" x14ac:dyDescent="0.2">
      <c r="Q232" s="29"/>
      <c r="R232" s="30" t="str">
        <f>IF($V232=$R$1,MAX($R$3:R231)+1,"")</f>
        <v/>
      </c>
      <c r="S232" s="24">
        <v>230</v>
      </c>
      <c r="T232" s="39" t="s">
        <v>542</v>
      </c>
      <c r="U232" s="25" t="s">
        <v>286</v>
      </c>
      <c r="V232" s="25" t="s">
        <v>107</v>
      </c>
      <c r="W232" s="24">
        <v>1975</v>
      </c>
      <c r="X232" s="24" t="s">
        <v>42</v>
      </c>
      <c r="Y232" s="26">
        <v>43240</v>
      </c>
      <c r="Z232" s="26">
        <v>43316</v>
      </c>
      <c r="AA232" s="26">
        <v>43881</v>
      </c>
      <c r="AB232" s="27"/>
      <c r="AC232" s="28"/>
      <c r="AD232" s="26"/>
      <c r="AE232" s="28"/>
      <c r="AF232" s="26"/>
      <c r="AG232" s="26"/>
      <c r="AH232" s="26"/>
      <c r="AI232" s="27">
        <f>COUNTIF(DangKyThamGapThuongXuyen!$L$4:$L$5261,DaTa!$T232)</f>
        <v>0</v>
      </c>
    </row>
    <row r="233" spans="17:35" ht="15" x14ac:dyDescent="0.2">
      <c r="Q233" s="29"/>
      <c r="R233" s="30" t="str">
        <f>IF($V233=$R$1,MAX($R$3:R232)+1,"")</f>
        <v/>
      </c>
      <c r="S233" s="24">
        <v>231</v>
      </c>
      <c r="T233" s="39" t="s">
        <v>543</v>
      </c>
      <c r="U233" s="25" t="s">
        <v>544</v>
      </c>
      <c r="V233" s="25" t="s">
        <v>545</v>
      </c>
      <c r="W233" s="24">
        <v>1965</v>
      </c>
      <c r="X233" s="24" t="s">
        <v>42</v>
      </c>
      <c r="Y233" s="26">
        <v>43232</v>
      </c>
      <c r="Z233" s="26">
        <v>43319</v>
      </c>
      <c r="AA233" s="26">
        <v>43873</v>
      </c>
      <c r="AB233" s="27"/>
      <c r="AC233" s="28"/>
      <c r="AD233" s="26"/>
      <c r="AE233" s="28"/>
      <c r="AF233" s="26"/>
      <c r="AG233" s="26"/>
      <c r="AH233" s="26"/>
      <c r="AI233" s="27">
        <f>COUNTIF(DangKyThamGapThuongXuyen!$L$4:$L$5261,DaTa!$T233)</f>
        <v>0</v>
      </c>
    </row>
    <row r="234" spans="17:35" ht="15" x14ac:dyDescent="0.2">
      <c r="Q234" s="29"/>
      <c r="R234" s="23" t="str">
        <f>IF($V234=$R$1,MAX($R$3:R233)+1,"")</f>
        <v/>
      </c>
      <c r="S234" s="24">
        <v>232</v>
      </c>
      <c r="T234" s="39" t="s">
        <v>546</v>
      </c>
      <c r="U234" s="25" t="s">
        <v>547</v>
      </c>
      <c r="V234" s="25" t="s">
        <v>267</v>
      </c>
      <c r="W234" s="24">
        <v>1981</v>
      </c>
      <c r="X234" s="24" t="s">
        <v>73</v>
      </c>
      <c r="Y234" s="26">
        <v>43224</v>
      </c>
      <c r="Z234" s="26">
        <v>43319</v>
      </c>
      <c r="AA234" s="26">
        <v>43865</v>
      </c>
      <c r="AB234" s="27"/>
      <c r="AC234" s="28"/>
      <c r="AD234" s="26"/>
      <c r="AE234" s="28"/>
      <c r="AF234" s="26"/>
      <c r="AG234" s="26"/>
      <c r="AH234" s="26"/>
      <c r="AI234" s="27">
        <f>COUNTIF(DangKyThamGapThuongXuyen!$L$4:$L$5261,DaTa!$T234)</f>
        <v>0</v>
      </c>
    </row>
    <row r="235" spans="17:35" ht="15" x14ac:dyDescent="0.2">
      <c r="Q235" s="29"/>
      <c r="R235" s="30" t="str">
        <f>IF($V235=$R$1,MAX($R$3:R234)+1,"")</f>
        <v/>
      </c>
      <c r="S235" s="24">
        <v>233</v>
      </c>
      <c r="T235" s="39" t="s">
        <v>548</v>
      </c>
      <c r="U235" s="25" t="s">
        <v>549</v>
      </c>
      <c r="V235" s="25" t="s">
        <v>550</v>
      </c>
      <c r="W235" s="24">
        <v>1990</v>
      </c>
      <c r="X235" s="24" t="s">
        <v>42</v>
      </c>
      <c r="Y235" s="26">
        <v>43257</v>
      </c>
      <c r="Z235" s="26">
        <v>43319</v>
      </c>
      <c r="AA235" s="44">
        <v>43988</v>
      </c>
      <c r="AB235" s="27"/>
      <c r="AC235" s="28"/>
      <c r="AD235" s="26"/>
      <c r="AE235" s="28"/>
      <c r="AF235" s="26"/>
      <c r="AG235" s="26"/>
      <c r="AH235" s="26"/>
      <c r="AI235" s="27">
        <f>COUNTIF(DangKyThamGapThuongXuyen!$L$4:$L$5261,DaTa!$T235)</f>
        <v>0</v>
      </c>
    </row>
    <row r="236" spans="17:35" ht="15" x14ac:dyDescent="0.2">
      <c r="Q236" s="29"/>
      <c r="R236" s="30" t="str">
        <f>IF($V236=$R$1,MAX($R$3:R235)+1,"")</f>
        <v/>
      </c>
      <c r="S236" s="24">
        <v>234</v>
      </c>
      <c r="T236" s="39" t="s">
        <v>551</v>
      </c>
      <c r="U236" s="25" t="s">
        <v>358</v>
      </c>
      <c r="V236" s="25" t="s">
        <v>179</v>
      </c>
      <c r="W236" s="24">
        <v>1985</v>
      </c>
      <c r="X236" s="24" t="s">
        <v>42</v>
      </c>
      <c r="Y236" s="46">
        <v>43257</v>
      </c>
      <c r="Z236" s="26">
        <v>43319</v>
      </c>
      <c r="AA236" s="47">
        <v>43805</v>
      </c>
      <c r="AB236" s="27"/>
      <c r="AC236" s="28"/>
      <c r="AD236" s="26"/>
      <c r="AE236" s="28"/>
      <c r="AF236" s="26"/>
      <c r="AG236" s="26"/>
      <c r="AH236" s="26"/>
      <c r="AI236" s="27">
        <f>COUNTIF(DangKyThamGapThuongXuyen!$L$4:$L$5261,DaTa!$T236)</f>
        <v>0</v>
      </c>
    </row>
    <row r="237" spans="17:35" ht="15" x14ac:dyDescent="0.2">
      <c r="Q237" s="29"/>
      <c r="R237" s="30" t="str">
        <f>IF($V237=$R$1,MAX($R$3:R236)+1,"")</f>
        <v/>
      </c>
      <c r="S237" s="24">
        <v>235</v>
      </c>
      <c r="T237" s="39" t="s">
        <v>552</v>
      </c>
      <c r="U237" s="25" t="s">
        <v>553</v>
      </c>
      <c r="V237" s="25" t="s">
        <v>35</v>
      </c>
      <c r="W237" s="24">
        <v>1986</v>
      </c>
      <c r="X237" s="24" t="s">
        <v>25</v>
      </c>
      <c r="Y237" s="46">
        <v>43124</v>
      </c>
      <c r="Z237" s="26">
        <v>43319</v>
      </c>
      <c r="AA237" s="47">
        <v>43854</v>
      </c>
      <c r="AB237" s="27"/>
      <c r="AC237" s="28" t="s">
        <v>88</v>
      </c>
      <c r="AD237" s="26">
        <v>43620</v>
      </c>
      <c r="AE237" s="28">
        <v>95</v>
      </c>
      <c r="AF237" s="26">
        <v>43715</v>
      </c>
      <c r="AG237" s="26"/>
      <c r="AH237" s="26"/>
      <c r="AI237" s="27">
        <f>COUNTIF(DangKyThamGapThuongXuyen!$L$4:$L$5261,DaTa!$T237)</f>
        <v>1</v>
      </c>
    </row>
    <row r="238" spans="17:35" ht="12.75" x14ac:dyDescent="0.2">
      <c r="Q238" s="29"/>
      <c r="R238" s="30" t="str">
        <f>IF($V238=$R$1,MAX($R$3:R237)+1,"")</f>
        <v/>
      </c>
      <c r="S238" s="24">
        <v>236</v>
      </c>
      <c r="T238" s="39" t="s">
        <v>554</v>
      </c>
      <c r="U238" s="40" t="s">
        <v>555</v>
      </c>
      <c r="V238" s="40" t="s">
        <v>345</v>
      </c>
      <c r="W238" s="41">
        <v>1971</v>
      </c>
      <c r="X238" s="24" t="s">
        <v>21</v>
      </c>
      <c r="Y238" s="42">
        <v>43259</v>
      </c>
      <c r="Z238" s="42">
        <v>43320</v>
      </c>
      <c r="AA238" s="42">
        <v>43898</v>
      </c>
      <c r="AB238" s="27"/>
      <c r="AC238" s="43"/>
      <c r="AD238" s="26"/>
      <c r="AE238" s="43"/>
      <c r="AF238" s="26"/>
      <c r="AG238" s="26"/>
      <c r="AH238" s="26"/>
      <c r="AI238" s="27">
        <f>COUNTIF(DangKyThamGapThuongXuyen!$L$4:$L$5261,DaTa!$T238)</f>
        <v>0</v>
      </c>
    </row>
    <row r="239" spans="17:35" ht="15" x14ac:dyDescent="0.2">
      <c r="Q239" s="29"/>
      <c r="R239" s="30" t="str">
        <f>IF($V239=$R$1,MAX($R$3:R238)+1,"")</f>
        <v/>
      </c>
      <c r="S239" s="24">
        <v>237</v>
      </c>
      <c r="T239" s="39" t="s">
        <v>556</v>
      </c>
      <c r="U239" s="25" t="s">
        <v>145</v>
      </c>
      <c r="V239" s="25" t="s">
        <v>557</v>
      </c>
      <c r="W239" s="24">
        <v>1967</v>
      </c>
      <c r="X239" s="24" t="s">
        <v>42</v>
      </c>
      <c r="Y239" s="26">
        <v>43244</v>
      </c>
      <c r="Z239" s="26">
        <v>43320</v>
      </c>
      <c r="AA239" s="26">
        <v>43885</v>
      </c>
      <c r="AB239" s="27"/>
      <c r="AC239" s="28"/>
      <c r="AD239" s="26"/>
      <c r="AE239" s="28"/>
      <c r="AF239" s="26"/>
      <c r="AG239" s="26"/>
      <c r="AH239" s="26"/>
      <c r="AI239" s="27">
        <f>COUNTIF(DangKyThamGapThuongXuyen!$L$4:$L$5261,DaTa!$T239)</f>
        <v>0</v>
      </c>
    </row>
    <row r="240" spans="17:35" ht="15" x14ac:dyDescent="0.2">
      <c r="Q240" s="29"/>
      <c r="R240" s="30" t="str">
        <f>IF($V240=$R$1,MAX($R$3:R239)+1,"")</f>
        <v/>
      </c>
      <c r="S240" s="24">
        <v>238</v>
      </c>
      <c r="T240" s="39" t="s">
        <v>558</v>
      </c>
      <c r="U240" s="40" t="s">
        <v>559</v>
      </c>
      <c r="V240" s="40" t="s">
        <v>560</v>
      </c>
      <c r="W240" s="41">
        <v>1973</v>
      </c>
      <c r="X240" s="24" t="s">
        <v>42</v>
      </c>
      <c r="Y240" s="42">
        <v>43275</v>
      </c>
      <c r="Z240" s="42">
        <v>43326</v>
      </c>
      <c r="AA240" s="42">
        <v>44006</v>
      </c>
      <c r="AB240" s="27"/>
      <c r="AC240" s="28"/>
      <c r="AD240" s="26"/>
      <c r="AE240" s="28"/>
      <c r="AF240" s="26"/>
      <c r="AG240" s="26"/>
      <c r="AH240" s="26"/>
      <c r="AI240" s="27">
        <f>COUNTIF(DangKyThamGapThuongXuyen!$L$4:$L$5261,DaTa!$T240)</f>
        <v>0</v>
      </c>
    </row>
    <row r="241" spans="17:35" ht="15" x14ac:dyDescent="0.2">
      <c r="Q241" s="29"/>
      <c r="R241" s="30" t="str">
        <f>IF($V241=$R$1,MAX($R$3:R240)+1,"")</f>
        <v/>
      </c>
      <c r="S241" s="24">
        <v>239</v>
      </c>
      <c r="T241" s="39" t="s">
        <v>561</v>
      </c>
      <c r="U241" s="25" t="s">
        <v>562</v>
      </c>
      <c r="V241" s="25" t="s">
        <v>104</v>
      </c>
      <c r="W241" s="24">
        <v>1981</v>
      </c>
      <c r="X241" s="24" t="s">
        <v>42</v>
      </c>
      <c r="Y241" s="26">
        <v>43260</v>
      </c>
      <c r="Z241" s="26">
        <v>43326</v>
      </c>
      <c r="AA241" s="26">
        <v>43899</v>
      </c>
      <c r="AB241" s="27"/>
      <c r="AC241" s="28" t="s">
        <v>88</v>
      </c>
      <c r="AD241" s="26">
        <v>43620</v>
      </c>
      <c r="AE241" s="28">
        <v>65</v>
      </c>
      <c r="AF241" s="26">
        <v>43685</v>
      </c>
      <c r="AG241" s="26"/>
      <c r="AH241" s="26"/>
      <c r="AI241" s="27">
        <f>COUNTIF(DangKyThamGapThuongXuyen!$L$4:$L$5261,DaTa!$T241)</f>
        <v>0</v>
      </c>
    </row>
    <row r="242" spans="17:35" ht="25.5" x14ac:dyDescent="0.2">
      <c r="Q242" s="29"/>
      <c r="R242" s="30" t="str">
        <f>IF($V242=$R$1,MAX($R$3:R241)+1,"")</f>
        <v/>
      </c>
      <c r="S242" s="24">
        <v>240</v>
      </c>
      <c r="T242" s="39" t="s">
        <v>563</v>
      </c>
      <c r="U242" s="40" t="s">
        <v>564</v>
      </c>
      <c r="V242" s="40" t="s">
        <v>222</v>
      </c>
      <c r="W242" s="41" t="s">
        <v>565</v>
      </c>
      <c r="X242" s="24" t="s">
        <v>42</v>
      </c>
      <c r="Y242" s="42">
        <v>43257</v>
      </c>
      <c r="Z242" s="42">
        <v>43326</v>
      </c>
      <c r="AA242" s="42">
        <v>43805</v>
      </c>
      <c r="AB242" s="27"/>
      <c r="AC242" s="43"/>
      <c r="AD242" s="26"/>
      <c r="AE242" s="43"/>
      <c r="AF242" s="26"/>
      <c r="AG242" s="26"/>
      <c r="AH242" s="26"/>
      <c r="AI242" s="27">
        <f>COUNTIF(DangKyThamGapThuongXuyen!$L$4:$L$5261,DaTa!$T242)</f>
        <v>0</v>
      </c>
    </row>
    <row r="243" spans="17:35" ht="15" x14ac:dyDescent="0.2">
      <c r="Q243" s="29"/>
      <c r="R243" s="30" t="str">
        <f>IF($V243=$R$1,MAX($R$3:R242)+1,"")</f>
        <v/>
      </c>
      <c r="S243" s="24">
        <v>241</v>
      </c>
      <c r="T243" s="39" t="s">
        <v>566</v>
      </c>
      <c r="U243" s="25" t="s">
        <v>567</v>
      </c>
      <c r="V243" s="25" t="s">
        <v>568</v>
      </c>
      <c r="W243" s="24">
        <v>1985</v>
      </c>
      <c r="X243" s="24" t="s">
        <v>42</v>
      </c>
      <c r="Y243" s="58">
        <v>43265</v>
      </c>
      <c r="Z243" s="26">
        <v>43326</v>
      </c>
      <c r="AA243" s="50">
        <v>43813</v>
      </c>
      <c r="AB243" s="27"/>
      <c r="AC243" s="28"/>
      <c r="AD243" s="26"/>
      <c r="AE243" s="28"/>
      <c r="AF243" s="26"/>
      <c r="AG243" s="26"/>
      <c r="AH243" s="26"/>
      <c r="AI243" s="27">
        <f>COUNTIF(DangKyThamGapThuongXuyen!$L$4:$L$5261,DaTa!$T243)</f>
        <v>0</v>
      </c>
    </row>
    <row r="244" spans="17:35" ht="12.75" x14ac:dyDescent="0.2">
      <c r="Q244" s="29"/>
      <c r="R244" s="30" t="str">
        <f>IF($V244=$R$1,MAX($R$3:R243)+1,"")</f>
        <v/>
      </c>
      <c r="S244" s="24">
        <v>242</v>
      </c>
      <c r="T244" s="39" t="s">
        <v>569</v>
      </c>
      <c r="U244" s="40" t="s">
        <v>570</v>
      </c>
      <c r="V244" s="40" t="s">
        <v>107</v>
      </c>
      <c r="W244" s="41">
        <v>1977</v>
      </c>
      <c r="X244" s="24" t="s">
        <v>29</v>
      </c>
      <c r="Y244" s="42">
        <v>43259</v>
      </c>
      <c r="Z244" s="42">
        <v>43328</v>
      </c>
      <c r="AA244" s="42">
        <v>43898</v>
      </c>
      <c r="AB244" s="27"/>
      <c r="AC244" s="43"/>
      <c r="AD244" s="26"/>
      <c r="AE244" s="43"/>
      <c r="AF244" s="26"/>
      <c r="AG244" s="26"/>
      <c r="AH244" s="26"/>
      <c r="AI244" s="27">
        <f>COUNTIF(DangKyThamGapThuongXuyen!$L$4:$L$5261,DaTa!$T244)</f>
        <v>0</v>
      </c>
    </row>
    <row r="245" spans="17:35" ht="15" x14ac:dyDescent="0.2">
      <c r="Q245" s="29"/>
      <c r="R245" s="30" t="str">
        <f>IF($V245=$R$1,MAX($R$3:R244)+1,"")</f>
        <v/>
      </c>
      <c r="S245" s="24">
        <v>243</v>
      </c>
      <c r="T245" s="39" t="s">
        <v>571</v>
      </c>
      <c r="U245" s="25" t="s">
        <v>572</v>
      </c>
      <c r="V245" s="25" t="s">
        <v>398</v>
      </c>
      <c r="W245" s="24">
        <v>1979</v>
      </c>
      <c r="X245" s="24" t="s">
        <v>42</v>
      </c>
      <c r="Y245" s="26">
        <v>43222</v>
      </c>
      <c r="Z245" s="26">
        <v>43328</v>
      </c>
      <c r="AA245" s="26">
        <v>43953</v>
      </c>
      <c r="AB245" s="27"/>
      <c r="AC245" s="28"/>
      <c r="AD245" s="26"/>
      <c r="AE245" s="28"/>
      <c r="AF245" s="26"/>
      <c r="AG245" s="26"/>
      <c r="AH245" s="26"/>
      <c r="AI245" s="27">
        <f>COUNTIF(DangKyThamGapThuongXuyen!$L$4:$L$5261,DaTa!$T245)</f>
        <v>1</v>
      </c>
    </row>
    <row r="246" spans="17:35" ht="15" x14ac:dyDescent="0.2">
      <c r="Q246" s="29"/>
      <c r="R246" s="30" t="str">
        <f>IF($V246=$R$1,MAX($R$3:R245)+1,"")</f>
        <v/>
      </c>
      <c r="S246" s="24">
        <v>244</v>
      </c>
      <c r="T246" s="39" t="s">
        <v>573</v>
      </c>
      <c r="U246" s="25" t="s">
        <v>574</v>
      </c>
      <c r="V246" s="25" t="s">
        <v>54</v>
      </c>
      <c r="W246" s="24">
        <v>1975</v>
      </c>
      <c r="X246" s="24" t="s">
        <v>42</v>
      </c>
      <c r="Y246" s="26">
        <v>43276</v>
      </c>
      <c r="Z246" s="26">
        <v>43329</v>
      </c>
      <c r="AA246" s="26">
        <v>44007</v>
      </c>
      <c r="AB246" s="27"/>
      <c r="AC246" s="28"/>
      <c r="AD246" s="26"/>
      <c r="AE246" s="28"/>
      <c r="AF246" s="26"/>
      <c r="AG246" s="26"/>
      <c r="AH246" s="26"/>
      <c r="AI246" s="27">
        <f>COUNTIF(DangKyThamGapThuongXuyen!$L$4:$L$5261,DaTa!$T246)</f>
        <v>0</v>
      </c>
    </row>
    <row r="247" spans="17:35" ht="15" x14ac:dyDescent="0.2">
      <c r="Q247" s="29"/>
      <c r="R247" s="30" t="str">
        <f>IF($V247=$R$1,MAX($R$3:R246)+1,"")</f>
        <v/>
      </c>
      <c r="S247" s="24">
        <v>245</v>
      </c>
      <c r="T247" s="39" t="s">
        <v>575</v>
      </c>
      <c r="U247" s="25" t="s">
        <v>576</v>
      </c>
      <c r="V247" s="25" t="s">
        <v>398</v>
      </c>
      <c r="W247" s="24">
        <v>1980</v>
      </c>
      <c r="X247" s="24" t="s">
        <v>42</v>
      </c>
      <c r="Y247" s="26">
        <v>43209</v>
      </c>
      <c r="Z247" s="26">
        <v>43329</v>
      </c>
      <c r="AA247" s="26">
        <v>43940</v>
      </c>
      <c r="AB247" s="27"/>
      <c r="AC247" s="28"/>
      <c r="AD247" s="26"/>
      <c r="AE247" s="28"/>
      <c r="AF247" s="26"/>
      <c r="AG247" s="26"/>
      <c r="AH247" s="26"/>
      <c r="AI247" s="27">
        <f>COUNTIF(DangKyThamGapThuongXuyen!$L$4:$L$5261,DaTa!$T247)</f>
        <v>2</v>
      </c>
    </row>
    <row r="248" spans="17:35" ht="12.75" x14ac:dyDescent="0.2">
      <c r="Q248" s="29"/>
      <c r="R248" s="30" t="str">
        <f>IF($V248=$R$1,MAX($R$3:R247)+1,"")</f>
        <v/>
      </c>
      <c r="S248" s="24">
        <v>246</v>
      </c>
      <c r="T248" s="39" t="s">
        <v>577</v>
      </c>
      <c r="U248" s="40" t="s">
        <v>578</v>
      </c>
      <c r="V248" s="40" t="s">
        <v>579</v>
      </c>
      <c r="W248" s="41">
        <v>1982</v>
      </c>
      <c r="X248" s="24" t="s">
        <v>42</v>
      </c>
      <c r="Y248" s="42">
        <v>43218</v>
      </c>
      <c r="Z248" s="42">
        <v>43329</v>
      </c>
      <c r="AA248" s="42">
        <v>43949</v>
      </c>
      <c r="AB248" s="27"/>
      <c r="AC248" s="43"/>
      <c r="AD248" s="26"/>
      <c r="AE248" s="43"/>
      <c r="AF248" s="26"/>
      <c r="AG248" s="26"/>
      <c r="AH248" s="26"/>
      <c r="AI248" s="27">
        <f>COUNTIF(DangKyThamGapThuongXuyen!$L$4:$L$5261,DaTa!$T248)</f>
        <v>0</v>
      </c>
    </row>
    <row r="249" spans="17:35" ht="15" x14ac:dyDescent="0.2">
      <c r="Q249" s="29"/>
      <c r="R249" s="30" t="str">
        <f>IF($V249=$R$1,MAX($R$3:R248)+1,"")</f>
        <v/>
      </c>
      <c r="S249" s="24">
        <v>247</v>
      </c>
      <c r="T249" s="39" t="s">
        <v>580</v>
      </c>
      <c r="U249" s="25" t="s">
        <v>386</v>
      </c>
      <c r="V249" s="25" t="s">
        <v>195</v>
      </c>
      <c r="W249" s="24">
        <v>1981</v>
      </c>
      <c r="X249" s="24" t="s">
        <v>42</v>
      </c>
      <c r="Y249" s="26">
        <v>43234</v>
      </c>
      <c r="Z249" s="26">
        <v>43334</v>
      </c>
      <c r="AA249" s="26">
        <v>43875</v>
      </c>
      <c r="AB249" s="27"/>
      <c r="AC249" s="28"/>
      <c r="AD249" s="26"/>
      <c r="AE249" s="28"/>
      <c r="AF249" s="26"/>
      <c r="AG249" s="26"/>
      <c r="AH249" s="26"/>
      <c r="AI249" s="27">
        <f>COUNTIF(DangKyThamGapThuongXuyen!$L$4:$L$5261,DaTa!$T249)</f>
        <v>0</v>
      </c>
    </row>
    <row r="250" spans="17:35" ht="15" x14ac:dyDescent="0.2">
      <c r="Q250" s="29"/>
      <c r="R250" s="30" t="str">
        <f>IF($V250=$R$1,MAX($R$3:R249)+1,"")</f>
        <v/>
      </c>
      <c r="S250" s="24">
        <v>248</v>
      </c>
      <c r="T250" s="39" t="s">
        <v>581</v>
      </c>
      <c r="U250" s="25" t="s">
        <v>582</v>
      </c>
      <c r="V250" s="25" t="s">
        <v>583</v>
      </c>
      <c r="W250" s="24">
        <v>1988</v>
      </c>
      <c r="X250" s="24" t="s">
        <v>42</v>
      </c>
      <c r="Y250" s="26">
        <v>43210</v>
      </c>
      <c r="Z250" s="26">
        <v>43334</v>
      </c>
      <c r="AA250" s="26">
        <v>43850</v>
      </c>
      <c r="AB250" s="49"/>
      <c r="AC250" s="28"/>
      <c r="AD250" s="26"/>
      <c r="AE250" s="28"/>
      <c r="AF250" s="26"/>
      <c r="AG250" s="26"/>
      <c r="AH250" s="26"/>
      <c r="AI250" s="27">
        <f>COUNTIF(DangKyThamGapThuongXuyen!$L$4:$L$5261,DaTa!$T250)</f>
        <v>0</v>
      </c>
    </row>
    <row r="251" spans="17:35" ht="15" x14ac:dyDescent="0.2">
      <c r="Q251" s="29"/>
      <c r="R251" s="30" t="str">
        <f>IF($V251=$R$1,MAX($R$3:R250)+1,"")</f>
        <v/>
      </c>
      <c r="S251" s="24">
        <v>249</v>
      </c>
      <c r="T251" s="39" t="s">
        <v>584</v>
      </c>
      <c r="U251" s="25" t="s">
        <v>63</v>
      </c>
      <c r="V251" s="25" t="s">
        <v>585</v>
      </c>
      <c r="W251" s="24">
        <v>1986</v>
      </c>
      <c r="X251" s="24" t="s">
        <v>42</v>
      </c>
      <c r="Y251" s="46">
        <v>43242</v>
      </c>
      <c r="Z251" s="45">
        <v>43334</v>
      </c>
      <c r="AA251" s="50">
        <v>43791</v>
      </c>
      <c r="AB251" s="27"/>
      <c r="AC251" s="28"/>
      <c r="AD251" s="26"/>
      <c r="AE251" s="28"/>
      <c r="AF251" s="26"/>
      <c r="AG251" s="26"/>
      <c r="AH251" s="26"/>
      <c r="AI251" s="27">
        <f>COUNTIF(DangKyThamGapThuongXuyen!$L$4:$L$5261,DaTa!$T251)</f>
        <v>0</v>
      </c>
    </row>
    <row r="252" spans="17:35" ht="15" x14ac:dyDescent="0.2">
      <c r="Q252" s="29"/>
      <c r="R252" s="30" t="str">
        <f>IF($V252=$R$1,MAX($R$3:R251)+1,"")</f>
        <v/>
      </c>
      <c r="S252" s="24">
        <v>250</v>
      </c>
      <c r="T252" s="39" t="s">
        <v>586</v>
      </c>
      <c r="U252" s="25" t="s">
        <v>587</v>
      </c>
      <c r="V252" s="25" t="s">
        <v>588</v>
      </c>
      <c r="W252" s="24">
        <v>1976</v>
      </c>
      <c r="X252" s="24" t="s">
        <v>42</v>
      </c>
      <c r="Y252" s="26">
        <v>43242</v>
      </c>
      <c r="Z252" s="26">
        <v>43334</v>
      </c>
      <c r="AA252" s="26">
        <v>43883</v>
      </c>
      <c r="AB252" s="27"/>
      <c r="AC252" s="28"/>
      <c r="AD252" s="26"/>
      <c r="AE252" s="28"/>
      <c r="AF252" s="26"/>
      <c r="AG252" s="26"/>
      <c r="AH252" s="26"/>
      <c r="AI252" s="27">
        <f>COUNTIF(DangKyThamGapThuongXuyen!$L$4:$L$5261,DaTa!$T252)</f>
        <v>0</v>
      </c>
    </row>
    <row r="253" spans="17:35" ht="15" x14ac:dyDescent="0.2">
      <c r="Q253" s="29"/>
      <c r="R253" s="30" t="str">
        <f>IF($V253=$R$1,MAX($R$3:R252)+1,"")</f>
        <v/>
      </c>
      <c r="S253" s="24">
        <v>251</v>
      </c>
      <c r="T253" s="39" t="s">
        <v>589</v>
      </c>
      <c r="U253" s="25" t="s">
        <v>145</v>
      </c>
      <c r="V253" s="25" t="s">
        <v>54</v>
      </c>
      <c r="W253" s="24">
        <v>1967</v>
      </c>
      <c r="X253" s="24" t="s">
        <v>42</v>
      </c>
      <c r="Y253" s="46">
        <v>43250</v>
      </c>
      <c r="Z253" s="50">
        <v>43336</v>
      </c>
      <c r="AA253" s="50">
        <v>43890</v>
      </c>
      <c r="AB253" s="27"/>
      <c r="AC253" s="28"/>
      <c r="AD253" s="26"/>
      <c r="AE253" s="28"/>
      <c r="AF253" s="26"/>
      <c r="AG253" s="26"/>
      <c r="AH253" s="26"/>
      <c r="AI253" s="27">
        <f>COUNTIF(DangKyThamGapThuongXuyen!$L$4:$L$5261,DaTa!$T253)</f>
        <v>0</v>
      </c>
    </row>
    <row r="254" spans="17:35" ht="15" x14ac:dyDescent="0.2">
      <c r="Q254" s="29"/>
      <c r="R254" s="30" t="str">
        <f>IF($V254=$R$1,MAX($R$3:R253)+1,"")</f>
        <v/>
      </c>
      <c r="S254" s="24">
        <v>252</v>
      </c>
      <c r="T254" s="39" t="s">
        <v>590</v>
      </c>
      <c r="U254" s="25" t="s">
        <v>591</v>
      </c>
      <c r="V254" s="25" t="s">
        <v>381</v>
      </c>
      <c r="W254" s="24">
        <v>1980</v>
      </c>
      <c r="X254" s="24" t="s">
        <v>29</v>
      </c>
      <c r="Y254" s="26">
        <v>43312</v>
      </c>
      <c r="Z254" s="26">
        <v>43340</v>
      </c>
      <c r="AA254" s="26">
        <v>44043</v>
      </c>
      <c r="AB254" s="27"/>
      <c r="AC254" s="28"/>
      <c r="AD254" s="26"/>
      <c r="AE254" s="28"/>
      <c r="AF254" s="26"/>
      <c r="AG254" s="26"/>
      <c r="AH254" s="26"/>
      <c r="AI254" s="27">
        <f>COUNTIF(DangKyThamGapThuongXuyen!$L$4:$L$5261,DaTa!$T254)</f>
        <v>0</v>
      </c>
    </row>
    <row r="255" spans="17:35" ht="15" x14ac:dyDescent="0.2">
      <c r="Q255" s="29"/>
      <c r="R255" s="30" t="str">
        <f>IF($V255=$R$1,MAX($R$3:R254)+1,"")</f>
        <v/>
      </c>
      <c r="S255" s="24">
        <v>253</v>
      </c>
      <c r="T255" s="39" t="s">
        <v>592</v>
      </c>
      <c r="U255" s="25" t="s">
        <v>593</v>
      </c>
      <c r="V255" s="25" t="s">
        <v>93</v>
      </c>
      <c r="W255" s="24">
        <v>1991</v>
      </c>
      <c r="X255" s="24" t="s">
        <v>29</v>
      </c>
      <c r="Y255" s="26">
        <v>43250</v>
      </c>
      <c r="Z255" s="26">
        <v>43340</v>
      </c>
      <c r="AA255" s="26">
        <v>43890</v>
      </c>
      <c r="AB255" s="27"/>
      <c r="AC255" s="28"/>
      <c r="AD255" s="26"/>
      <c r="AE255" s="28"/>
      <c r="AF255" s="26"/>
      <c r="AG255" s="26"/>
      <c r="AH255" s="26"/>
      <c r="AI255" s="27">
        <f>COUNTIF(DangKyThamGapThuongXuyen!$L$4:$L$5261,DaTa!$T255)</f>
        <v>3</v>
      </c>
    </row>
    <row r="256" spans="17:35" ht="15" x14ac:dyDescent="0.2">
      <c r="Q256" s="29"/>
      <c r="R256" s="30" t="str">
        <f>IF($V256=$R$1,MAX($R$3:R255)+1,"")</f>
        <v/>
      </c>
      <c r="S256" s="24">
        <v>254</v>
      </c>
      <c r="T256" s="39" t="s">
        <v>594</v>
      </c>
      <c r="U256" s="25" t="s">
        <v>595</v>
      </c>
      <c r="V256" s="25" t="s">
        <v>428</v>
      </c>
      <c r="W256" s="24">
        <v>1979</v>
      </c>
      <c r="X256" s="24" t="s">
        <v>29</v>
      </c>
      <c r="Y256" s="26">
        <v>43278</v>
      </c>
      <c r="Z256" s="26">
        <v>43340</v>
      </c>
      <c r="AA256" s="26">
        <v>43917</v>
      </c>
      <c r="AB256" s="27"/>
      <c r="AC256" s="28"/>
      <c r="AD256" s="26"/>
      <c r="AE256" s="28"/>
      <c r="AF256" s="26"/>
      <c r="AG256" s="26"/>
      <c r="AH256" s="26"/>
      <c r="AI256" s="27">
        <f>COUNTIF(DangKyThamGapThuongXuyen!$L$4:$L$5261,DaTa!$T256)</f>
        <v>0</v>
      </c>
    </row>
    <row r="257" spans="17:35" ht="15" x14ac:dyDescent="0.2">
      <c r="Q257" s="29"/>
      <c r="R257" s="30" t="str">
        <f>IF($V257=$R$1,MAX($R$3:R256)+1,"")</f>
        <v/>
      </c>
      <c r="S257" s="24">
        <v>255</v>
      </c>
      <c r="T257" s="39" t="s">
        <v>596</v>
      </c>
      <c r="U257" s="25" t="s">
        <v>597</v>
      </c>
      <c r="V257" s="25" t="s">
        <v>161</v>
      </c>
      <c r="W257" s="24">
        <v>1989</v>
      </c>
      <c r="X257" s="24" t="s">
        <v>73</v>
      </c>
      <c r="Y257" s="26">
        <v>43255</v>
      </c>
      <c r="Z257" s="26">
        <v>43341</v>
      </c>
      <c r="AA257" s="26">
        <v>43894</v>
      </c>
      <c r="AB257" s="27"/>
      <c r="AC257" s="28"/>
      <c r="AD257" s="26"/>
      <c r="AE257" s="28"/>
      <c r="AF257" s="26"/>
      <c r="AG257" s="26"/>
      <c r="AH257" s="26"/>
      <c r="AI257" s="27">
        <f>COUNTIF(DangKyThamGapThuongXuyen!$L$4:$L$5261,DaTa!$T257)</f>
        <v>0</v>
      </c>
    </row>
    <row r="258" spans="17:35" ht="15" x14ac:dyDescent="0.2">
      <c r="Q258" s="29"/>
      <c r="R258" s="30" t="str">
        <f>IF($V258=$R$1,MAX($R$3:R257)+1,"")</f>
        <v/>
      </c>
      <c r="S258" s="24">
        <v>256</v>
      </c>
      <c r="T258" s="39" t="s">
        <v>598</v>
      </c>
      <c r="U258" s="25" t="s">
        <v>63</v>
      </c>
      <c r="V258" s="25" t="s">
        <v>599</v>
      </c>
      <c r="W258" s="24">
        <v>1975</v>
      </c>
      <c r="X258" s="24" t="s">
        <v>73</v>
      </c>
      <c r="Y258" s="26">
        <v>43286</v>
      </c>
      <c r="Z258" s="26">
        <v>43341</v>
      </c>
      <c r="AA258" s="26">
        <v>43835</v>
      </c>
      <c r="AB258" s="27"/>
      <c r="AC258" s="28"/>
      <c r="AD258" s="26"/>
      <c r="AE258" s="28"/>
      <c r="AF258" s="26"/>
      <c r="AG258" s="26"/>
      <c r="AH258" s="26"/>
      <c r="AI258" s="27">
        <f>COUNTIF(DangKyThamGapThuongXuyen!$L$4:$L$5261,DaTa!$T258)</f>
        <v>0</v>
      </c>
    </row>
    <row r="259" spans="17:35" ht="15" x14ac:dyDescent="0.2">
      <c r="Q259" s="29"/>
      <c r="R259" s="30" t="str">
        <f>IF($V259=$R$1,MAX($R$3:R258)+1,"")</f>
        <v/>
      </c>
      <c r="S259" s="24">
        <v>257</v>
      </c>
      <c r="T259" s="39" t="s">
        <v>600</v>
      </c>
      <c r="U259" s="25" t="s">
        <v>358</v>
      </c>
      <c r="V259" s="25" t="s">
        <v>354</v>
      </c>
      <c r="W259" s="24">
        <v>1980</v>
      </c>
      <c r="X259" s="24" t="s">
        <v>73</v>
      </c>
      <c r="Y259" s="26">
        <v>43265</v>
      </c>
      <c r="Z259" s="26">
        <v>43342</v>
      </c>
      <c r="AA259" s="26">
        <v>43813</v>
      </c>
      <c r="AB259" s="27"/>
      <c r="AC259" s="28"/>
      <c r="AD259" s="26"/>
      <c r="AE259" s="28"/>
      <c r="AF259" s="26"/>
      <c r="AG259" s="26"/>
      <c r="AH259" s="26"/>
      <c r="AI259" s="27">
        <f>COUNTIF(DangKyThamGapThuongXuyen!$L$4:$L$5261,DaTa!$T259)</f>
        <v>2</v>
      </c>
    </row>
    <row r="260" spans="17:35" ht="15" x14ac:dyDescent="0.2">
      <c r="Q260" s="29"/>
      <c r="R260" s="30" t="str">
        <f>IF($V260=$R$1,MAX($R$3:R259)+1,"")</f>
        <v/>
      </c>
      <c r="S260" s="24">
        <v>258</v>
      </c>
      <c r="T260" s="39" t="s">
        <v>601</v>
      </c>
      <c r="U260" s="25" t="s">
        <v>145</v>
      </c>
      <c r="V260" s="25" t="s">
        <v>602</v>
      </c>
      <c r="W260" s="24">
        <v>1968</v>
      </c>
      <c r="X260" s="24" t="s">
        <v>73</v>
      </c>
      <c r="Y260" s="26">
        <v>43248</v>
      </c>
      <c r="Z260" s="26">
        <v>43342</v>
      </c>
      <c r="AA260" s="26">
        <v>43979</v>
      </c>
      <c r="AB260" s="27"/>
      <c r="AC260" s="28" t="s">
        <v>88</v>
      </c>
      <c r="AD260" s="26">
        <v>43630</v>
      </c>
      <c r="AE260" s="28">
        <v>35</v>
      </c>
      <c r="AF260" s="26">
        <v>43665</v>
      </c>
      <c r="AG260" s="26"/>
      <c r="AH260" s="26"/>
      <c r="AI260" s="27">
        <f>COUNTIF(DangKyThamGapThuongXuyen!$L$4:$L$5261,DaTa!$T260)</f>
        <v>0</v>
      </c>
    </row>
    <row r="261" spans="17:35" ht="15" x14ac:dyDescent="0.2">
      <c r="Q261" s="29"/>
      <c r="R261" s="30" t="str">
        <f>IF($V261=$R$1,MAX($R$3:R260)+1,"")</f>
        <v/>
      </c>
      <c r="S261" s="24">
        <v>259</v>
      </c>
      <c r="T261" s="39" t="s">
        <v>603</v>
      </c>
      <c r="U261" s="25" t="s">
        <v>604</v>
      </c>
      <c r="V261" s="25" t="s">
        <v>120</v>
      </c>
      <c r="W261" s="24">
        <v>1979</v>
      </c>
      <c r="X261" s="24" t="s">
        <v>73</v>
      </c>
      <c r="Y261" s="46">
        <v>43275</v>
      </c>
      <c r="Z261" s="26">
        <v>43343</v>
      </c>
      <c r="AA261" s="50">
        <v>43732</v>
      </c>
      <c r="AB261" s="27"/>
      <c r="AC261" s="28"/>
      <c r="AD261" s="26"/>
      <c r="AE261" s="28"/>
      <c r="AF261" s="26"/>
      <c r="AG261" s="26"/>
      <c r="AH261" s="26"/>
      <c r="AI261" s="27">
        <f>COUNTIF(DangKyThamGapThuongXuyen!$L$4:$L$5261,DaTa!$T261)</f>
        <v>0</v>
      </c>
    </row>
    <row r="262" spans="17:35" ht="15" x14ac:dyDescent="0.2">
      <c r="Q262" s="29"/>
      <c r="R262" s="30" t="str">
        <f>IF($V262=$R$1,MAX($R$3:R261)+1,"")</f>
        <v/>
      </c>
      <c r="S262" s="24">
        <v>260</v>
      </c>
      <c r="T262" s="39" t="s">
        <v>605</v>
      </c>
      <c r="U262" s="25" t="s">
        <v>507</v>
      </c>
      <c r="V262" s="25" t="s">
        <v>87</v>
      </c>
      <c r="W262" s="24">
        <v>1988</v>
      </c>
      <c r="X262" s="24" t="s">
        <v>73</v>
      </c>
      <c r="Y262" s="46">
        <v>43276</v>
      </c>
      <c r="Z262" s="26">
        <v>43343</v>
      </c>
      <c r="AA262" s="47">
        <v>43733</v>
      </c>
      <c r="AB262" s="27"/>
      <c r="AC262" s="28"/>
      <c r="AD262" s="26"/>
      <c r="AE262" s="28"/>
      <c r="AF262" s="26"/>
      <c r="AG262" s="26"/>
      <c r="AH262" s="26"/>
      <c r="AI262" s="27">
        <f>COUNTIF(DangKyThamGapThuongXuyen!$L$4:$L$5261,DaTa!$T262)</f>
        <v>0</v>
      </c>
    </row>
    <row r="263" spans="17:35" ht="15" x14ac:dyDescent="0.2">
      <c r="Q263" s="29"/>
      <c r="R263" s="30" t="str">
        <f>IF($V263=$R$1,MAX($R$3:R262)+1,"")</f>
        <v/>
      </c>
      <c r="S263" s="24">
        <v>261</v>
      </c>
      <c r="T263" s="39" t="s">
        <v>606</v>
      </c>
      <c r="U263" s="25" t="s">
        <v>145</v>
      </c>
      <c r="V263" s="25" t="s">
        <v>607</v>
      </c>
      <c r="W263" s="24">
        <v>1986</v>
      </c>
      <c r="X263" s="24" t="s">
        <v>73</v>
      </c>
      <c r="Y263" s="46">
        <v>43254</v>
      </c>
      <c r="Z263" s="26">
        <v>43343</v>
      </c>
      <c r="AA263" s="47">
        <v>43893</v>
      </c>
      <c r="AB263" s="27"/>
      <c r="AC263" s="28"/>
      <c r="AD263" s="26"/>
      <c r="AE263" s="28"/>
      <c r="AF263" s="26"/>
      <c r="AG263" s="26"/>
      <c r="AH263" s="26"/>
      <c r="AI263" s="27">
        <f>COUNTIF(DangKyThamGapThuongXuyen!$L$4:$L$5261,DaTa!$T263)</f>
        <v>0</v>
      </c>
    </row>
    <row r="264" spans="17:35" ht="15" x14ac:dyDescent="0.2">
      <c r="Q264" s="29"/>
      <c r="R264" s="30" t="str">
        <f>IF($V264=$R$1,MAX($R$3:R263)+1,"")</f>
        <v/>
      </c>
      <c r="S264" s="24">
        <v>262</v>
      </c>
      <c r="T264" s="39" t="s">
        <v>608</v>
      </c>
      <c r="U264" s="25" t="s">
        <v>609</v>
      </c>
      <c r="V264" s="25" t="s">
        <v>96</v>
      </c>
      <c r="W264" s="24">
        <v>1987</v>
      </c>
      <c r="X264" s="24" t="s">
        <v>42</v>
      </c>
      <c r="Y264" s="26">
        <v>43259</v>
      </c>
      <c r="Z264" s="26">
        <v>43354</v>
      </c>
      <c r="AA264" s="26">
        <v>43807</v>
      </c>
      <c r="AB264" s="27"/>
      <c r="AC264" s="28"/>
      <c r="AD264" s="26"/>
      <c r="AE264" s="28"/>
      <c r="AF264" s="26"/>
      <c r="AG264" s="26"/>
      <c r="AH264" s="26"/>
      <c r="AI264" s="27">
        <f>COUNTIF(DangKyThamGapThuongXuyen!$L$4:$L$5261,DaTa!$T264)</f>
        <v>5</v>
      </c>
    </row>
    <row r="265" spans="17:35" ht="12.75" x14ac:dyDescent="0.2">
      <c r="Q265" s="29"/>
      <c r="R265" s="30" t="str">
        <f>IF($V265=$R$1,MAX($R$3:R264)+1,"")</f>
        <v/>
      </c>
      <c r="S265" s="24">
        <v>263</v>
      </c>
      <c r="T265" s="39" t="s">
        <v>610</v>
      </c>
      <c r="U265" s="40" t="s">
        <v>611</v>
      </c>
      <c r="V265" s="40" t="s">
        <v>54</v>
      </c>
      <c r="W265" s="41">
        <v>1992</v>
      </c>
      <c r="X265" s="24" t="s">
        <v>73</v>
      </c>
      <c r="Y265" s="42">
        <v>43297</v>
      </c>
      <c r="Z265" s="42">
        <v>43354</v>
      </c>
      <c r="AA265" s="42">
        <v>43846</v>
      </c>
      <c r="AB265" s="27"/>
      <c r="AC265" s="43"/>
      <c r="AD265" s="26"/>
      <c r="AE265" s="43"/>
      <c r="AF265" s="26"/>
      <c r="AG265" s="26"/>
      <c r="AH265" s="26"/>
      <c r="AI265" s="27">
        <f>COUNTIF(DangKyThamGapThuongXuyen!$L$4:$L$5261,DaTa!$T265)</f>
        <v>0</v>
      </c>
    </row>
    <row r="266" spans="17:35" ht="15" x14ac:dyDescent="0.2">
      <c r="Q266" s="29"/>
      <c r="R266" s="30" t="str">
        <f>IF($V266=$R$1,MAX($R$3:R265)+1,"")</f>
        <v/>
      </c>
      <c r="S266" s="24">
        <v>264</v>
      </c>
      <c r="T266" s="39" t="s">
        <v>612</v>
      </c>
      <c r="U266" s="25" t="s">
        <v>613</v>
      </c>
      <c r="V266" s="25" t="s">
        <v>614</v>
      </c>
      <c r="W266" s="24">
        <v>1960</v>
      </c>
      <c r="X266" s="24" t="s">
        <v>73</v>
      </c>
      <c r="Y266" s="26">
        <v>43265</v>
      </c>
      <c r="Z266" s="26">
        <v>43354</v>
      </c>
      <c r="AA266" s="26">
        <v>43813</v>
      </c>
      <c r="AB266" s="27"/>
      <c r="AC266" s="28"/>
      <c r="AD266" s="26"/>
      <c r="AE266" s="28"/>
      <c r="AF266" s="26"/>
      <c r="AG266" s="26"/>
      <c r="AH266" s="26"/>
      <c r="AI266" s="27">
        <f>COUNTIF(DangKyThamGapThuongXuyen!$L$4:$L$5261,DaTa!$T266)</f>
        <v>0</v>
      </c>
    </row>
    <row r="267" spans="17:35" ht="15" x14ac:dyDescent="0.2">
      <c r="Q267" s="29"/>
      <c r="R267" s="30" t="str">
        <f>IF($V267=$R$1,MAX($R$3:R266)+1,"")</f>
        <v/>
      </c>
      <c r="S267" s="24">
        <v>265</v>
      </c>
      <c r="T267" s="39" t="s">
        <v>615</v>
      </c>
      <c r="U267" s="25" t="s">
        <v>616</v>
      </c>
      <c r="V267" s="25" t="s">
        <v>87</v>
      </c>
      <c r="W267" s="24">
        <v>1970</v>
      </c>
      <c r="X267" s="24" t="s">
        <v>73</v>
      </c>
      <c r="Y267" s="46">
        <v>43327</v>
      </c>
      <c r="Z267" s="26">
        <v>43356</v>
      </c>
      <c r="AA267" s="47">
        <v>44058</v>
      </c>
      <c r="AB267" s="27"/>
      <c r="AC267" s="28"/>
      <c r="AD267" s="26"/>
      <c r="AE267" s="28"/>
      <c r="AF267" s="26"/>
      <c r="AG267" s="26"/>
      <c r="AH267" s="26"/>
      <c r="AI267" s="27">
        <f>COUNTIF(DangKyThamGapThuongXuyen!$L$4:$L$5261,DaTa!$T267)</f>
        <v>1</v>
      </c>
    </row>
    <row r="268" spans="17:35" ht="12.75" x14ac:dyDescent="0.2">
      <c r="Q268" s="29"/>
      <c r="R268" s="30" t="str">
        <f>IF($V268=$R$1,MAX($R$3:R267)+1,"")</f>
        <v/>
      </c>
      <c r="S268" s="24">
        <v>266</v>
      </c>
      <c r="T268" s="39" t="s">
        <v>617</v>
      </c>
      <c r="U268" s="40" t="s">
        <v>618</v>
      </c>
      <c r="V268" s="40" t="s">
        <v>109</v>
      </c>
      <c r="W268" s="41">
        <v>1986</v>
      </c>
      <c r="X268" s="24" t="s">
        <v>73</v>
      </c>
      <c r="Y268" s="42">
        <v>43265</v>
      </c>
      <c r="Z268" s="42">
        <v>43357</v>
      </c>
      <c r="AA268" s="42">
        <v>43813</v>
      </c>
      <c r="AB268" s="27"/>
      <c r="AC268" s="43" t="s">
        <v>243</v>
      </c>
      <c r="AD268" s="26"/>
      <c r="AE268" s="43"/>
      <c r="AF268" s="26"/>
      <c r="AG268" s="26"/>
      <c r="AH268" s="26"/>
      <c r="AI268" s="27">
        <f>COUNTIF(DangKyThamGapThuongXuyen!$L$4:$L$5261,DaTa!$T268)</f>
        <v>0</v>
      </c>
    </row>
    <row r="269" spans="17:35" ht="15" x14ac:dyDescent="0.2">
      <c r="Q269" s="29"/>
      <c r="R269" s="30" t="str">
        <f>IF($V269=$R$1,MAX($R$3:R268)+1,"")</f>
        <v/>
      </c>
      <c r="S269" s="24">
        <v>267</v>
      </c>
      <c r="T269" s="39" t="s">
        <v>619</v>
      </c>
      <c r="U269" s="25" t="s">
        <v>620</v>
      </c>
      <c r="V269" s="25" t="s">
        <v>76</v>
      </c>
      <c r="W269" s="24">
        <v>1978</v>
      </c>
      <c r="X269" s="24" t="s">
        <v>73</v>
      </c>
      <c r="Y269" s="26">
        <v>43248</v>
      </c>
      <c r="Z269" s="26">
        <v>43357</v>
      </c>
      <c r="AA269" s="26">
        <v>43797</v>
      </c>
      <c r="AB269" s="27"/>
      <c r="AC269" s="28" t="s">
        <v>243</v>
      </c>
      <c r="AD269" s="26"/>
      <c r="AE269" s="28"/>
      <c r="AF269" s="26"/>
      <c r="AG269" s="26"/>
      <c r="AH269" s="26"/>
      <c r="AI269" s="27">
        <f>COUNTIF(DangKyThamGapThuongXuyen!$L$4:$L$5261,DaTa!$T269)</f>
        <v>0</v>
      </c>
    </row>
    <row r="270" spans="17:35" ht="15" x14ac:dyDescent="0.2">
      <c r="Q270" s="29"/>
      <c r="R270" s="30" t="str">
        <f>IF($V270=$R$1,MAX($R$3:R269)+1,"")</f>
        <v/>
      </c>
      <c r="S270" s="24">
        <v>268</v>
      </c>
      <c r="T270" s="39" t="s">
        <v>621</v>
      </c>
      <c r="U270" s="25" t="s">
        <v>622</v>
      </c>
      <c r="V270" s="25" t="s">
        <v>351</v>
      </c>
      <c r="W270" s="24">
        <v>1990</v>
      </c>
      <c r="X270" s="24" t="s">
        <v>73</v>
      </c>
      <c r="Y270" s="26">
        <v>43259</v>
      </c>
      <c r="Z270" s="26">
        <v>43357</v>
      </c>
      <c r="AA270" s="26">
        <v>43716</v>
      </c>
      <c r="AB270" s="27"/>
      <c r="AC270" s="28"/>
      <c r="AD270" s="26"/>
      <c r="AE270" s="28"/>
      <c r="AF270" s="26"/>
      <c r="AG270" s="26"/>
      <c r="AH270" s="26"/>
      <c r="AI270" s="27">
        <f>COUNTIF(DangKyThamGapThuongXuyen!$L$4:$L$5261,DaTa!$T270)</f>
        <v>2</v>
      </c>
    </row>
    <row r="271" spans="17:35" ht="15" x14ac:dyDescent="0.2">
      <c r="Q271" s="29"/>
      <c r="R271" s="30" t="str">
        <f>IF($V271=$R$1,MAX($R$3:R270)+1,"")</f>
        <v/>
      </c>
      <c r="S271" s="24">
        <v>269</v>
      </c>
      <c r="T271" s="39" t="s">
        <v>623</v>
      </c>
      <c r="U271" s="25" t="s">
        <v>624</v>
      </c>
      <c r="V271" s="25" t="s">
        <v>293</v>
      </c>
      <c r="W271" s="24">
        <v>1992</v>
      </c>
      <c r="X271" s="24" t="s">
        <v>73</v>
      </c>
      <c r="Y271" s="26">
        <v>43269</v>
      </c>
      <c r="Z271" s="26">
        <v>43357</v>
      </c>
      <c r="AA271" s="44">
        <v>43817</v>
      </c>
      <c r="AB271" s="27"/>
      <c r="AC271" s="28"/>
      <c r="AD271" s="26"/>
      <c r="AE271" s="28"/>
      <c r="AF271" s="26"/>
      <c r="AG271" s="26"/>
      <c r="AH271" s="26"/>
      <c r="AI271" s="27">
        <f>COUNTIF(DangKyThamGapThuongXuyen!$L$4:$L$5261,DaTa!$T271)</f>
        <v>0</v>
      </c>
    </row>
    <row r="272" spans="17:35" ht="15" x14ac:dyDescent="0.2">
      <c r="Q272" s="29"/>
      <c r="R272" s="30" t="str">
        <f>IF($V272=$R$1,MAX($R$3:R271)+1,"")</f>
        <v/>
      </c>
      <c r="S272" s="24">
        <v>270</v>
      </c>
      <c r="T272" s="39" t="s">
        <v>625</v>
      </c>
      <c r="U272" s="25" t="s">
        <v>626</v>
      </c>
      <c r="V272" s="25" t="s">
        <v>222</v>
      </c>
      <c r="W272" s="24">
        <v>1970</v>
      </c>
      <c r="X272" s="24" t="s">
        <v>73</v>
      </c>
      <c r="Y272" s="26">
        <v>43276</v>
      </c>
      <c r="Z272" s="26">
        <v>43357</v>
      </c>
      <c r="AA272" s="26">
        <v>43915</v>
      </c>
      <c r="AB272" s="27"/>
      <c r="AC272" s="28"/>
      <c r="AD272" s="26"/>
      <c r="AE272" s="28"/>
      <c r="AF272" s="26"/>
      <c r="AG272" s="26"/>
      <c r="AH272" s="26"/>
      <c r="AI272" s="27">
        <f>COUNTIF(DangKyThamGapThuongXuyen!$L$4:$L$5261,DaTa!$T272)</f>
        <v>0</v>
      </c>
    </row>
    <row r="273" spans="17:35" ht="15" x14ac:dyDescent="0.2">
      <c r="Q273" s="29"/>
      <c r="R273" s="30" t="str">
        <f>IF($V273=$R$1,MAX($R$3:R272)+1,"")</f>
        <v/>
      </c>
      <c r="S273" s="24">
        <v>271</v>
      </c>
      <c r="T273" s="39" t="s">
        <v>627</v>
      </c>
      <c r="U273" s="25" t="s">
        <v>628</v>
      </c>
      <c r="V273" s="25" t="s">
        <v>228</v>
      </c>
      <c r="W273" s="24">
        <v>1989</v>
      </c>
      <c r="X273" s="24" t="s">
        <v>73</v>
      </c>
      <c r="Y273" s="26">
        <v>43287</v>
      </c>
      <c r="Z273" s="26">
        <v>43357</v>
      </c>
      <c r="AA273" s="26">
        <v>43896</v>
      </c>
      <c r="AB273" s="27"/>
      <c r="AC273" s="28"/>
      <c r="AD273" s="26"/>
      <c r="AE273" s="28"/>
      <c r="AF273" s="26"/>
      <c r="AG273" s="26"/>
      <c r="AH273" s="26"/>
      <c r="AI273" s="27">
        <f>COUNTIF(DangKyThamGapThuongXuyen!$L$4:$L$5261,DaTa!$T273)</f>
        <v>5</v>
      </c>
    </row>
    <row r="274" spans="17:35" ht="15" x14ac:dyDescent="0.2">
      <c r="Q274" s="29"/>
      <c r="R274" s="30" t="str">
        <f>IF($V274=$R$1,MAX($R$3:R273)+1,"")</f>
        <v/>
      </c>
      <c r="S274" s="24">
        <v>272</v>
      </c>
      <c r="T274" s="39" t="s">
        <v>629</v>
      </c>
      <c r="U274" s="25" t="s">
        <v>630</v>
      </c>
      <c r="V274" s="25" t="s">
        <v>60</v>
      </c>
      <c r="W274" s="24">
        <v>1987</v>
      </c>
      <c r="X274" s="24" t="s">
        <v>73</v>
      </c>
      <c r="Y274" s="26">
        <v>43284</v>
      </c>
      <c r="Z274" s="26">
        <v>43357</v>
      </c>
      <c r="AA274" s="26">
        <v>44015</v>
      </c>
      <c r="AB274" s="27"/>
      <c r="AC274" s="28" t="s">
        <v>88</v>
      </c>
      <c r="AD274" s="26">
        <v>43506</v>
      </c>
      <c r="AE274" s="28">
        <v>185</v>
      </c>
      <c r="AF274" s="26">
        <v>43691</v>
      </c>
      <c r="AG274" s="26"/>
      <c r="AH274" s="26"/>
      <c r="AI274" s="27">
        <f>COUNTIF(DangKyThamGapThuongXuyen!$L$4:$L$5261,DaTa!$T274)</f>
        <v>0</v>
      </c>
    </row>
    <row r="275" spans="17:35" ht="15" x14ac:dyDescent="0.2">
      <c r="Q275" s="29"/>
      <c r="R275" s="30" t="str">
        <f>IF($V275=$R$1,MAX($R$3:R274)+1,"")</f>
        <v/>
      </c>
      <c r="S275" s="24">
        <v>273</v>
      </c>
      <c r="T275" s="39" t="s">
        <v>631</v>
      </c>
      <c r="U275" s="25" t="s">
        <v>570</v>
      </c>
      <c r="V275" s="25" t="s">
        <v>381</v>
      </c>
      <c r="W275" s="24">
        <v>1968</v>
      </c>
      <c r="X275" s="24" t="s">
        <v>73</v>
      </c>
      <c r="Y275" s="50">
        <v>43265</v>
      </c>
      <c r="Z275" s="26">
        <v>43361</v>
      </c>
      <c r="AA275" s="50">
        <v>43904</v>
      </c>
      <c r="AB275" s="27"/>
      <c r="AC275" s="28" t="s">
        <v>88</v>
      </c>
      <c r="AD275" s="26">
        <v>43586</v>
      </c>
      <c r="AE275" s="28">
        <v>85</v>
      </c>
      <c r="AF275" s="26">
        <v>43671</v>
      </c>
      <c r="AG275" s="26"/>
      <c r="AH275" s="26"/>
      <c r="AI275" s="27">
        <f>COUNTIF(DangKyThamGapThuongXuyen!$L$4:$L$5261,DaTa!$T275)</f>
        <v>0</v>
      </c>
    </row>
    <row r="276" spans="17:35" ht="12.75" x14ac:dyDescent="0.2">
      <c r="Q276" s="29"/>
      <c r="R276" s="30" t="str">
        <f>IF($V276=$R$1,MAX($R$3:R275)+1,"")</f>
        <v/>
      </c>
      <c r="S276" s="24">
        <v>274</v>
      </c>
      <c r="T276" s="39" t="s">
        <v>632</v>
      </c>
      <c r="U276" s="40" t="s">
        <v>633</v>
      </c>
      <c r="V276" s="40" t="s">
        <v>634</v>
      </c>
      <c r="W276" s="41">
        <v>1972</v>
      </c>
      <c r="X276" s="24" t="s">
        <v>73</v>
      </c>
      <c r="Y276" s="42">
        <v>43285</v>
      </c>
      <c r="Z276" s="42">
        <v>43363</v>
      </c>
      <c r="AA276" s="42">
        <v>43955</v>
      </c>
      <c r="AB276" s="27"/>
      <c r="AC276" s="43"/>
      <c r="AD276" s="26"/>
      <c r="AE276" s="43"/>
      <c r="AF276" s="26"/>
      <c r="AG276" s="26"/>
      <c r="AH276" s="26"/>
      <c r="AI276" s="27">
        <f>COUNTIF(DangKyThamGapThuongXuyen!$L$4:$L$5261,DaTa!$T276)</f>
        <v>0</v>
      </c>
    </row>
    <row r="277" spans="17:35" ht="15" x14ac:dyDescent="0.2">
      <c r="Q277" s="29"/>
      <c r="R277" s="30" t="str">
        <f>IF($V277=$R$1,MAX($R$3:R276)+1,"")</f>
        <v/>
      </c>
      <c r="S277" s="24">
        <v>275</v>
      </c>
      <c r="T277" s="39" t="s">
        <v>635</v>
      </c>
      <c r="U277" s="25" t="s">
        <v>636</v>
      </c>
      <c r="V277" s="25" t="s">
        <v>35</v>
      </c>
      <c r="W277" s="24">
        <v>1988</v>
      </c>
      <c r="X277" s="24" t="s">
        <v>73</v>
      </c>
      <c r="Y277" s="26">
        <v>43285</v>
      </c>
      <c r="Z277" s="26">
        <v>43363</v>
      </c>
      <c r="AA277" s="26">
        <v>43834</v>
      </c>
      <c r="AB277" s="27"/>
      <c r="AC277" s="28" t="s">
        <v>243</v>
      </c>
      <c r="AD277" s="26"/>
      <c r="AE277" s="28"/>
      <c r="AF277" s="26"/>
      <c r="AG277" s="26"/>
      <c r="AH277" s="26"/>
      <c r="AI277" s="27">
        <f>COUNTIF(DangKyThamGapThuongXuyen!$L$4:$L$5261,DaTa!$T277)</f>
        <v>0</v>
      </c>
    </row>
    <row r="278" spans="17:35" ht="15" x14ac:dyDescent="0.2">
      <c r="Q278" s="29"/>
      <c r="R278" s="23" t="str">
        <f>IF($V278=$R$1,MAX($R$3:R277)+1,"")</f>
        <v/>
      </c>
      <c r="S278" s="24">
        <v>276</v>
      </c>
      <c r="T278" s="39" t="s">
        <v>637</v>
      </c>
      <c r="U278" s="25" t="s">
        <v>570</v>
      </c>
      <c r="V278" s="25" t="s">
        <v>93</v>
      </c>
      <c r="W278" s="24">
        <v>1986</v>
      </c>
      <c r="X278" s="24" t="s">
        <v>73</v>
      </c>
      <c r="Y278" s="26">
        <v>43277</v>
      </c>
      <c r="Z278" s="26">
        <v>43363</v>
      </c>
      <c r="AA278" s="44">
        <v>43825</v>
      </c>
      <c r="AB278" s="27"/>
      <c r="AC278" s="28"/>
      <c r="AD278" s="26"/>
      <c r="AE278" s="28"/>
      <c r="AF278" s="26"/>
      <c r="AG278" s="26"/>
      <c r="AH278" s="26"/>
      <c r="AI278" s="27">
        <f>COUNTIF(DangKyThamGapThuongXuyen!$L$4:$L$5261,DaTa!$T278)</f>
        <v>1</v>
      </c>
    </row>
    <row r="279" spans="17:35" ht="15" x14ac:dyDescent="0.2">
      <c r="Q279" s="29"/>
      <c r="R279" s="30" t="str">
        <f>IF($V279=$R$1,MAX($R$3:R278)+1,"")</f>
        <v/>
      </c>
      <c r="S279" s="24">
        <v>277</v>
      </c>
      <c r="T279" s="39" t="s">
        <v>638</v>
      </c>
      <c r="U279" s="40" t="s">
        <v>341</v>
      </c>
      <c r="V279" s="40" t="s">
        <v>161</v>
      </c>
      <c r="W279" s="41">
        <v>1975</v>
      </c>
      <c r="X279" s="24" t="s">
        <v>42</v>
      </c>
      <c r="Y279" s="42">
        <v>43300</v>
      </c>
      <c r="Z279" s="42">
        <v>43364</v>
      </c>
      <c r="AA279" s="42">
        <v>43849</v>
      </c>
      <c r="AB279" s="27"/>
      <c r="AC279" s="28"/>
      <c r="AD279" s="26"/>
      <c r="AE279" s="28"/>
      <c r="AF279" s="26"/>
      <c r="AG279" s="26"/>
      <c r="AH279" s="26"/>
      <c r="AI279" s="27">
        <f>COUNTIF(DangKyThamGapThuongXuyen!$L$4:$L$5261,DaTa!$T279)</f>
        <v>0</v>
      </c>
    </row>
    <row r="280" spans="17:35" ht="12.75" x14ac:dyDescent="0.2">
      <c r="Q280" s="29"/>
      <c r="R280" s="30" t="str">
        <f>IF($V280=$R$1,MAX($R$3:R279)+1,"")</f>
        <v/>
      </c>
      <c r="S280" s="24">
        <v>278</v>
      </c>
      <c r="T280" s="39" t="s">
        <v>639</v>
      </c>
      <c r="U280" s="40" t="s">
        <v>640</v>
      </c>
      <c r="V280" s="40" t="s">
        <v>107</v>
      </c>
      <c r="W280" s="41">
        <v>1972</v>
      </c>
      <c r="X280" s="24" t="s">
        <v>73</v>
      </c>
      <c r="Y280" s="42">
        <v>43304</v>
      </c>
      <c r="Z280" s="42">
        <v>43364</v>
      </c>
      <c r="AA280" s="42">
        <v>43944</v>
      </c>
      <c r="AB280" s="27"/>
      <c r="AC280" s="43"/>
      <c r="AD280" s="26"/>
      <c r="AE280" s="43"/>
      <c r="AF280" s="26"/>
      <c r="AG280" s="26"/>
      <c r="AH280" s="26"/>
      <c r="AI280" s="27">
        <f>COUNTIF(DangKyThamGapThuongXuyen!$L$4:$L$5261,DaTa!$T280)</f>
        <v>0</v>
      </c>
    </row>
    <row r="281" spans="17:35" ht="15" x14ac:dyDescent="0.2">
      <c r="Q281" s="29"/>
      <c r="R281" s="30" t="str">
        <f>IF($V281=$R$1,MAX($R$3:R280)+1,"")</f>
        <v/>
      </c>
      <c r="S281" s="24">
        <v>279</v>
      </c>
      <c r="T281" s="39" t="s">
        <v>641</v>
      </c>
      <c r="U281" s="25" t="s">
        <v>642</v>
      </c>
      <c r="V281" s="25" t="s">
        <v>550</v>
      </c>
      <c r="W281" s="24">
        <v>1986</v>
      </c>
      <c r="X281" s="24" t="s">
        <v>73</v>
      </c>
      <c r="Y281" s="26">
        <v>43280</v>
      </c>
      <c r="Z281" s="26">
        <v>43369</v>
      </c>
      <c r="AA281" s="26">
        <v>43919</v>
      </c>
      <c r="AB281" s="27"/>
      <c r="AC281" s="28"/>
      <c r="AD281" s="26"/>
      <c r="AE281" s="28"/>
      <c r="AF281" s="26"/>
      <c r="AG281" s="26"/>
      <c r="AH281" s="26"/>
      <c r="AI281" s="27">
        <f>COUNTIF(DangKyThamGapThuongXuyen!$L$4:$L$5261,DaTa!$T281)</f>
        <v>0</v>
      </c>
    </row>
    <row r="282" spans="17:35" ht="15" x14ac:dyDescent="0.2">
      <c r="Q282" s="29"/>
      <c r="R282" s="30" t="str">
        <f>IF($V282=$R$1,MAX($R$3:R281)+1,"")</f>
        <v/>
      </c>
      <c r="S282" s="24">
        <v>280</v>
      </c>
      <c r="T282" s="39" t="s">
        <v>643</v>
      </c>
      <c r="U282" s="25" t="s">
        <v>644</v>
      </c>
      <c r="V282" s="25" t="s">
        <v>190</v>
      </c>
      <c r="W282" s="24">
        <v>1983</v>
      </c>
      <c r="X282" s="24" t="s">
        <v>73</v>
      </c>
      <c r="Y282" s="26">
        <v>43302</v>
      </c>
      <c r="Z282" s="26">
        <v>43371</v>
      </c>
      <c r="AA282" s="26">
        <v>43942</v>
      </c>
      <c r="AB282" s="27"/>
      <c r="AC282" s="28"/>
      <c r="AD282" s="26"/>
      <c r="AE282" s="28"/>
      <c r="AF282" s="26"/>
      <c r="AG282" s="26"/>
      <c r="AH282" s="26"/>
      <c r="AI282" s="27">
        <f>COUNTIF(DangKyThamGapThuongXuyen!$L$4:$L$5261,DaTa!$T282)</f>
        <v>0</v>
      </c>
    </row>
    <row r="283" spans="17:35" ht="15" x14ac:dyDescent="0.2">
      <c r="Q283" s="29"/>
      <c r="R283" s="30" t="str">
        <f>IF($V283=$R$1,MAX($R$3:R282)+1,"")</f>
        <v/>
      </c>
      <c r="S283" s="24">
        <v>281</v>
      </c>
      <c r="T283" s="39" t="s">
        <v>645</v>
      </c>
      <c r="U283" s="25" t="s">
        <v>646</v>
      </c>
      <c r="V283" s="25" t="s">
        <v>20</v>
      </c>
      <c r="W283" s="24">
        <v>1980</v>
      </c>
      <c r="X283" s="24" t="s">
        <v>73</v>
      </c>
      <c r="Y283" s="26">
        <v>43284</v>
      </c>
      <c r="Z283" s="26">
        <v>43371</v>
      </c>
      <c r="AA283" s="26">
        <v>43924</v>
      </c>
      <c r="AB283" s="27"/>
      <c r="AC283" s="28"/>
      <c r="AD283" s="26"/>
      <c r="AE283" s="28"/>
      <c r="AF283" s="26"/>
      <c r="AG283" s="26"/>
      <c r="AH283" s="26"/>
      <c r="AI283" s="27">
        <f>COUNTIF(DangKyThamGapThuongXuyen!$L$4:$L$5261,DaTa!$T283)</f>
        <v>0</v>
      </c>
    </row>
    <row r="284" spans="17:35" ht="15" x14ac:dyDescent="0.2">
      <c r="Q284" s="29"/>
      <c r="R284" s="30" t="str">
        <f>IF($V284=$R$1,MAX($R$3:R283)+1,"")</f>
        <v/>
      </c>
      <c r="S284" s="24">
        <v>282</v>
      </c>
      <c r="T284" s="39" t="s">
        <v>647</v>
      </c>
      <c r="U284" s="25" t="s">
        <v>648</v>
      </c>
      <c r="V284" s="25" t="s">
        <v>236</v>
      </c>
      <c r="W284" s="24">
        <v>1967</v>
      </c>
      <c r="X284" s="24" t="s">
        <v>73</v>
      </c>
      <c r="Y284" s="26">
        <v>43310</v>
      </c>
      <c r="Z284" s="26">
        <v>43371</v>
      </c>
      <c r="AA284" s="26">
        <v>43950</v>
      </c>
      <c r="AB284" s="27"/>
      <c r="AC284" s="28"/>
      <c r="AD284" s="26"/>
      <c r="AE284" s="28"/>
      <c r="AF284" s="26"/>
      <c r="AG284" s="26"/>
      <c r="AH284" s="26"/>
      <c r="AI284" s="27">
        <f>COUNTIF(DangKyThamGapThuongXuyen!$L$4:$L$5261,DaTa!$T284)</f>
        <v>2</v>
      </c>
    </row>
    <row r="285" spans="17:35" ht="15" x14ac:dyDescent="0.2">
      <c r="Q285" s="29"/>
      <c r="R285" s="30" t="str">
        <f>IF($V285=$R$1,MAX($R$3:R284)+1,"")</f>
        <v/>
      </c>
      <c r="S285" s="24">
        <v>283</v>
      </c>
      <c r="T285" s="39" t="s">
        <v>649</v>
      </c>
      <c r="U285" s="25" t="s">
        <v>650</v>
      </c>
      <c r="V285" s="25" t="s">
        <v>651</v>
      </c>
      <c r="W285" s="24">
        <v>1977</v>
      </c>
      <c r="X285" s="24" t="s">
        <v>73</v>
      </c>
      <c r="Y285" s="26">
        <v>43292</v>
      </c>
      <c r="Z285" s="26">
        <v>43376</v>
      </c>
      <c r="AA285" s="26">
        <v>43841</v>
      </c>
      <c r="AB285" s="27"/>
      <c r="AC285" s="28"/>
      <c r="AD285" s="26"/>
      <c r="AE285" s="28"/>
      <c r="AF285" s="26"/>
      <c r="AG285" s="26"/>
      <c r="AH285" s="26"/>
      <c r="AI285" s="27">
        <f>COUNTIF(DangKyThamGapThuongXuyen!$L$4:$L$5261,DaTa!$T285)</f>
        <v>0</v>
      </c>
    </row>
    <row r="286" spans="17:35" ht="15" x14ac:dyDescent="0.2">
      <c r="Q286" s="29"/>
      <c r="R286" s="23" t="str">
        <f>IF($V286=$R$1,MAX($R$3:R285)+1,"")</f>
        <v/>
      </c>
      <c r="S286" s="24">
        <v>284</v>
      </c>
      <c r="T286" s="39" t="s">
        <v>652</v>
      </c>
      <c r="U286" s="25" t="s">
        <v>63</v>
      </c>
      <c r="V286" s="25" t="s">
        <v>653</v>
      </c>
      <c r="W286" s="24">
        <v>1976</v>
      </c>
      <c r="X286" s="24" t="s">
        <v>73</v>
      </c>
      <c r="Y286" s="26" t="s">
        <v>654</v>
      </c>
      <c r="Z286" s="26">
        <v>43376</v>
      </c>
      <c r="AA286" s="26">
        <v>43928</v>
      </c>
      <c r="AB286" s="27"/>
      <c r="AC286" s="28"/>
      <c r="AD286" s="26"/>
      <c r="AE286" s="28"/>
      <c r="AF286" s="26"/>
      <c r="AG286" s="26"/>
      <c r="AH286" s="26"/>
      <c r="AI286" s="27">
        <f>COUNTIF(DangKyThamGapThuongXuyen!$L$4:$L$5261,DaTa!$T286)</f>
        <v>1</v>
      </c>
    </row>
    <row r="287" spans="17:35" ht="15" x14ac:dyDescent="0.2">
      <c r="Q287" s="29"/>
      <c r="R287" s="30" t="str">
        <f>IF($V287=$R$1,MAX($R$3:R286)+1,"")</f>
        <v/>
      </c>
      <c r="S287" s="24">
        <v>285</v>
      </c>
      <c r="T287" s="39" t="s">
        <v>655</v>
      </c>
      <c r="U287" s="25" t="s">
        <v>117</v>
      </c>
      <c r="V287" s="25" t="s">
        <v>32</v>
      </c>
      <c r="W287" s="24">
        <v>1987</v>
      </c>
      <c r="X287" s="24" t="s">
        <v>73</v>
      </c>
      <c r="Y287" s="26" t="s">
        <v>656</v>
      </c>
      <c r="Z287" s="26">
        <v>43377</v>
      </c>
      <c r="AA287" s="26">
        <v>43848</v>
      </c>
      <c r="AB287" s="27"/>
      <c r="AC287" s="28" t="s">
        <v>61</v>
      </c>
      <c r="AD287" s="26">
        <v>43488</v>
      </c>
      <c r="AE287" s="28"/>
      <c r="AF287" s="26"/>
      <c r="AG287" s="26"/>
      <c r="AH287" s="26"/>
      <c r="AI287" s="27">
        <f>COUNTIF(DangKyThamGapThuongXuyen!$L$4:$L$5261,DaTa!$T287)</f>
        <v>0</v>
      </c>
    </row>
    <row r="288" spans="17:35" ht="15" x14ac:dyDescent="0.2">
      <c r="Q288" s="29"/>
      <c r="R288" s="30" t="str">
        <f>IF($V288=$R$1,MAX($R$3:R287)+1,"")</f>
        <v/>
      </c>
      <c r="S288" s="24">
        <v>286</v>
      </c>
      <c r="T288" s="39" t="s">
        <v>657</v>
      </c>
      <c r="U288" s="25" t="s">
        <v>658</v>
      </c>
      <c r="V288" s="25" t="s">
        <v>120</v>
      </c>
      <c r="W288" s="24">
        <v>1984</v>
      </c>
      <c r="X288" s="24" t="s">
        <v>73</v>
      </c>
      <c r="Y288" s="26" t="s">
        <v>480</v>
      </c>
      <c r="Z288" s="26">
        <v>43377</v>
      </c>
      <c r="AA288" s="44">
        <v>43842</v>
      </c>
      <c r="AB288" s="27"/>
      <c r="AC288" s="28"/>
      <c r="AD288" s="26"/>
      <c r="AE288" s="28"/>
      <c r="AF288" s="26"/>
      <c r="AG288" s="26"/>
      <c r="AH288" s="26"/>
      <c r="AI288" s="27">
        <f>COUNTIF(DangKyThamGapThuongXuyen!$L$4:$L$5261,DaTa!$T288)</f>
        <v>2</v>
      </c>
    </row>
    <row r="289" spans="17:35" ht="15" x14ac:dyDescent="0.2">
      <c r="Q289" s="29"/>
      <c r="R289" s="30" t="str">
        <f>IF($V289=$R$1,MAX($R$3:R288)+1,"")</f>
        <v/>
      </c>
      <c r="S289" s="24">
        <v>287</v>
      </c>
      <c r="T289" s="39" t="s">
        <v>659</v>
      </c>
      <c r="U289" s="25" t="s">
        <v>485</v>
      </c>
      <c r="V289" s="25" t="s">
        <v>120</v>
      </c>
      <c r="W289" s="24">
        <v>1973</v>
      </c>
      <c r="X289" s="24" t="s">
        <v>21</v>
      </c>
      <c r="Y289" s="46" t="s">
        <v>660</v>
      </c>
      <c r="Z289" s="26">
        <v>43377</v>
      </c>
      <c r="AA289" s="47">
        <v>43854</v>
      </c>
      <c r="AB289" s="27"/>
      <c r="AC289" s="53"/>
      <c r="AD289" s="26"/>
      <c r="AE289" s="53"/>
      <c r="AF289" s="26"/>
      <c r="AG289" s="26"/>
      <c r="AH289" s="26"/>
      <c r="AI289" s="27">
        <f>COUNTIF(DangKyThamGapThuongXuyen!$L$4:$L$5261,DaTa!$T289)</f>
        <v>0</v>
      </c>
    </row>
    <row r="290" spans="17:35" ht="15" x14ac:dyDescent="0.2">
      <c r="Q290" s="29"/>
      <c r="R290" s="30" t="str">
        <f>IF($V290=$R$1,MAX($R$3:R289)+1,"")</f>
        <v/>
      </c>
      <c r="S290" s="24">
        <v>288</v>
      </c>
      <c r="T290" s="39" t="s">
        <v>661</v>
      </c>
      <c r="U290" s="25" t="s">
        <v>662</v>
      </c>
      <c r="V290" s="25" t="s">
        <v>76</v>
      </c>
      <c r="W290" s="24">
        <v>1977</v>
      </c>
      <c r="X290" s="24" t="s">
        <v>73</v>
      </c>
      <c r="Y290" s="46" t="s">
        <v>663</v>
      </c>
      <c r="Z290" s="26">
        <v>43377</v>
      </c>
      <c r="AA290" s="47">
        <v>43849</v>
      </c>
      <c r="AB290" s="27"/>
      <c r="AC290" s="28" t="s">
        <v>61</v>
      </c>
      <c r="AD290" s="26">
        <v>43616</v>
      </c>
      <c r="AE290" s="28"/>
      <c r="AF290" s="26"/>
      <c r="AG290" s="26"/>
      <c r="AH290" s="26"/>
      <c r="AI290" s="27">
        <f>COUNTIF(DangKyThamGapThuongXuyen!$L$4:$L$5261,DaTa!$T290)</f>
        <v>0</v>
      </c>
    </row>
    <row r="291" spans="17:35" ht="12.75" x14ac:dyDescent="0.2">
      <c r="Q291" s="29"/>
      <c r="R291" s="30" t="str">
        <f>IF($V291=$R$1,MAX($R$3:R290)+1,"")</f>
        <v/>
      </c>
      <c r="S291" s="24">
        <v>289</v>
      </c>
      <c r="T291" s="39" t="s">
        <v>664</v>
      </c>
      <c r="U291" s="40" t="s">
        <v>665</v>
      </c>
      <c r="V291" s="40" t="s">
        <v>228</v>
      </c>
      <c r="W291" s="41">
        <v>1974</v>
      </c>
      <c r="X291" s="24" t="s">
        <v>73</v>
      </c>
      <c r="Y291" s="42">
        <v>43264</v>
      </c>
      <c r="Z291" s="42">
        <v>43377</v>
      </c>
      <c r="AA291" s="42">
        <v>43812</v>
      </c>
      <c r="AB291" s="27"/>
      <c r="AC291" s="43"/>
      <c r="AD291" s="26"/>
      <c r="AE291" s="43"/>
      <c r="AF291" s="26"/>
      <c r="AG291" s="26"/>
      <c r="AH291" s="26"/>
      <c r="AI291" s="27">
        <f>COUNTIF(DangKyThamGapThuongXuyen!$L$4:$L$5261,DaTa!$T291)</f>
        <v>0</v>
      </c>
    </row>
    <row r="292" spans="17:35" ht="15" x14ac:dyDescent="0.2">
      <c r="Q292" s="29"/>
      <c r="R292" s="30" t="str">
        <f>IF($V292=$R$1,MAX($R$3:R291)+1,"")</f>
        <v/>
      </c>
      <c r="S292" s="24">
        <v>290</v>
      </c>
      <c r="T292" s="39" t="s">
        <v>666</v>
      </c>
      <c r="U292" s="40" t="s">
        <v>667</v>
      </c>
      <c r="V292" s="40" t="s">
        <v>153</v>
      </c>
      <c r="W292" s="41">
        <v>1977</v>
      </c>
      <c r="X292" s="24" t="s">
        <v>73</v>
      </c>
      <c r="Y292" s="42">
        <v>43301</v>
      </c>
      <c r="Z292" s="42">
        <v>43378</v>
      </c>
      <c r="AA292" s="42">
        <v>43850</v>
      </c>
      <c r="AB292" s="27"/>
      <c r="AC292" s="28" t="s">
        <v>668</v>
      </c>
      <c r="AD292" s="26"/>
      <c r="AE292" s="28"/>
      <c r="AF292" s="26"/>
      <c r="AG292" s="26"/>
      <c r="AH292" s="26"/>
      <c r="AI292" s="27">
        <f>COUNTIF(DangKyThamGapThuongXuyen!$L$4:$L$5261,DaTa!$T292)</f>
        <v>0</v>
      </c>
    </row>
    <row r="293" spans="17:35" ht="12.75" x14ac:dyDescent="0.2">
      <c r="Q293" s="29"/>
      <c r="R293" s="30" t="str">
        <f>IF($V293=$R$1,MAX($R$3:R292)+1,"")</f>
        <v/>
      </c>
      <c r="S293" s="24">
        <v>291</v>
      </c>
      <c r="T293" s="39" t="s">
        <v>669</v>
      </c>
      <c r="U293" s="40" t="s">
        <v>576</v>
      </c>
      <c r="V293" s="40" t="s">
        <v>76</v>
      </c>
      <c r="W293" s="41">
        <v>1988</v>
      </c>
      <c r="X293" s="24" t="s">
        <v>73</v>
      </c>
      <c r="Y293" s="42">
        <v>43295</v>
      </c>
      <c r="Z293" s="42">
        <v>43378</v>
      </c>
      <c r="AA293" s="42">
        <v>43844</v>
      </c>
      <c r="AB293" s="27"/>
      <c r="AC293" s="43"/>
      <c r="AD293" s="26"/>
      <c r="AE293" s="43"/>
      <c r="AF293" s="26"/>
      <c r="AG293" s="26"/>
      <c r="AH293" s="26"/>
      <c r="AI293" s="27">
        <f>COUNTIF(DangKyThamGapThuongXuyen!$L$4:$L$5261,DaTa!$T293)</f>
        <v>0</v>
      </c>
    </row>
    <row r="294" spans="17:35" ht="12.75" x14ac:dyDescent="0.2">
      <c r="Q294" s="29"/>
      <c r="R294" s="23" t="str">
        <f>IF($V294=$R$1,MAX($R$3:R293)+1,"")</f>
        <v/>
      </c>
      <c r="S294" s="24">
        <v>292</v>
      </c>
      <c r="T294" s="39" t="s">
        <v>670</v>
      </c>
      <c r="U294" s="40" t="s">
        <v>671</v>
      </c>
      <c r="V294" s="40" t="s">
        <v>376</v>
      </c>
      <c r="W294" s="41">
        <v>1981</v>
      </c>
      <c r="X294" s="24" t="s">
        <v>29</v>
      </c>
      <c r="Y294" s="42">
        <v>43355</v>
      </c>
      <c r="Z294" s="42">
        <v>43383</v>
      </c>
      <c r="AA294" s="42">
        <v>43902</v>
      </c>
      <c r="AB294" s="27"/>
      <c r="AC294" s="43"/>
      <c r="AD294" s="26"/>
      <c r="AE294" s="43"/>
      <c r="AF294" s="26"/>
      <c r="AG294" s="26"/>
      <c r="AH294" s="26"/>
      <c r="AI294" s="27">
        <f>COUNTIF(DangKyThamGapThuongXuyen!$L$4:$L$5261,DaTa!$T294)</f>
        <v>0</v>
      </c>
    </row>
    <row r="295" spans="17:35" ht="15" x14ac:dyDescent="0.2">
      <c r="Q295" s="29"/>
      <c r="R295" s="30" t="str">
        <f>IF($V295=$R$1,MAX($R$3:R294)+1,"")</f>
        <v/>
      </c>
      <c r="S295" s="24">
        <v>293</v>
      </c>
      <c r="T295" s="39" t="s">
        <v>672</v>
      </c>
      <c r="U295" s="25" t="s">
        <v>128</v>
      </c>
      <c r="V295" s="25" t="s">
        <v>79</v>
      </c>
      <c r="W295" s="24">
        <v>1980</v>
      </c>
      <c r="X295" s="24" t="s">
        <v>29</v>
      </c>
      <c r="Y295" s="26">
        <v>43306</v>
      </c>
      <c r="Z295" s="26">
        <v>43389</v>
      </c>
      <c r="AA295" s="26">
        <v>43855</v>
      </c>
      <c r="AB295" s="27"/>
      <c r="AC295" s="28"/>
      <c r="AD295" s="26"/>
      <c r="AE295" s="28"/>
      <c r="AF295" s="26"/>
      <c r="AG295" s="26"/>
      <c r="AH295" s="26"/>
      <c r="AI295" s="27">
        <f>COUNTIF(DangKyThamGapThuongXuyen!$L$4:$L$5261,DaTa!$T295)</f>
        <v>0</v>
      </c>
    </row>
    <row r="296" spans="17:35" ht="15" x14ac:dyDescent="0.2">
      <c r="Q296" s="29"/>
      <c r="R296" s="30" t="str">
        <f>IF($V296=$R$1,MAX($R$3:R295)+1,"")</f>
        <v/>
      </c>
      <c r="S296" s="24">
        <v>294</v>
      </c>
      <c r="T296" s="39" t="s">
        <v>673</v>
      </c>
      <c r="U296" s="25" t="s">
        <v>674</v>
      </c>
      <c r="V296" s="25" t="s">
        <v>653</v>
      </c>
      <c r="W296" s="24">
        <v>1967</v>
      </c>
      <c r="X296" s="24" t="s">
        <v>29</v>
      </c>
      <c r="Y296" s="26">
        <v>43330</v>
      </c>
      <c r="Z296" s="26">
        <v>43389</v>
      </c>
      <c r="AA296" s="26">
        <v>43879</v>
      </c>
      <c r="AB296" s="27"/>
      <c r="AC296" s="28"/>
      <c r="AD296" s="26"/>
      <c r="AE296" s="28"/>
      <c r="AF296" s="26"/>
      <c r="AG296" s="26"/>
      <c r="AH296" s="26"/>
      <c r="AI296" s="27">
        <f>COUNTIF(DangKyThamGapThuongXuyen!$L$4:$L$5261,DaTa!$T296)</f>
        <v>0</v>
      </c>
    </row>
    <row r="297" spans="17:35" ht="15" x14ac:dyDescent="0.2">
      <c r="Q297" s="29"/>
      <c r="R297" s="23" t="str">
        <f>IF($V297=$R$1,MAX($R$3:R296)+1,"")</f>
        <v/>
      </c>
      <c r="S297" s="24">
        <v>295</v>
      </c>
      <c r="T297" s="39" t="s">
        <v>675</v>
      </c>
      <c r="U297" s="25" t="s">
        <v>384</v>
      </c>
      <c r="V297" s="25" t="s">
        <v>676</v>
      </c>
      <c r="W297" s="24">
        <v>1983</v>
      </c>
      <c r="X297" s="24" t="s">
        <v>29</v>
      </c>
      <c r="Y297" s="26">
        <v>43318</v>
      </c>
      <c r="Z297" s="26">
        <v>43390</v>
      </c>
      <c r="AA297" s="26">
        <v>43957</v>
      </c>
      <c r="AB297" s="27"/>
      <c r="AC297" s="28"/>
      <c r="AD297" s="26"/>
      <c r="AE297" s="28"/>
      <c r="AF297" s="26"/>
      <c r="AG297" s="26"/>
      <c r="AH297" s="26"/>
      <c r="AI297" s="27">
        <f>COUNTIF(DangKyThamGapThuongXuyen!$L$4:$L$5261,DaTa!$T297)</f>
        <v>0</v>
      </c>
    </row>
    <row r="298" spans="17:35" ht="15" x14ac:dyDescent="0.2">
      <c r="Q298" s="29"/>
      <c r="R298" s="30" t="str">
        <f>IF($V298=$R$1,MAX($R$3:R297)+1,"")</f>
        <v/>
      </c>
      <c r="S298" s="24">
        <v>296</v>
      </c>
      <c r="T298" s="39" t="s">
        <v>677</v>
      </c>
      <c r="U298" s="25" t="s">
        <v>59</v>
      </c>
      <c r="V298" s="25" t="s">
        <v>381</v>
      </c>
      <c r="W298" s="24">
        <v>1974</v>
      </c>
      <c r="X298" s="24" t="s">
        <v>42</v>
      </c>
      <c r="Y298" s="26">
        <v>43320</v>
      </c>
      <c r="Z298" s="26">
        <v>43390</v>
      </c>
      <c r="AA298" s="26">
        <v>43990</v>
      </c>
      <c r="AB298" s="27"/>
      <c r="AC298" s="28" t="s">
        <v>88</v>
      </c>
      <c r="AD298" s="26">
        <v>43638</v>
      </c>
      <c r="AE298" s="28"/>
      <c r="AF298" s="26"/>
      <c r="AG298" s="26"/>
      <c r="AH298" s="26"/>
      <c r="AI298" s="27">
        <f>COUNTIF(DangKyThamGapThuongXuyen!$L$4:$L$5261,DaTa!$T298)</f>
        <v>0</v>
      </c>
    </row>
    <row r="299" spans="17:35" ht="12.75" x14ac:dyDescent="0.2">
      <c r="Q299" s="29"/>
      <c r="R299" s="30" t="str">
        <f>IF($V299=$R$1,MAX($R$3:R298)+1,"")</f>
        <v/>
      </c>
      <c r="S299" s="24">
        <v>297</v>
      </c>
      <c r="T299" s="39" t="s">
        <v>678</v>
      </c>
      <c r="U299" s="40" t="s">
        <v>386</v>
      </c>
      <c r="V299" s="40" t="s">
        <v>679</v>
      </c>
      <c r="W299" s="41">
        <v>1994</v>
      </c>
      <c r="X299" s="24" t="s">
        <v>29</v>
      </c>
      <c r="Y299" s="42">
        <v>43363</v>
      </c>
      <c r="Z299" s="42">
        <v>43330</v>
      </c>
      <c r="AA299" s="42">
        <v>43971</v>
      </c>
      <c r="AB299" s="27"/>
      <c r="AC299" s="43"/>
      <c r="AD299" s="26"/>
      <c r="AE299" s="43"/>
      <c r="AF299" s="26"/>
      <c r="AG299" s="26"/>
      <c r="AH299" s="26"/>
      <c r="AI299" s="27">
        <f>COUNTIF(DangKyThamGapThuongXuyen!$L$4:$L$5261,DaTa!$T299)</f>
        <v>5</v>
      </c>
    </row>
    <row r="300" spans="17:35" ht="15" x14ac:dyDescent="0.2">
      <c r="Q300" s="29"/>
      <c r="R300" s="30" t="str">
        <f>IF($V300=$R$1,MAX($R$3:R299)+1,"")</f>
        <v/>
      </c>
      <c r="S300" s="24">
        <v>298</v>
      </c>
      <c r="T300" s="39" t="s">
        <v>680</v>
      </c>
      <c r="U300" s="25" t="s">
        <v>681</v>
      </c>
      <c r="V300" s="25" t="s">
        <v>550</v>
      </c>
      <c r="W300" s="24">
        <v>1980</v>
      </c>
      <c r="X300" s="24" t="s">
        <v>29</v>
      </c>
      <c r="Y300" s="26">
        <v>43363</v>
      </c>
      <c r="Z300" s="26">
        <v>43330</v>
      </c>
      <c r="AA300" s="26">
        <v>44002</v>
      </c>
      <c r="AB300" s="27"/>
      <c r="AC300" s="28" t="s">
        <v>88</v>
      </c>
      <c r="AD300" s="26">
        <v>43588</v>
      </c>
      <c r="AE300" s="28">
        <v>95</v>
      </c>
      <c r="AF300" s="26">
        <v>43683</v>
      </c>
      <c r="AG300" s="26"/>
      <c r="AH300" s="26"/>
      <c r="AI300" s="27">
        <f>COUNTIF(DangKyThamGapThuongXuyen!$L$4:$L$5261,DaTa!$T300)</f>
        <v>1</v>
      </c>
    </row>
    <row r="301" spans="17:35" ht="15" x14ac:dyDescent="0.2">
      <c r="Q301" s="29"/>
      <c r="R301" s="30" t="str">
        <f>IF($V301=$R$1,MAX($R$3:R300)+1,"")</f>
        <v/>
      </c>
      <c r="S301" s="24">
        <v>299</v>
      </c>
      <c r="T301" s="39" t="s">
        <v>682</v>
      </c>
      <c r="U301" s="25" t="s">
        <v>683</v>
      </c>
      <c r="V301" s="25" t="s">
        <v>87</v>
      </c>
      <c r="W301" s="24">
        <v>1986</v>
      </c>
      <c r="X301" s="24" t="s">
        <v>29</v>
      </c>
      <c r="Y301" s="26">
        <v>43300</v>
      </c>
      <c r="Z301" s="26">
        <v>43392</v>
      </c>
      <c r="AA301" s="26">
        <v>43940</v>
      </c>
      <c r="AB301" s="27"/>
      <c r="AC301" s="28"/>
      <c r="AD301" s="26"/>
      <c r="AE301" s="28"/>
      <c r="AF301" s="26"/>
      <c r="AG301" s="26"/>
      <c r="AH301" s="26"/>
      <c r="AI301" s="27">
        <f>COUNTIF(DangKyThamGapThuongXuyen!$L$4:$L$5261,DaTa!$T301)</f>
        <v>0</v>
      </c>
    </row>
    <row r="302" spans="17:35" ht="15" x14ac:dyDescent="0.2">
      <c r="Q302" s="29"/>
      <c r="R302" s="30" t="str">
        <f>IF($V302=$R$1,MAX($R$3:R301)+1,"")</f>
        <v/>
      </c>
      <c r="S302" s="24">
        <v>300</v>
      </c>
      <c r="T302" s="39" t="s">
        <v>684</v>
      </c>
      <c r="U302" s="25" t="s">
        <v>143</v>
      </c>
      <c r="V302" s="25" t="s">
        <v>685</v>
      </c>
      <c r="W302" s="24">
        <v>1979</v>
      </c>
      <c r="X302" s="24" t="s">
        <v>29</v>
      </c>
      <c r="Y302" s="26">
        <v>43303</v>
      </c>
      <c r="Z302" s="26">
        <v>43397</v>
      </c>
      <c r="AA302" s="26">
        <v>43852</v>
      </c>
      <c r="AB302" s="27"/>
      <c r="AC302" s="28"/>
      <c r="AD302" s="26"/>
      <c r="AE302" s="28"/>
      <c r="AF302" s="26"/>
      <c r="AG302" s="26"/>
      <c r="AH302" s="26"/>
      <c r="AI302" s="27">
        <f>COUNTIF(DangKyThamGapThuongXuyen!$L$4:$L$5261,DaTa!$T302)</f>
        <v>0</v>
      </c>
    </row>
    <row r="303" spans="17:35" ht="15" x14ac:dyDescent="0.2">
      <c r="Q303" s="29"/>
      <c r="R303" s="30" t="str">
        <f>IF($V303=$R$1,MAX($R$3:R302)+1,"")</f>
        <v/>
      </c>
      <c r="S303" s="24">
        <v>301</v>
      </c>
      <c r="T303" s="39" t="s">
        <v>686</v>
      </c>
      <c r="U303" s="25" t="s">
        <v>205</v>
      </c>
      <c r="V303" s="25" t="s">
        <v>687</v>
      </c>
      <c r="W303" s="24">
        <v>1969</v>
      </c>
      <c r="X303" s="24" t="s">
        <v>29</v>
      </c>
      <c r="Y303" s="26">
        <v>43326</v>
      </c>
      <c r="Z303" s="26">
        <v>43397</v>
      </c>
      <c r="AA303" s="26">
        <v>43813</v>
      </c>
      <c r="AB303" s="27"/>
      <c r="AC303" s="28" t="s">
        <v>61</v>
      </c>
      <c r="AD303" s="26">
        <v>43458</v>
      </c>
      <c r="AE303" s="28"/>
      <c r="AF303" s="26"/>
      <c r="AG303" s="26"/>
      <c r="AH303" s="26"/>
      <c r="AI303" s="27">
        <f>COUNTIF(DangKyThamGapThuongXuyen!$L$4:$L$5261,DaTa!$T303)</f>
        <v>0</v>
      </c>
    </row>
    <row r="304" spans="17:35" ht="15" x14ac:dyDescent="0.2">
      <c r="Q304" s="29"/>
      <c r="R304" s="30" t="str">
        <f>IF($V304=$R$1,MAX($R$3:R303)+1,"")</f>
        <v/>
      </c>
      <c r="S304" s="24">
        <v>302</v>
      </c>
      <c r="T304" s="39" t="s">
        <v>688</v>
      </c>
      <c r="U304" s="25" t="s">
        <v>689</v>
      </c>
      <c r="V304" s="25" t="s">
        <v>107</v>
      </c>
      <c r="W304" s="24">
        <v>1979</v>
      </c>
      <c r="X304" s="24" t="s">
        <v>29</v>
      </c>
      <c r="Y304" s="26">
        <v>43314</v>
      </c>
      <c r="Z304" s="26">
        <v>43397</v>
      </c>
      <c r="AA304" s="26">
        <v>43771</v>
      </c>
      <c r="AB304" s="27"/>
      <c r="AC304" s="59"/>
      <c r="AD304" s="26"/>
      <c r="AE304" s="59"/>
      <c r="AF304" s="26"/>
      <c r="AG304" s="26"/>
      <c r="AH304" s="26"/>
      <c r="AI304" s="27">
        <f>COUNTIF(DangKyThamGapThuongXuyen!$L$4:$L$5261,DaTa!$T304)</f>
        <v>2</v>
      </c>
    </row>
    <row r="305" spans="17:35" ht="15" x14ac:dyDescent="0.2">
      <c r="Q305" s="29"/>
      <c r="R305" s="30" t="str">
        <f>IF($V305=$R$1,MAX($R$3:R304)+1,"")</f>
        <v/>
      </c>
      <c r="S305" s="24">
        <v>303</v>
      </c>
      <c r="T305" s="39" t="s">
        <v>690</v>
      </c>
      <c r="U305" s="25" t="s">
        <v>691</v>
      </c>
      <c r="V305" s="25" t="s">
        <v>87</v>
      </c>
      <c r="W305" s="24">
        <v>1981</v>
      </c>
      <c r="X305" s="24" t="s">
        <v>25</v>
      </c>
      <c r="Y305" s="26">
        <v>43310</v>
      </c>
      <c r="Z305" s="26">
        <v>43397</v>
      </c>
      <c r="AA305" s="26">
        <v>43828</v>
      </c>
      <c r="AB305" s="27"/>
      <c r="AC305" s="28"/>
      <c r="AD305" s="26"/>
      <c r="AE305" s="28"/>
      <c r="AF305" s="26"/>
      <c r="AG305" s="26"/>
      <c r="AH305" s="26"/>
      <c r="AI305" s="27">
        <f>COUNTIF(DangKyThamGapThuongXuyen!$L$4:$L$5261,DaTa!$T305)</f>
        <v>0</v>
      </c>
    </row>
    <row r="306" spans="17:35" ht="15" x14ac:dyDescent="0.2">
      <c r="Q306" s="29"/>
      <c r="R306" s="30" t="str">
        <f>IF($V306=$R$1,MAX($R$3:R305)+1,"")</f>
        <v/>
      </c>
      <c r="S306" s="24">
        <v>304</v>
      </c>
      <c r="T306" s="39" t="s">
        <v>692</v>
      </c>
      <c r="U306" s="25" t="s">
        <v>348</v>
      </c>
      <c r="V306" s="25" t="s">
        <v>32</v>
      </c>
      <c r="W306" s="24">
        <v>1979</v>
      </c>
      <c r="X306" s="24" t="s">
        <v>29</v>
      </c>
      <c r="Y306" s="46">
        <v>43312</v>
      </c>
      <c r="Z306" s="45">
        <v>43399</v>
      </c>
      <c r="AA306" s="50">
        <v>43951</v>
      </c>
      <c r="AB306" s="27"/>
      <c r="AC306" s="28"/>
      <c r="AD306" s="26"/>
      <c r="AE306" s="28"/>
      <c r="AF306" s="26"/>
      <c r="AG306" s="26"/>
      <c r="AH306" s="26"/>
      <c r="AI306" s="27">
        <f>COUNTIF(DangKyThamGapThuongXuyen!$L$4:$L$5261,DaTa!$T306)</f>
        <v>0</v>
      </c>
    </row>
    <row r="307" spans="17:35" ht="15" x14ac:dyDescent="0.2">
      <c r="Q307" s="29"/>
      <c r="R307" s="30" t="str">
        <f>IF($V307=$R$1,MAX($R$3:R306)+1,"")</f>
        <v/>
      </c>
      <c r="S307" s="24">
        <v>305</v>
      </c>
      <c r="T307" s="39" t="s">
        <v>693</v>
      </c>
      <c r="U307" s="25" t="s">
        <v>694</v>
      </c>
      <c r="V307" s="25" t="s">
        <v>695</v>
      </c>
      <c r="W307" s="24">
        <v>1986</v>
      </c>
      <c r="X307" s="24" t="s">
        <v>29</v>
      </c>
      <c r="Y307" s="26">
        <v>43303</v>
      </c>
      <c r="Z307" s="26">
        <v>43399</v>
      </c>
      <c r="AA307" s="44">
        <v>43852</v>
      </c>
      <c r="AB307" s="27"/>
      <c r="AC307" s="28"/>
      <c r="AD307" s="26"/>
      <c r="AE307" s="28"/>
      <c r="AF307" s="26"/>
      <c r="AG307" s="26"/>
      <c r="AH307" s="26"/>
      <c r="AI307" s="27">
        <f>COUNTIF(DangKyThamGapThuongXuyen!$L$4:$L$5261,DaTa!$T307)</f>
        <v>0</v>
      </c>
    </row>
    <row r="308" spans="17:35" ht="15" x14ac:dyDescent="0.2">
      <c r="Q308" s="29"/>
      <c r="R308" s="30" t="str">
        <f>IF($V308=$R$1,MAX($R$3:R307)+1,"")</f>
        <v/>
      </c>
      <c r="S308" s="24">
        <v>306</v>
      </c>
      <c r="T308" s="39" t="s">
        <v>696</v>
      </c>
      <c r="U308" s="25" t="s">
        <v>138</v>
      </c>
      <c r="V308" s="25" t="s">
        <v>697</v>
      </c>
      <c r="W308" s="24">
        <v>1982</v>
      </c>
      <c r="X308" s="24" t="s">
        <v>29</v>
      </c>
      <c r="Y308" s="46">
        <v>43319</v>
      </c>
      <c r="Z308" s="26">
        <v>43403</v>
      </c>
      <c r="AA308" s="47">
        <v>43776</v>
      </c>
      <c r="AB308" s="27"/>
      <c r="AC308" s="28"/>
      <c r="AD308" s="26"/>
      <c r="AE308" s="28"/>
      <c r="AF308" s="26"/>
      <c r="AG308" s="26"/>
      <c r="AH308" s="26"/>
      <c r="AI308" s="27">
        <f>COUNTIF(DangKyThamGapThuongXuyen!$L$4:$L$5261,DaTa!$T308)</f>
        <v>0</v>
      </c>
    </row>
    <row r="309" spans="17:35" ht="15" x14ac:dyDescent="0.2">
      <c r="Q309" s="29"/>
      <c r="R309" s="30" t="str">
        <f>IF($V309=$R$1,MAX($R$3:R308)+1,"")</f>
        <v/>
      </c>
      <c r="S309" s="24">
        <v>307</v>
      </c>
      <c r="T309" s="39" t="s">
        <v>698</v>
      </c>
      <c r="U309" s="25" t="s">
        <v>699</v>
      </c>
      <c r="V309" s="25" t="s">
        <v>93</v>
      </c>
      <c r="W309" s="24">
        <v>1987</v>
      </c>
      <c r="X309" s="24" t="s">
        <v>29</v>
      </c>
      <c r="Y309" s="46">
        <v>43327</v>
      </c>
      <c r="Z309" s="26">
        <v>43404</v>
      </c>
      <c r="AA309" s="47">
        <v>43966</v>
      </c>
      <c r="AB309" s="27"/>
      <c r="AC309" s="28"/>
      <c r="AD309" s="26"/>
      <c r="AE309" s="28"/>
      <c r="AF309" s="26"/>
      <c r="AG309" s="26"/>
      <c r="AH309" s="26"/>
      <c r="AI309" s="27">
        <f>COUNTIF(DangKyThamGapThuongXuyen!$L$4:$L$5261,DaTa!$T309)</f>
        <v>0</v>
      </c>
    </row>
    <row r="310" spans="17:35" ht="15" x14ac:dyDescent="0.2">
      <c r="Q310" s="29"/>
      <c r="R310" s="30" t="str">
        <f>IF($V310=$R$1,MAX($R$3:R309)+1,"")</f>
        <v/>
      </c>
      <c r="S310" s="24">
        <v>308</v>
      </c>
      <c r="T310" s="39" t="s">
        <v>700</v>
      </c>
      <c r="U310" s="25" t="s">
        <v>701</v>
      </c>
      <c r="V310" s="25" t="s">
        <v>239</v>
      </c>
      <c r="W310" s="24">
        <v>1991</v>
      </c>
      <c r="X310" s="24" t="s">
        <v>29</v>
      </c>
      <c r="Y310" s="26">
        <v>43334</v>
      </c>
      <c r="Z310" s="26">
        <v>43404</v>
      </c>
      <c r="AA310" s="26">
        <v>43973</v>
      </c>
      <c r="AB310" s="27"/>
      <c r="AC310" s="28"/>
      <c r="AD310" s="26"/>
      <c r="AE310" s="28"/>
      <c r="AF310" s="26"/>
      <c r="AG310" s="26"/>
      <c r="AH310" s="26"/>
      <c r="AI310" s="27">
        <f>COUNTIF(DangKyThamGapThuongXuyen!$L$4:$L$5261,DaTa!$T310)</f>
        <v>0</v>
      </c>
    </row>
    <row r="311" spans="17:35" ht="12.75" x14ac:dyDescent="0.2">
      <c r="Q311" s="29"/>
      <c r="R311" s="30" t="str">
        <f>IF($V311=$R$1,MAX($R$3:R310)+1,"")</f>
        <v/>
      </c>
      <c r="S311" s="24">
        <v>309</v>
      </c>
      <c r="T311" s="39" t="s">
        <v>702</v>
      </c>
      <c r="U311" s="40" t="s">
        <v>703</v>
      </c>
      <c r="V311" s="40" t="s">
        <v>381</v>
      </c>
      <c r="W311" s="41">
        <v>1979</v>
      </c>
      <c r="X311" s="24" t="s">
        <v>29</v>
      </c>
      <c r="Y311" s="42">
        <v>43326</v>
      </c>
      <c r="Z311" s="42">
        <v>43405</v>
      </c>
      <c r="AA311" s="42">
        <v>43875</v>
      </c>
      <c r="AB311" s="27"/>
      <c r="AC311" s="43"/>
      <c r="AD311" s="26"/>
      <c r="AE311" s="43"/>
      <c r="AF311" s="26"/>
      <c r="AG311" s="26"/>
      <c r="AH311" s="26"/>
      <c r="AI311" s="27">
        <f>COUNTIF(DangKyThamGapThuongXuyen!$L$4:$L$5261,DaTa!$T311)</f>
        <v>0</v>
      </c>
    </row>
    <row r="312" spans="17:35" ht="12.75" x14ac:dyDescent="0.2">
      <c r="Q312" s="29"/>
      <c r="R312" s="30" t="str">
        <f>IF($V312=$R$1,MAX($R$3:R311)+1,"")</f>
        <v/>
      </c>
      <c r="S312" s="24">
        <v>310</v>
      </c>
      <c r="T312" s="39" t="s">
        <v>704</v>
      </c>
      <c r="U312" s="40" t="s">
        <v>705</v>
      </c>
      <c r="V312" s="40" t="s">
        <v>345</v>
      </c>
      <c r="W312" s="41">
        <v>1970</v>
      </c>
      <c r="X312" s="24" t="s">
        <v>29</v>
      </c>
      <c r="Y312" s="42">
        <v>43330</v>
      </c>
      <c r="Z312" s="42">
        <v>43405</v>
      </c>
      <c r="AA312" s="42">
        <v>44000</v>
      </c>
      <c r="AB312" s="27"/>
      <c r="AC312" s="43"/>
      <c r="AD312" s="26"/>
      <c r="AE312" s="43"/>
      <c r="AF312" s="26"/>
      <c r="AG312" s="26"/>
      <c r="AH312" s="26"/>
      <c r="AI312" s="27">
        <f>COUNTIF(DangKyThamGapThuongXuyen!$L$4:$L$5261,DaTa!$T312)</f>
        <v>2</v>
      </c>
    </row>
    <row r="313" spans="17:35" ht="15" x14ac:dyDescent="0.2">
      <c r="Q313" s="29"/>
      <c r="R313" s="30" t="str">
        <f>IF($V313=$R$1,MAX($R$3:R312)+1,"")</f>
        <v/>
      </c>
      <c r="S313" s="24">
        <v>311</v>
      </c>
      <c r="T313" s="39" t="s">
        <v>706</v>
      </c>
      <c r="U313" s="54" t="s">
        <v>707</v>
      </c>
      <c r="V313" s="54" t="s">
        <v>274</v>
      </c>
      <c r="W313" s="55">
        <v>1992</v>
      </c>
      <c r="X313" s="24" t="s">
        <v>42</v>
      </c>
      <c r="Y313" s="46">
        <v>43314</v>
      </c>
      <c r="Z313" s="46">
        <v>43406</v>
      </c>
      <c r="AA313" s="46">
        <v>43863</v>
      </c>
      <c r="AB313" s="27"/>
      <c r="AC313" s="28"/>
      <c r="AD313" s="26"/>
      <c r="AE313" s="28"/>
      <c r="AF313" s="26"/>
      <c r="AG313" s="26"/>
      <c r="AH313" s="26"/>
      <c r="AI313" s="27">
        <f>COUNTIF(DangKyThamGapThuongXuyen!$L$4:$L$5261,DaTa!$T313)</f>
        <v>0</v>
      </c>
    </row>
    <row r="314" spans="17:35" ht="12.75" x14ac:dyDescent="0.2">
      <c r="Q314" s="29"/>
      <c r="R314" s="30" t="str">
        <f>IF($V314=$R$1,MAX($R$3:R313)+1,"")</f>
        <v/>
      </c>
      <c r="S314" s="24">
        <v>312</v>
      </c>
      <c r="T314" s="39" t="s">
        <v>708</v>
      </c>
      <c r="U314" s="40" t="s">
        <v>709</v>
      </c>
      <c r="V314" s="40" t="s">
        <v>710</v>
      </c>
      <c r="W314" s="41">
        <v>1987</v>
      </c>
      <c r="X314" s="24" t="s">
        <v>25</v>
      </c>
      <c r="Y314" s="42">
        <v>43334</v>
      </c>
      <c r="Z314" s="42">
        <v>43410</v>
      </c>
      <c r="AA314" s="42">
        <v>44065</v>
      </c>
      <c r="AB314" s="27"/>
      <c r="AC314" s="43"/>
      <c r="AD314" s="26"/>
      <c r="AE314" s="43"/>
      <c r="AF314" s="26"/>
      <c r="AG314" s="26"/>
      <c r="AH314" s="26"/>
      <c r="AI314" s="27">
        <f>COUNTIF(DangKyThamGapThuongXuyen!$L$4:$L$5261,DaTa!$T314)</f>
        <v>3</v>
      </c>
    </row>
    <row r="315" spans="17:35" ht="15" x14ac:dyDescent="0.2">
      <c r="Q315" s="29"/>
      <c r="R315" s="30" t="str">
        <f>IF($V315=$R$1,MAX($R$3:R314)+1,"")</f>
        <v/>
      </c>
      <c r="S315" s="24">
        <v>313</v>
      </c>
      <c r="T315" s="39" t="s">
        <v>711</v>
      </c>
      <c r="U315" s="25" t="s">
        <v>712</v>
      </c>
      <c r="V315" s="25" t="s">
        <v>222</v>
      </c>
      <c r="W315" s="24">
        <v>1984</v>
      </c>
      <c r="X315" s="24" t="s">
        <v>25</v>
      </c>
      <c r="Y315" s="26">
        <v>43320</v>
      </c>
      <c r="Z315" s="26">
        <v>43410</v>
      </c>
      <c r="AA315" s="26">
        <v>43777</v>
      </c>
      <c r="AB315" s="27"/>
      <c r="AC315" s="28"/>
      <c r="AD315" s="26"/>
      <c r="AE315" s="28"/>
      <c r="AF315" s="26"/>
      <c r="AG315" s="26"/>
      <c r="AH315" s="26"/>
      <c r="AI315" s="27">
        <f>COUNTIF(DangKyThamGapThuongXuyen!$L$4:$L$5261,DaTa!$T315)</f>
        <v>2</v>
      </c>
    </row>
    <row r="316" spans="17:35" ht="15" x14ac:dyDescent="0.2">
      <c r="Q316" s="29"/>
      <c r="R316" s="30" t="str">
        <f>IF($V316=$R$1,MAX($R$3:R315)+1,"")</f>
        <v/>
      </c>
      <c r="S316" s="24">
        <v>314</v>
      </c>
      <c r="T316" s="39" t="s">
        <v>713</v>
      </c>
      <c r="U316" s="25" t="s">
        <v>310</v>
      </c>
      <c r="V316" s="25" t="s">
        <v>87</v>
      </c>
      <c r="W316" s="24">
        <v>1978</v>
      </c>
      <c r="X316" s="24" t="s">
        <v>25</v>
      </c>
      <c r="Y316" s="26">
        <v>43344</v>
      </c>
      <c r="Z316" s="26">
        <v>43410</v>
      </c>
      <c r="AA316" s="26">
        <v>43800</v>
      </c>
      <c r="AB316" s="27"/>
      <c r="AC316" s="28"/>
      <c r="AD316" s="26"/>
      <c r="AE316" s="28"/>
      <c r="AF316" s="26"/>
      <c r="AG316" s="26"/>
      <c r="AH316" s="26"/>
      <c r="AI316" s="27">
        <f>COUNTIF(DangKyThamGapThuongXuyen!$L$4:$L$5261,DaTa!$T316)</f>
        <v>0</v>
      </c>
    </row>
    <row r="317" spans="17:35" ht="15" x14ac:dyDescent="0.2">
      <c r="Q317" s="29"/>
      <c r="R317" s="30" t="str">
        <f>IF($V317=$R$1,MAX($R$3:R316)+1,"")</f>
        <v/>
      </c>
      <c r="S317" s="24">
        <v>315</v>
      </c>
      <c r="T317" s="39" t="s">
        <v>714</v>
      </c>
      <c r="U317" s="25" t="s">
        <v>715</v>
      </c>
      <c r="V317" s="25" t="s">
        <v>228</v>
      </c>
      <c r="W317" s="24">
        <v>1981</v>
      </c>
      <c r="X317" s="24" t="s">
        <v>25</v>
      </c>
      <c r="Y317" s="26">
        <v>43313</v>
      </c>
      <c r="Z317" s="26">
        <v>43410</v>
      </c>
      <c r="AA317" s="26">
        <v>43952</v>
      </c>
      <c r="AB317" s="27"/>
      <c r="AC317" s="28"/>
      <c r="AD317" s="26"/>
      <c r="AE317" s="28"/>
      <c r="AF317" s="26"/>
      <c r="AG317" s="26"/>
      <c r="AH317" s="26"/>
      <c r="AI317" s="27">
        <f>COUNTIF(DangKyThamGapThuongXuyen!$L$4:$L$5261,DaTa!$T317)</f>
        <v>0</v>
      </c>
    </row>
    <row r="318" spans="17:35" ht="15" x14ac:dyDescent="0.2">
      <c r="Q318" s="29"/>
      <c r="R318" s="30" t="str">
        <f>IF($V318=$R$1,MAX($R$3:R317)+1,"")</f>
        <v/>
      </c>
      <c r="S318" s="24">
        <v>316</v>
      </c>
      <c r="T318" s="39" t="s">
        <v>716</v>
      </c>
      <c r="U318" s="25" t="s">
        <v>170</v>
      </c>
      <c r="V318" s="25" t="s">
        <v>717</v>
      </c>
      <c r="W318" s="24">
        <v>1982</v>
      </c>
      <c r="X318" s="24" t="s">
        <v>25</v>
      </c>
      <c r="Y318" s="26">
        <v>43313</v>
      </c>
      <c r="Z318" s="26">
        <v>43411</v>
      </c>
      <c r="AA318" s="26">
        <v>43862</v>
      </c>
      <c r="AB318" s="27"/>
      <c r="AC318" s="28" t="s">
        <v>243</v>
      </c>
      <c r="AD318" s="26"/>
      <c r="AE318" s="28"/>
      <c r="AF318" s="26"/>
      <c r="AG318" s="26"/>
      <c r="AH318" s="26"/>
      <c r="AI318" s="27">
        <f>COUNTIF(DangKyThamGapThuongXuyen!$L$4:$L$5261,DaTa!$T318)</f>
        <v>0</v>
      </c>
    </row>
    <row r="319" spans="17:35" ht="15" x14ac:dyDescent="0.2">
      <c r="Q319" s="29"/>
      <c r="R319" s="30" t="str">
        <f>IF($V319=$R$1,MAX($R$3:R318)+1,"")</f>
        <v/>
      </c>
      <c r="S319" s="24">
        <v>317</v>
      </c>
      <c r="T319" s="39" t="s">
        <v>718</v>
      </c>
      <c r="U319" s="40" t="s">
        <v>719</v>
      </c>
      <c r="V319" s="25" t="s">
        <v>242</v>
      </c>
      <c r="W319" s="41">
        <v>1967</v>
      </c>
      <c r="X319" s="24" t="s">
        <v>25</v>
      </c>
      <c r="Y319" s="60">
        <v>43313</v>
      </c>
      <c r="Z319" s="42">
        <v>43411</v>
      </c>
      <c r="AA319" s="42">
        <v>44044</v>
      </c>
      <c r="AB319" s="27"/>
      <c r="AC319" s="28"/>
      <c r="AD319" s="26"/>
      <c r="AE319" s="28"/>
      <c r="AF319" s="26"/>
      <c r="AG319" s="26"/>
      <c r="AH319" s="26"/>
      <c r="AI319" s="27">
        <f>COUNTIF(DangKyThamGapThuongXuyen!$L$4:$L$5261,DaTa!$T319)</f>
        <v>0</v>
      </c>
    </row>
    <row r="320" spans="17:35" ht="15" x14ac:dyDescent="0.2">
      <c r="Q320" s="29"/>
      <c r="R320" s="30" t="str">
        <f>IF($V320=$R$1,MAX($R$3:R319)+1,"")</f>
        <v/>
      </c>
      <c r="S320" s="24">
        <v>318</v>
      </c>
      <c r="T320" s="39" t="s">
        <v>720</v>
      </c>
      <c r="U320" s="54" t="s">
        <v>400</v>
      </c>
      <c r="V320" s="54" t="s">
        <v>93</v>
      </c>
      <c r="W320" s="55">
        <v>1971</v>
      </c>
      <c r="X320" s="24" t="s">
        <v>25</v>
      </c>
      <c r="Y320" s="46">
        <v>43309</v>
      </c>
      <c r="Z320" s="46">
        <v>43411</v>
      </c>
      <c r="AA320" s="46">
        <v>44040</v>
      </c>
      <c r="AB320" s="27"/>
      <c r="AC320" s="28"/>
      <c r="AD320" s="26"/>
      <c r="AE320" s="28"/>
      <c r="AF320" s="26"/>
      <c r="AG320" s="26"/>
      <c r="AH320" s="26"/>
      <c r="AI320" s="27">
        <f>COUNTIF(DangKyThamGapThuongXuyen!$L$4:$L$5261,DaTa!$T320)</f>
        <v>0</v>
      </c>
    </row>
    <row r="321" spans="17:35" ht="12.75" x14ac:dyDescent="0.2">
      <c r="Q321" s="29"/>
      <c r="R321" s="30" t="str">
        <f>IF($V321=$R$1,MAX($R$3:R320)+1,"")</f>
        <v/>
      </c>
      <c r="S321" s="24">
        <v>319</v>
      </c>
      <c r="T321" s="39" t="s">
        <v>721</v>
      </c>
      <c r="U321" s="40" t="s">
        <v>722</v>
      </c>
      <c r="V321" s="40" t="s">
        <v>445</v>
      </c>
      <c r="W321" s="41">
        <v>1977</v>
      </c>
      <c r="X321" s="24" t="s">
        <v>25</v>
      </c>
      <c r="Y321" s="42">
        <v>43334</v>
      </c>
      <c r="Z321" s="42">
        <v>43411</v>
      </c>
      <c r="AA321" s="42">
        <v>43973</v>
      </c>
      <c r="AB321" s="27"/>
      <c r="AC321" s="43"/>
      <c r="AD321" s="26"/>
      <c r="AE321" s="43"/>
      <c r="AF321" s="26"/>
      <c r="AG321" s="26"/>
      <c r="AH321" s="26"/>
      <c r="AI321" s="27">
        <f>COUNTIF(DangKyThamGapThuongXuyen!$L$4:$L$5261,DaTa!$T321)</f>
        <v>5</v>
      </c>
    </row>
    <row r="322" spans="17:35" ht="15" x14ac:dyDescent="0.2">
      <c r="Q322" s="29"/>
      <c r="R322" s="30" t="str">
        <f>IF($V322=$R$1,MAX($R$3:R321)+1,"")</f>
        <v/>
      </c>
      <c r="S322" s="24">
        <v>320</v>
      </c>
      <c r="T322" s="39" t="s">
        <v>723</v>
      </c>
      <c r="U322" s="25" t="s">
        <v>724</v>
      </c>
      <c r="V322" s="25" t="s">
        <v>24</v>
      </c>
      <c r="W322" s="24">
        <v>1983</v>
      </c>
      <c r="X322" s="24" t="s">
        <v>25</v>
      </c>
      <c r="Y322" s="46">
        <v>43318</v>
      </c>
      <c r="Z322" s="26">
        <v>43411</v>
      </c>
      <c r="AA322" s="47">
        <v>43867</v>
      </c>
      <c r="AB322" s="27"/>
      <c r="AC322" s="28"/>
      <c r="AD322" s="26"/>
      <c r="AE322" s="28"/>
      <c r="AF322" s="26"/>
      <c r="AG322" s="26"/>
      <c r="AH322" s="26"/>
      <c r="AI322" s="27">
        <f>COUNTIF(DangKyThamGapThuongXuyen!$L$4:$L$5261,DaTa!$T322)</f>
        <v>3</v>
      </c>
    </row>
    <row r="323" spans="17:35" ht="15" x14ac:dyDescent="0.2">
      <c r="Q323" s="29"/>
      <c r="R323" s="30" t="str">
        <f>IF($V323=$R$1,MAX($R$3:R322)+1,"")</f>
        <v/>
      </c>
      <c r="S323" s="24">
        <v>321</v>
      </c>
      <c r="T323" s="61" t="s">
        <v>725</v>
      </c>
      <c r="U323" s="62" t="s">
        <v>726</v>
      </c>
      <c r="V323" s="62" t="s">
        <v>153</v>
      </c>
      <c r="W323" s="61">
        <v>1980</v>
      </c>
      <c r="X323" s="61" t="s">
        <v>25</v>
      </c>
      <c r="Y323" s="63">
        <v>43345</v>
      </c>
      <c r="Z323" s="64">
        <v>43412</v>
      </c>
      <c r="AA323" s="65">
        <v>43892</v>
      </c>
      <c r="AB323" s="66"/>
      <c r="AC323" s="28"/>
      <c r="AD323" s="26"/>
      <c r="AE323" s="28"/>
      <c r="AF323" s="26"/>
      <c r="AG323" s="26"/>
      <c r="AH323" s="26"/>
      <c r="AI323" s="27">
        <f>COUNTIF(DangKyThamGapThuongXuyen!$L$4:$L$5261,DaTa!$T323)</f>
        <v>0</v>
      </c>
    </row>
    <row r="324" spans="17:35" ht="15" x14ac:dyDescent="0.2">
      <c r="Q324" s="29"/>
      <c r="R324" s="30" t="str">
        <f>IF($V324=$R$1,MAX($R$3:R323)+1,"")</f>
        <v/>
      </c>
      <c r="S324" s="24">
        <v>322</v>
      </c>
      <c r="T324" s="39" t="s">
        <v>727</v>
      </c>
      <c r="U324" s="25" t="s">
        <v>728</v>
      </c>
      <c r="V324" s="25" t="s">
        <v>729</v>
      </c>
      <c r="W324" s="24">
        <v>1985</v>
      </c>
      <c r="X324" s="24" t="s">
        <v>25</v>
      </c>
      <c r="Y324" s="46">
        <v>43293</v>
      </c>
      <c r="Z324" s="26">
        <v>43412</v>
      </c>
      <c r="AA324" s="47">
        <v>43933</v>
      </c>
      <c r="AB324" s="27"/>
      <c r="AC324" s="28"/>
      <c r="AD324" s="26"/>
      <c r="AE324" s="28"/>
      <c r="AF324" s="26"/>
      <c r="AG324" s="26"/>
      <c r="AH324" s="26"/>
      <c r="AI324" s="27">
        <f>COUNTIF(DangKyThamGapThuongXuyen!$L$4:$L$5261,DaTa!$T324)</f>
        <v>2</v>
      </c>
    </row>
    <row r="325" spans="17:35" ht="12.75" x14ac:dyDescent="0.2">
      <c r="Q325" s="29"/>
      <c r="R325" s="30" t="str">
        <f>IF($V325=$R$1,MAX($R$3:R324)+1,"")</f>
        <v/>
      </c>
      <c r="S325" s="24">
        <v>323</v>
      </c>
      <c r="T325" s="39" t="s">
        <v>730</v>
      </c>
      <c r="U325" s="40" t="s">
        <v>731</v>
      </c>
      <c r="V325" s="40" t="s">
        <v>732</v>
      </c>
      <c r="W325" s="41">
        <v>1985</v>
      </c>
      <c r="X325" s="24" t="s">
        <v>29</v>
      </c>
      <c r="Y325" s="42">
        <v>43307</v>
      </c>
      <c r="Z325" s="42">
        <v>43412</v>
      </c>
      <c r="AA325" s="42">
        <v>43856</v>
      </c>
      <c r="AB325" s="27"/>
      <c r="AC325" s="43"/>
      <c r="AD325" s="26"/>
      <c r="AE325" s="43"/>
      <c r="AF325" s="26"/>
      <c r="AG325" s="26"/>
      <c r="AH325" s="26"/>
      <c r="AI325" s="27">
        <f>COUNTIF(DangKyThamGapThuongXuyen!$L$4:$L$5261,DaTa!$T325)</f>
        <v>0</v>
      </c>
    </row>
    <row r="326" spans="17:35" ht="12.75" x14ac:dyDescent="0.2">
      <c r="Q326" s="29"/>
      <c r="R326" s="30" t="str">
        <f>IF($V326=$R$1,MAX($R$3:R325)+1,"")</f>
        <v/>
      </c>
      <c r="S326" s="24">
        <v>324</v>
      </c>
      <c r="T326" s="39" t="s">
        <v>733</v>
      </c>
      <c r="U326" s="40" t="s">
        <v>145</v>
      </c>
      <c r="V326" s="40" t="s">
        <v>381</v>
      </c>
      <c r="W326" s="41">
        <v>1992</v>
      </c>
      <c r="X326" s="24" t="s">
        <v>25</v>
      </c>
      <c r="Y326" s="42">
        <v>43350</v>
      </c>
      <c r="Z326" s="42">
        <v>43418</v>
      </c>
      <c r="AA326" s="42">
        <v>43806</v>
      </c>
      <c r="AB326" s="27"/>
      <c r="AC326" s="43"/>
      <c r="AD326" s="26"/>
      <c r="AE326" s="43"/>
      <c r="AF326" s="26"/>
      <c r="AG326" s="26"/>
      <c r="AH326" s="26"/>
      <c r="AI326" s="27">
        <f>COUNTIF(DangKyThamGapThuongXuyen!$L$4:$L$5261,DaTa!$T326)</f>
        <v>3</v>
      </c>
    </row>
    <row r="327" spans="17:35" ht="15" x14ac:dyDescent="0.2">
      <c r="Q327" s="29"/>
      <c r="R327" s="30" t="str">
        <f>IF($V327=$R$1,MAX($R$3:R326)+1,"")</f>
        <v/>
      </c>
      <c r="S327" s="24">
        <v>325</v>
      </c>
      <c r="T327" s="39" t="s">
        <v>734</v>
      </c>
      <c r="U327" s="25" t="s">
        <v>735</v>
      </c>
      <c r="V327" s="25" t="s">
        <v>24</v>
      </c>
      <c r="W327" s="24">
        <v>1990</v>
      </c>
      <c r="X327" s="24" t="s">
        <v>25</v>
      </c>
      <c r="Y327" s="26">
        <v>43340</v>
      </c>
      <c r="Z327" s="26">
        <v>43418</v>
      </c>
      <c r="AA327" s="26">
        <v>43797</v>
      </c>
      <c r="AB327" s="27"/>
      <c r="AC327" s="28" t="s">
        <v>668</v>
      </c>
      <c r="AD327" s="26"/>
      <c r="AE327" s="28"/>
      <c r="AF327" s="26"/>
      <c r="AG327" s="26"/>
      <c r="AH327" s="26"/>
      <c r="AI327" s="27">
        <f>COUNTIF(DangKyThamGapThuongXuyen!$L$4:$L$5261,DaTa!$T327)</f>
        <v>0</v>
      </c>
    </row>
    <row r="328" spans="17:35" ht="15" x14ac:dyDescent="0.2">
      <c r="Q328" s="29"/>
      <c r="R328" s="30" t="str">
        <f>IF($V328=$R$1,MAX($R$3:R327)+1,"")</f>
        <v/>
      </c>
      <c r="S328" s="24">
        <v>326</v>
      </c>
      <c r="T328" s="39" t="s">
        <v>736</v>
      </c>
      <c r="U328" s="25" t="s">
        <v>737</v>
      </c>
      <c r="V328" s="25" t="s">
        <v>738</v>
      </c>
      <c r="W328" s="24">
        <v>1987</v>
      </c>
      <c r="X328" s="24" t="s">
        <v>25</v>
      </c>
      <c r="Y328" s="26">
        <v>43327</v>
      </c>
      <c r="Z328" s="26">
        <v>43421</v>
      </c>
      <c r="AA328" s="26">
        <v>43966</v>
      </c>
      <c r="AB328" s="27"/>
      <c r="AC328" s="28"/>
      <c r="AD328" s="26"/>
      <c r="AE328" s="28"/>
      <c r="AF328" s="26"/>
      <c r="AG328" s="26"/>
      <c r="AH328" s="26"/>
      <c r="AI328" s="27">
        <f>COUNTIF(DangKyThamGapThuongXuyen!$L$4:$L$5261,DaTa!$T328)</f>
        <v>2</v>
      </c>
    </row>
    <row r="329" spans="17:35" ht="15" x14ac:dyDescent="0.2">
      <c r="Q329" s="29"/>
      <c r="R329" s="30" t="str">
        <f>IF($V329=$R$1,MAX($R$3:R328)+1,"")</f>
        <v/>
      </c>
      <c r="S329" s="24">
        <v>327</v>
      </c>
      <c r="T329" s="39" t="s">
        <v>739</v>
      </c>
      <c r="U329" s="25" t="s">
        <v>740</v>
      </c>
      <c r="V329" s="25" t="s">
        <v>274</v>
      </c>
      <c r="W329" s="24">
        <v>1982</v>
      </c>
      <c r="X329" s="24" t="s">
        <v>25</v>
      </c>
      <c r="Y329" s="26">
        <v>43332</v>
      </c>
      <c r="Z329" s="26">
        <v>43418</v>
      </c>
      <c r="AA329" s="26">
        <v>43881</v>
      </c>
      <c r="AB329" s="27"/>
      <c r="AC329" s="28"/>
      <c r="AD329" s="26"/>
      <c r="AE329" s="28"/>
      <c r="AF329" s="26"/>
      <c r="AG329" s="26"/>
      <c r="AH329" s="26"/>
      <c r="AI329" s="27">
        <f>COUNTIF(DangKyThamGapThuongXuyen!$L$4:$L$5261,DaTa!$T329)</f>
        <v>0</v>
      </c>
    </row>
    <row r="330" spans="17:35" ht="15" x14ac:dyDescent="0.2">
      <c r="Q330" s="29"/>
      <c r="R330" s="30" t="str">
        <f>IF($V330=$R$1,MAX($R$3:R329)+1,"")</f>
        <v/>
      </c>
      <c r="S330" s="24">
        <v>328</v>
      </c>
      <c r="T330" s="39" t="s">
        <v>741</v>
      </c>
      <c r="U330" s="25" t="s">
        <v>63</v>
      </c>
      <c r="V330" s="25" t="s">
        <v>438</v>
      </c>
      <c r="W330" s="24">
        <v>1975</v>
      </c>
      <c r="X330" s="24" t="s">
        <v>25</v>
      </c>
      <c r="Y330" s="26">
        <v>43325</v>
      </c>
      <c r="Z330" s="26">
        <v>43418</v>
      </c>
      <c r="AA330" s="26">
        <v>43874</v>
      </c>
      <c r="AB330" s="27"/>
      <c r="AC330" s="28"/>
      <c r="AD330" s="26"/>
      <c r="AE330" s="28"/>
      <c r="AF330" s="26"/>
      <c r="AG330" s="26"/>
      <c r="AH330" s="26"/>
      <c r="AI330" s="27">
        <f>COUNTIF(DangKyThamGapThuongXuyen!$L$4:$L$5261,DaTa!$T330)</f>
        <v>0</v>
      </c>
    </row>
    <row r="331" spans="17:35" ht="15" x14ac:dyDescent="0.2">
      <c r="Q331" s="29"/>
      <c r="R331" s="30" t="str">
        <f>IF($V331=$R$1,MAX($R$3:R330)+1,"")</f>
        <v/>
      </c>
      <c r="S331" s="24">
        <v>329</v>
      </c>
      <c r="T331" s="39" t="s">
        <v>742</v>
      </c>
      <c r="U331" s="25" t="s">
        <v>743</v>
      </c>
      <c r="V331" s="25" t="s">
        <v>38</v>
      </c>
      <c r="W331" s="24">
        <v>1980</v>
      </c>
      <c r="X331" s="24" t="s">
        <v>73</v>
      </c>
      <c r="Y331" s="26">
        <v>43320</v>
      </c>
      <c r="Z331" s="26">
        <v>43420</v>
      </c>
      <c r="AA331" s="26">
        <v>43869</v>
      </c>
      <c r="AB331" s="24"/>
      <c r="AC331" s="28" t="s">
        <v>88</v>
      </c>
      <c r="AD331" s="26">
        <v>43630</v>
      </c>
      <c r="AE331" s="28">
        <v>35</v>
      </c>
      <c r="AF331" s="26">
        <v>43665</v>
      </c>
      <c r="AG331" s="26"/>
      <c r="AH331" s="26"/>
      <c r="AI331" s="27">
        <f>COUNTIF(DangKyThamGapThuongXuyen!$L$4:$L$5261,DaTa!$T331)</f>
        <v>1</v>
      </c>
    </row>
    <row r="332" spans="17:35" ht="15" x14ac:dyDescent="0.2">
      <c r="Q332" s="29"/>
      <c r="R332" s="30" t="str">
        <f>IF($V332=$R$1,MAX($R$3:R331)+1,"")</f>
        <v/>
      </c>
      <c r="S332" s="24">
        <v>330</v>
      </c>
      <c r="T332" s="39" t="s">
        <v>744</v>
      </c>
      <c r="U332" s="25" t="s">
        <v>128</v>
      </c>
      <c r="V332" s="25" t="s">
        <v>300</v>
      </c>
      <c r="W332" s="24">
        <v>1980</v>
      </c>
      <c r="X332" s="24" t="s">
        <v>25</v>
      </c>
      <c r="Y332" s="26">
        <v>43326</v>
      </c>
      <c r="Z332" s="26">
        <v>43420</v>
      </c>
      <c r="AA332" s="26">
        <v>43965</v>
      </c>
      <c r="AB332" s="27"/>
      <c r="AC332" s="28"/>
      <c r="AD332" s="26"/>
      <c r="AE332" s="28"/>
      <c r="AF332" s="26"/>
      <c r="AG332" s="26"/>
      <c r="AH332" s="26"/>
      <c r="AI332" s="27">
        <f>COUNTIF(DangKyThamGapThuongXuyen!$L$4:$L$5261,DaTa!$T332)</f>
        <v>2</v>
      </c>
    </row>
    <row r="333" spans="17:35" ht="15" x14ac:dyDescent="0.2">
      <c r="Q333" s="29"/>
      <c r="R333" s="30" t="str">
        <f>IF($V333=$R$1,MAX($R$3:R332)+1,"")</f>
        <v/>
      </c>
      <c r="S333" s="24">
        <v>331</v>
      </c>
      <c r="T333" s="39" t="s">
        <v>745</v>
      </c>
      <c r="U333" s="25" t="s">
        <v>746</v>
      </c>
      <c r="V333" s="25" t="s">
        <v>41</v>
      </c>
      <c r="W333" s="24">
        <v>1976</v>
      </c>
      <c r="X333" s="24" t="s">
        <v>25</v>
      </c>
      <c r="Y333" s="26">
        <v>43329</v>
      </c>
      <c r="Z333" s="26">
        <v>43420</v>
      </c>
      <c r="AA333" s="26">
        <v>43938</v>
      </c>
      <c r="AB333" s="27"/>
      <c r="AC333" s="28"/>
      <c r="AD333" s="26"/>
      <c r="AE333" s="28"/>
      <c r="AF333" s="26"/>
      <c r="AG333" s="26"/>
      <c r="AH333" s="26"/>
      <c r="AI333" s="27">
        <f>COUNTIF(DangKyThamGapThuongXuyen!$L$4:$L$5261,DaTa!$T333)</f>
        <v>0</v>
      </c>
    </row>
    <row r="334" spans="17:35" ht="15" x14ac:dyDescent="0.2">
      <c r="Q334" s="29"/>
      <c r="R334" s="30" t="str">
        <f>IF($V334=$R$1,MAX($R$3:R333)+1,"")</f>
        <v/>
      </c>
      <c r="S334" s="24">
        <v>332</v>
      </c>
      <c r="T334" s="39" t="s">
        <v>747</v>
      </c>
      <c r="U334" s="25" t="s">
        <v>141</v>
      </c>
      <c r="V334" s="25" t="s">
        <v>24</v>
      </c>
      <c r="W334" s="24">
        <v>1988</v>
      </c>
      <c r="X334" s="24" t="s">
        <v>25</v>
      </c>
      <c r="Y334" s="26">
        <v>43354</v>
      </c>
      <c r="Z334" s="26">
        <v>43420</v>
      </c>
      <c r="AA334" s="26">
        <v>43993</v>
      </c>
      <c r="AB334" s="27"/>
      <c r="AC334" s="28"/>
      <c r="AD334" s="26"/>
      <c r="AE334" s="28"/>
      <c r="AF334" s="26"/>
      <c r="AG334" s="26"/>
      <c r="AH334" s="26"/>
      <c r="AI334" s="27">
        <f>COUNTIF(DangKyThamGapThuongXuyen!$L$4:$L$5261,DaTa!$T334)</f>
        <v>0</v>
      </c>
    </row>
    <row r="335" spans="17:35" ht="12.75" x14ac:dyDescent="0.2">
      <c r="Q335" s="29"/>
      <c r="R335" s="30" t="str">
        <f>IF($V335=$R$1,MAX($R$3:R334)+1,"")</f>
        <v/>
      </c>
      <c r="S335" s="24">
        <v>333</v>
      </c>
      <c r="T335" s="39" t="s">
        <v>748</v>
      </c>
      <c r="U335" s="40" t="s">
        <v>749</v>
      </c>
      <c r="V335" s="40" t="s">
        <v>41</v>
      </c>
      <c r="W335" s="41">
        <v>1980</v>
      </c>
      <c r="X335" s="24" t="s">
        <v>25</v>
      </c>
      <c r="Y335" s="42">
        <v>43319</v>
      </c>
      <c r="Z335" s="42">
        <v>43420</v>
      </c>
      <c r="AA335" s="42">
        <v>43958</v>
      </c>
      <c r="AB335" s="27"/>
      <c r="AC335" s="43"/>
      <c r="AD335" s="26"/>
      <c r="AE335" s="43"/>
      <c r="AF335" s="26"/>
      <c r="AG335" s="26"/>
      <c r="AH335" s="26"/>
      <c r="AI335" s="27">
        <f>COUNTIF(DangKyThamGapThuongXuyen!$L$4:$L$5261,DaTa!$T335)</f>
        <v>0</v>
      </c>
    </row>
    <row r="336" spans="17:35" ht="12.75" x14ac:dyDescent="0.2">
      <c r="Q336" s="29"/>
      <c r="R336" s="30" t="str">
        <f>IF($V336=$R$1,MAX($R$3:R335)+1,"")</f>
        <v/>
      </c>
      <c r="S336" s="24">
        <v>334</v>
      </c>
      <c r="T336" s="39" t="s">
        <v>750</v>
      </c>
      <c r="U336" s="40" t="s">
        <v>751</v>
      </c>
      <c r="V336" s="40" t="s">
        <v>123</v>
      </c>
      <c r="W336" s="41">
        <v>1993</v>
      </c>
      <c r="X336" s="24" t="s">
        <v>25</v>
      </c>
      <c r="Y336" s="42">
        <v>43319</v>
      </c>
      <c r="Z336" s="42">
        <v>43420</v>
      </c>
      <c r="AA336" s="42">
        <v>44050</v>
      </c>
      <c r="AB336" s="27"/>
      <c r="AC336" s="43"/>
      <c r="AD336" s="26"/>
      <c r="AE336" s="43"/>
      <c r="AF336" s="26"/>
      <c r="AG336" s="26"/>
      <c r="AH336" s="26"/>
      <c r="AI336" s="27">
        <f>COUNTIF(DangKyThamGapThuongXuyen!$L$4:$L$5261,DaTa!$T336)</f>
        <v>1</v>
      </c>
    </row>
    <row r="337" spans="17:35" ht="15" x14ac:dyDescent="0.2">
      <c r="Q337" s="29"/>
      <c r="R337" s="30" t="str">
        <f>IF($V337=$R$1,MAX($R$3:R336)+1,"")</f>
        <v/>
      </c>
      <c r="S337" s="24">
        <v>335</v>
      </c>
      <c r="T337" s="39" t="s">
        <v>752</v>
      </c>
      <c r="U337" s="25" t="s">
        <v>753</v>
      </c>
      <c r="V337" s="25" t="s">
        <v>754</v>
      </c>
      <c r="W337" s="24">
        <v>1983</v>
      </c>
      <c r="X337" s="24" t="s">
        <v>25</v>
      </c>
      <c r="Y337" s="26">
        <v>43324</v>
      </c>
      <c r="Z337" s="26">
        <v>43420</v>
      </c>
      <c r="AA337" s="26">
        <v>43963</v>
      </c>
      <c r="AB337" s="27"/>
      <c r="AC337" s="28"/>
      <c r="AD337" s="26"/>
      <c r="AE337" s="28"/>
      <c r="AF337" s="26"/>
      <c r="AG337" s="26"/>
      <c r="AH337" s="26"/>
      <c r="AI337" s="27">
        <f>COUNTIF(DangKyThamGapThuongXuyen!$L$4:$L$5261,DaTa!$T337)</f>
        <v>0</v>
      </c>
    </row>
    <row r="338" spans="17:35" ht="12.75" x14ac:dyDescent="0.2">
      <c r="Q338" s="29"/>
      <c r="R338" s="30">
        <f>IF($V338=$R$1,MAX($R$3:R337)+1,"")</f>
        <v>4</v>
      </c>
      <c r="S338" s="24">
        <v>336</v>
      </c>
      <c r="T338" s="39" t="s">
        <v>755</v>
      </c>
      <c r="U338" s="40" t="s">
        <v>756</v>
      </c>
      <c r="V338" s="40" t="s">
        <v>257</v>
      </c>
      <c r="W338" s="41">
        <v>1982</v>
      </c>
      <c r="X338" s="24" t="s">
        <v>25</v>
      </c>
      <c r="Y338" s="42">
        <v>43328</v>
      </c>
      <c r="Z338" s="42">
        <v>43420</v>
      </c>
      <c r="AA338" s="42">
        <v>43967</v>
      </c>
      <c r="AB338" s="27"/>
      <c r="AC338" s="43"/>
      <c r="AD338" s="26"/>
      <c r="AE338" s="43"/>
      <c r="AF338" s="26"/>
      <c r="AG338" s="26"/>
      <c r="AH338" s="26"/>
      <c r="AI338" s="27">
        <f>COUNTIF(DangKyThamGapThuongXuyen!$L$4:$L$5261,DaTa!$T338)</f>
        <v>0</v>
      </c>
    </row>
    <row r="339" spans="17:35" ht="15" x14ac:dyDescent="0.2">
      <c r="Q339" s="29"/>
      <c r="R339" s="30" t="str">
        <f>IF($V339=$R$1,MAX($R$3:R338)+1,"")</f>
        <v/>
      </c>
      <c r="S339" s="24">
        <v>337</v>
      </c>
      <c r="T339" s="39" t="s">
        <v>757</v>
      </c>
      <c r="U339" s="25" t="s">
        <v>570</v>
      </c>
      <c r="V339" s="25" t="s">
        <v>313</v>
      </c>
      <c r="W339" s="24">
        <v>1971</v>
      </c>
      <c r="X339" s="24" t="s">
        <v>25</v>
      </c>
      <c r="Y339" s="26">
        <v>43340</v>
      </c>
      <c r="Z339" s="26">
        <v>43420</v>
      </c>
      <c r="AA339" s="26">
        <v>44071</v>
      </c>
      <c r="AB339" s="27"/>
      <c r="AC339" s="28"/>
      <c r="AD339" s="26"/>
      <c r="AE339" s="28"/>
      <c r="AF339" s="26"/>
      <c r="AG339" s="26"/>
      <c r="AH339" s="26"/>
      <c r="AI339" s="27">
        <f>COUNTIF(DangKyThamGapThuongXuyen!$L$4:$L$5261,DaTa!$T339)</f>
        <v>0</v>
      </c>
    </row>
    <row r="340" spans="17:35" ht="15" x14ac:dyDescent="0.2">
      <c r="Q340" s="29"/>
      <c r="R340" s="30" t="str">
        <f>IF($V340=$R$1,MAX($R$3:R339)+1,"")</f>
        <v/>
      </c>
      <c r="S340" s="24">
        <v>338</v>
      </c>
      <c r="T340" s="39" t="s">
        <v>758</v>
      </c>
      <c r="U340" s="25" t="s">
        <v>63</v>
      </c>
      <c r="V340" s="25" t="s">
        <v>759</v>
      </c>
      <c r="W340" s="24">
        <v>1965</v>
      </c>
      <c r="X340" s="24" t="s">
        <v>25</v>
      </c>
      <c r="Y340" s="45">
        <v>43321</v>
      </c>
      <c r="Z340" s="26">
        <v>43420</v>
      </c>
      <c r="AA340" s="26">
        <v>43870</v>
      </c>
      <c r="AB340" s="27"/>
      <c r="AC340" s="28"/>
      <c r="AD340" s="26"/>
      <c r="AE340" s="28"/>
      <c r="AF340" s="26"/>
      <c r="AG340" s="26"/>
      <c r="AH340" s="26"/>
      <c r="AI340" s="27">
        <f>COUNTIF(DangKyThamGapThuongXuyen!$L$4:$L$5261,DaTa!$T340)</f>
        <v>0</v>
      </c>
    </row>
    <row r="341" spans="17:35" ht="15" x14ac:dyDescent="0.2">
      <c r="Q341" s="29"/>
      <c r="R341" s="30" t="str">
        <f>IF($V341=$R$1,MAX($R$3:R340)+1,"")</f>
        <v/>
      </c>
      <c r="S341" s="24">
        <v>339</v>
      </c>
      <c r="T341" s="39" t="s">
        <v>760</v>
      </c>
      <c r="U341" s="25" t="s">
        <v>761</v>
      </c>
      <c r="V341" s="25" t="s">
        <v>762</v>
      </c>
      <c r="W341" s="24">
        <v>1973</v>
      </c>
      <c r="X341" s="24" t="s">
        <v>25</v>
      </c>
      <c r="Y341" s="26">
        <v>43329</v>
      </c>
      <c r="Z341" s="26">
        <v>43420</v>
      </c>
      <c r="AA341" s="26">
        <v>44060</v>
      </c>
      <c r="AB341" s="24"/>
      <c r="AC341" s="28"/>
      <c r="AD341" s="26"/>
      <c r="AE341" s="28"/>
      <c r="AF341" s="26"/>
      <c r="AG341" s="26"/>
      <c r="AH341" s="26"/>
      <c r="AI341" s="27">
        <f>COUNTIF(DangKyThamGapThuongXuyen!$L$4:$L$5261,DaTa!$T341)</f>
        <v>0</v>
      </c>
    </row>
    <row r="342" spans="17:35" ht="15" x14ac:dyDescent="0.2">
      <c r="Q342" s="29"/>
      <c r="R342" s="30" t="str">
        <f>IF($V342=$R$1,MAX($R$3:R341)+1,"")</f>
        <v/>
      </c>
      <c r="S342" s="24">
        <v>340</v>
      </c>
      <c r="T342" s="39" t="s">
        <v>763</v>
      </c>
      <c r="U342" s="25" t="s">
        <v>59</v>
      </c>
      <c r="V342" s="25" t="s">
        <v>300</v>
      </c>
      <c r="W342" s="24">
        <v>1982</v>
      </c>
      <c r="X342" s="24" t="s">
        <v>25</v>
      </c>
      <c r="Y342" s="26">
        <v>43348</v>
      </c>
      <c r="Z342" s="26">
        <v>43420</v>
      </c>
      <c r="AA342" s="26">
        <v>43895</v>
      </c>
      <c r="AB342" s="27"/>
      <c r="AC342" s="28"/>
      <c r="AD342" s="26"/>
      <c r="AE342" s="28"/>
      <c r="AF342" s="26"/>
      <c r="AG342" s="26"/>
      <c r="AH342" s="26"/>
      <c r="AI342" s="27">
        <f>COUNTIF(DangKyThamGapThuongXuyen!$L$4:$L$5261,DaTa!$T342)</f>
        <v>1</v>
      </c>
    </row>
    <row r="343" spans="17:35" ht="15" x14ac:dyDescent="0.2">
      <c r="Q343" s="29"/>
      <c r="R343" s="30" t="str">
        <f>IF($V343=$R$1,MAX($R$3:R342)+1,"")</f>
        <v/>
      </c>
      <c r="S343" s="24">
        <v>341</v>
      </c>
      <c r="T343" s="39" t="s">
        <v>764</v>
      </c>
      <c r="U343" s="25" t="s">
        <v>765</v>
      </c>
      <c r="V343" s="25" t="s">
        <v>766</v>
      </c>
      <c r="W343" s="24">
        <v>1980</v>
      </c>
      <c r="X343" s="24" t="s">
        <v>42</v>
      </c>
      <c r="Y343" s="26">
        <v>43398</v>
      </c>
      <c r="Z343" s="26">
        <v>43425</v>
      </c>
      <c r="AA343" s="26">
        <v>44129</v>
      </c>
      <c r="AB343" s="27"/>
      <c r="AC343" s="28"/>
      <c r="AD343" s="26"/>
      <c r="AE343" s="28"/>
      <c r="AF343" s="26"/>
      <c r="AG343" s="26"/>
      <c r="AH343" s="26"/>
      <c r="AI343" s="27">
        <f>COUNTIF(DangKyThamGapThuongXuyen!$L$4:$L$5261,DaTa!$T343)</f>
        <v>0</v>
      </c>
    </row>
    <row r="344" spans="17:35" ht="15" x14ac:dyDescent="0.2">
      <c r="Q344" s="29"/>
      <c r="R344" s="30" t="str">
        <f>IF($V344=$R$1,MAX($R$3:R343)+1,"")</f>
        <v/>
      </c>
      <c r="S344" s="24">
        <v>342</v>
      </c>
      <c r="T344" s="39" t="s">
        <v>767</v>
      </c>
      <c r="U344" s="25" t="s">
        <v>768</v>
      </c>
      <c r="V344" s="25" t="s">
        <v>161</v>
      </c>
      <c r="W344" s="24">
        <v>1979</v>
      </c>
      <c r="X344" s="24" t="s">
        <v>42</v>
      </c>
      <c r="Y344" s="26">
        <v>43399</v>
      </c>
      <c r="Z344" s="26">
        <v>43425</v>
      </c>
      <c r="AA344" s="26">
        <v>44038</v>
      </c>
      <c r="AB344" s="27"/>
      <c r="AC344" s="28"/>
      <c r="AD344" s="26"/>
      <c r="AE344" s="28"/>
      <c r="AF344" s="26"/>
      <c r="AG344" s="26"/>
      <c r="AH344" s="26"/>
      <c r="AI344" s="27">
        <f>COUNTIF(DangKyThamGapThuongXuyen!$L$4:$L$5261,DaTa!$T344)</f>
        <v>0</v>
      </c>
    </row>
    <row r="345" spans="17:35" ht="15" x14ac:dyDescent="0.2">
      <c r="Q345" s="29"/>
      <c r="R345" s="30" t="str">
        <f>IF($V345=$R$1,MAX($R$3:R344)+1,"")</f>
        <v/>
      </c>
      <c r="S345" s="24">
        <v>343</v>
      </c>
      <c r="T345" s="39" t="s">
        <v>769</v>
      </c>
      <c r="U345" s="40" t="s">
        <v>770</v>
      </c>
      <c r="V345" s="40" t="s">
        <v>771</v>
      </c>
      <c r="W345" s="41">
        <v>1991</v>
      </c>
      <c r="X345" s="24" t="s">
        <v>42</v>
      </c>
      <c r="Y345" s="42">
        <v>43350</v>
      </c>
      <c r="Z345" s="42">
        <v>43425</v>
      </c>
      <c r="AA345" s="42">
        <v>43958</v>
      </c>
      <c r="AB345" s="27"/>
      <c r="AC345" s="28"/>
      <c r="AD345" s="26">
        <v>43546</v>
      </c>
      <c r="AE345" s="28">
        <v>25</v>
      </c>
      <c r="AF345" s="26">
        <v>43571</v>
      </c>
      <c r="AG345" s="26"/>
      <c r="AH345" s="26"/>
      <c r="AI345" s="27">
        <f>COUNTIF(DangKyThamGapThuongXuyen!$L$4:$L$5261,DaTa!$T345)</f>
        <v>0</v>
      </c>
    </row>
    <row r="346" spans="17:35" ht="15" x14ac:dyDescent="0.2">
      <c r="Q346" s="29"/>
      <c r="R346" s="30" t="str">
        <f>IF($V346=$R$1,MAX($R$3:R345)+1,"")</f>
        <v/>
      </c>
      <c r="S346" s="24">
        <v>344</v>
      </c>
      <c r="T346" s="39" t="s">
        <v>772</v>
      </c>
      <c r="U346" s="40" t="s">
        <v>360</v>
      </c>
      <c r="V346" s="48" t="s">
        <v>738</v>
      </c>
      <c r="W346" s="41">
        <v>1978</v>
      </c>
      <c r="X346" s="24" t="s">
        <v>42</v>
      </c>
      <c r="Y346" s="42">
        <v>43312</v>
      </c>
      <c r="Z346" s="42">
        <v>43425</v>
      </c>
      <c r="AA346" s="42">
        <v>43951</v>
      </c>
      <c r="AB346" s="27"/>
      <c r="AC346" s="28"/>
      <c r="AD346" s="26"/>
      <c r="AE346" s="28"/>
      <c r="AF346" s="26"/>
      <c r="AG346" s="26"/>
      <c r="AH346" s="26"/>
      <c r="AI346" s="27">
        <f>COUNTIF(DangKyThamGapThuongXuyen!$L$4:$L$5261,DaTa!$T346)</f>
        <v>1</v>
      </c>
    </row>
    <row r="347" spans="17:35" ht="15" x14ac:dyDescent="0.2">
      <c r="Q347" s="29"/>
      <c r="R347" s="30" t="str">
        <f>IF($V347=$R$1,MAX($R$3:R346)+1,"")</f>
        <v/>
      </c>
      <c r="S347" s="24">
        <v>345</v>
      </c>
      <c r="T347" s="39" t="s">
        <v>773</v>
      </c>
      <c r="U347" s="25" t="s">
        <v>774</v>
      </c>
      <c r="V347" s="25" t="s">
        <v>775</v>
      </c>
      <c r="W347" s="24">
        <v>1971</v>
      </c>
      <c r="X347" s="24" t="s">
        <v>42</v>
      </c>
      <c r="Y347" s="26">
        <v>43337</v>
      </c>
      <c r="Z347" s="26">
        <v>43425</v>
      </c>
      <c r="AA347" s="26">
        <v>43946</v>
      </c>
      <c r="AB347" s="27"/>
      <c r="AC347" s="28"/>
      <c r="AD347" s="26"/>
      <c r="AE347" s="28"/>
      <c r="AF347" s="26"/>
      <c r="AG347" s="26"/>
      <c r="AH347" s="26"/>
      <c r="AI347" s="27">
        <f>COUNTIF(DangKyThamGapThuongXuyen!$L$4:$L$5261,DaTa!$T347)</f>
        <v>0</v>
      </c>
    </row>
    <row r="348" spans="17:35" ht="15" x14ac:dyDescent="0.2">
      <c r="Q348" s="29"/>
      <c r="R348" s="30" t="str">
        <f>IF($V348=$R$1,MAX($R$3:R347)+1,"")</f>
        <v/>
      </c>
      <c r="S348" s="24">
        <v>346</v>
      </c>
      <c r="T348" s="39" t="s">
        <v>776</v>
      </c>
      <c r="U348" s="25" t="s">
        <v>114</v>
      </c>
      <c r="V348" s="25" t="s">
        <v>777</v>
      </c>
      <c r="W348" s="24">
        <v>1987</v>
      </c>
      <c r="X348" s="24" t="s">
        <v>42</v>
      </c>
      <c r="Y348" s="46">
        <v>43341</v>
      </c>
      <c r="Z348" s="26">
        <v>43425</v>
      </c>
      <c r="AA348" s="47">
        <v>43950</v>
      </c>
      <c r="AB348" s="27"/>
      <c r="AC348" s="28"/>
      <c r="AD348" s="26"/>
      <c r="AE348" s="28"/>
      <c r="AF348" s="26"/>
      <c r="AG348" s="26"/>
      <c r="AH348" s="26"/>
      <c r="AI348" s="27">
        <f>COUNTIF(DangKyThamGapThuongXuyen!$L$4:$L$5261,DaTa!$T348)</f>
        <v>0</v>
      </c>
    </row>
    <row r="349" spans="17:35" ht="15" x14ac:dyDescent="0.2">
      <c r="Q349" s="29"/>
      <c r="R349" s="30" t="str">
        <f>IF($V349=$R$1,MAX($R$3:R348)+1,"")</f>
        <v/>
      </c>
      <c r="S349" s="24">
        <v>347</v>
      </c>
      <c r="T349" s="39" t="s">
        <v>778</v>
      </c>
      <c r="U349" s="25" t="s">
        <v>348</v>
      </c>
      <c r="V349" s="25" t="s">
        <v>32</v>
      </c>
      <c r="W349" s="24">
        <v>1971</v>
      </c>
      <c r="X349" s="24" t="s">
        <v>21</v>
      </c>
      <c r="Y349" s="26">
        <v>43342</v>
      </c>
      <c r="Z349" s="26">
        <v>43427</v>
      </c>
      <c r="AA349" s="26">
        <v>44073</v>
      </c>
      <c r="AB349" s="27"/>
      <c r="AC349" s="28"/>
      <c r="AD349" s="26"/>
      <c r="AE349" s="28"/>
      <c r="AF349" s="26"/>
      <c r="AG349" s="26"/>
      <c r="AH349" s="26"/>
      <c r="AI349" s="27">
        <f>COUNTIF(DangKyThamGapThuongXuyen!$L$4:$L$5261,DaTa!$T349)</f>
        <v>0</v>
      </c>
    </row>
    <row r="350" spans="17:35" ht="15" x14ac:dyDescent="0.2">
      <c r="Q350" s="29"/>
      <c r="R350" s="30" t="str">
        <f>IF($V350=$R$1,MAX($R$3:R349)+1,"")</f>
        <v/>
      </c>
      <c r="S350" s="24">
        <v>348</v>
      </c>
      <c r="T350" s="39" t="s">
        <v>779</v>
      </c>
      <c r="U350" s="25" t="s">
        <v>780</v>
      </c>
      <c r="V350" s="25" t="s">
        <v>781</v>
      </c>
      <c r="W350" s="24">
        <v>1980</v>
      </c>
      <c r="X350" s="24" t="s">
        <v>42</v>
      </c>
      <c r="Y350" s="26">
        <v>43338</v>
      </c>
      <c r="Z350" s="26">
        <v>43427</v>
      </c>
      <c r="AA350" s="26">
        <v>43977</v>
      </c>
      <c r="AB350" s="27"/>
      <c r="AC350" s="28"/>
      <c r="AD350" s="26"/>
      <c r="AE350" s="28"/>
      <c r="AF350" s="26"/>
      <c r="AG350" s="26"/>
      <c r="AH350" s="26"/>
      <c r="AI350" s="27">
        <f>COUNTIF(DangKyThamGapThuongXuyen!$L$4:$L$5261,DaTa!$T350)</f>
        <v>0</v>
      </c>
    </row>
    <row r="351" spans="17:35" ht="15" x14ac:dyDescent="0.2">
      <c r="Q351" s="29"/>
      <c r="R351" s="30" t="str">
        <f>IF($V351=$R$1,MAX($R$3:R350)+1,"")</f>
        <v/>
      </c>
      <c r="S351" s="24">
        <v>349</v>
      </c>
      <c r="T351" s="39" t="s">
        <v>782</v>
      </c>
      <c r="U351" s="25" t="s">
        <v>783</v>
      </c>
      <c r="V351" s="25" t="s">
        <v>354</v>
      </c>
      <c r="W351" s="24">
        <v>1980</v>
      </c>
      <c r="X351" s="24" t="s">
        <v>42</v>
      </c>
      <c r="Y351" s="26">
        <v>43346</v>
      </c>
      <c r="Z351" s="26">
        <v>43431</v>
      </c>
      <c r="AA351" s="26">
        <v>44077</v>
      </c>
      <c r="AB351" s="27"/>
      <c r="AC351" s="28"/>
      <c r="AD351" s="26"/>
      <c r="AE351" s="28"/>
      <c r="AF351" s="26"/>
      <c r="AG351" s="26"/>
      <c r="AH351" s="26"/>
      <c r="AI351" s="27">
        <f>COUNTIF(DangKyThamGapThuongXuyen!$L$4:$L$5261,DaTa!$T351)</f>
        <v>0</v>
      </c>
    </row>
    <row r="352" spans="17:35" ht="12.75" x14ac:dyDescent="0.2">
      <c r="Q352" s="29"/>
      <c r="R352" s="30" t="str">
        <f>IF($V352=$R$1,MAX($R$3:R351)+1,"")</f>
        <v/>
      </c>
      <c r="S352" s="24">
        <v>350</v>
      </c>
      <c r="T352" s="39" t="s">
        <v>784</v>
      </c>
      <c r="U352" s="40" t="s">
        <v>785</v>
      </c>
      <c r="V352" s="40" t="s">
        <v>313</v>
      </c>
      <c r="W352" s="41">
        <v>1965</v>
      </c>
      <c r="X352" s="24" t="s">
        <v>42</v>
      </c>
      <c r="Y352" s="42">
        <v>43353</v>
      </c>
      <c r="Z352" s="42">
        <v>43431</v>
      </c>
      <c r="AA352" s="42">
        <v>43900</v>
      </c>
      <c r="AB352" s="27"/>
      <c r="AC352" s="43"/>
      <c r="AD352" s="26"/>
      <c r="AE352" s="43"/>
      <c r="AF352" s="26"/>
      <c r="AG352" s="26"/>
      <c r="AH352" s="26"/>
      <c r="AI352" s="27">
        <f>COUNTIF(DangKyThamGapThuongXuyen!$L$4:$L$5261,DaTa!$T352)</f>
        <v>0</v>
      </c>
    </row>
    <row r="353" spans="17:35" ht="15" x14ac:dyDescent="0.2">
      <c r="Q353" s="29"/>
      <c r="R353" s="30" t="str">
        <f>IF($V353=$R$1,MAX($R$3:R352)+1,"")</f>
        <v/>
      </c>
      <c r="S353" s="24">
        <v>351</v>
      </c>
      <c r="T353" s="39" t="s">
        <v>786</v>
      </c>
      <c r="U353" s="54" t="s">
        <v>787</v>
      </c>
      <c r="V353" s="54" t="s">
        <v>38</v>
      </c>
      <c r="W353" s="55">
        <v>1991</v>
      </c>
      <c r="X353" s="55" t="s">
        <v>42</v>
      </c>
      <c r="Y353" s="46">
        <v>43358</v>
      </c>
      <c r="Z353" s="26">
        <v>43431</v>
      </c>
      <c r="AA353" s="46">
        <v>43905</v>
      </c>
      <c r="AB353" s="27"/>
      <c r="AC353" s="28"/>
      <c r="AD353" s="26"/>
      <c r="AE353" s="28"/>
      <c r="AF353" s="26"/>
      <c r="AG353" s="26"/>
      <c r="AH353" s="26"/>
      <c r="AI353" s="27">
        <f>COUNTIF(DangKyThamGapThuongXuyen!$L$4:$L$5261,DaTa!$T353)</f>
        <v>0</v>
      </c>
    </row>
    <row r="354" spans="17:35" ht="15" x14ac:dyDescent="0.2">
      <c r="Q354" s="29"/>
      <c r="R354" s="30" t="str">
        <f>IF($V354=$R$1,MAX($R$3:R353)+1,"")</f>
        <v/>
      </c>
      <c r="S354" s="24">
        <v>352</v>
      </c>
      <c r="T354" s="39" t="s">
        <v>788</v>
      </c>
      <c r="U354" s="25" t="s">
        <v>780</v>
      </c>
      <c r="V354" s="25" t="s">
        <v>789</v>
      </c>
      <c r="W354" s="24">
        <v>1983</v>
      </c>
      <c r="X354" s="24" t="s">
        <v>42</v>
      </c>
      <c r="Y354" s="26">
        <v>43326</v>
      </c>
      <c r="Z354" s="26">
        <v>43431</v>
      </c>
      <c r="AA354" s="26">
        <v>43965</v>
      </c>
      <c r="AB354" s="27"/>
      <c r="AC354" s="28"/>
      <c r="AD354" s="26"/>
      <c r="AE354" s="28"/>
      <c r="AF354" s="26"/>
      <c r="AG354" s="26"/>
      <c r="AH354" s="26"/>
      <c r="AI354" s="27">
        <f>COUNTIF(DangKyThamGapThuongXuyen!$L$4:$L$5261,DaTa!$T354)</f>
        <v>0</v>
      </c>
    </row>
    <row r="355" spans="17:35" ht="15" x14ac:dyDescent="0.2">
      <c r="Q355" s="29"/>
      <c r="R355" s="30" t="str">
        <f>IF($V355=$R$1,MAX($R$3:R354)+1,"")</f>
        <v/>
      </c>
      <c r="S355" s="24">
        <v>353</v>
      </c>
      <c r="T355" s="39" t="s">
        <v>790</v>
      </c>
      <c r="U355" s="25" t="s">
        <v>791</v>
      </c>
      <c r="V355" s="25" t="s">
        <v>54</v>
      </c>
      <c r="W355" s="24">
        <v>1987</v>
      </c>
      <c r="X355" s="24" t="s">
        <v>42</v>
      </c>
      <c r="Y355" s="26">
        <v>43362</v>
      </c>
      <c r="Z355" s="26">
        <v>43431</v>
      </c>
      <c r="AA355" s="26">
        <v>43727</v>
      </c>
      <c r="AB355" s="27"/>
      <c r="AC355" s="28"/>
      <c r="AD355" s="26"/>
      <c r="AE355" s="28"/>
      <c r="AF355" s="26"/>
      <c r="AG355" s="26"/>
      <c r="AH355" s="26"/>
      <c r="AI355" s="27">
        <f>COUNTIF(DangKyThamGapThuongXuyen!$L$4:$L$5261,DaTa!$T355)</f>
        <v>3</v>
      </c>
    </row>
    <row r="356" spans="17:35" ht="15" x14ac:dyDescent="0.2">
      <c r="Q356" s="29"/>
      <c r="R356" s="30" t="str">
        <f>IF($V356=$R$1,MAX($R$3:R355)+1,"")</f>
        <v/>
      </c>
      <c r="S356" s="24">
        <v>354</v>
      </c>
      <c r="T356" s="39" t="s">
        <v>792</v>
      </c>
      <c r="U356" s="25" t="s">
        <v>793</v>
      </c>
      <c r="V356" s="25" t="s">
        <v>24</v>
      </c>
      <c r="W356" s="24">
        <v>1973</v>
      </c>
      <c r="X356" s="24" t="s">
        <v>42</v>
      </c>
      <c r="Y356" s="26">
        <v>43362</v>
      </c>
      <c r="Z356" s="26">
        <v>43431</v>
      </c>
      <c r="AA356" s="26">
        <v>44093</v>
      </c>
      <c r="AB356" s="27"/>
      <c r="AC356" s="28"/>
      <c r="AD356" s="26"/>
      <c r="AE356" s="28"/>
      <c r="AF356" s="26"/>
      <c r="AG356" s="26"/>
      <c r="AH356" s="26"/>
      <c r="AI356" s="27">
        <f>COUNTIF(DangKyThamGapThuongXuyen!$L$4:$L$5261,DaTa!$T356)</f>
        <v>1</v>
      </c>
    </row>
    <row r="357" spans="17:35" ht="15" x14ac:dyDescent="0.2">
      <c r="Q357" s="29"/>
      <c r="R357" s="30" t="str">
        <f>IF($V357=$R$1,MAX($R$3:R356)+1,"")</f>
        <v/>
      </c>
      <c r="S357" s="24">
        <v>355</v>
      </c>
      <c r="T357" s="39" t="s">
        <v>794</v>
      </c>
      <c r="U357" s="25" t="s">
        <v>795</v>
      </c>
      <c r="V357" s="25" t="s">
        <v>60</v>
      </c>
      <c r="W357" s="24">
        <v>1988</v>
      </c>
      <c r="X357" s="24" t="s">
        <v>42</v>
      </c>
      <c r="Y357" s="26">
        <v>43363</v>
      </c>
      <c r="Z357" s="26">
        <v>43431</v>
      </c>
      <c r="AA357" s="26">
        <v>44094</v>
      </c>
      <c r="AB357" s="27"/>
      <c r="AC357" s="28"/>
      <c r="AD357" s="26"/>
      <c r="AE357" s="28"/>
      <c r="AF357" s="26"/>
      <c r="AG357" s="26"/>
      <c r="AH357" s="26"/>
      <c r="AI357" s="27">
        <f>COUNTIF(DangKyThamGapThuongXuyen!$L$4:$L$5261,DaTa!$T357)</f>
        <v>1</v>
      </c>
    </row>
    <row r="358" spans="17:35" ht="15" x14ac:dyDescent="0.2">
      <c r="Q358" s="29"/>
      <c r="R358" s="30" t="str">
        <f>IF($V358=$R$1,MAX($R$3:R357)+1,"")</f>
        <v/>
      </c>
      <c r="S358" s="24">
        <v>356</v>
      </c>
      <c r="T358" s="39" t="s">
        <v>796</v>
      </c>
      <c r="U358" s="25" t="s">
        <v>797</v>
      </c>
      <c r="V358" s="25" t="s">
        <v>228</v>
      </c>
      <c r="W358" s="24">
        <v>1976</v>
      </c>
      <c r="X358" s="24" t="s">
        <v>42</v>
      </c>
      <c r="Y358" s="26">
        <v>43365</v>
      </c>
      <c r="Z358" s="26">
        <v>43431</v>
      </c>
      <c r="AA358" s="26">
        <v>43912</v>
      </c>
      <c r="AB358" s="27"/>
      <c r="AC358" s="28"/>
      <c r="AD358" s="26"/>
      <c r="AE358" s="28"/>
      <c r="AF358" s="26"/>
      <c r="AG358" s="26"/>
      <c r="AH358" s="26"/>
      <c r="AI358" s="27">
        <f>COUNTIF(DangKyThamGapThuongXuyen!$L$4:$L$5261,DaTa!$T358)</f>
        <v>0</v>
      </c>
    </row>
    <row r="359" spans="17:35" ht="15" x14ac:dyDescent="0.2">
      <c r="Q359" s="29"/>
      <c r="R359" s="30" t="str">
        <f>IF($V359=$R$1,MAX($R$3:R358)+1,"")</f>
        <v/>
      </c>
      <c r="S359" s="24">
        <v>357</v>
      </c>
      <c r="T359" s="39" t="s">
        <v>798</v>
      </c>
      <c r="U359" s="25" t="s">
        <v>799</v>
      </c>
      <c r="V359" s="25" t="s">
        <v>24</v>
      </c>
      <c r="W359" s="24">
        <v>1989</v>
      </c>
      <c r="X359" s="24" t="s">
        <v>42</v>
      </c>
      <c r="Y359" s="26">
        <v>43366</v>
      </c>
      <c r="Z359" s="26">
        <v>43431</v>
      </c>
      <c r="AA359" s="26">
        <v>44097</v>
      </c>
      <c r="AB359" s="27"/>
      <c r="AC359" s="28"/>
      <c r="AD359" s="26">
        <v>43546</v>
      </c>
      <c r="AE359" s="28">
        <v>25</v>
      </c>
      <c r="AF359" s="26">
        <v>43571</v>
      </c>
      <c r="AG359" s="26"/>
      <c r="AH359" s="26"/>
      <c r="AI359" s="27">
        <f>COUNTIF(DangKyThamGapThuongXuyen!$L$4:$L$5261,DaTa!$T359)</f>
        <v>2</v>
      </c>
    </row>
    <row r="360" spans="17:35" ht="15" x14ac:dyDescent="0.2">
      <c r="Q360" s="29"/>
      <c r="R360" s="30" t="str">
        <f>IF($V360=$R$1,MAX($R$3:R359)+1,"")</f>
        <v/>
      </c>
      <c r="S360" s="24">
        <v>358</v>
      </c>
      <c r="T360" s="39" t="s">
        <v>800</v>
      </c>
      <c r="U360" s="25" t="s">
        <v>801</v>
      </c>
      <c r="V360" s="25" t="s">
        <v>802</v>
      </c>
      <c r="W360" s="24">
        <v>1974</v>
      </c>
      <c r="X360" s="24" t="s">
        <v>42</v>
      </c>
      <c r="Y360" s="26">
        <v>43371</v>
      </c>
      <c r="Z360" s="26">
        <v>43431</v>
      </c>
      <c r="AA360" s="26">
        <v>44102</v>
      </c>
      <c r="AB360" s="27"/>
      <c r="AC360" s="28"/>
      <c r="AD360" s="26"/>
      <c r="AE360" s="28"/>
      <c r="AF360" s="26"/>
      <c r="AG360" s="26"/>
      <c r="AH360" s="26"/>
      <c r="AI360" s="27">
        <f>COUNTIF(DangKyThamGapThuongXuyen!$L$4:$L$5261,DaTa!$T360)</f>
        <v>0</v>
      </c>
    </row>
    <row r="361" spans="17:35" ht="12.75" x14ac:dyDescent="0.2">
      <c r="Q361" s="29"/>
      <c r="R361" s="30" t="str">
        <f>IF($V361=$R$1,MAX($R$3:R360)+1,"")</f>
        <v/>
      </c>
      <c r="S361" s="24">
        <v>359</v>
      </c>
      <c r="T361" s="39" t="s">
        <v>803</v>
      </c>
      <c r="U361" s="40" t="s">
        <v>804</v>
      </c>
      <c r="V361" s="40" t="s">
        <v>231</v>
      </c>
      <c r="W361" s="41">
        <v>1987</v>
      </c>
      <c r="X361" s="24" t="s">
        <v>42</v>
      </c>
      <c r="Y361" s="42">
        <v>43381</v>
      </c>
      <c r="Z361" s="42">
        <v>43434</v>
      </c>
      <c r="AA361" s="42">
        <v>43929</v>
      </c>
      <c r="AB361" s="27"/>
      <c r="AC361" s="43"/>
      <c r="AD361" s="26"/>
      <c r="AE361" s="43"/>
      <c r="AF361" s="26"/>
      <c r="AG361" s="26"/>
      <c r="AH361" s="26"/>
      <c r="AI361" s="27">
        <f>COUNTIF(DangKyThamGapThuongXuyen!$L$4:$L$5261,DaTa!$T361)</f>
        <v>2</v>
      </c>
    </row>
    <row r="362" spans="17:35" ht="15" x14ac:dyDescent="0.2">
      <c r="Q362" s="29"/>
      <c r="R362" s="30" t="str">
        <f>IF($V362=$R$1,MAX($R$3:R361)+1,"")</f>
        <v/>
      </c>
      <c r="S362" s="24">
        <v>360</v>
      </c>
      <c r="T362" s="39" t="s">
        <v>805</v>
      </c>
      <c r="U362" s="25" t="s">
        <v>348</v>
      </c>
      <c r="V362" s="25" t="s">
        <v>161</v>
      </c>
      <c r="W362" s="24">
        <v>1984</v>
      </c>
      <c r="X362" s="24" t="s">
        <v>42</v>
      </c>
      <c r="Y362" s="26">
        <v>43347</v>
      </c>
      <c r="Z362" s="26">
        <v>43434</v>
      </c>
      <c r="AA362" s="26">
        <v>43986</v>
      </c>
      <c r="AB362" s="27"/>
      <c r="AC362" s="28"/>
      <c r="AD362" s="26"/>
      <c r="AE362" s="28"/>
      <c r="AF362" s="26"/>
      <c r="AG362" s="26"/>
      <c r="AH362" s="26"/>
      <c r="AI362" s="27">
        <f>COUNTIF(DangKyThamGapThuongXuyen!$L$4:$L$5261,DaTa!$T362)</f>
        <v>1</v>
      </c>
    </row>
    <row r="363" spans="17:35" ht="15" x14ac:dyDescent="0.2">
      <c r="Q363" s="29"/>
      <c r="R363" s="30" t="str">
        <f>IF($V363=$R$1,MAX($R$3:R362)+1,"")</f>
        <v/>
      </c>
      <c r="S363" s="24">
        <v>361</v>
      </c>
      <c r="T363" s="39" t="s">
        <v>806</v>
      </c>
      <c r="U363" s="25" t="s">
        <v>807</v>
      </c>
      <c r="V363" s="25" t="s">
        <v>808</v>
      </c>
      <c r="W363" s="24">
        <v>1976</v>
      </c>
      <c r="X363" s="24" t="s">
        <v>42</v>
      </c>
      <c r="Y363" s="46">
        <v>43379</v>
      </c>
      <c r="Z363" s="26">
        <v>43434</v>
      </c>
      <c r="AA363" s="47">
        <v>44110</v>
      </c>
      <c r="AB363" s="27"/>
      <c r="AC363" s="28"/>
      <c r="AD363" s="26"/>
      <c r="AE363" s="28"/>
      <c r="AF363" s="26"/>
      <c r="AG363" s="26"/>
      <c r="AH363" s="26"/>
      <c r="AI363" s="27">
        <f>COUNTIF(DangKyThamGapThuongXuyen!$L$4:$L$5261,DaTa!$T363)</f>
        <v>0</v>
      </c>
    </row>
    <row r="364" spans="17:35" ht="12.75" x14ac:dyDescent="0.2">
      <c r="Q364" s="29"/>
      <c r="R364" s="30" t="str">
        <f>IF($V364=$R$1,MAX($R$3:R363)+1,"")</f>
        <v/>
      </c>
      <c r="S364" s="24">
        <v>362</v>
      </c>
      <c r="T364" s="39" t="s">
        <v>809</v>
      </c>
      <c r="U364" s="40" t="s">
        <v>810</v>
      </c>
      <c r="V364" s="40" t="s">
        <v>293</v>
      </c>
      <c r="W364" s="41">
        <v>1976</v>
      </c>
      <c r="X364" s="24" t="s">
        <v>42</v>
      </c>
      <c r="Y364" s="42">
        <v>43355</v>
      </c>
      <c r="Z364" s="42">
        <v>43434</v>
      </c>
      <c r="AA364" s="42">
        <v>43811</v>
      </c>
      <c r="AB364" s="27"/>
      <c r="AC364" s="43" t="s">
        <v>88</v>
      </c>
      <c r="AD364" s="26">
        <v>43600</v>
      </c>
      <c r="AE364" s="43">
        <v>65</v>
      </c>
      <c r="AF364" s="26">
        <v>43665</v>
      </c>
      <c r="AG364" s="26"/>
      <c r="AH364" s="26"/>
      <c r="AI364" s="27">
        <f>COUNTIF(DangKyThamGapThuongXuyen!$L$4:$L$5261,DaTa!$T364)</f>
        <v>0</v>
      </c>
    </row>
    <row r="365" spans="17:35" ht="15" x14ac:dyDescent="0.2">
      <c r="Q365" s="29"/>
      <c r="R365" s="30" t="str">
        <f>IF($V365=$R$1,MAX($R$3:R364)+1,"")</f>
        <v/>
      </c>
      <c r="S365" s="24">
        <v>363</v>
      </c>
      <c r="T365" s="39" t="s">
        <v>811</v>
      </c>
      <c r="U365" s="25" t="s">
        <v>812</v>
      </c>
      <c r="V365" s="25" t="s">
        <v>222</v>
      </c>
      <c r="W365" s="24">
        <v>1967</v>
      </c>
      <c r="X365" s="24" t="s">
        <v>21</v>
      </c>
      <c r="Y365" s="26">
        <v>43327</v>
      </c>
      <c r="Z365" s="26">
        <v>43438</v>
      </c>
      <c r="AA365" s="26">
        <v>43936</v>
      </c>
      <c r="AB365" s="27"/>
      <c r="AC365" s="28"/>
      <c r="AD365" s="26"/>
      <c r="AE365" s="28"/>
      <c r="AF365" s="26"/>
      <c r="AG365" s="26"/>
      <c r="AH365" s="26"/>
      <c r="AI365" s="27">
        <f>COUNTIF(DangKyThamGapThuongXuyen!$L$4:$L$5261,DaTa!$T365)</f>
        <v>1</v>
      </c>
    </row>
    <row r="366" spans="17:35" ht="15" x14ac:dyDescent="0.2">
      <c r="Q366" s="29"/>
      <c r="R366" s="30" t="str">
        <f>IF($V366=$R$1,MAX($R$3:R365)+1,"")</f>
        <v/>
      </c>
      <c r="S366" s="24">
        <v>364</v>
      </c>
      <c r="T366" s="39" t="s">
        <v>813</v>
      </c>
      <c r="U366" s="25" t="s">
        <v>814</v>
      </c>
      <c r="V366" s="48" t="s">
        <v>109</v>
      </c>
      <c r="W366" s="24">
        <v>1971</v>
      </c>
      <c r="X366" s="24" t="s">
        <v>21</v>
      </c>
      <c r="Y366" s="26">
        <v>43329</v>
      </c>
      <c r="Z366" s="26">
        <v>43438</v>
      </c>
      <c r="AA366" s="26">
        <v>44060</v>
      </c>
      <c r="AB366" s="27"/>
      <c r="AC366" s="28"/>
      <c r="AD366" s="26"/>
      <c r="AE366" s="28"/>
      <c r="AF366" s="26"/>
      <c r="AG366" s="26"/>
      <c r="AH366" s="26"/>
      <c r="AI366" s="27">
        <f>COUNTIF(DangKyThamGapThuongXuyen!$L$4:$L$5261,DaTa!$T366)</f>
        <v>0</v>
      </c>
    </row>
    <row r="367" spans="17:35" ht="12.75" x14ac:dyDescent="0.2">
      <c r="Q367" s="29"/>
      <c r="R367" s="30" t="str">
        <f>IF($V367=$R$1,MAX($R$3:R366)+1,"")</f>
        <v/>
      </c>
      <c r="S367" s="24">
        <v>365</v>
      </c>
      <c r="T367" s="39" t="s">
        <v>815</v>
      </c>
      <c r="U367" s="40" t="s">
        <v>816</v>
      </c>
      <c r="V367" s="40" t="s">
        <v>300</v>
      </c>
      <c r="W367" s="41">
        <v>1986</v>
      </c>
      <c r="X367" s="24" t="s">
        <v>21</v>
      </c>
      <c r="Y367" s="42">
        <v>43365</v>
      </c>
      <c r="Z367" s="42">
        <v>43438</v>
      </c>
      <c r="AA367" s="42">
        <v>44004</v>
      </c>
      <c r="AB367" s="27"/>
      <c r="AC367" s="43"/>
      <c r="AD367" s="26"/>
      <c r="AE367" s="43"/>
      <c r="AF367" s="26"/>
      <c r="AG367" s="26"/>
      <c r="AH367" s="26"/>
      <c r="AI367" s="27">
        <f>COUNTIF(DangKyThamGapThuongXuyen!$L$4:$L$5261,DaTa!$T367)</f>
        <v>0</v>
      </c>
    </row>
    <row r="368" spans="17:35" ht="15" x14ac:dyDescent="0.2">
      <c r="Q368" s="29"/>
      <c r="R368" s="30" t="str">
        <f>IF($V368=$R$1,MAX($R$3:R367)+1,"")</f>
        <v/>
      </c>
      <c r="S368" s="24">
        <v>366</v>
      </c>
      <c r="T368" s="39" t="s">
        <v>817</v>
      </c>
      <c r="U368" s="25" t="s">
        <v>818</v>
      </c>
      <c r="V368" s="25" t="s">
        <v>54</v>
      </c>
      <c r="W368" s="24">
        <v>1985</v>
      </c>
      <c r="X368" s="24" t="s">
        <v>21</v>
      </c>
      <c r="Y368" s="26">
        <v>43360</v>
      </c>
      <c r="Z368" s="26">
        <v>43438</v>
      </c>
      <c r="AA368" s="26">
        <v>44091</v>
      </c>
      <c r="AB368" s="27"/>
      <c r="AC368" s="28"/>
      <c r="AD368" s="26"/>
      <c r="AE368" s="28"/>
      <c r="AF368" s="26"/>
      <c r="AG368" s="26"/>
      <c r="AH368" s="26"/>
      <c r="AI368" s="27">
        <f>COUNTIF(DangKyThamGapThuongXuyen!$L$4:$L$5261,DaTa!$T368)</f>
        <v>2</v>
      </c>
    </row>
    <row r="369" spans="17:35" ht="15" x14ac:dyDescent="0.2">
      <c r="Q369" s="29"/>
      <c r="R369" s="30" t="str">
        <f>IF($V369=$R$1,MAX($R$3:R368)+1,"")</f>
        <v/>
      </c>
      <c r="S369" s="24">
        <v>367</v>
      </c>
      <c r="T369" s="39" t="s">
        <v>819</v>
      </c>
      <c r="U369" s="25" t="s">
        <v>820</v>
      </c>
      <c r="V369" s="25" t="s">
        <v>79</v>
      </c>
      <c r="W369" s="24">
        <v>1974</v>
      </c>
      <c r="X369" s="24" t="s">
        <v>21</v>
      </c>
      <c r="Y369" s="46">
        <v>43384</v>
      </c>
      <c r="Z369" s="26">
        <v>43439</v>
      </c>
      <c r="AA369" s="50">
        <v>43841</v>
      </c>
      <c r="AB369" s="27"/>
      <c r="AC369" s="28" t="s">
        <v>61</v>
      </c>
      <c r="AD369" s="26">
        <v>43409</v>
      </c>
      <c r="AE369" s="28"/>
      <c r="AF369" s="26"/>
      <c r="AG369" s="26"/>
      <c r="AH369" s="26"/>
      <c r="AI369" s="27">
        <f>COUNTIF(DangKyThamGapThuongXuyen!$L$4:$L$5261,DaTa!$T369)</f>
        <v>0</v>
      </c>
    </row>
    <row r="370" spans="17:35" ht="15" x14ac:dyDescent="0.2">
      <c r="Q370" s="29"/>
      <c r="R370" s="30" t="str">
        <f>IF($V370=$R$1,MAX($R$3:R369)+1,"")</f>
        <v/>
      </c>
      <c r="S370" s="24">
        <v>368</v>
      </c>
      <c r="T370" s="39" t="s">
        <v>821</v>
      </c>
      <c r="U370" s="25" t="s">
        <v>822</v>
      </c>
      <c r="V370" s="25" t="s">
        <v>313</v>
      </c>
      <c r="W370" s="24">
        <v>1969</v>
      </c>
      <c r="X370" s="24" t="s">
        <v>21</v>
      </c>
      <c r="Y370" s="26">
        <v>43341</v>
      </c>
      <c r="Z370" s="26">
        <v>43441</v>
      </c>
      <c r="AA370" s="26">
        <v>43980</v>
      </c>
      <c r="AB370" s="27"/>
      <c r="AC370" s="28"/>
      <c r="AD370" s="26"/>
      <c r="AE370" s="28"/>
      <c r="AF370" s="26"/>
      <c r="AG370" s="26"/>
      <c r="AH370" s="26"/>
      <c r="AI370" s="27">
        <f>COUNTIF(DangKyThamGapThuongXuyen!$L$4:$L$5261,DaTa!$T370)</f>
        <v>1</v>
      </c>
    </row>
    <row r="371" spans="17:35" ht="15" x14ac:dyDescent="0.2">
      <c r="Q371" s="29"/>
      <c r="R371" s="30" t="str">
        <f>IF($V371=$R$1,MAX($R$3:R370)+1,"")</f>
        <v/>
      </c>
      <c r="S371" s="24">
        <v>369</v>
      </c>
      <c r="T371" s="39" t="s">
        <v>823</v>
      </c>
      <c r="U371" s="25" t="s">
        <v>824</v>
      </c>
      <c r="V371" s="25" t="s">
        <v>376</v>
      </c>
      <c r="W371" s="24">
        <v>1991</v>
      </c>
      <c r="X371" s="24" t="s">
        <v>21</v>
      </c>
      <c r="Y371" s="26">
        <v>43347</v>
      </c>
      <c r="Z371" s="26">
        <v>43441</v>
      </c>
      <c r="AA371" s="26">
        <v>43894</v>
      </c>
      <c r="AB371" s="27"/>
      <c r="AC371" s="28"/>
      <c r="AD371" s="26"/>
      <c r="AE371" s="28"/>
      <c r="AF371" s="26"/>
      <c r="AG371" s="26"/>
      <c r="AH371" s="26"/>
      <c r="AI371" s="27">
        <f>COUNTIF(DangKyThamGapThuongXuyen!$L$4:$L$5261,DaTa!$T371)</f>
        <v>0</v>
      </c>
    </row>
    <row r="372" spans="17:35" ht="15" x14ac:dyDescent="0.2">
      <c r="Q372" s="29"/>
      <c r="R372" s="30" t="str">
        <f>IF($V372=$R$1,MAX($R$3:R371)+1,"")</f>
        <v/>
      </c>
      <c r="S372" s="24">
        <v>370</v>
      </c>
      <c r="T372" s="39" t="s">
        <v>825</v>
      </c>
      <c r="U372" s="25" t="s">
        <v>449</v>
      </c>
      <c r="V372" s="48" t="s">
        <v>376</v>
      </c>
      <c r="W372" s="24">
        <v>1990</v>
      </c>
      <c r="X372" s="24" t="s">
        <v>21</v>
      </c>
      <c r="Y372" s="46">
        <v>43358</v>
      </c>
      <c r="Z372" s="26">
        <v>43448</v>
      </c>
      <c r="AA372" s="47">
        <v>43997</v>
      </c>
      <c r="AB372" s="27"/>
      <c r="AC372" s="28"/>
      <c r="AD372" s="26"/>
      <c r="AE372" s="28"/>
      <c r="AF372" s="26"/>
      <c r="AG372" s="26"/>
      <c r="AH372" s="26"/>
      <c r="AI372" s="27">
        <f>COUNTIF(DangKyThamGapThuongXuyen!$L$4:$L$5261,DaTa!$T372)</f>
        <v>0</v>
      </c>
    </row>
    <row r="373" spans="17:35" ht="15" x14ac:dyDescent="0.2">
      <c r="Q373" s="29"/>
      <c r="R373" s="30" t="str">
        <f>IF($V373=$R$1,MAX($R$3:R372)+1,"")</f>
        <v/>
      </c>
      <c r="S373" s="24">
        <v>371</v>
      </c>
      <c r="T373" s="39" t="s">
        <v>826</v>
      </c>
      <c r="U373" s="25" t="s">
        <v>827</v>
      </c>
      <c r="V373" s="25" t="s">
        <v>738</v>
      </c>
      <c r="W373" s="24">
        <v>1988</v>
      </c>
      <c r="X373" s="24" t="s">
        <v>21</v>
      </c>
      <c r="Y373" s="26">
        <v>43343</v>
      </c>
      <c r="Z373" s="26">
        <v>43448</v>
      </c>
      <c r="AA373" s="26">
        <v>43982</v>
      </c>
      <c r="AB373" s="27"/>
      <c r="AC373" s="28" t="s">
        <v>668</v>
      </c>
      <c r="AD373" s="26"/>
      <c r="AE373" s="28"/>
      <c r="AF373" s="26"/>
      <c r="AG373" s="26"/>
      <c r="AH373" s="26"/>
      <c r="AI373" s="27">
        <f>COUNTIF(DangKyThamGapThuongXuyen!$L$4:$L$5261,DaTa!$T373)</f>
        <v>0</v>
      </c>
    </row>
    <row r="374" spans="17:35" ht="15" x14ac:dyDescent="0.2">
      <c r="Q374" s="29"/>
      <c r="R374" s="30" t="str">
        <f>IF($V374=$R$1,MAX($R$3:R373)+1,"")</f>
        <v/>
      </c>
      <c r="S374" s="24">
        <v>372</v>
      </c>
      <c r="T374" s="39" t="s">
        <v>828</v>
      </c>
      <c r="U374" s="25" t="s">
        <v>829</v>
      </c>
      <c r="V374" s="25" t="s">
        <v>87</v>
      </c>
      <c r="W374" s="24">
        <v>1982</v>
      </c>
      <c r="X374" s="24" t="s">
        <v>21</v>
      </c>
      <c r="Y374" s="26">
        <v>43335</v>
      </c>
      <c r="Z374" s="26">
        <v>43448</v>
      </c>
      <c r="AA374" s="26">
        <v>44066</v>
      </c>
      <c r="AB374" s="27"/>
      <c r="AC374" s="28" t="s">
        <v>668</v>
      </c>
      <c r="AD374" s="26"/>
      <c r="AE374" s="28"/>
      <c r="AF374" s="26"/>
      <c r="AG374" s="26"/>
      <c r="AH374" s="26"/>
      <c r="AI374" s="27">
        <f>COUNTIF(DangKyThamGapThuongXuyen!$L$4:$L$5261,DaTa!$T374)</f>
        <v>0</v>
      </c>
    </row>
    <row r="375" spans="17:35" ht="15" x14ac:dyDescent="0.2">
      <c r="Q375" s="29"/>
      <c r="R375" s="30" t="str">
        <f>IF($V375=$R$1,MAX($R$3:R374)+1,"")</f>
        <v/>
      </c>
      <c r="S375" s="24">
        <v>373</v>
      </c>
      <c r="T375" s="39" t="s">
        <v>830</v>
      </c>
      <c r="U375" s="25" t="s">
        <v>831</v>
      </c>
      <c r="V375" s="25" t="s">
        <v>32</v>
      </c>
      <c r="W375" s="24">
        <v>1991</v>
      </c>
      <c r="X375" s="24" t="s">
        <v>21</v>
      </c>
      <c r="Y375" s="26">
        <v>43354</v>
      </c>
      <c r="Z375" s="26">
        <v>43451</v>
      </c>
      <c r="AA375" s="26">
        <v>44085</v>
      </c>
      <c r="AB375" s="27"/>
      <c r="AC375" s="28"/>
      <c r="AD375" s="26"/>
      <c r="AE375" s="28"/>
      <c r="AF375" s="26"/>
      <c r="AG375" s="26"/>
      <c r="AH375" s="26"/>
      <c r="AI375" s="27">
        <f>COUNTIF(DangKyThamGapThuongXuyen!$L$4:$L$5261,DaTa!$T375)</f>
        <v>0</v>
      </c>
    </row>
    <row r="376" spans="17:35" ht="15" x14ac:dyDescent="0.2">
      <c r="Q376" s="29"/>
      <c r="R376" s="30" t="str">
        <f>IF($V376=$R$1,MAX($R$3:R375)+1,"")</f>
        <v/>
      </c>
      <c r="S376" s="24">
        <v>374</v>
      </c>
      <c r="T376" s="39" t="s">
        <v>832</v>
      </c>
      <c r="U376" s="25" t="s">
        <v>833</v>
      </c>
      <c r="V376" s="25" t="s">
        <v>222</v>
      </c>
      <c r="W376" s="24">
        <v>1992</v>
      </c>
      <c r="X376" s="24" t="s">
        <v>21</v>
      </c>
      <c r="Y376" s="26">
        <v>43394</v>
      </c>
      <c r="Z376" s="26">
        <v>43453</v>
      </c>
      <c r="AA376" s="26">
        <v>44033</v>
      </c>
      <c r="AB376" s="27"/>
      <c r="AC376" s="28"/>
      <c r="AD376" s="26"/>
      <c r="AE376" s="28"/>
      <c r="AF376" s="26"/>
      <c r="AG376" s="26"/>
      <c r="AH376" s="26"/>
      <c r="AI376" s="27">
        <f>COUNTIF(DangKyThamGapThuongXuyen!$L$4:$L$5261,DaTa!$T376)</f>
        <v>0</v>
      </c>
    </row>
    <row r="377" spans="17:35" ht="15" x14ac:dyDescent="0.2">
      <c r="Q377" s="29"/>
      <c r="R377" s="30" t="str">
        <f>IF($V377=$R$1,MAX($R$3:R376)+1,"")</f>
        <v/>
      </c>
      <c r="S377" s="24">
        <v>375</v>
      </c>
      <c r="T377" s="39" t="s">
        <v>834</v>
      </c>
      <c r="U377" s="25" t="s">
        <v>780</v>
      </c>
      <c r="V377" s="25" t="s">
        <v>93</v>
      </c>
      <c r="W377" s="24">
        <v>1963</v>
      </c>
      <c r="X377" s="24" t="s">
        <v>21</v>
      </c>
      <c r="Y377" s="26">
        <v>43385</v>
      </c>
      <c r="Z377" s="26">
        <v>43455</v>
      </c>
      <c r="AA377" s="26">
        <v>43933</v>
      </c>
      <c r="AB377" s="27"/>
      <c r="AC377" s="28"/>
      <c r="AD377" s="26"/>
      <c r="AE377" s="28"/>
      <c r="AF377" s="26"/>
      <c r="AG377" s="26"/>
      <c r="AH377" s="26"/>
      <c r="AI377" s="27">
        <f>COUNTIF(DangKyThamGapThuongXuyen!$L$4:$L$5261,DaTa!$T377)</f>
        <v>2</v>
      </c>
    </row>
    <row r="378" spans="17:35" ht="15" x14ac:dyDescent="0.2">
      <c r="Q378" s="29"/>
      <c r="R378" s="30" t="str">
        <f>IF($V378=$R$1,MAX($R$3:R377)+1,"")</f>
        <v/>
      </c>
      <c r="S378" s="24">
        <v>376</v>
      </c>
      <c r="T378" s="39" t="s">
        <v>835</v>
      </c>
      <c r="U378" s="25" t="s">
        <v>836</v>
      </c>
      <c r="V378" s="25" t="s">
        <v>193</v>
      </c>
      <c r="W378" s="24">
        <v>1977</v>
      </c>
      <c r="X378" s="24" t="s">
        <v>21</v>
      </c>
      <c r="Y378" s="26">
        <v>43368</v>
      </c>
      <c r="Z378" s="26">
        <v>43455</v>
      </c>
      <c r="AA378" s="26">
        <v>44037</v>
      </c>
      <c r="AB378" s="27"/>
      <c r="AC378" s="28" t="s">
        <v>243</v>
      </c>
      <c r="AD378" s="26"/>
      <c r="AE378" s="28"/>
      <c r="AF378" s="26"/>
      <c r="AG378" s="26"/>
      <c r="AH378" s="26"/>
      <c r="AI378" s="27">
        <f>COUNTIF(DangKyThamGapThuongXuyen!$L$4:$L$5261,DaTa!$T378)</f>
        <v>0</v>
      </c>
    </row>
    <row r="379" spans="17:35" ht="15" x14ac:dyDescent="0.2">
      <c r="Q379" s="29"/>
      <c r="R379" s="30" t="str">
        <f>IF($V379=$R$1,MAX($R$3:R378)+1,"")</f>
        <v/>
      </c>
      <c r="S379" s="24">
        <v>377</v>
      </c>
      <c r="T379" s="39" t="s">
        <v>837</v>
      </c>
      <c r="U379" s="25" t="s">
        <v>838</v>
      </c>
      <c r="V379" s="25" t="s">
        <v>153</v>
      </c>
      <c r="W379" s="24">
        <v>1991</v>
      </c>
      <c r="X379" s="24" t="s">
        <v>21</v>
      </c>
      <c r="Y379" s="26">
        <v>43398</v>
      </c>
      <c r="Z379" s="26">
        <v>43455</v>
      </c>
      <c r="AA379" s="26">
        <v>44037</v>
      </c>
      <c r="AB379" s="27"/>
      <c r="AC379" s="28"/>
      <c r="AD379" s="26"/>
      <c r="AE379" s="28"/>
      <c r="AF379" s="26"/>
      <c r="AG379" s="26"/>
      <c r="AH379" s="26"/>
      <c r="AI379" s="27">
        <f>COUNTIF(DangKyThamGapThuongXuyen!$L$4:$L$5261,DaTa!$T379)</f>
        <v>0</v>
      </c>
    </row>
    <row r="380" spans="17:35" ht="15" x14ac:dyDescent="0.2">
      <c r="Q380" s="29"/>
      <c r="R380" s="30" t="str">
        <f>IF($V380=$R$1,MAX($R$3:R379)+1,"")</f>
        <v/>
      </c>
      <c r="S380" s="24">
        <v>378</v>
      </c>
      <c r="T380" s="39" t="s">
        <v>839</v>
      </c>
      <c r="U380" s="25" t="s">
        <v>348</v>
      </c>
      <c r="V380" s="25" t="s">
        <v>222</v>
      </c>
      <c r="W380" s="24">
        <v>1973</v>
      </c>
      <c r="X380" s="24" t="s">
        <v>21</v>
      </c>
      <c r="Y380" s="46">
        <v>43380</v>
      </c>
      <c r="Z380" s="26">
        <v>43455</v>
      </c>
      <c r="AA380" s="50">
        <v>44111</v>
      </c>
      <c r="AB380" s="27"/>
      <c r="AC380" s="28"/>
      <c r="AD380" s="26"/>
      <c r="AE380" s="28"/>
      <c r="AF380" s="26"/>
      <c r="AG380" s="26"/>
      <c r="AH380" s="26"/>
      <c r="AI380" s="27">
        <f>COUNTIF(DangKyThamGapThuongXuyen!$L$4:$L$5261,DaTa!$T380)</f>
        <v>1</v>
      </c>
    </row>
    <row r="381" spans="17:35" ht="12.75" x14ac:dyDescent="0.2">
      <c r="Q381" s="29"/>
      <c r="R381" s="30" t="str">
        <f>IF($V381=$R$1,MAX($R$3:R380)+1,"")</f>
        <v/>
      </c>
      <c r="S381" s="24">
        <v>379</v>
      </c>
      <c r="T381" s="39" t="s">
        <v>840</v>
      </c>
      <c r="U381" s="40" t="s">
        <v>816</v>
      </c>
      <c r="V381" s="40" t="s">
        <v>54</v>
      </c>
      <c r="W381" s="41">
        <v>1975</v>
      </c>
      <c r="X381" s="24" t="s">
        <v>21</v>
      </c>
      <c r="Y381" s="42">
        <v>43402</v>
      </c>
      <c r="Z381" s="42">
        <v>43460</v>
      </c>
      <c r="AA381" s="42">
        <v>44041</v>
      </c>
      <c r="AB381" s="27"/>
      <c r="AC381" s="43" t="s">
        <v>243</v>
      </c>
      <c r="AD381" s="26"/>
      <c r="AE381" s="43"/>
      <c r="AF381" s="26"/>
      <c r="AG381" s="26"/>
      <c r="AH381" s="26"/>
      <c r="AI381" s="27">
        <f>COUNTIF(DangKyThamGapThuongXuyen!$L$4:$L$5261,DaTa!$T381)</f>
        <v>0</v>
      </c>
    </row>
    <row r="382" spans="17:35" ht="15" x14ac:dyDescent="0.2">
      <c r="Q382" s="29"/>
      <c r="R382" s="30" t="str">
        <f>IF($V382=$R$1,MAX($R$3:R381)+1,"")</f>
        <v/>
      </c>
      <c r="S382" s="24">
        <v>380</v>
      </c>
      <c r="T382" s="39" t="s">
        <v>841</v>
      </c>
      <c r="U382" s="40" t="s">
        <v>842</v>
      </c>
      <c r="V382" s="40" t="s">
        <v>228</v>
      </c>
      <c r="W382" s="41">
        <v>1977</v>
      </c>
      <c r="X382" s="24" t="s">
        <v>21</v>
      </c>
      <c r="Y382" s="42">
        <v>43386</v>
      </c>
      <c r="Z382" s="42">
        <v>43460</v>
      </c>
      <c r="AA382" s="42">
        <v>43995</v>
      </c>
      <c r="AB382" s="27"/>
      <c r="AC382" s="28"/>
      <c r="AD382" s="26"/>
      <c r="AE382" s="28"/>
      <c r="AF382" s="26"/>
      <c r="AG382" s="26"/>
      <c r="AH382" s="26"/>
      <c r="AI382" s="27">
        <f>COUNTIF(DangKyThamGapThuongXuyen!$L$4:$L$5261,DaTa!$T382)</f>
        <v>2</v>
      </c>
    </row>
    <row r="383" spans="17:35" ht="12.75" x14ac:dyDescent="0.2">
      <c r="Q383" s="29"/>
      <c r="R383" s="30" t="str">
        <f>IF($V383=$R$1,MAX($R$3:R382)+1,"")</f>
        <v/>
      </c>
      <c r="S383" s="24">
        <v>381</v>
      </c>
      <c r="T383" s="39" t="s">
        <v>843</v>
      </c>
      <c r="U383" s="40" t="s">
        <v>844</v>
      </c>
      <c r="V383" s="40" t="s">
        <v>845</v>
      </c>
      <c r="W383" s="41">
        <v>1978</v>
      </c>
      <c r="X383" s="24" t="s">
        <v>21</v>
      </c>
      <c r="Y383" s="42">
        <v>43367</v>
      </c>
      <c r="Z383" s="42">
        <v>43460</v>
      </c>
      <c r="AA383" s="42">
        <v>44098</v>
      </c>
      <c r="AB383" s="27"/>
      <c r="AC383" s="43" t="s">
        <v>846</v>
      </c>
      <c r="AD383" s="26">
        <v>43601</v>
      </c>
      <c r="AE383" s="43">
        <v>60</v>
      </c>
      <c r="AF383" s="26">
        <v>43661</v>
      </c>
      <c r="AG383" s="26"/>
      <c r="AH383" s="26"/>
      <c r="AI383" s="27">
        <f>COUNTIF(DangKyThamGapThuongXuyen!$L$4:$L$5261,DaTa!$T383)</f>
        <v>0</v>
      </c>
    </row>
    <row r="384" spans="17:35" ht="12.75" x14ac:dyDescent="0.2">
      <c r="Q384" s="29"/>
      <c r="R384" s="30" t="str">
        <f>IF($V384=$R$1,MAX($R$3:R383)+1,"")</f>
        <v/>
      </c>
      <c r="S384" s="24">
        <v>382</v>
      </c>
      <c r="T384" s="39" t="s">
        <v>847</v>
      </c>
      <c r="U384" s="40" t="s">
        <v>848</v>
      </c>
      <c r="V384" s="40" t="s">
        <v>231</v>
      </c>
      <c r="W384" s="41">
        <v>1979</v>
      </c>
      <c r="X384" s="24" t="s">
        <v>21</v>
      </c>
      <c r="Y384" s="42">
        <v>43369</v>
      </c>
      <c r="Z384" s="42">
        <v>43462</v>
      </c>
      <c r="AA384" s="42">
        <v>43977</v>
      </c>
      <c r="AB384" s="27"/>
      <c r="AC384" s="43"/>
      <c r="AD384" s="26"/>
      <c r="AE384" s="43"/>
      <c r="AF384" s="26"/>
      <c r="AG384" s="26"/>
      <c r="AH384" s="26"/>
      <c r="AI384" s="27">
        <f>COUNTIF(DangKyThamGapThuongXuyen!$L$4:$L$5261,DaTa!$T384)</f>
        <v>2</v>
      </c>
    </row>
    <row r="385" spans="17:35" ht="15" x14ac:dyDescent="0.2">
      <c r="Q385" s="29"/>
      <c r="R385" s="30" t="str">
        <f>IF($V385=$R$1,MAX($R$3:R384)+1,"")</f>
        <v/>
      </c>
      <c r="S385" s="24">
        <v>383</v>
      </c>
      <c r="T385" s="39" t="s">
        <v>849</v>
      </c>
      <c r="U385" s="25" t="s">
        <v>850</v>
      </c>
      <c r="V385" s="25" t="s">
        <v>851</v>
      </c>
      <c r="W385" s="24">
        <v>1984</v>
      </c>
      <c r="X385" s="24" t="s">
        <v>21</v>
      </c>
      <c r="Y385" s="46">
        <v>43374</v>
      </c>
      <c r="Z385" s="26">
        <v>43462</v>
      </c>
      <c r="AA385" s="50">
        <v>44013</v>
      </c>
      <c r="AB385" s="27"/>
      <c r="AC385" s="28"/>
      <c r="AD385" s="26"/>
      <c r="AE385" s="28"/>
      <c r="AF385" s="26"/>
      <c r="AG385" s="26"/>
      <c r="AH385" s="26"/>
      <c r="AI385" s="27">
        <f>COUNTIF(DangKyThamGapThuongXuyen!$L$4:$L$5261,DaTa!$T385)</f>
        <v>0</v>
      </c>
    </row>
    <row r="386" spans="17:35" ht="15" x14ac:dyDescent="0.2">
      <c r="Q386" s="29"/>
      <c r="R386" s="30" t="str">
        <f>IF($V386=$R$1,MAX($R$3:R385)+1,"")</f>
        <v/>
      </c>
      <c r="S386" s="24">
        <v>384</v>
      </c>
      <c r="T386" s="39" t="s">
        <v>852</v>
      </c>
      <c r="U386" s="25" t="s">
        <v>853</v>
      </c>
      <c r="V386" s="25" t="s">
        <v>231</v>
      </c>
      <c r="W386" s="24">
        <v>1985</v>
      </c>
      <c r="X386" s="24" t="s">
        <v>21</v>
      </c>
      <c r="Y386" s="26">
        <v>43370</v>
      </c>
      <c r="Z386" s="26">
        <v>43462</v>
      </c>
      <c r="AA386" s="26">
        <v>43917</v>
      </c>
      <c r="AB386" s="27"/>
      <c r="AC386" s="28"/>
      <c r="AD386" s="26"/>
      <c r="AE386" s="28"/>
      <c r="AF386" s="26"/>
      <c r="AG386" s="26"/>
      <c r="AH386" s="26"/>
      <c r="AI386" s="27">
        <f>COUNTIF(DangKyThamGapThuongXuyen!$L$4:$L$5261,DaTa!$T386)</f>
        <v>2</v>
      </c>
    </row>
    <row r="387" spans="17:35" ht="15" x14ac:dyDescent="0.2">
      <c r="Q387" s="29"/>
      <c r="R387" s="30" t="str">
        <f>IF($V387=$R$1,MAX($R$3:R386)+1,"")</f>
        <v/>
      </c>
      <c r="S387" s="24">
        <v>385</v>
      </c>
      <c r="T387" s="39" t="s">
        <v>854</v>
      </c>
      <c r="U387" s="25" t="s">
        <v>855</v>
      </c>
      <c r="V387" s="25" t="s">
        <v>445</v>
      </c>
      <c r="W387" s="24">
        <v>1984</v>
      </c>
      <c r="X387" s="24" t="s">
        <v>21</v>
      </c>
      <c r="Y387" s="26">
        <v>43393</v>
      </c>
      <c r="Z387" s="26">
        <v>43468</v>
      </c>
      <c r="AA387" s="26">
        <v>44124</v>
      </c>
      <c r="AB387" s="27"/>
      <c r="AC387" s="28"/>
      <c r="AD387" s="26"/>
      <c r="AE387" s="28"/>
      <c r="AF387" s="26"/>
      <c r="AG387" s="26"/>
      <c r="AH387" s="26"/>
      <c r="AI387" s="27">
        <f>COUNTIF(DangKyThamGapThuongXuyen!$L$4:$L$5261,DaTa!$T387)</f>
        <v>0</v>
      </c>
    </row>
    <row r="388" spans="17:35" ht="15" x14ac:dyDescent="0.2">
      <c r="Q388" s="29"/>
      <c r="R388" s="30" t="str">
        <f>IF($V388=$R$1,MAX($R$3:R387)+1,"")</f>
        <v/>
      </c>
      <c r="S388" s="24">
        <v>386</v>
      </c>
      <c r="T388" s="39" t="s">
        <v>856</v>
      </c>
      <c r="U388" s="25" t="s">
        <v>857</v>
      </c>
      <c r="V388" s="25" t="s">
        <v>20</v>
      </c>
      <c r="W388" s="24">
        <v>1978</v>
      </c>
      <c r="X388" s="24" t="s">
        <v>21</v>
      </c>
      <c r="Y388" s="26">
        <v>43402</v>
      </c>
      <c r="Z388" s="26">
        <v>43468</v>
      </c>
      <c r="AA388" s="26">
        <v>44133</v>
      </c>
      <c r="AB388" s="27"/>
      <c r="AC388" s="28"/>
      <c r="AD388" s="26"/>
      <c r="AE388" s="28"/>
      <c r="AF388" s="26"/>
      <c r="AG388" s="26"/>
      <c r="AH388" s="26"/>
      <c r="AI388" s="27">
        <f>COUNTIF(DangKyThamGapThuongXuyen!$L$4:$L$5261,DaTa!$T388)</f>
        <v>0</v>
      </c>
    </row>
    <row r="389" spans="17:35" ht="15" x14ac:dyDescent="0.2">
      <c r="Q389" s="29"/>
      <c r="R389" s="30" t="str">
        <f>IF($V389=$R$1,MAX($R$3:R388)+1,"")</f>
        <v/>
      </c>
      <c r="S389" s="24">
        <v>387</v>
      </c>
      <c r="T389" s="39" t="s">
        <v>858</v>
      </c>
      <c r="U389" s="25" t="s">
        <v>859</v>
      </c>
      <c r="V389" s="25" t="s">
        <v>300</v>
      </c>
      <c r="W389" s="24">
        <v>1988</v>
      </c>
      <c r="X389" s="24" t="s">
        <v>73</v>
      </c>
      <c r="Y389" s="26">
        <v>43400</v>
      </c>
      <c r="Z389" s="26">
        <v>43469</v>
      </c>
      <c r="AA389" s="26">
        <v>43948</v>
      </c>
      <c r="AB389" s="27"/>
      <c r="AC389" s="28"/>
      <c r="AD389" s="26"/>
      <c r="AE389" s="28"/>
      <c r="AF389" s="26"/>
      <c r="AG389" s="26"/>
      <c r="AH389" s="26"/>
      <c r="AI389" s="27">
        <f>COUNTIF(DangKyThamGapThuongXuyen!$L$4:$L$5261,DaTa!$T389)</f>
        <v>0</v>
      </c>
    </row>
    <row r="390" spans="17:35" ht="15" x14ac:dyDescent="0.2">
      <c r="Q390" s="29"/>
      <c r="R390" s="30" t="str">
        <f>IF($V390=$R$1,MAX($R$3:R389)+1,"")</f>
        <v/>
      </c>
      <c r="S390" s="24">
        <v>388</v>
      </c>
      <c r="T390" s="39" t="s">
        <v>860</v>
      </c>
      <c r="U390" s="25" t="s">
        <v>861</v>
      </c>
      <c r="V390" s="25" t="s">
        <v>862</v>
      </c>
      <c r="W390" s="24">
        <v>1983</v>
      </c>
      <c r="X390" s="24" t="s">
        <v>73</v>
      </c>
      <c r="Y390" s="26">
        <v>43385</v>
      </c>
      <c r="Z390" s="26">
        <v>43469</v>
      </c>
      <c r="AA390" s="26">
        <v>43994</v>
      </c>
      <c r="AB390" s="27"/>
      <c r="AC390" s="28"/>
      <c r="AD390" s="26"/>
      <c r="AE390" s="28"/>
      <c r="AF390" s="26"/>
      <c r="AG390" s="26"/>
      <c r="AH390" s="26"/>
      <c r="AI390" s="27">
        <f>COUNTIF(DangKyThamGapThuongXuyen!$L$4:$L$5261,DaTa!$T390)</f>
        <v>0</v>
      </c>
    </row>
    <row r="391" spans="17:35" ht="15" x14ac:dyDescent="0.2">
      <c r="Q391" s="29"/>
      <c r="R391" s="30" t="str">
        <f>IF($V391=$R$1,MAX($R$3:R390)+1,"")</f>
        <v/>
      </c>
      <c r="S391" s="24">
        <v>389</v>
      </c>
      <c r="T391" s="39" t="s">
        <v>863</v>
      </c>
      <c r="U391" s="25" t="s">
        <v>818</v>
      </c>
      <c r="V391" s="25" t="s">
        <v>179</v>
      </c>
      <c r="W391" s="24">
        <v>1983</v>
      </c>
      <c r="X391" s="24" t="s">
        <v>73</v>
      </c>
      <c r="Y391" s="26">
        <v>43402</v>
      </c>
      <c r="Z391" s="26">
        <v>43469</v>
      </c>
      <c r="AA391" s="26">
        <v>44041</v>
      </c>
      <c r="AB391" s="27"/>
      <c r="AC391" s="28"/>
      <c r="AD391" s="26"/>
      <c r="AE391" s="28"/>
      <c r="AF391" s="26"/>
      <c r="AG391" s="26"/>
      <c r="AH391" s="26"/>
      <c r="AI391" s="27">
        <f>COUNTIF(DangKyThamGapThuongXuyen!$L$4:$L$5261,DaTa!$T391)</f>
        <v>1</v>
      </c>
    </row>
    <row r="392" spans="17:35" ht="15" x14ac:dyDescent="0.2">
      <c r="Q392" s="29"/>
      <c r="R392" s="30" t="str">
        <f>IF($V392=$R$1,MAX($R$3:R391)+1,"")</f>
        <v/>
      </c>
      <c r="S392" s="24">
        <v>390</v>
      </c>
      <c r="T392" s="39" t="s">
        <v>864</v>
      </c>
      <c r="U392" s="25" t="s">
        <v>853</v>
      </c>
      <c r="V392" s="25" t="s">
        <v>381</v>
      </c>
      <c r="W392" s="24">
        <v>1987</v>
      </c>
      <c r="X392" s="24" t="s">
        <v>73</v>
      </c>
      <c r="Y392" s="26">
        <v>43397</v>
      </c>
      <c r="Z392" s="26">
        <v>43469</v>
      </c>
      <c r="AA392" s="26">
        <v>44036</v>
      </c>
      <c r="AB392" s="27"/>
      <c r="AC392" s="28"/>
      <c r="AD392" s="26"/>
      <c r="AE392" s="28"/>
      <c r="AF392" s="26"/>
      <c r="AG392" s="26"/>
      <c r="AH392" s="26"/>
      <c r="AI392" s="27">
        <f>COUNTIF(DangKyThamGapThuongXuyen!$L$4:$L$5261,DaTa!$T392)</f>
        <v>3</v>
      </c>
    </row>
    <row r="393" spans="17:35" ht="12.75" x14ac:dyDescent="0.2">
      <c r="Q393" s="29"/>
      <c r="R393" s="30" t="str">
        <f>IF($V393=$R$1,MAX($R$3:R392)+1,"")</f>
        <v/>
      </c>
      <c r="S393" s="24">
        <v>391</v>
      </c>
      <c r="T393" s="39" t="s">
        <v>865</v>
      </c>
      <c r="U393" s="40" t="s">
        <v>866</v>
      </c>
      <c r="V393" s="40" t="s">
        <v>219</v>
      </c>
      <c r="W393" s="41">
        <v>1985</v>
      </c>
      <c r="X393" s="24" t="s">
        <v>73</v>
      </c>
      <c r="Y393" s="42">
        <v>43445</v>
      </c>
      <c r="Z393" s="42">
        <v>43473</v>
      </c>
      <c r="AA393" s="42">
        <v>43993</v>
      </c>
      <c r="AB393" s="27"/>
      <c r="AC393" s="43"/>
      <c r="AD393" s="26"/>
      <c r="AE393" s="43"/>
      <c r="AF393" s="26"/>
      <c r="AG393" s="26"/>
      <c r="AH393" s="26"/>
      <c r="AI393" s="27">
        <f>COUNTIF(DangKyThamGapThuongXuyen!$L$4:$L$5261,DaTa!$T393)</f>
        <v>0</v>
      </c>
    </row>
    <row r="394" spans="17:35" ht="15" x14ac:dyDescent="0.2">
      <c r="Q394" s="29"/>
      <c r="R394" s="30" t="str">
        <f>IF($V394=$R$1,MAX($R$3:R393)+1,"")</f>
        <v/>
      </c>
      <c r="S394" s="24">
        <v>392</v>
      </c>
      <c r="T394" s="39" t="s">
        <v>867</v>
      </c>
      <c r="U394" s="25" t="s">
        <v>143</v>
      </c>
      <c r="V394" s="25" t="s">
        <v>868</v>
      </c>
      <c r="W394" s="24">
        <v>1988</v>
      </c>
      <c r="X394" s="24" t="s">
        <v>73</v>
      </c>
      <c r="Y394" s="26">
        <v>43379</v>
      </c>
      <c r="Z394" s="26">
        <v>43473</v>
      </c>
      <c r="AA394" s="26">
        <v>44110</v>
      </c>
      <c r="AB394" s="27"/>
      <c r="AC394" s="28"/>
      <c r="AD394" s="26"/>
      <c r="AE394" s="28"/>
      <c r="AF394" s="26"/>
      <c r="AG394" s="26"/>
      <c r="AH394" s="26"/>
      <c r="AI394" s="27">
        <f>COUNTIF(DangKyThamGapThuongXuyen!$L$4:$L$5261,DaTa!$T394)</f>
        <v>1</v>
      </c>
    </row>
    <row r="395" spans="17:35" ht="12.75" x14ac:dyDescent="0.2">
      <c r="Q395" s="29"/>
      <c r="R395" s="30" t="str">
        <f>IF($V395=$R$1,MAX($R$3:R394)+1,"")</f>
        <v/>
      </c>
      <c r="S395" s="24">
        <v>393</v>
      </c>
      <c r="T395" s="39" t="s">
        <v>869</v>
      </c>
      <c r="U395" s="40" t="s">
        <v>870</v>
      </c>
      <c r="V395" s="40" t="s">
        <v>376</v>
      </c>
      <c r="W395" s="41">
        <v>1981</v>
      </c>
      <c r="X395" s="24" t="s">
        <v>73</v>
      </c>
      <c r="Y395" s="42">
        <v>43390</v>
      </c>
      <c r="Z395" s="42">
        <v>43473</v>
      </c>
      <c r="AA395" s="42">
        <v>43938</v>
      </c>
      <c r="AB395" s="27"/>
      <c r="AC395" s="43" t="s">
        <v>88</v>
      </c>
      <c r="AD395" s="26">
        <v>43628</v>
      </c>
      <c r="AE395" s="43">
        <v>20</v>
      </c>
      <c r="AF395" s="26">
        <v>43648</v>
      </c>
      <c r="AG395" s="26"/>
      <c r="AH395" s="26"/>
      <c r="AI395" s="27">
        <f>COUNTIF(DangKyThamGapThuongXuyen!$L$4:$L$5261,DaTa!$T395)</f>
        <v>4</v>
      </c>
    </row>
    <row r="396" spans="17:35" ht="12.75" x14ac:dyDescent="0.2">
      <c r="Q396" s="29"/>
      <c r="R396" s="30" t="str">
        <f>IF($V396=$R$1,MAX($R$3:R395)+1,"")</f>
        <v/>
      </c>
      <c r="S396" s="24">
        <v>394</v>
      </c>
      <c r="T396" s="39" t="s">
        <v>871</v>
      </c>
      <c r="U396" s="40" t="s">
        <v>23</v>
      </c>
      <c r="V396" s="40" t="s">
        <v>222</v>
      </c>
      <c r="W396" s="41">
        <v>1988</v>
      </c>
      <c r="X396" s="24" t="s">
        <v>73</v>
      </c>
      <c r="Y396" s="42">
        <v>43416</v>
      </c>
      <c r="Z396" s="42">
        <v>43473</v>
      </c>
      <c r="AA396" s="42">
        <v>43963</v>
      </c>
      <c r="AB396" s="27"/>
      <c r="AC396" s="43"/>
      <c r="AD396" s="26"/>
      <c r="AE396" s="43"/>
      <c r="AF396" s="26"/>
      <c r="AG396" s="26"/>
      <c r="AH396" s="26"/>
      <c r="AI396" s="27">
        <f>COUNTIF(DangKyThamGapThuongXuyen!$L$4:$L$5261,DaTa!$T396)</f>
        <v>3</v>
      </c>
    </row>
    <row r="397" spans="17:35" ht="12.75" x14ac:dyDescent="0.2">
      <c r="Q397" s="29"/>
      <c r="R397" s="23" t="str">
        <f>IF($V397=$R$1,MAX($R$3:R396)+1,"")</f>
        <v/>
      </c>
      <c r="S397" s="24">
        <v>395</v>
      </c>
      <c r="T397" s="39" t="s">
        <v>872</v>
      </c>
      <c r="U397" s="40" t="s">
        <v>873</v>
      </c>
      <c r="V397" s="40" t="s">
        <v>76</v>
      </c>
      <c r="W397" s="41">
        <v>1964</v>
      </c>
      <c r="X397" s="24" t="s">
        <v>73</v>
      </c>
      <c r="Y397" s="42">
        <v>43378</v>
      </c>
      <c r="Z397" s="42">
        <v>43474</v>
      </c>
      <c r="AA397" s="42">
        <v>44048</v>
      </c>
      <c r="AB397" s="27"/>
      <c r="AC397" s="43"/>
      <c r="AD397" s="26"/>
      <c r="AE397" s="43"/>
      <c r="AF397" s="26"/>
      <c r="AG397" s="26"/>
      <c r="AH397" s="26"/>
      <c r="AI397" s="27">
        <f>COUNTIF(DangKyThamGapThuongXuyen!$L$4:$L$5261,DaTa!$T397)</f>
        <v>0</v>
      </c>
    </row>
    <row r="398" spans="17:35" ht="15" x14ac:dyDescent="0.2">
      <c r="Q398" s="29"/>
      <c r="R398" s="30" t="str">
        <f>IF($V398=$R$1,MAX($R$3:R397)+1,"")</f>
        <v/>
      </c>
      <c r="S398" s="24">
        <v>396</v>
      </c>
      <c r="T398" s="39" t="s">
        <v>874</v>
      </c>
      <c r="U398" s="25" t="s">
        <v>875</v>
      </c>
      <c r="V398" s="25" t="s">
        <v>599</v>
      </c>
      <c r="W398" s="24">
        <v>1971</v>
      </c>
      <c r="X398" s="24" t="s">
        <v>73</v>
      </c>
      <c r="Y398" s="46">
        <v>43407</v>
      </c>
      <c r="Z398" s="26">
        <v>43475</v>
      </c>
      <c r="AA398" s="47">
        <v>44015</v>
      </c>
      <c r="AB398" s="27"/>
      <c r="AC398" s="28"/>
      <c r="AD398" s="26"/>
      <c r="AE398" s="28"/>
      <c r="AF398" s="26"/>
      <c r="AG398" s="26"/>
      <c r="AH398" s="26"/>
      <c r="AI398" s="27">
        <f>COUNTIF(DangKyThamGapThuongXuyen!$L$4:$L$5261,DaTa!$T398)</f>
        <v>0</v>
      </c>
    </row>
    <row r="399" spans="17:35" ht="15" x14ac:dyDescent="0.2">
      <c r="Q399" s="29"/>
      <c r="R399" s="30" t="str">
        <f>IF($V399=$R$1,MAX($R$3:R398)+1,"")</f>
        <v/>
      </c>
      <c r="S399" s="24">
        <v>397</v>
      </c>
      <c r="T399" s="39" t="s">
        <v>876</v>
      </c>
      <c r="U399" s="25" t="s">
        <v>570</v>
      </c>
      <c r="V399" s="25" t="s">
        <v>318</v>
      </c>
      <c r="W399" s="24">
        <v>1973</v>
      </c>
      <c r="X399" s="24" t="s">
        <v>73</v>
      </c>
      <c r="Y399" s="26">
        <v>43407</v>
      </c>
      <c r="Z399" s="26">
        <v>43475</v>
      </c>
      <c r="AA399" s="26">
        <v>44015</v>
      </c>
      <c r="AB399" s="24"/>
      <c r="AC399" s="28"/>
      <c r="AD399" s="26"/>
      <c r="AE399" s="28"/>
      <c r="AF399" s="26"/>
      <c r="AG399" s="26"/>
      <c r="AH399" s="26"/>
      <c r="AI399" s="27">
        <f>COUNTIF(DangKyThamGapThuongXuyen!$L$4:$L$5261,DaTa!$T399)</f>
        <v>0</v>
      </c>
    </row>
    <row r="400" spans="17:35" ht="15" x14ac:dyDescent="0.2">
      <c r="Q400" s="29"/>
      <c r="R400" s="23" t="str">
        <f>IF($V400=$R$1,MAX($R$3:R399)+1,"")</f>
        <v/>
      </c>
      <c r="S400" s="24">
        <v>398</v>
      </c>
      <c r="T400" s="39" t="s">
        <v>877</v>
      </c>
      <c r="U400" s="25" t="s">
        <v>205</v>
      </c>
      <c r="V400" s="25" t="s">
        <v>107</v>
      </c>
      <c r="W400" s="24">
        <v>1973</v>
      </c>
      <c r="X400" s="24" t="s">
        <v>73</v>
      </c>
      <c r="Y400" s="26">
        <v>43417</v>
      </c>
      <c r="Z400" s="26">
        <v>43476</v>
      </c>
      <c r="AA400" s="26">
        <v>44056</v>
      </c>
      <c r="AB400" s="27"/>
      <c r="AC400" s="28"/>
      <c r="AD400" s="26"/>
      <c r="AE400" s="28"/>
      <c r="AF400" s="26"/>
      <c r="AG400" s="26"/>
      <c r="AH400" s="26"/>
      <c r="AI400" s="27">
        <f>COUNTIF(DangKyThamGapThuongXuyen!$L$4:$L$5261,DaTa!$T400)</f>
        <v>0</v>
      </c>
    </row>
    <row r="401" spans="17:35" ht="15" x14ac:dyDescent="0.2">
      <c r="Q401" s="29"/>
      <c r="R401" s="30" t="str">
        <f>IF($V401=$R$1,MAX($R$3:R400)+1,"")</f>
        <v/>
      </c>
      <c r="S401" s="24">
        <v>399</v>
      </c>
      <c r="T401" s="39" t="s">
        <v>878</v>
      </c>
      <c r="U401" s="25" t="s">
        <v>879</v>
      </c>
      <c r="V401" s="25" t="s">
        <v>880</v>
      </c>
      <c r="W401" s="24">
        <v>1968</v>
      </c>
      <c r="X401" s="24" t="s">
        <v>73</v>
      </c>
      <c r="Y401" s="45">
        <v>43426</v>
      </c>
      <c r="Z401" s="57">
        <v>43476</v>
      </c>
      <c r="AA401" s="26">
        <v>44157</v>
      </c>
      <c r="AB401" s="27"/>
      <c r="AC401" s="28"/>
      <c r="AD401" s="26"/>
      <c r="AE401" s="28"/>
      <c r="AF401" s="26"/>
      <c r="AG401" s="26"/>
      <c r="AH401" s="26"/>
      <c r="AI401" s="27">
        <f>COUNTIF(DangKyThamGapThuongXuyen!$L$4:$L$5261,DaTa!$T401)</f>
        <v>0</v>
      </c>
    </row>
    <row r="402" spans="17:35" ht="12.75" x14ac:dyDescent="0.2">
      <c r="Q402" s="29"/>
      <c r="R402" s="30" t="str">
        <f>IF($V402=$R$1,MAX($R$3:R401)+1,"")</f>
        <v/>
      </c>
      <c r="S402" s="24">
        <v>400</v>
      </c>
      <c r="T402" s="39" t="s">
        <v>881</v>
      </c>
      <c r="U402" s="40" t="s">
        <v>63</v>
      </c>
      <c r="V402" s="40" t="s">
        <v>882</v>
      </c>
      <c r="W402" s="41">
        <v>1988</v>
      </c>
      <c r="X402" s="24" t="s">
        <v>73</v>
      </c>
      <c r="Y402" s="42">
        <v>43369</v>
      </c>
      <c r="Z402" s="42">
        <v>43476</v>
      </c>
      <c r="AA402" s="42">
        <v>44100</v>
      </c>
      <c r="AB402" s="27"/>
      <c r="AC402" s="43"/>
      <c r="AD402" s="26"/>
      <c r="AE402" s="43"/>
      <c r="AF402" s="26"/>
      <c r="AG402" s="26"/>
      <c r="AH402" s="26"/>
      <c r="AI402" s="27">
        <f>COUNTIF(DangKyThamGapThuongXuyen!$L$4:$L$5261,DaTa!$T402)</f>
        <v>1</v>
      </c>
    </row>
    <row r="403" spans="17:35" ht="15" x14ac:dyDescent="0.2">
      <c r="Q403" s="29"/>
      <c r="R403" s="30" t="str">
        <f>IF($V403=$R$1,MAX($R$3:R402)+1,"")</f>
        <v/>
      </c>
      <c r="S403" s="24">
        <v>401</v>
      </c>
      <c r="T403" s="39" t="s">
        <v>883</v>
      </c>
      <c r="U403" s="25" t="s">
        <v>597</v>
      </c>
      <c r="V403" s="25" t="s">
        <v>884</v>
      </c>
      <c r="W403" s="24">
        <v>1990</v>
      </c>
      <c r="X403" s="24" t="s">
        <v>73</v>
      </c>
      <c r="Y403" s="26">
        <v>43412</v>
      </c>
      <c r="Z403" s="26">
        <v>43476</v>
      </c>
      <c r="AA403" s="26">
        <v>43959</v>
      </c>
      <c r="AB403" s="27"/>
      <c r="AC403" s="28"/>
      <c r="AD403" s="26"/>
      <c r="AE403" s="28"/>
      <c r="AF403" s="26"/>
      <c r="AG403" s="26"/>
      <c r="AH403" s="26"/>
      <c r="AI403" s="27">
        <f>COUNTIF(DangKyThamGapThuongXuyen!$L$4:$L$5261,DaTa!$T403)</f>
        <v>0</v>
      </c>
    </row>
    <row r="404" spans="17:35" ht="15" x14ac:dyDescent="0.2">
      <c r="Q404" s="29"/>
      <c r="R404" s="30" t="str">
        <f>IF($V404=$R$1,MAX($R$3:R403)+1,"")</f>
        <v/>
      </c>
      <c r="S404" s="24">
        <v>402</v>
      </c>
      <c r="T404" s="39" t="s">
        <v>885</v>
      </c>
      <c r="U404" s="25" t="s">
        <v>252</v>
      </c>
      <c r="V404" s="25" t="s">
        <v>583</v>
      </c>
      <c r="W404" s="24">
        <v>1971</v>
      </c>
      <c r="X404" s="24" t="s">
        <v>29</v>
      </c>
      <c r="Y404" s="26">
        <v>43453</v>
      </c>
      <c r="Z404" s="26">
        <v>43480</v>
      </c>
      <c r="AA404" s="26">
        <v>44184</v>
      </c>
      <c r="AB404" s="27"/>
      <c r="AC404" s="28"/>
      <c r="AD404" s="26"/>
      <c r="AE404" s="28"/>
      <c r="AF404" s="26"/>
      <c r="AG404" s="26"/>
      <c r="AH404" s="26"/>
      <c r="AI404" s="27">
        <f>COUNTIF(DangKyThamGapThuongXuyen!$L$4:$L$5261,DaTa!$T404)</f>
        <v>0</v>
      </c>
    </row>
    <row r="405" spans="17:35" ht="15" x14ac:dyDescent="0.2">
      <c r="Q405" s="29"/>
      <c r="R405" s="30" t="str">
        <f>IF($V405=$R$1,MAX($R$3:R404)+1,"")</f>
        <v/>
      </c>
      <c r="S405" s="24">
        <v>403</v>
      </c>
      <c r="T405" s="39" t="s">
        <v>886</v>
      </c>
      <c r="U405" s="25" t="s">
        <v>726</v>
      </c>
      <c r="V405" s="25" t="s">
        <v>60</v>
      </c>
      <c r="W405" s="24">
        <v>1971</v>
      </c>
      <c r="X405" s="24" t="s">
        <v>29</v>
      </c>
      <c r="Y405" s="26">
        <v>43452</v>
      </c>
      <c r="Z405" s="26">
        <v>43480</v>
      </c>
      <c r="AA405" s="26">
        <v>44092</v>
      </c>
      <c r="AB405" s="27"/>
      <c r="AC405" s="28"/>
      <c r="AD405" s="26"/>
      <c r="AE405" s="28"/>
      <c r="AF405" s="26"/>
      <c r="AG405" s="26"/>
      <c r="AH405" s="26"/>
      <c r="AI405" s="27">
        <f>COUNTIF(DangKyThamGapThuongXuyen!$L$4:$L$5261,DaTa!$T405)</f>
        <v>0</v>
      </c>
    </row>
    <row r="406" spans="17:35" ht="15" x14ac:dyDescent="0.2">
      <c r="Q406" s="29"/>
      <c r="R406" s="30" t="str">
        <f>IF($V406=$R$1,MAX($R$3:R405)+1,"")</f>
        <v/>
      </c>
      <c r="S406" s="24">
        <v>404</v>
      </c>
      <c r="T406" s="39" t="s">
        <v>887</v>
      </c>
      <c r="U406" s="25" t="s">
        <v>888</v>
      </c>
      <c r="V406" s="25" t="s">
        <v>195</v>
      </c>
      <c r="W406" s="24">
        <v>1985</v>
      </c>
      <c r="X406" s="24" t="s">
        <v>29</v>
      </c>
      <c r="Y406" s="26">
        <v>43409</v>
      </c>
      <c r="Z406" s="26">
        <v>43481</v>
      </c>
      <c r="AA406" s="26">
        <v>44048</v>
      </c>
      <c r="AB406" s="27"/>
      <c r="AC406" s="28" t="s">
        <v>88</v>
      </c>
      <c r="AD406" s="26">
        <v>43623</v>
      </c>
      <c r="AE406" s="28">
        <v>35</v>
      </c>
      <c r="AF406" s="26">
        <v>43658</v>
      </c>
      <c r="AG406" s="26"/>
      <c r="AH406" s="26"/>
      <c r="AI406" s="27">
        <f>COUNTIF(DangKyThamGapThuongXuyen!$L$4:$L$5261,DaTa!$T406)</f>
        <v>0</v>
      </c>
    </row>
    <row r="407" spans="17:35" ht="15" x14ac:dyDescent="0.2">
      <c r="Q407" s="29"/>
      <c r="R407" s="30" t="str">
        <f>IF($V407=$R$1,MAX($R$3:R406)+1,"")</f>
        <v/>
      </c>
      <c r="S407" s="24">
        <v>405</v>
      </c>
      <c r="T407" s="39" t="s">
        <v>889</v>
      </c>
      <c r="U407" s="25" t="s">
        <v>890</v>
      </c>
      <c r="V407" s="25" t="s">
        <v>891</v>
      </c>
      <c r="W407" s="24">
        <v>1973</v>
      </c>
      <c r="X407" s="24" t="s">
        <v>29</v>
      </c>
      <c r="Y407" s="26">
        <v>43371</v>
      </c>
      <c r="Z407" s="26">
        <v>43481</v>
      </c>
      <c r="AA407" s="26">
        <v>44102</v>
      </c>
      <c r="AB407" s="27"/>
      <c r="AC407" s="28"/>
      <c r="AD407" s="26"/>
      <c r="AE407" s="28"/>
      <c r="AF407" s="26"/>
      <c r="AG407" s="26"/>
      <c r="AH407" s="26"/>
      <c r="AI407" s="27">
        <f>COUNTIF(DangKyThamGapThuongXuyen!$L$4:$L$5261,DaTa!$T407)</f>
        <v>0</v>
      </c>
    </row>
    <row r="408" spans="17:35" ht="15" x14ac:dyDescent="0.2">
      <c r="Q408" s="29"/>
      <c r="R408" s="30" t="str">
        <f>IF($V408=$R$1,MAX($R$3:R407)+1,"")</f>
        <v/>
      </c>
      <c r="S408" s="24">
        <v>406</v>
      </c>
      <c r="T408" s="39" t="s">
        <v>892</v>
      </c>
      <c r="U408" s="25" t="s">
        <v>893</v>
      </c>
      <c r="V408" s="25" t="s">
        <v>894</v>
      </c>
      <c r="W408" s="24">
        <v>1976</v>
      </c>
      <c r="X408" s="24" t="s">
        <v>29</v>
      </c>
      <c r="Y408" s="26">
        <v>43416</v>
      </c>
      <c r="Z408" s="26">
        <v>43483</v>
      </c>
      <c r="AA408" s="26">
        <v>44147</v>
      </c>
      <c r="AB408" s="27"/>
      <c r="AC408" s="28"/>
      <c r="AD408" s="26"/>
      <c r="AE408" s="28"/>
      <c r="AF408" s="26"/>
      <c r="AG408" s="26"/>
      <c r="AH408" s="26"/>
      <c r="AI408" s="27">
        <f>COUNTIF(DangKyThamGapThuongXuyen!$L$4:$L$5261,DaTa!$T408)</f>
        <v>0</v>
      </c>
    </row>
    <row r="409" spans="17:35" ht="15" x14ac:dyDescent="0.2">
      <c r="Q409" s="29"/>
      <c r="R409" s="30" t="str">
        <f>IF($V409=$R$1,MAX($R$3:R408)+1,"")</f>
        <v/>
      </c>
      <c r="S409" s="24">
        <v>407</v>
      </c>
      <c r="T409" s="39" t="s">
        <v>895</v>
      </c>
      <c r="U409" s="25" t="s">
        <v>360</v>
      </c>
      <c r="V409" s="25" t="s">
        <v>557</v>
      </c>
      <c r="W409" s="24">
        <v>1992</v>
      </c>
      <c r="X409" s="24" t="s">
        <v>29</v>
      </c>
      <c r="Y409" s="26">
        <v>43389</v>
      </c>
      <c r="Z409" s="26">
        <v>43483</v>
      </c>
      <c r="AA409" s="26">
        <v>44028</v>
      </c>
      <c r="AB409" s="27"/>
      <c r="AC409" s="28"/>
      <c r="AD409" s="26"/>
      <c r="AE409" s="28"/>
      <c r="AF409" s="26"/>
      <c r="AG409" s="26"/>
      <c r="AH409" s="26"/>
      <c r="AI409" s="27">
        <f>COUNTIF(DangKyThamGapThuongXuyen!$L$4:$L$5261,DaTa!$T409)</f>
        <v>1</v>
      </c>
    </row>
    <row r="410" spans="17:35" ht="15" x14ac:dyDescent="0.2">
      <c r="Q410" s="29"/>
      <c r="R410" s="30" t="str">
        <f>IF($V410=$R$1,MAX($R$3:R409)+1,"")</f>
        <v/>
      </c>
      <c r="S410" s="24">
        <v>408</v>
      </c>
      <c r="T410" s="39" t="s">
        <v>896</v>
      </c>
      <c r="U410" s="25" t="s">
        <v>897</v>
      </c>
      <c r="V410" s="25" t="s">
        <v>445</v>
      </c>
      <c r="W410" s="24">
        <v>1987</v>
      </c>
      <c r="X410" s="24" t="s">
        <v>29</v>
      </c>
      <c r="Y410" s="26">
        <v>43406</v>
      </c>
      <c r="Z410" s="26">
        <v>43483</v>
      </c>
      <c r="AA410" s="26">
        <v>44045</v>
      </c>
      <c r="AB410" s="27"/>
      <c r="AC410" s="28"/>
      <c r="AD410" s="26"/>
      <c r="AE410" s="28"/>
      <c r="AF410" s="26"/>
      <c r="AG410" s="26"/>
      <c r="AH410" s="26"/>
      <c r="AI410" s="27">
        <f>COUNTIF(DangKyThamGapThuongXuyen!$L$4:$L$5261,DaTa!$T410)</f>
        <v>0</v>
      </c>
    </row>
    <row r="411" spans="17:35" ht="15" x14ac:dyDescent="0.2">
      <c r="Q411" s="29"/>
      <c r="R411" s="23" t="str">
        <f>IF($V411=$R$1,MAX($R$3:R410)+1,"")</f>
        <v/>
      </c>
      <c r="S411" s="24">
        <v>409</v>
      </c>
      <c r="T411" s="39" t="s">
        <v>898</v>
      </c>
      <c r="U411" s="25" t="s">
        <v>899</v>
      </c>
      <c r="V411" s="25" t="s">
        <v>900</v>
      </c>
      <c r="W411" s="24">
        <v>1982</v>
      </c>
      <c r="X411" s="24" t="s">
        <v>29</v>
      </c>
      <c r="Y411" s="46">
        <v>43420</v>
      </c>
      <c r="Z411" s="26">
        <v>43483</v>
      </c>
      <c r="AA411" s="50">
        <v>44151</v>
      </c>
      <c r="AB411" s="27"/>
      <c r="AC411" s="28"/>
      <c r="AD411" s="26"/>
      <c r="AE411" s="28"/>
      <c r="AF411" s="26"/>
      <c r="AG411" s="26"/>
      <c r="AH411" s="26"/>
      <c r="AI411" s="27">
        <f>COUNTIF(DangKyThamGapThuongXuyen!$L$4:$L$5261,DaTa!$T411)</f>
        <v>0</v>
      </c>
    </row>
    <row r="412" spans="17:35" ht="15" x14ac:dyDescent="0.2">
      <c r="Q412" s="29"/>
      <c r="R412" s="30" t="str">
        <f>IF($V412=$R$1,MAX($R$3:R411)+1,"")</f>
        <v/>
      </c>
      <c r="S412" s="24">
        <v>410</v>
      </c>
      <c r="T412" s="39" t="s">
        <v>901</v>
      </c>
      <c r="U412" s="25" t="s">
        <v>902</v>
      </c>
      <c r="V412" s="25" t="s">
        <v>222</v>
      </c>
      <c r="W412" s="24">
        <v>1974</v>
      </c>
      <c r="X412" s="24" t="s">
        <v>29</v>
      </c>
      <c r="Y412" s="46">
        <v>43396</v>
      </c>
      <c r="Z412" s="26">
        <v>43848</v>
      </c>
      <c r="AA412" s="47">
        <v>44127</v>
      </c>
      <c r="AB412" s="27"/>
      <c r="AC412" s="28"/>
      <c r="AD412" s="26"/>
      <c r="AE412" s="28"/>
      <c r="AF412" s="26"/>
      <c r="AG412" s="26"/>
      <c r="AH412" s="26"/>
      <c r="AI412" s="27">
        <f>COUNTIF(DangKyThamGapThuongXuyen!$L$4:$L$5261,DaTa!$T412)</f>
        <v>0</v>
      </c>
    </row>
    <row r="413" spans="17:35" ht="15" x14ac:dyDescent="0.2">
      <c r="Q413" s="29"/>
      <c r="R413" s="30" t="str">
        <f>IF($V413=$R$1,MAX($R$3:R412)+1,"")</f>
        <v/>
      </c>
      <c r="S413" s="24">
        <v>411</v>
      </c>
      <c r="T413" s="39" t="s">
        <v>903</v>
      </c>
      <c r="U413" s="25" t="s">
        <v>317</v>
      </c>
      <c r="V413" s="25" t="s">
        <v>381</v>
      </c>
      <c r="W413" s="24">
        <v>1992</v>
      </c>
      <c r="X413" s="24" t="s">
        <v>29</v>
      </c>
      <c r="Y413" s="46">
        <v>43458</v>
      </c>
      <c r="Z413" s="26">
        <v>43487</v>
      </c>
      <c r="AA413" s="47">
        <v>44189</v>
      </c>
      <c r="AB413" s="27"/>
      <c r="AC413" s="28"/>
      <c r="AD413" s="26"/>
      <c r="AE413" s="28"/>
      <c r="AF413" s="26"/>
      <c r="AG413" s="26"/>
      <c r="AH413" s="26"/>
      <c r="AI413" s="27">
        <f>COUNTIF(DangKyThamGapThuongXuyen!$L$4:$L$5261,DaTa!$T413)</f>
        <v>3</v>
      </c>
    </row>
    <row r="414" spans="17:35" ht="15" x14ac:dyDescent="0.2">
      <c r="Q414" s="29"/>
      <c r="R414" s="30" t="str">
        <f>IF($V414=$R$1,MAX($R$3:R413)+1,"")</f>
        <v/>
      </c>
      <c r="S414" s="24">
        <v>412</v>
      </c>
      <c r="T414" s="39" t="s">
        <v>904</v>
      </c>
      <c r="U414" s="40" t="s">
        <v>905</v>
      </c>
      <c r="V414" s="40" t="s">
        <v>161</v>
      </c>
      <c r="W414" s="41">
        <v>1974</v>
      </c>
      <c r="X414" s="24" t="s">
        <v>29</v>
      </c>
      <c r="Y414" s="42">
        <v>43401</v>
      </c>
      <c r="Z414" s="42">
        <v>43487</v>
      </c>
      <c r="AA414" s="42">
        <v>44132</v>
      </c>
      <c r="AB414" s="27"/>
      <c r="AC414" s="28" t="s">
        <v>243</v>
      </c>
      <c r="AD414" s="26"/>
      <c r="AE414" s="28"/>
      <c r="AF414" s="26"/>
      <c r="AG414" s="26"/>
      <c r="AH414" s="26"/>
      <c r="AI414" s="27">
        <f>COUNTIF(DangKyThamGapThuongXuyen!$L$4:$L$5261,DaTa!$T414)</f>
        <v>0</v>
      </c>
    </row>
    <row r="415" spans="17:35" ht="12.75" x14ac:dyDescent="0.2">
      <c r="Q415" s="29"/>
      <c r="R415" s="30" t="str">
        <f>IF($V415=$R$1,MAX($R$3:R414)+1,"")</f>
        <v/>
      </c>
      <c r="S415" s="24">
        <v>413</v>
      </c>
      <c r="T415" s="39" t="s">
        <v>906</v>
      </c>
      <c r="U415" s="40" t="s">
        <v>907</v>
      </c>
      <c r="V415" s="40" t="s">
        <v>634</v>
      </c>
      <c r="W415" s="41">
        <v>1984</v>
      </c>
      <c r="X415" s="24" t="s">
        <v>29</v>
      </c>
      <c r="Y415" s="42">
        <v>43400</v>
      </c>
      <c r="Z415" s="42">
        <v>43487</v>
      </c>
      <c r="AA415" s="42">
        <v>44131</v>
      </c>
      <c r="AB415" s="27"/>
      <c r="AC415" s="43"/>
      <c r="AD415" s="26"/>
      <c r="AE415" s="43"/>
      <c r="AF415" s="26"/>
      <c r="AG415" s="26"/>
      <c r="AH415" s="26"/>
      <c r="AI415" s="27">
        <f>COUNTIF(DangKyThamGapThuongXuyen!$L$4:$L$5261,DaTa!$T415)</f>
        <v>0</v>
      </c>
    </row>
    <row r="416" spans="17:35" ht="15" x14ac:dyDescent="0.2">
      <c r="Q416" s="29"/>
      <c r="R416" s="30" t="str">
        <f>IF($V416=$R$1,MAX($R$3:R415)+1,"")</f>
        <v/>
      </c>
      <c r="S416" s="24">
        <v>414</v>
      </c>
      <c r="T416" s="39" t="s">
        <v>908</v>
      </c>
      <c r="U416" s="25" t="s">
        <v>909</v>
      </c>
      <c r="V416" s="25" t="s">
        <v>54</v>
      </c>
      <c r="W416" s="24">
        <v>1978</v>
      </c>
      <c r="X416" s="24" t="s">
        <v>29</v>
      </c>
      <c r="Y416" s="26">
        <v>43406</v>
      </c>
      <c r="Z416" s="26">
        <v>43487</v>
      </c>
      <c r="AA416" s="26">
        <v>44137</v>
      </c>
      <c r="AB416" s="27"/>
      <c r="AC416" s="28"/>
      <c r="AD416" s="26"/>
      <c r="AE416" s="28"/>
      <c r="AF416" s="26"/>
      <c r="AG416" s="26"/>
      <c r="AH416" s="26"/>
      <c r="AI416" s="27">
        <f>COUNTIF(DangKyThamGapThuongXuyen!$L$4:$L$5261,DaTa!$T416)</f>
        <v>0</v>
      </c>
    </row>
    <row r="417" spans="17:35" ht="15" x14ac:dyDescent="0.2">
      <c r="Q417" s="29"/>
      <c r="R417" s="30" t="str">
        <f>IF($V417=$R$1,MAX($R$3:R416)+1,"")</f>
        <v/>
      </c>
      <c r="S417" s="24">
        <v>415</v>
      </c>
      <c r="T417" s="39" t="s">
        <v>910</v>
      </c>
      <c r="U417" s="25" t="s">
        <v>570</v>
      </c>
      <c r="V417" s="25" t="s">
        <v>87</v>
      </c>
      <c r="W417" s="24">
        <v>1965</v>
      </c>
      <c r="X417" s="24" t="s">
        <v>29</v>
      </c>
      <c r="Y417" s="26">
        <v>43415</v>
      </c>
      <c r="Z417" s="26">
        <v>43490</v>
      </c>
      <c r="AA417" s="26">
        <v>44146</v>
      </c>
      <c r="AB417" s="27"/>
      <c r="AC417" s="28"/>
      <c r="AD417" s="26"/>
      <c r="AE417" s="28"/>
      <c r="AF417" s="26"/>
      <c r="AG417" s="26"/>
      <c r="AH417" s="26"/>
      <c r="AI417" s="27">
        <f>COUNTIF(DangKyThamGapThuongXuyen!$L$4:$L$5261,DaTa!$T417)</f>
        <v>0</v>
      </c>
    </row>
    <row r="418" spans="17:35" ht="15" x14ac:dyDescent="0.2">
      <c r="Q418" s="29"/>
      <c r="R418" s="30" t="str">
        <f>IF($V418=$R$1,MAX($R$3:R417)+1,"")</f>
        <v/>
      </c>
      <c r="S418" s="24">
        <v>416</v>
      </c>
      <c r="T418" s="39" t="s">
        <v>911</v>
      </c>
      <c r="U418" s="25" t="s">
        <v>912</v>
      </c>
      <c r="V418" s="25" t="s">
        <v>93</v>
      </c>
      <c r="W418" s="24">
        <v>1988</v>
      </c>
      <c r="X418" s="24" t="s">
        <v>29</v>
      </c>
      <c r="Y418" s="26">
        <v>43428</v>
      </c>
      <c r="Z418" s="26">
        <v>43490</v>
      </c>
      <c r="AA418" s="26">
        <v>43885</v>
      </c>
      <c r="AB418" s="27"/>
      <c r="AC418" s="28" t="s">
        <v>668</v>
      </c>
      <c r="AD418" s="26">
        <v>43642</v>
      </c>
      <c r="AE418" s="28">
        <v>60</v>
      </c>
      <c r="AF418" s="26">
        <v>43702</v>
      </c>
      <c r="AG418" s="26"/>
      <c r="AH418" s="26"/>
      <c r="AI418" s="27">
        <f>COUNTIF(DangKyThamGapThuongXuyen!$L$4:$L$5261,DaTa!$T418)</f>
        <v>2</v>
      </c>
    </row>
    <row r="419" spans="17:35" ht="15" x14ac:dyDescent="0.2">
      <c r="Q419" s="29"/>
      <c r="R419" s="30" t="str">
        <f>IF($V419=$R$1,MAX($R$3:R418)+1,"")</f>
        <v/>
      </c>
      <c r="S419" s="24">
        <v>417</v>
      </c>
      <c r="T419" s="39" t="s">
        <v>913</v>
      </c>
      <c r="U419" s="25" t="s">
        <v>141</v>
      </c>
      <c r="V419" s="25" t="s">
        <v>87</v>
      </c>
      <c r="W419" s="24">
        <v>1976</v>
      </c>
      <c r="X419" s="24" t="s">
        <v>29</v>
      </c>
      <c r="Y419" s="26">
        <v>43413</v>
      </c>
      <c r="Z419" s="26">
        <v>43490</v>
      </c>
      <c r="AA419" s="26">
        <v>44052</v>
      </c>
      <c r="AB419" s="24"/>
      <c r="AC419" s="28"/>
      <c r="AD419" s="26"/>
      <c r="AE419" s="28"/>
      <c r="AF419" s="26"/>
      <c r="AG419" s="26"/>
      <c r="AH419" s="26"/>
      <c r="AI419" s="27">
        <f>COUNTIF(DangKyThamGapThuongXuyen!$L$4:$L$5261,DaTa!$T419)</f>
        <v>0</v>
      </c>
    </row>
    <row r="420" spans="17:35" ht="15" x14ac:dyDescent="0.2">
      <c r="Q420" s="29"/>
      <c r="R420" s="30" t="str">
        <f>IF($V420=$R$1,MAX($R$3:R419)+1,"")</f>
        <v/>
      </c>
      <c r="S420" s="24">
        <v>418</v>
      </c>
      <c r="T420" s="39" t="s">
        <v>914</v>
      </c>
      <c r="U420" s="25" t="s">
        <v>915</v>
      </c>
      <c r="V420" s="25" t="s">
        <v>282</v>
      </c>
      <c r="W420" s="24">
        <v>1995</v>
      </c>
      <c r="X420" s="24" t="s">
        <v>29</v>
      </c>
      <c r="Y420" s="46">
        <v>43415</v>
      </c>
      <c r="Z420" s="26">
        <v>43490</v>
      </c>
      <c r="AA420" s="47">
        <v>44054</v>
      </c>
      <c r="AB420" s="27"/>
      <c r="AC420" s="28"/>
      <c r="AD420" s="26"/>
      <c r="AE420" s="28"/>
      <c r="AF420" s="26"/>
      <c r="AG420" s="26"/>
      <c r="AH420" s="26"/>
      <c r="AI420" s="27">
        <f>COUNTIF(DangKyThamGapThuongXuyen!$L$4:$L$5261,DaTa!$T420)</f>
        <v>0</v>
      </c>
    </row>
    <row r="421" spans="17:35" ht="15" x14ac:dyDescent="0.2">
      <c r="Q421" s="29"/>
      <c r="R421" s="30" t="str">
        <f>IF($V421=$R$1,MAX($R$3:R420)+1,"")</f>
        <v/>
      </c>
      <c r="S421" s="24">
        <v>419</v>
      </c>
      <c r="T421" s="39" t="s">
        <v>916</v>
      </c>
      <c r="U421" s="25" t="s">
        <v>360</v>
      </c>
      <c r="V421" s="25" t="s">
        <v>54</v>
      </c>
      <c r="W421" s="24">
        <v>1992</v>
      </c>
      <c r="X421" s="24" t="s">
        <v>29</v>
      </c>
      <c r="Y421" s="26">
        <v>43417</v>
      </c>
      <c r="Z421" s="26">
        <v>43490</v>
      </c>
      <c r="AA421" s="26">
        <v>44056</v>
      </c>
      <c r="AB421" s="27"/>
      <c r="AC421" s="28"/>
      <c r="AD421" s="26"/>
      <c r="AE421" s="28"/>
      <c r="AF421" s="26"/>
      <c r="AG421" s="26"/>
      <c r="AH421" s="26"/>
      <c r="AI421" s="27">
        <f>COUNTIF(DangKyThamGapThuongXuyen!$L$4:$L$5261,DaTa!$T421)</f>
        <v>0</v>
      </c>
    </row>
    <row r="422" spans="17:35" ht="12.75" x14ac:dyDescent="0.2">
      <c r="Q422" s="29"/>
      <c r="R422" s="30" t="str">
        <f>IF($V422=$R$1,MAX($R$3:R421)+1,"")</f>
        <v/>
      </c>
      <c r="S422" s="24">
        <v>420</v>
      </c>
      <c r="T422" s="39" t="s">
        <v>917</v>
      </c>
      <c r="U422" s="40" t="s">
        <v>918</v>
      </c>
      <c r="V422" s="40" t="s">
        <v>851</v>
      </c>
      <c r="W422" s="41">
        <v>1984</v>
      </c>
      <c r="X422" s="24" t="s">
        <v>29</v>
      </c>
      <c r="Y422" s="42">
        <v>43422</v>
      </c>
      <c r="Z422" s="42">
        <v>43490</v>
      </c>
      <c r="AA422" s="42">
        <v>43969</v>
      </c>
      <c r="AB422" s="27"/>
      <c r="AC422" s="43"/>
      <c r="AD422" s="26"/>
      <c r="AE422" s="43"/>
      <c r="AF422" s="26"/>
      <c r="AG422" s="26"/>
      <c r="AH422" s="26"/>
      <c r="AI422" s="27">
        <f>COUNTIF(DangKyThamGapThuongXuyen!$L$4:$L$5261,DaTa!$T422)</f>
        <v>3</v>
      </c>
    </row>
    <row r="423" spans="17:35" ht="15" x14ac:dyDescent="0.2">
      <c r="Q423" s="29"/>
      <c r="R423" s="30" t="str">
        <f>IF($V423=$R$1,MAX($R$3:R422)+1,"")</f>
        <v/>
      </c>
      <c r="S423" s="24">
        <v>421</v>
      </c>
      <c r="T423" s="39" t="s">
        <v>919</v>
      </c>
      <c r="U423" s="25" t="s">
        <v>920</v>
      </c>
      <c r="V423" s="25" t="s">
        <v>99</v>
      </c>
      <c r="W423" s="24">
        <v>1986</v>
      </c>
      <c r="X423" s="24" t="s">
        <v>29</v>
      </c>
      <c r="Y423" s="45">
        <v>43423</v>
      </c>
      <c r="Z423" s="26">
        <v>43490</v>
      </c>
      <c r="AA423" s="26">
        <v>44154</v>
      </c>
      <c r="AB423" s="27"/>
      <c r="AC423" s="28"/>
      <c r="AD423" s="26"/>
      <c r="AE423" s="28"/>
      <c r="AF423" s="26"/>
      <c r="AG423" s="26"/>
      <c r="AH423" s="26"/>
      <c r="AI423" s="27">
        <f>COUNTIF(DangKyThamGapThuongXuyen!$L$4:$L$5261,DaTa!$T423)</f>
        <v>2</v>
      </c>
    </row>
    <row r="424" spans="17:35" ht="15" x14ac:dyDescent="0.2">
      <c r="Q424" s="29"/>
      <c r="R424" s="30" t="str">
        <f>IF($V424=$R$1,MAX($R$3:R423)+1,"")</f>
        <v/>
      </c>
      <c r="S424" s="24">
        <v>422</v>
      </c>
      <c r="T424" s="39" t="s">
        <v>921</v>
      </c>
      <c r="U424" s="25" t="s">
        <v>922</v>
      </c>
      <c r="V424" s="25" t="s">
        <v>87</v>
      </c>
      <c r="W424" s="24">
        <v>1985</v>
      </c>
      <c r="X424" s="24" t="s">
        <v>29</v>
      </c>
      <c r="Y424" s="45">
        <v>43391</v>
      </c>
      <c r="Z424" s="26">
        <v>43493</v>
      </c>
      <c r="AA424" s="26">
        <v>43848</v>
      </c>
      <c r="AB424" s="27"/>
      <c r="AC424" s="28"/>
      <c r="AD424" s="26"/>
      <c r="AE424" s="28"/>
      <c r="AF424" s="26"/>
      <c r="AG424" s="26"/>
      <c r="AH424" s="26"/>
      <c r="AI424" s="27">
        <f>COUNTIF(DangKyThamGapThuongXuyen!$L$4:$L$5261,DaTa!$T424)</f>
        <v>0</v>
      </c>
    </row>
    <row r="425" spans="17:35" ht="12.75" x14ac:dyDescent="0.2">
      <c r="Q425" s="29"/>
      <c r="R425" s="30" t="str">
        <f>IF($V425=$R$1,MAX($R$3:R424)+1,"")</f>
        <v/>
      </c>
      <c r="S425" s="24">
        <v>423</v>
      </c>
      <c r="T425" s="39" t="s">
        <v>923</v>
      </c>
      <c r="U425" s="25" t="s">
        <v>924</v>
      </c>
      <c r="V425" s="25" t="s">
        <v>93</v>
      </c>
      <c r="W425" s="24">
        <v>1988</v>
      </c>
      <c r="X425" s="24" t="s">
        <v>29</v>
      </c>
      <c r="Y425" s="26" t="s">
        <v>925</v>
      </c>
      <c r="Z425" s="26">
        <v>43495</v>
      </c>
      <c r="AA425" s="26">
        <v>44199</v>
      </c>
      <c r="AB425" s="27"/>
      <c r="AC425" s="43"/>
      <c r="AD425" s="26"/>
      <c r="AE425" s="43"/>
      <c r="AF425" s="26"/>
      <c r="AG425" s="26"/>
      <c r="AH425" s="26"/>
      <c r="AI425" s="27">
        <f>COUNTIF(DangKyThamGapThuongXuyen!$L$4:$L$5261,DaTa!$T425)</f>
        <v>2</v>
      </c>
    </row>
    <row r="426" spans="17:35" ht="15" x14ac:dyDescent="0.2">
      <c r="Q426" s="29"/>
      <c r="R426" s="30" t="str">
        <f>IF($V426=$R$1,MAX($R$3:R425)+1,"")</f>
        <v/>
      </c>
      <c r="S426" s="24">
        <v>424</v>
      </c>
      <c r="T426" s="39" t="s">
        <v>926</v>
      </c>
      <c r="U426" s="25" t="s">
        <v>927</v>
      </c>
      <c r="V426" s="25" t="s">
        <v>57</v>
      </c>
      <c r="W426" s="24">
        <v>1989</v>
      </c>
      <c r="X426" s="24" t="s">
        <v>29</v>
      </c>
      <c r="Y426" s="26">
        <v>43432</v>
      </c>
      <c r="Z426" s="26">
        <v>43495</v>
      </c>
      <c r="AA426" s="26">
        <v>43979</v>
      </c>
      <c r="AB426" s="27"/>
      <c r="AC426" s="28"/>
      <c r="AD426" s="26"/>
      <c r="AE426" s="28"/>
      <c r="AF426" s="26"/>
      <c r="AG426" s="26"/>
      <c r="AH426" s="26"/>
      <c r="AI426" s="27">
        <f>COUNTIF(DangKyThamGapThuongXuyen!$L$4:$L$5261,DaTa!$T426)</f>
        <v>0</v>
      </c>
    </row>
    <row r="427" spans="17:35" ht="15" x14ac:dyDescent="0.2">
      <c r="Q427" s="29"/>
      <c r="R427" s="30" t="str">
        <f>IF($V427=$R$1,MAX($R$3:R426)+1,"")</f>
        <v/>
      </c>
      <c r="S427" s="24">
        <v>425</v>
      </c>
      <c r="T427" s="39" t="s">
        <v>928</v>
      </c>
      <c r="U427" s="25" t="s">
        <v>929</v>
      </c>
      <c r="V427" s="25" t="s">
        <v>174</v>
      </c>
      <c r="W427" s="24">
        <v>1977</v>
      </c>
      <c r="X427" s="24" t="s">
        <v>29</v>
      </c>
      <c r="Y427" s="26">
        <v>43411</v>
      </c>
      <c r="Z427" s="26">
        <v>43495</v>
      </c>
      <c r="AA427" s="26">
        <v>43958</v>
      </c>
      <c r="AB427" s="27"/>
      <c r="AC427" s="28"/>
      <c r="AD427" s="26"/>
      <c r="AE427" s="28"/>
      <c r="AF427" s="26"/>
      <c r="AG427" s="26"/>
      <c r="AH427" s="26"/>
      <c r="AI427" s="27">
        <f>COUNTIF(DangKyThamGapThuongXuyen!$L$4:$L$5261,DaTa!$T427)</f>
        <v>0</v>
      </c>
    </row>
    <row r="428" spans="17:35" ht="15" x14ac:dyDescent="0.2">
      <c r="Q428" s="29"/>
      <c r="R428" s="30" t="str">
        <f>IF($V428=$R$1,MAX($R$3:R427)+1,"")</f>
        <v/>
      </c>
      <c r="S428" s="24">
        <v>426</v>
      </c>
      <c r="T428" s="39" t="s">
        <v>930</v>
      </c>
      <c r="U428" s="25" t="s">
        <v>931</v>
      </c>
      <c r="V428" s="25" t="s">
        <v>195</v>
      </c>
      <c r="W428" s="24">
        <v>1971</v>
      </c>
      <c r="X428" s="24" t="s">
        <v>29</v>
      </c>
      <c r="Y428" s="26">
        <v>43385</v>
      </c>
      <c r="Z428" s="26">
        <v>43495</v>
      </c>
      <c r="AA428" s="26">
        <v>44116</v>
      </c>
      <c r="AB428" s="27"/>
      <c r="AC428" s="28"/>
      <c r="AD428" s="26"/>
      <c r="AE428" s="28"/>
      <c r="AF428" s="26"/>
      <c r="AG428" s="26"/>
      <c r="AH428" s="26"/>
      <c r="AI428" s="27">
        <f>COUNTIF(DangKyThamGapThuongXuyen!$L$4:$L$5261,DaTa!$T428)</f>
        <v>9</v>
      </c>
    </row>
    <row r="429" spans="17:35" ht="15" x14ac:dyDescent="0.2">
      <c r="Q429" s="29"/>
      <c r="R429" s="23" t="str">
        <f>IF($V429=$R$1,MAX($R$3:R428)+1,"")</f>
        <v/>
      </c>
      <c r="S429" s="24">
        <v>427</v>
      </c>
      <c r="T429" s="39" t="s">
        <v>932</v>
      </c>
      <c r="U429" s="25" t="s">
        <v>933</v>
      </c>
      <c r="V429" s="25" t="s">
        <v>93</v>
      </c>
      <c r="W429" s="24">
        <v>1977</v>
      </c>
      <c r="X429" s="24" t="s">
        <v>29</v>
      </c>
      <c r="Y429" s="46">
        <v>43430</v>
      </c>
      <c r="Z429" s="26">
        <v>43495</v>
      </c>
      <c r="AA429" s="50">
        <v>43977</v>
      </c>
      <c r="AB429" s="27"/>
      <c r="AC429" s="28"/>
      <c r="AD429" s="26"/>
      <c r="AE429" s="28"/>
      <c r="AF429" s="26"/>
      <c r="AG429" s="26"/>
      <c r="AH429" s="26"/>
      <c r="AI429" s="27">
        <f>COUNTIF(DangKyThamGapThuongXuyen!$L$4:$L$5261,DaTa!$T429)</f>
        <v>0</v>
      </c>
    </row>
    <row r="430" spans="17:35" ht="15" x14ac:dyDescent="0.2">
      <c r="Q430" s="29"/>
      <c r="R430" s="30" t="str">
        <f>IF($V430=$R$1,MAX($R$3:R429)+1,"")</f>
        <v/>
      </c>
      <c r="S430" s="24">
        <v>428</v>
      </c>
      <c r="T430" s="39" t="s">
        <v>934</v>
      </c>
      <c r="U430" s="25" t="s">
        <v>935</v>
      </c>
      <c r="V430" s="25" t="s">
        <v>936</v>
      </c>
      <c r="W430" s="24">
        <v>1977</v>
      </c>
      <c r="X430" s="24" t="s">
        <v>21</v>
      </c>
      <c r="Y430" s="46">
        <v>43439</v>
      </c>
      <c r="Z430" s="26">
        <v>43495</v>
      </c>
      <c r="AA430" s="47">
        <v>44079</v>
      </c>
      <c r="AB430" s="27"/>
      <c r="AC430" s="28"/>
      <c r="AD430" s="26"/>
      <c r="AE430" s="28"/>
      <c r="AF430" s="26"/>
      <c r="AG430" s="26"/>
      <c r="AH430" s="26"/>
      <c r="AI430" s="27">
        <f>COUNTIF(DangKyThamGapThuongXuyen!$L$4:$L$5261,DaTa!$T430)</f>
        <v>0</v>
      </c>
    </row>
    <row r="431" spans="17:35" ht="15" x14ac:dyDescent="0.2">
      <c r="Q431" s="29"/>
      <c r="R431" s="30" t="str">
        <f>IF($V431=$R$1,MAX($R$3:R430)+1,"")</f>
        <v/>
      </c>
      <c r="S431" s="24">
        <v>429</v>
      </c>
      <c r="T431" s="39" t="s">
        <v>937</v>
      </c>
      <c r="U431" s="54" t="s">
        <v>938</v>
      </c>
      <c r="V431" s="54" t="s">
        <v>54</v>
      </c>
      <c r="W431" s="55">
        <v>1985</v>
      </c>
      <c r="X431" s="55" t="s">
        <v>21</v>
      </c>
      <c r="Y431" s="46">
        <v>43387</v>
      </c>
      <c r="Z431" s="26">
        <v>43495</v>
      </c>
      <c r="AA431" s="46">
        <v>44026</v>
      </c>
      <c r="AB431" s="27"/>
      <c r="AC431" s="28"/>
      <c r="AD431" s="26"/>
      <c r="AE431" s="28"/>
      <c r="AF431" s="26"/>
      <c r="AG431" s="26"/>
      <c r="AH431" s="26"/>
      <c r="AI431" s="27">
        <f>COUNTIF(DangKyThamGapThuongXuyen!$L$4:$L$5261,DaTa!$T431)</f>
        <v>0</v>
      </c>
    </row>
    <row r="432" spans="17:35" ht="15" x14ac:dyDescent="0.2">
      <c r="Q432" s="29"/>
      <c r="R432" s="30" t="str">
        <f>IF($V432=$R$1,MAX($R$3:R431)+1,"")</f>
        <v/>
      </c>
      <c r="S432" s="24">
        <v>430</v>
      </c>
      <c r="T432" s="39" t="s">
        <v>939</v>
      </c>
      <c r="U432" s="40" t="s">
        <v>940</v>
      </c>
      <c r="V432" s="40" t="s">
        <v>87</v>
      </c>
      <c r="W432" s="41">
        <v>1985</v>
      </c>
      <c r="X432" s="24" t="s">
        <v>21</v>
      </c>
      <c r="Y432" s="42">
        <v>43425</v>
      </c>
      <c r="Z432" s="42">
        <v>43495</v>
      </c>
      <c r="AA432" s="42">
        <v>44156</v>
      </c>
      <c r="AB432" s="27"/>
      <c r="AC432" s="28"/>
      <c r="AD432" s="26"/>
      <c r="AE432" s="28"/>
      <c r="AF432" s="26"/>
      <c r="AG432" s="26"/>
      <c r="AH432" s="26"/>
      <c r="AI432" s="27">
        <f>COUNTIF(DangKyThamGapThuongXuyen!$L$4:$L$5261,DaTa!$T432)</f>
        <v>0</v>
      </c>
    </row>
    <row r="433" spans="17:35" ht="12.75" x14ac:dyDescent="0.2">
      <c r="Q433" s="29"/>
      <c r="R433" s="30" t="str">
        <f>IF($V433=$R$1,MAX($R$3:R432)+1,"")</f>
        <v/>
      </c>
      <c r="S433" s="24">
        <v>431</v>
      </c>
      <c r="T433" s="39" t="s">
        <v>941</v>
      </c>
      <c r="U433" s="40" t="s">
        <v>818</v>
      </c>
      <c r="V433" s="40" t="s">
        <v>123</v>
      </c>
      <c r="W433" s="41">
        <v>1979</v>
      </c>
      <c r="X433" s="24" t="s">
        <v>21</v>
      </c>
      <c r="Y433" s="42">
        <v>43434</v>
      </c>
      <c r="Z433" s="42">
        <v>43495</v>
      </c>
      <c r="AA433" s="42">
        <v>43981</v>
      </c>
      <c r="AB433" s="27"/>
      <c r="AC433" s="43"/>
      <c r="AD433" s="26"/>
      <c r="AE433" s="43"/>
      <c r="AF433" s="26"/>
      <c r="AG433" s="26"/>
      <c r="AH433" s="26"/>
      <c r="AI433" s="27">
        <f>COUNTIF(DangKyThamGapThuongXuyen!$L$4:$L$5261,DaTa!$T433)</f>
        <v>1</v>
      </c>
    </row>
    <row r="434" spans="17:35" ht="12.75" x14ac:dyDescent="0.2">
      <c r="Q434" s="29"/>
      <c r="R434" s="30" t="str">
        <f>IF($V434=$R$1,MAX($R$3:R433)+1,"")</f>
        <v/>
      </c>
      <c r="S434" s="24">
        <v>432</v>
      </c>
      <c r="T434" s="39" t="s">
        <v>942</v>
      </c>
      <c r="U434" s="40" t="s">
        <v>848</v>
      </c>
      <c r="V434" s="40" t="s">
        <v>107</v>
      </c>
      <c r="W434" s="41">
        <v>1991</v>
      </c>
      <c r="X434" s="24" t="s">
        <v>21</v>
      </c>
      <c r="Y434" s="42">
        <v>43438</v>
      </c>
      <c r="Z434" s="42">
        <v>43495</v>
      </c>
      <c r="AA434" s="42">
        <v>43986</v>
      </c>
      <c r="AB434" s="27"/>
      <c r="AC434" s="43"/>
      <c r="AD434" s="26"/>
      <c r="AE434" s="43"/>
      <c r="AF434" s="26"/>
      <c r="AG434" s="26"/>
      <c r="AH434" s="26"/>
      <c r="AI434" s="27">
        <f>COUNTIF(DangKyThamGapThuongXuyen!$L$4:$L$5261,DaTa!$T434)</f>
        <v>0</v>
      </c>
    </row>
    <row r="435" spans="17:35" ht="15" x14ac:dyDescent="0.2">
      <c r="Q435" s="29"/>
      <c r="R435" s="30" t="str">
        <f>IF($V435=$R$1,MAX($R$3:R434)+1,"")</f>
        <v/>
      </c>
      <c r="S435" s="24">
        <v>433</v>
      </c>
      <c r="T435" s="39" t="s">
        <v>943</v>
      </c>
      <c r="U435" s="25" t="s">
        <v>804</v>
      </c>
      <c r="V435" s="25" t="s">
        <v>944</v>
      </c>
      <c r="W435" s="24">
        <v>1972</v>
      </c>
      <c r="X435" s="24" t="s">
        <v>25</v>
      </c>
      <c r="Y435" s="26">
        <v>43433</v>
      </c>
      <c r="Z435" s="26">
        <v>43498</v>
      </c>
      <c r="AA435" s="26">
        <v>43890</v>
      </c>
      <c r="AB435" s="27"/>
      <c r="AC435" s="28" t="s">
        <v>88</v>
      </c>
      <c r="AD435" s="26">
        <v>43550</v>
      </c>
      <c r="AE435" s="28">
        <v>160</v>
      </c>
      <c r="AF435" s="26">
        <v>43710</v>
      </c>
      <c r="AG435" s="26"/>
      <c r="AH435" s="26"/>
      <c r="AI435" s="27">
        <f>COUNTIF(DangKyThamGapThuongXuyen!$L$4:$L$5261,DaTa!$T435)</f>
        <v>0</v>
      </c>
    </row>
    <row r="436" spans="17:35" ht="15" x14ac:dyDescent="0.2">
      <c r="Q436" s="29"/>
      <c r="R436" s="30" t="str">
        <f>IF($V436=$R$1,MAX($R$3:R435)+1,"")</f>
        <v/>
      </c>
      <c r="S436" s="24">
        <v>434</v>
      </c>
      <c r="T436" s="39" t="s">
        <v>945</v>
      </c>
      <c r="U436" s="25" t="s">
        <v>946</v>
      </c>
      <c r="V436" s="25" t="s">
        <v>293</v>
      </c>
      <c r="W436" s="24">
        <v>1984</v>
      </c>
      <c r="X436" s="24" t="s">
        <v>25</v>
      </c>
      <c r="Y436" s="26">
        <v>43459</v>
      </c>
      <c r="Z436" s="26">
        <v>43498</v>
      </c>
      <c r="AA436" s="26">
        <v>44190</v>
      </c>
      <c r="AB436" s="27"/>
      <c r="AC436" s="28"/>
      <c r="AD436" s="26"/>
      <c r="AE436" s="28"/>
      <c r="AF436" s="26"/>
      <c r="AG436" s="26"/>
      <c r="AH436" s="26"/>
      <c r="AI436" s="27">
        <f>COUNTIF(DangKyThamGapThuongXuyen!$L$4:$L$5261,DaTa!$T436)</f>
        <v>0</v>
      </c>
    </row>
    <row r="437" spans="17:35" ht="15" x14ac:dyDescent="0.2">
      <c r="Q437" s="29"/>
      <c r="R437" s="30" t="str">
        <f>IF($V437=$R$1,MAX($R$3:R436)+1,"")</f>
        <v/>
      </c>
      <c r="S437" s="24">
        <v>435</v>
      </c>
      <c r="T437" s="39" t="s">
        <v>947</v>
      </c>
      <c r="U437" s="25" t="s">
        <v>948</v>
      </c>
      <c r="V437" s="25" t="s">
        <v>766</v>
      </c>
      <c r="W437" s="24">
        <v>1984</v>
      </c>
      <c r="X437" s="24" t="s">
        <v>25</v>
      </c>
      <c r="Y437" s="26">
        <v>43430</v>
      </c>
      <c r="Z437" s="26">
        <v>43498</v>
      </c>
      <c r="AA437" s="26">
        <v>44069</v>
      </c>
      <c r="AB437" s="27"/>
      <c r="AC437" s="28"/>
      <c r="AD437" s="26"/>
      <c r="AE437" s="28"/>
      <c r="AF437" s="26"/>
      <c r="AG437" s="26"/>
      <c r="AH437" s="26"/>
      <c r="AI437" s="27">
        <f>COUNTIF(DangKyThamGapThuongXuyen!$L$4:$L$5261,DaTa!$T437)</f>
        <v>2</v>
      </c>
    </row>
    <row r="438" spans="17:35" ht="15" x14ac:dyDescent="0.2">
      <c r="Q438" s="29"/>
      <c r="R438" s="30" t="str">
        <f>IF($V438=$R$1,MAX($R$3:R437)+1,"")</f>
        <v/>
      </c>
      <c r="S438" s="24">
        <v>436</v>
      </c>
      <c r="T438" s="39" t="s">
        <v>949</v>
      </c>
      <c r="U438" s="25" t="s">
        <v>462</v>
      </c>
      <c r="V438" s="25" t="s">
        <v>318</v>
      </c>
      <c r="W438" s="24">
        <v>1981</v>
      </c>
      <c r="X438" s="24" t="s">
        <v>25</v>
      </c>
      <c r="Y438" s="26">
        <v>43420</v>
      </c>
      <c r="Z438" s="26">
        <v>43498</v>
      </c>
      <c r="AA438" s="26">
        <v>43967</v>
      </c>
      <c r="AB438" s="27"/>
      <c r="AC438" s="28"/>
      <c r="AD438" s="26"/>
      <c r="AE438" s="28"/>
      <c r="AF438" s="26"/>
      <c r="AG438" s="26"/>
      <c r="AH438" s="26"/>
      <c r="AI438" s="27">
        <f>COUNTIF(DangKyThamGapThuongXuyen!$L$4:$L$5261,DaTa!$T438)</f>
        <v>0</v>
      </c>
    </row>
    <row r="439" spans="17:35" ht="15" x14ac:dyDescent="0.2">
      <c r="Q439" s="29"/>
      <c r="R439" s="30" t="str">
        <f>IF($V439=$R$1,MAX($R$3:R438)+1,"")</f>
        <v/>
      </c>
      <c r="S439" s="24">
        <v>437</v>
      </c>
      <c r="T439" s="39" t="s">
        <v>950</v>
      </c>
      <c r="U439" s="25" t="s">
        <v>951</v>
      </c>
      <c r="V439" s="25" t="s">
        <v>952</v>
      </c>
      <c r="W439" s="24">
        <v>1990</v>
      </c>
      <c r="X439" s="24" t="s">
        <v>25</v>
      </c>
      <c r="Y439" s="46">
        <v>43415</v>
      </c>
      <c r="Z439" s="26">
        <v>43498</v>
      </c>
      <c r="AA439" s="47">
        <v>44054</v>
      </c>
      <c r="AB439" s="27"/>
      <c r="AC439" s="28"/>
      <c r="AD439" s="26"/>
      <c r="AE439" s="28"/>
      <c r="AF439" s="26"/>
      <c r="AG439" s="26"/>
      <c r="AH439" s="26"/>
      <c r="AI439" s="27">
        <f>COUNTIF(DangKyThamGapThuongXuyen!$L$4:$L$5261,DaTa!$T439)</f>
        <v>0</v>
      </c>
    </row>
    <row r="440" spans="17:35" ht="15" x14ac:dyDescent="0.2">
      <c r="Q440" s="29"/>
      <c r="R440" s="30" t="str">
        <f>IF($V440=$R$1,MAX($R$3:R439)+1,"")</f>
        <v/>
      </c>
      <c r="S440" s="24">
        <v>438</v>
      </c>
      <c r="T440" s="39" t="s">
        <v>953</v>
      </c>
      <c r="U440" s="25" t="s">
        <v>954</v>
      </c>
      <c r="V440" s="25" t="s">
        <v>54</v>
      </c>
      <c r="W440" s="24">
        <v>1972</v>
      </c>
      <c r="X440" s="24" t="s">
        <v>25</v>
      </c>
      <c r="Y440" s="26">
        <v>43399</v>
      </c>
      <c r="Z440" s="26">
        <v>43498</v>
      </c>
      <c r="AA440" s="26">
        <v>43947</v>
      </c>
      <c r="AB440" s="27"/>
      <c r="AC440" s="28"/>
      <c r="AD440" s="26"/>
      <c r="AE440" s="28"/>
      <c r="AF440" s="26"/>
      <c r="AG440" s="26"/>
      <c r="AH440" s="26"/>
      <c r="AI440" s="27">
        <f>COUNTIF(DangKyThamGapThuongXuyen!$L$4:$L$5261,DaTa!$T440)</f>
        <v>1</v>
      </c>
    </row>
    <row r="441" spans="17:35" ht="15" x14ac:dyDescent="0.2">
      <c r="Q441" s="29"/>
      <c r="R441" s="30" t="str">
        <f>IF($V441=$R$1,MAX($R$3:R440)+1,"")</f>
        <v/>
      </c>
      <c r="S441" s="24">
        <v>439</v>
      </c>
      <c r="T441" s="39" t="s">
        <v>955</v>
      </c>
      <c r="U441" s="25" t="s">
        <v>956</v>
      </c>
      <c r="V441" s="48" t="s">
        <v>195</v>
      </c>
      <c r="W441" s="24">
        <v>1985</v>
      </c>
      <c r="X441" s="24" t="s">
        <v>25</v>
      </c>
      <c r="Y441" s="26">
        <v>43403</v>
      </c>
      <c r="Z441" s="26">
        <v>43498</v>
      </c>
      <c r="AA441" s="26">
        <v>43951</v>
      </c>
      <c r="AB441" s="27"/>
      <c r="AC441" s="28"/>
      <c r="AD441" s="26"/>
      <c r="AE441" s="28"/>
      <c r="AF441" s="26"/>
      <c r="AG441" s="26"/>
      <c r="AH441" s="26"/>
      <c r="AI441" s="27">
        <f>COUNTIF(DangKyThamGapThuongXuyen!$L$4:$L$5261,DaTa!$T441)</f>
        <v>2</v>
      </c>
    </row>
    <row r="442" spans="17:35" ht="15" x14ac:dyDescent="0.2">
      <c r="Q442" s="29"/>
      <c r="R442" s="30" t="str">
        <f>IF($V442=$R$1,MAX($R$3:R441)+1,"")</f>
        <v/>
      </c>
      <c r="S442" s="24">
        <v>440</v>
      </c>
      <c r="T442" s="39" t="s">
        <v>957</v>
      </c>
      <c r="U442" s="25" t="s">
        <v>958</v>
      </c>
      <c r="V442" s="25" t="s">
        <v>99</v>
      </c>
      <c r="W442" s="24">
        <v>1993</v>
      </c>
      <c r="X442" s="24" t="s">
        <v>25</v>
      </c>
      <c r="Y442" s="26">
        <v>43392</v>
      </c>
      <c r="Z442" s="26">
        <v>43498</v>
      </c>
      <c r="AA442" s="26">
        <v>44031</v>
      </c>
      <c r="AB442" s="27"/>
      <c r="AC442" s="28"/>
      <c r="AD442" s="26"/>
      <c r="AE442" s="28"/>
      <c r="AF442" s="26"/>
      <c r="AG442" s="26"/>
      <c r="AH442" s="26"/>
      <c r="AI442" s="27">
        <f>COUNTIF(DangKyThamGapThuongXuyen!$L$4:$L$5261,DaTa!$T442)</f>
        <v>0</v>
      </c>
    </row>
    <row r="443" spans="17:35" ht="15" x14ac:dyDescent="0.2">
      <c r="Q443" s="29"/>
      <c r="R443" s="30" t="str">
        <f>IF($V443=$R$1,MAX($R$3:R442)+1,"")</f>
        <v/>
      </c>
      <c r="S443" s="24">
        <v>441</v>
      </c>
      <c r="T443" s="39" t="s">
        <v>959</v>
      </c>
      <c r="U443" s="25" t="s">
        <v>960</v>
      </c>
      <c r="V443" s="25" t="s">
        <v>20</v>
      </c>
      <c r="W443" s="24">
        <v>1966</v>
      </c>
      <c r="X443" s="24" t="s">
        <v>25</v>
      </c>
      <c r="Y443" s="46">
        <v>43403</v>
      </c>
      <c r="Z443" s="26">
        <v>43498</v>
      </c>
      <c r="AA443" s="50">
        <v>44042</v>
      </c>
      <c r="AB443" s="27"/>
      <c r="AC443" s="28"/>
      <c r="AD443" s="26"/>
      <c r="AE443" s="28"/>
      <c r="AF443" s="26"/>
      <c r="AG443" s="26"/>
      <c r="AH443" s="26"/>
      <c r="AI443" s="27">
        <f>COUNTIF(DangKyThamGapThuongXuyen!$L$4:$L$5261,DaTa!$T443)</f>
        <v>0</v>
      </c>
    </row>
    <row r="444" spans="17:35" ht="15" x14ac:dyDescent="0.2">
      <c r="Q444" s="29"/>
      <c r="R444" s="30" t="str">
        <f>IF($V444=$R$1,MAX($R$3:R443)+1,"")</f>
        <v/>
      </c>
      <c r="S444" s="24">
        <v>442</v>
      </c>
      <c r="T444" s="39" t="s">
        <v>961</v>
      </c>
      <c r="U444" s="25" t="s">
        <v>962</v>
      </c>
      <c r="V444" s="25" t="s">
        <v>115</v>
      </c>
      <c r="W444" s="24">
        <v>1975</v>
      </c>
      <c r="X444" s="24" t="s">
        <v>25</v>
      </c>
      <c r="Y444" s="26">
        <v>43364</v>
      </c>
      <c r="Z444" s="26">
        <v>43498</v>
      </c>
      <c r="AA444" s="26">
        <v>43820</v>
      </c>
      <c r="AB444" s="27"/>
      <c r="AC444" s="28"/>
      <c r="AD444" s="26"/>
      <c r="AE444" s="28"/>
      <c r="AF444" s="26"/>
      <c r="AG444" s="26"/>
      <c r="AH444" s="26"/>
      <c r="AI444" s="27">
        <f>COUNTIF(DangKyThamGapThuongXuyen!$L$4:$L$5261,DaTa!$T444)</f>
        <v>0</v>
      </c>
    </row>
    <row r="445" spans="17:35" ht="15" x14ac:dyDescent="0.2">
      <c r="Q445" s="29"/>
      <c r="R445" s="30" t="str">
        <f>IF($V445=$R$1,MAX($R$3:R444)+1,"")</f>
        <v/>
      </c>
      <c r="S445" s="24">
        <v>443</v>
      </c>
      <c r="T445" s="39" t="s">
        <v>963</v>
      </c>
      <c r="U445" s="40" t="s">
        <v>964</v>
      </c>
      <c r="V445" s="40" t="s">
        <v>318</v>
      </c>
      <c r="W445" s="41">
        <v>1974</v>
      </c>
      <c r="X445" s="24" t="s">
        <v>25</v>
      </c>
      <c r="Y445" s="60">
        <v>43424</v>
      </c>
      <c r="Z445" s="42">
        <v>43498</v>
      </c>
      <c r="AA445" s="42">
        <v>44155</v>
      </c>
      <c r="AB445" s="27"/>
      <c r="AC445" s="28"/>
      <c r="AD445" s="26"/>
      <c r="AE445" s="28"/>
      <c r="AF445" s="26"/>
      <c r="AG445" s="26"/>
      <c r="AH445" s="26"/>
      <c r="AI445" s="27">
        <f>COUNTIF(DangKyThamGapThuongXuyen!$L$4:$L$5261,DaTa!$T445)</f>
        <v>0</v>
      </c>
    </row>
    <row r="446" spans="17:35" ht="12.75" x14ac:dyDescent="0.2">
      <c r="Q446" s="29"/>
      <c r="R446" s="30" t="str">
        <f>IF($V446=$R$1,MAX($R$3:R445)+1,"")</f>
        <v/>
      </c>
      <c r="S446" s="24">
        <v>444</v>
      </c>
      <c r="T446" s="39" t="s">
        <v>965</v>
      </c>
      <c r="U446" s="40" t="s">
        <v>966</v>
      </c>
      <c r="V446" s="40" t="s">
        <v>900</v>
      </c>
      <c r="W446" s="41">
        <v>1986</v>
      </c>
      <c r="X446" s="24" t="s">
        <v>25</v>
      </c>
      <c r="Y446" s="42">
        <v>43417</v>
      </c>
      <c r="Z446" s="42">
        <v>43498</v>
      </c>
      <c r="AA446" s="42">
        <v>44087</v>
      </c>
      <c r="AB446" s="27"/>
      <c r="AC446" s="43" t="s">
        <v>243</v>
      </c>
      <c r="AD446" s="26"/>
      <c r="AE446" s="43"/>
      <c r="AF446" s="26"/>
      <c r="AG446" s="26"/>
      <c r="AH446" s="26"/>
      <c r="AI446" s="27">
        <f>COUNTIF(DangKyThamGapThuongXuyen!$L$4:$L$5261,DaTa!$T446)</f>
        <v>0</v>
      </c>
    </row>
    <row r="447" spans="17:35" ht="15" x14ac:dyDescent="0.2">
      <c r="Q447" s="29"/>
      <c r="R447" s="30" t="str">
        <f>IF($V447=$R$1,MAX($R$3:R446)+1,"")</f>
        <v/>
      </c>
      <c r="S447" s="24">
        <v>445</v>
      </c>
      <c r="T447" s="39" t="s">
        <v>967</v>
      </c>
      <c r="U447" s="25" t="s">
        <v>968</v>
      </c>
      <c r="V447" s="25" t="s">
        <v>969</v>
      </c>
      <c r="W447" s="24">
        <v>1992</v>
      </c>
      <c r="X447" s="24" t="s">
        <v>25</v>
      </c>
      <c r="Y447" s="26">
        <v>43416</v>
      </c>
      <c r="Z447" s="26">
        <v>43499</v>
      </c>
      <c r="AA447" s="26">
        <v>44055</v>
      </c>
      <c r="AB447" s="27"/>
      <c r="AC447" s="28"/>
      <c r="AD447" s="26"/>
      <c r="AE447" s="28"/>
      <c r="AF447" s="26"/>
      <c r="AG447" s="26"/>
      <c r="AH447" s="26"/>
      <c r="AI447" s="27">
        <f>COUNTIF(DangKyThamGapThuongXuyen!$L$4:$L$5261,DaTa!$T447)</f>
        <v>1</v>
      </c>
    </row>
    <row r="448" spans="17:35" ht="15" x14ac:dyDescent="0.2">
      <c r="Q448" s="29"/>
      <c r="R448" s="30" t="str">
        <f>IF($V448=$R$1,MAX($R$3:R447)+1,"")</f>
        <v/>
      </c>
      <c r="S448" s="24">
        <v>446</v>
      </c>
      <c r="T448" s="39" t="s">
        <v>970</v>
      </c>
      <c r="U448" s="25" t="s">
        <v>971</v>
      </c>
      <c r="V448" s="25" t="s">
        <v>231</v>
      </c>
      <c r="W448" s="24">
        <v>1970</v>
      </c>
      <c r="X448" s="24" t="s">
        <v>25</v>
      </c>
      <c r="Y448" s="26">
        <v>43484</v>
      </c>
      <c r="Z448" s="26">
        <v>43508</v>
      </c>
      <c r="AA448" s="26">
        <v>44031</v>
      </c>
      <c r="AB448" s="27"/>
      <c r="AC448" s="28" t="s">
        <v>61</v>
      </c>
      <c r="AD448" s="26">
        <v>43629</v>
      </c>
      <c r="AE448" s="28"/>
      <c r="AF448" s="26"/>
      <c r="AG448" s="26"/>
      <c r="AH448" s="26"/>
      <c r="AI448" s="27">
        <f>COUNTIF(DangKyThamGapThuongXuyen!$L$4:$L$5261,DaTa!$T448)</f>
        <v>2</v>
      </c>
    </row>
    <row r="449" spans="17:35" ht="15" x14ac:dyDescent="0.2">
      <c r="Q449" s="29"/>
      <c r="R449" s="30" t="str">
        <f>IF($V449=$R$1,MAX($R$3:R448)+1,"")</f>
        <v/>
      </c>
      <c r="S449" s="24">
        <v>447</v>
      </c>
      <c r="T449" s="39" t="s">
        <v>972</v>
      </c>
      <c r="U449" s="25" t="s">
        <v>973</v>
      </c>
      <c r="V449" s="25" t="s">
        <v>228</v>
      </c>
      <c r="W449" s="24">
        <v>1985</v>
      </c>
      <c r="X449" s="24" t="s">
        <v>25</v>
      </c>
      <c r="Y449" s="46">
        <v>43454</v>
      </c>
      <c r="Z449" s="26">
        <v>43515</v>
      </c>
      <c r="AA449" s="47">
        <v>44002</v>
      </c>
      <c r="AB449" s="27"/>
      <c r="AC449" s="28"/>
      <c r="AD449" s="26"/>
      <c r="AE449" s="28"/>
      <c r="AF449" s="26"/>
      <c r="AG449" s="26"/>
      <c r="AH449" s="26"/>
      <c r="AI449" s="27">
        <f>COUNTIF(DangKyThamGapThuongXuyen!$L$4:$L$5261,DaTa!$T449)</f>
        <v>0</v>
      </c>
    </row>
    <row r="450" spans="17:35" ht="15" x14ac:dyDescent="0.2">
      <c r="Q450" s="29"/>
      <c r="R450" s="30" t="str">
        <f>IF($V450=$R$1,MAX($R$3:R449)+1,"")</f>
        <v/>
      </c>
      <c r="S450" s="24">
        <v>448</v>
      </c>
      <c r="T450" s="39" t="s">
        <v>974</v>
      </c>
      <c r="U450" s="25" t="s">
        <v>400</v>
      </c>
      <c r="V450" s="25" t="s">
        <v>190</v>
      </c>
      <c r="W450" s="24">
        <v>1962</v>
      </c>
      <c r="X450" s="24" t="s">
        <v>25</v>
      </c>
      <c r="Y450" s="46">
        <v>43427</v>
      </c>
      <c r="Z450" s="26">
        <v>43515</v>
      </c>
      <c r="AA450" s="47">
        <v>44158</v>
      </c>
      <c r="AB450" s="27"/>
      <c r="AC450" s="28"/>
      <c r="AD450" s="26"/>
      <c r="AE450" s="28"/>
      <c r="AF450" s="26"/>
      <c r="AG450" s="26"/>
      <c r="AH450" s="26"/>
      <c r="AI450" s="27">
        <f>COUNTIF(DangKyThamGapThuongXuyen!$L$4:$L$5261,DaTa!$T450)</f>
        <v>0</v>
      </c>
    </row>
    <row r="451" spans="17:35" ht="15" x14ac:dyDescent="0.2">
      <c r="Q451" s="29"/>
      <c r="R451" s="30" t="str">
        <f>IF($V451=$R$1,MAX($R$3:R450)+1,"")</f>
        <v/>
      </c>
      <c r="S451" s="24">
        <v>449</v>
      </c>
      <c r="T451" s="39" t="s">
        <v>975</v>
      </c>
      <c r="U451" s="40" t="s">
        <v>976</v>
      </c>
      <c r="V451" s="40" t="s">
        <v>550</v>
      </c>
      <c r="W451" s="41">
        <v>1972</v>
      </c>
      <c r="X451" s="24" t="s">
        <v>25</v>
      </c>
      <c r="Y451" s="42">
        <v>43406</v>
      </c>
      <c r="Z451" s="42">
        <v>43517</v>
      </c>
      <c r="AA451" s="42">
        <v>44045</v>
      </c>
      <c r="AB451" s="27"/>
      <c r="AC451" s="28" t="s">
        <v>88</v>
      </c>
      <c r="AD451" s="26">
        <v>43612</v>
      </c>
      <c r="AE451" s="28">
        <v>65</v>
      </c>
      <c r="AF451" s="26">
        <v>43677</v>
      </c>
      <c r="AG451" s="26"/>
      <c r="AH451" s="26"/>
      <c r="AI451" s="27">
        <f>COUNTIF(DangKyThamGapThuongXuyen!$L$4:$L$5261,DaTa!$T451)</f>
        <v>0</v>
      </c>
    </row>
    <row r="452" spans="17:35" ht="12.75" x14ac:dyDescent="0.2">
      <c r="Q452" s="29"/>
      <c r="R452" s="30" t="str">
        <f>IF($V452=$R$1,MAX($R$3:R451)+1,"")</f>
        <v/>
      </c>
      <c r="S452" s="24">
        <v>450</v>
      </c>
      <c r="T452" s="39" t="s">
        <v>977</v>
      </c>
      <c r="U452" s="40" t="s">
        <v>978</v>
      </c>
      <c r="V452" s="40" t="s">
        <v>38</v>
      </c>
      <c r="W452" s="41">
        <v>1974</v>
      </c>
      <c r="X452" s="24" t="s">
        <v>25</v>
      </c>
      <c r="Y452" s="42">
        <v>43415</v>
      </c>
      <c r="Z452" s="42">
        <v>43518</v>
      </c>
      <c r="AA452" s="42">
        <v>44054</v>
      </c>
      <c r="AB452" s="27"/>
      <c r="AC452" s="43"/>
      <c r="AD452" s="26"/>
      <c r="AE452" s="43"/>
      <c r="AF452" s="26"/>
      <c r="AG452" s="26"/>
      <c r="AH452" s="26"/>
      <c r="AI452" s="27">
        <f>COUNTIF(DangKyThamGapThuongXuyen!$L$4:$L$5261,DaTa!$T452)</f>
        <v>0</v>
      </c>
    </row>
    <row r="453" spans="17:35" ht="15" x14ac:dyDescent="0.2">
      <c r="Q453" s="29"/>
      <c r="R453" s="30" t="str">
        <f>IF($V453=$R$1,MAX($R$3:R452)+1,"")</f>
        <v/>
      </c>
      <c r="S453" s="24">
        <v>451</v>
      </c>
      <c r="T453" s="39" t="s">
        <v>979</v>
      </c>
      <c r="U453" s="25" t="s">
        <v>768</v>
      </c>
      <c r="V453" s="25" t="s">
        <v>330</v>
      </c>
      <c r="W453" s="24">
        <v>1982</v>
      </c>
      <c r="X453" s="24" t="s">
        <v>25</v>
      </c>
      <c r="Y453" s="26">
        <v>43494</v>
      </c>
      <c r="Z453" s="26">
        <v>43522</v>
      </c>
      <c r="AA453" s="26">
        <v>44133</v>
      </c>
      <c r="AB453" s="27"/>
      <c r="AC453" s="28"/>
      <c r="AD453" s="26"/>
      <c r="AE453" s="28"/>
      <c r="AF453" s="26"/>
      <c r="AG453" s="26"/>
      <c r="AH453" s="26"/>
      <c r="AI453" s="27">
        <f>COUNTIF(DangKyThamGapThuongXuyen!$L$4:$L$5261,DaTa!$T453)</f>
        <v>0</v>
      </c>
    </row>
    <row r="454" spans="17:35" ht="15" x14ac:dyDescent="0.2">
      <c r="Q454" s="29"/>
      <c r="R454" s="30" t="str">
        <f>IF($V454=$R$1,MAX($R$3:R453)+1,"")</f>
        <v/>
      </c>
      <c r="S454" s="24">
        <v>452</v>
      </c>
      <c r="T454" s="39" t="s">
        <v>980</v>
      </c>
      <c r="U454" s="25" t="s">
        <v>235</v>
      </c>
      <c r="V454" s="25" t="s">
        <v>38</v>
      </c>
      <c r="W454" s="24">
        <v>1981</v>
      </c>
      <c r="X454" s="24" t="s">
        <v>25</v>
      </c>
      <c r="Y454" s="26">
        <v>43445</v>
      </c>
      <c r="Z454" s="26">
        <v>43523</v>
      </c>
      <c r="AA454" s="26">
        <v>44085</v>
      </c>
      <c r="AB454" s="27"/>
      <c r="AC454" s="28"/>
      <c r="AD454" s="26"/>
      <c r="AE454" s="28"/>
      <c r="AF454" s="26"/>
      <c r="AG454" s="26"/>
      <c r="AH454" s="26"/>
      <c r="AI454" s="27">
        <f>COUNTIF(DangKyThamGapThuongXuyen!$L$4:$L$5261,DaTa!$T454)</f>
        <v>0</v>
      </c>
    </row>
    <row r="455" spans="17:35" ht="15" x14ac:dyDescent="0.2">
      <c r="Q455" s="29"/>
      <c r="R455" s="30" t="str">
        <f>IF($V455=$R$1,MAX($R$3:R454)+1,"")</f>
        <v/>
      </c>
      <c r="S455" s="24">
        <v>453</v>
      </c>
      <c r="T455" s="39" t="s">
        <v>981</v>
      </c>
      <c r="U455" s="25" t="s">
        <v>286</v>
      </c>
      <c r="V455" s="25" t="s">
        <v>195</v>
      </c>
      <c r="W455" s="24">
        <v>1986</v>
      </c>
      <c r="X455" s="24" t="s">
        <v>25</v>
      </c>
      <c r="Y455" s="26">
        <v>43434</v>
      </c>
      <c r="Z455" s="26">
        <v>43523</v>
      </c>
      <c r="AA455" s="26">
        <v>44165</v>
      </c>
      <c r="AB455" s="27"/>
      <c r="AC455" s="28"/>
      <c r="AD455" s="26"/>
      <c r="AE455" s="28"/>
      <c r="AF455" s="26"/>
      <c r="AG455" s="26"/>
      <c r="AH455" s="26"/>
      <c r="AI455" s="27">
        <f>COUNTIF(DangKyThamGapThuongXuyen!$L$4:$L$5261,DaTa!$T455)</f>
        <v>1</v>
      </c>
    </row>
    <row r="456" spans="17:35" ht="15" x14ac:dyDescent="0.2">
      <c r="Q456" s="29"/>
      <c r="R456" s="30" t="str">
        <f>IF($V456=$R$1,MAX($R$3:R455)+1,"")</f>
        <v/>
      </c>
      <c r="S456" s="24">
        <v>454</v>
      </c>
      <c r="T456" s="39" t="s">
        <v>982</v>
      </c>
      <c r="U456" s="25" t="s">
        <v>726</v>
      </c>
      <c r="V456" s="25" t="s">
        <v>139</v>
      </c>
      <c r="W456" s="24">
        <v>1981</v>
      </c>
      <c r="X456" s="24" t="s">
        <v>25</v>
      </c>
      <c r="Y456" s="26">
        <v>43437</v>
      </c>
      <c r="Z456" s="26">
        <v>43523</v>
      </c>
      <c r="AA456" s="26">
        <v>43985</v>
      </c>
      <c r="AB456" s="27"/>
      <c r="AC456" s="28"/>
      <c r="AD456" s="26"/>
      <c r="AE456" s="28"/>
      <c r="AF456" s="26"/>
      <c r="AG456" s="26"/>
      <c r="AH456" s="26"/>
      <c r="AI456" s="27">
        <f>COUNTIF(DangKyThamGapThuongXuyen!$L$4:$L$5261,DaTa!$T456)</f>
        <v>0</v>
      </c>
    </row>
    <row r="457" spans="17:35" ht="15" x14ac:dyDescent="0.2">
      <c r="Q457" s="29"/>
      <c r="R457" s="30" t="str">
        <f>IF($V457=$R$1,MAX($R$3:R456)+1,"")</f>
        <v/>
      </c>
      <c r="S457" s="24">
        <v>455</v>
      </c>
      <c r="T457" s="39" t="s">
        <v>983</v>
      </c>
      <c r="U457" s="25" t="s">
        <v>358</v>
      </c>
      <c r="V457" s="25" t="s">
        <v>206</v>
      </c>
      <c r="W457" s="24">
        <v>1974</v>
      </c>
      <c r="X457" s="24" t="s">
        <v>42</v>
      </c>
      <c r="Y457" s="46">
        <v>43417</v>
      </c>
      <c r="Z457" s="26">
        <v>43525</v>
      </c>
      <c r="AA457" s="50">
        <v>43964</v>
      </c>
      <c r="AB457" s="27"/>
      <c r="AC457" s="28"/>
      <c r="AD457" s="26"/>
      <c r="AE457" s="28"/>
      <c r="AF457" s="26"/>
      <c r="AG457" s="26"/>
      <c r="AH457" s="26"/>
      <c r="AI457" s="27">
        <f>COUNTIF(DangKyThamGapThuongXuyen!$L$4:$L$5261,DaTa!$T457)</f>
        <v>0</v>
      </c>
    </row>
    <row r="458" spans="17:35" ht="15" x14ac:dyDescent="0.2">
      <c r="Q458" s="29"/>
      <c r="R458" s="30" t="str">
        <f>IF($V458=$R$1,MAX($R$3:R457)+1,"")</f>
        <v/>
      </c>
      <c r="S458" s="24">
        <v>456</v>
      </c>
      <c r="T458" s="39" t="s">
        <v>984</v>
      </c>
      <c r="U458" s="54" t="s">
        <v>985</v>
      </c>
      <c r="V458" s="54" t="s">
        <v>87</v>
      </c>
      <c r="W458" s="55">
        <v>1985</v>
      </c>
      <c r="X458" s="55" t="s">
        <v>42</v>
      </c>
      <c r="Y458" s="46">
        <v>43447</v>
      </c>
      <c r="Z458" s="26">
        <v>43532</v>
      </c>
      <c r="AA458" s="46">
        <v>43995</v>
      </c>
      <c r="AB458" s="27"/>
      <c r="AC458" s="28"/>
      <c r="AD458" s="26"/>
      <c r="AE458" s="28"/>
      <c r="AF458" s="26"/>
      <c r="AG458" s="26"/>
      <c r="AH458" s="26"/>
      <c r="AI458" s="27">
        <f>COUNTIF(DangKyThamGapThuongXuyen!$L$4:$L$5261,DaTa!$T458)</f>
        <v>1</v>
      </c>
    </row>
    <row r="459" spans="17:35" ht="15" x14ac:dyDescent="0.2">
      <c r="Q459" s="29"/>
      <c r="R459" s="30" t="str">
        <f>IF($V459=$R$1,MAX($R$3:R458)+1,"")</f>
        <v/>
      </c>
      <c r="S459" s="24">
        <v>457</v>
      </c>
      <c r="T459" s="39" t="s">
        <v>986</v>
      </c>
      <c r="U459" s="40" t="s">
        <v>468</v>
      </c>
      <c r="V459" s="40" t="s">
        <v>87</v>
      </c>
      <c r="W459" s="41">
        <v>1984</v>
      </c>
      <c r="X459" s="24" t="s">
        <v>42</v>
      </c>
      <c r="Y459" s="42">
        <v>43441</v>
      </c>
      <c r="Z459" s="42">
        <v>43532</v>
      </c>
      <c r="AA459" s="42">
        <v>44081</v>
      </c>
      <c r="AB459" s="27"/>
      <c r="AC459" s="28"/>
      <c r="AD459" s="26"/>
      <c r="AE459" s="28"/>
      <c r="AF459" s="26"/>
      <c r="AG459" s="26"/>
      <c r="AH459" s="26"/>
      <c r="AI459" s="27">
        <f>COUNTIF(DangKyThamGapThuongXuyen!$L$4:$L$5261,DaTa!$T459)</f>
        <v>0</v>
      </c>
    </row>
    <row r="460" spans="17:35" ht="12.75" x14ac:dyDescent="0.2">
      <c r="Q460" s="29"/>
      <c r="R460" s="30" t="str">
        <f>IF($V460=$R$1,MAX($R$3:R459)+1,"")</f>
        <v/>
      </c>
      <c r="S460" s="24">
        <v>458</v>
      </c>
      <c r="T460" s="39" t="s">
        <v>987</v>
      </c>
      <c r="U460" s="40" t="s">
        <v>386</v>
      </c>
      <c r="V460" s="40" t="s">
        <v>354</v>
      </c>
      <c r="W460" s="41">
        <v>1986</v>
      </c>
      <c r="X460" s="24" t="s">
        <v>42</v>
      </c>
      <c r="Y460" s="42">
        <v>43425</v>
      </c>
      <c r="Z460" s="42">
        <v>43532</v>
      </c>
      <c r="AA460" s="42">
        <v>44156</v>
      </c>
      <c r="AB460" s="27"/>
      <c r="AC460" s="43"/>
      <c r="AD460" s="26"/>
      <c r="AE460" s="43"/>
      <c r="AF460" s="26"/>
      <c r="AG460" s="26"/>
      <c r="AH460" s="26"/>
      <c r="AI460" s="27">
        <f>COUNTIF(DangKyThamGapThuongXuyen!$L$4:$L$5261,DaTa!$T460)</f>
        <v>0</v>
      </c>
    </row>
    <row r="461" spans="17:35" ht="12.75" x14ac:dyDescent="0.2">
      <c r="Q461" s="29"/>
      <c r="R461" s="30" t="str">
        <f>IF($V461=$R$1,MAX($R$3:R460)+1,"")</f>
        <v/>
      </c>
      <c r="S461" s="24">
        <v>459</v>
      </c>
      <c r="T461" s="39" t="s">
        <v>988</v>
      </c>
      <c r="U461" s="40" t="s">
        <v>989</v>
      </c>
      <c r="V461" s="40" t="s">
        <v>990</v>
      </c>
      <c r="W461" s="41">
        <v>1986</v>
      </c>
      <c r="X461" s="24" t="s">
        <v>42</v>
      </c>
      <c r="Y461" s="42">
        <v>43473</v>
      </c>
      <c r="Z461" s="42">
        <v>43532</v>
      </c>
      <c r="AA461" s="42">
        <v>44020</v>
      </c>
      <c r="AB461" s="27"/>
      <c r="AC461" s="43" t="s">
        <v>88</v>
      </c>
      <c r="AD461" s="26">
        <v>43600</v>
      </c>
      <c r="AE461" s="43">
        <v>125</v>
      </c>
      <c r="AF461" s="26">
        <v>43725</v>
      </c>
      <c r="AG461" s="26"/>
      <c r="AH461" s="26"/>
      <c r="AI461" s="27">
        <f>COUNTIF(DangKyThamGapThuongXuyen!$L$4:$L$5261,DaTa!$T461)</f>
        <v>1</v>
      </c>
    </row>
    <row r="462" spans="17:35" ht="15" x14ac:dyDescent="0.2">
      <c r="Q462" s="29"/>
      <c r="R462" s="30" t="str">
        <f>IF($V462=$R$1,MAX($R$3:R461)+1,"")</f>
        <v/>
      </c>
      <c r="S462" s="24">
        <v>460</v>
      </c>
      <c r="T462" s="39" t="s">
        <v>991</v>
      </c>
      <c r="U462" s="25" t="s">
        <v>63</v>
      </c>
      <c r="V462" s="25" t="s">
        <v>54</v>
      </c>
      <c r="W462" s="24">
        <v>1987</v>
      </c>
      <c r="X462" s="24" t="s">
        <v>42</v>
      </c>
      <c r="Y462" s="26">
        <v>43443</v>
      </c>
      <c r="Z462" s="26">
        <v>43532</v>
      </c>
      <c r="AA462" s="26">
        <v>44113</v>
      </c>
      <c r="AB462" s="27"/>
      <c r="AC462" s="28"/>
      <c r="AD462" s="26"/>
      <c r="AE462" s="28"/>
      <c r="AF462" s="26"/>
      <c r="AG462" s="26"/>
      <c r="AH462" s="26"/>
      <c r="AI462" s="27">
        <f>COUNTIF(DangKyThamGapThuongXuyen!$L$4:$L$5261,DaTa!$T462)</f>
        <v>0</v>
      </c>
    </row>
    <row r="463" spans="17:35" ht="15" x14ac:dyDescent="0.2">
      <c r="Q463" s="29"/>
      <c r="R463" s="30" t="str">
        <f>IF($V463=$R$1,MAX($R$3:R462)+1,"")</f>
        <v/>
      </c>
      <c r="S463" s="24">
        <v>461</v>
      </c>
      <c r="T463" s="39" t="s">
        <v>992</v>
      </c>
      <c r="U463" s="25" t="s">
        <v>63</v>
      </c>
      <c r="V463" s="25" t="s">
        <v>993</v>
      </c>
      <c r="W463" s="24">
        <v>1971</v>
      </c>
      <c r="X463" s="24" t="s">
        <v>42</v>
      </c>
      <c r="Y463" s="26">
        <v>43508</v>
      </c>
      <c r="Z463" s="26" t="s">
        <v>994</v>
      </c>
      <c r="AA463" s="26">
        <v>44055</v>
      </c>
      <c r="AB463" s="27"/>
      <c r="AC463" s="28"/>
      <c r="AD463" s="26"/>
      <c r="AE463" s="28"/>
      <c r="AF463" s="26"/>
      <c r="AG463" s="26"/>
      <c r="AH463" s="26"/>
      <c r="AI463" s="27">
        <f>COUNTIF(DangKyThamGapThuongXuyen!$L$4:$L$5261,DaTa!$T463)</f>
        <v>0</v>
      </c>
    </row>
    <row r="464" spans="17:35" ht="15" x14ac:dyDescent="0.2">
      <c r="Q464" s="29"/>
      <c r="R464" s="30" t="str">
        <f>IF($V464=$R$1,MAX($R$3:R463)+1,"")</f>
        <v/>
      </c>
      <c r="S464" s="24">
        <v>462</v>
      </c>
      <c r="T464" s="39" t="s">
        <v>995</v>
      </c>
      <c r="U464" s="25" t="s">
        <v>996</v>
      </c>
      <c r="V464" s="25" t="s">
        <v>997</v>
      </c>
      <c r="W464" s="24">
        <v>1989</v>
      </c>
      <c r="X464" s="24" t="s">
        <v>42</v>
      </c>
      <c r="Y464" s="26">
        <v>43446</v>
      </c>
      <c r="Z464" s="26" t="s">
        <v>994</v>
      </c>
      <c r="AA464" s="26">
        <v>44086</v>
      </c>
      <c r="AB464" s="27"/>
      <c r="AC464" s="28"/>
      <c r="AD464" s="26"/>
      <c r="AE464" s="28"/>
      <c r="AF464" s="26"/>
      <c r="AG464" s="26"/>
      <c r="AH464" s="26"/>
      <c r="AI464" s="27">
        <f>COUNTIF(DangKyThamGapThuongXuyen!$L$4:$L$5261,DaTa!$T464)</f>
        <v>1</v>
      </c>
    </row>
    <row r="465" spans="17:35" ht="15" x14ac:dyDescent="0.2">
      <c r="Q465" s="29"/>
      <c r="R465" s="30" t="str">
        <f>IF($V465=$R$1,MAX($R$3:R464)+1,"")</f>
        <v/>
      </c>
      <c r="S465" s="24">
        <v>463</v>
      </c>
      <c r="T465" s="39" t="s">
        <v>998</v>
      </c>
      <c r="U465" s="40" t="s">
        <v>818</v>
      </c>
      <c r="V465" s="40" t="s">
        <v>781</v>
      </c>
      <c r="W465" s="41">
        <v>1973</v>
      </c>
      <c r="X465" s="24" t="s">
        <v>42</v>
      </c>
      <c r="Y465" s="60">
        <v>43445</v>
      </c>
      <c r="Z465" s="26" t="s">
        <v>994</v>
      </c>
      <c r="AA465" s="42">
        <v>44115</v>
      </c>
      <c r="AB465" s="27"/>
      <c r="AC465" s="28"/>
      <c r="AD465" s="26"/>
      <c r="AE465" s="28"/>
      <c r="AF465" s="26"/>
      <c r="AG465" s="26"/>
      <c r="AH465" s="26"/>
      <c r="AI465" s="27">
        <f>COUNTIF(DangKyThamGapThuongXuyen!$L$4:$L$5261,DaTa!$T465)</f>
        <v>0</v>
      </c>
    </row>
    <row r="466" spans="17:35" ht="12.75" x14ac:dyDescent="0.2">
      <c r="Q466" s="29"/>
      <c r="R466" s="30">
        <f>IF($V466=$R$1,MAX($R$3:R465)+1,"")</f>
        <v>5</v>
      </c>
      <c r="S466" s="24">
        <v>464</v>
      </c>
      <c r="T466" s="39" t="s">
        <v>999</v>
      </c>
      <c r="U466" s="40" t="s">
        <v>1000</v>
      </c>
      <c r="V466" s="40" t="s">
        <v>257</v>
      </c>
      <c r="W466" s="41">
        <v>1985</v>
      </c>
      <c r="X466" s="24" t="s">
        <v>42</v>
      </c>
      <c r="Y466" s="42">
        <v>43463</v>
      </c>
      <c r="Z466" s="42" t="s">
        <v>994</v>
      </c>
      <c r="AA466" s="42">
        <v>44103</v>
      </c>
      <c r="AB466" s="27"/>
      <c r="AC466" s="43"/>
      <c r="AD466" s="26"/>
      <c r="AE466" s="43"/>
      <c r="AF466" s="26"/>
      <c r="AG466" s="26"/>
      <c r="AH466" s="26"/>
      <c r="AI466" s="27">
        <f>COUNTIF(DangKyThamGapThuongXuyen!$L$4:$L$5261,DaTa!$T466)</f>
        <v>0</v>
      </c>
    </row>
    <row r="467" spans="17:35" ht="12.75" x14ac:dyDescent="0.2">
      <c r="Q467" s="29"/>
      <c r="R467" s="30" t="str">
        <f>IF($V467=$R$1,MAX($R$3:R466)+1,"")</f>
        <v/>
      </c>
      <c r="S467" s="24">
        <v>465</v>
      </c>
      <c r="T467" s="39" t="s">
        <v>1001</v>
      </c>
      <c r="U467" s="40" t="s">
        <v>1002</v>
      </c>
      <c r="V467" s="40" t="s">
        <v>161</v>
      </c>
      <c r="W467" s="41">
        <v>1979</v>
      </c>
      <c r="X467" s="24" t="s">
        <v>42</v>
      </c>
      <c r="Y467" s="42">
        <v>43453</v>
      </c>
      <c r="Z467" s="42" t="s">
        <v>994</v>
      </c>
      <c r="AA467" s="42">
        <v>43909</v>
      </c>
      <c r="AB467" s="27"/>
      <c r="AC467" s="43"/>
      <c r="AD467" s="26"/>
      <c r="AE467" s="43"/>
      <c r="AF467" s="26"/>
      <c r="AG467" s="26"/>
      <c r="AH467" s="26"/>
      <c r="AI467" s="27">
        <f>COUNTIF(DangKyThamGapThuongXuyen!$L$4:$L$5261,DaTa!$T467)</f>
        <v>0</v>
      </c>
    </row>
    <row r="468" spans="17:35" ht="15" x14ac:dyDescent="0.2">
      <c r="Q468" s="29"/>
      <c r="R468" s="30" t="str">
        <f>IF($V468=$R$1,MAX($R$3:R467)+1,"")</f>
        <v/>
      </c>
      <c r="S468" s="24">
        <v>466</v>
      </c>
      <c r="T468" s="39" t="s">
        <v>1003</v>
      </c>
      <c r="U468" s="25" t="s">
        <v>1004</v>
      </c>
      <c r="V468" s="25" t="s">
        <v>222</v>
      </c>
      <c r="W468" s="24">
        <v>1973</v>
      </c>
      <c r="X468" s="24" t="s">
        <v>42</v>
      </c>
      <c r="Y468" s="26">
        <v>43465</v>
      </c>
      <c r="Z468" s="26" t="s">
        <v>994</v>
      </c>
      <c r="AA468" s="26">
        <v>44196</v>
      </c>
      <c r="AB468" s="27"/>
      <c r="AC468" s="28"/>
      <c r="AD468" s="26"/>
      <c r="AE468" s="28"/>
      <c r="AF468" s="26"/>
      <c r="AG468" s="26"/>
      <c r="AH468" s="26"/>
      <c r="AI468" s="27">
        <f>COUNTIF(DangKyThamGapThuongXuyen!$L$4:$L$5261,DaTa!$T468)</f>
        <v>0</v>
      </c>
    </row>
    <row r="469" spans="17:35" ht="15" x14ac:dyDescent="0.2">
      <c r="Q469" s="29"/>
      <c r="R469" s="30" t="str">
        <f>IF($V469=$R$1,MAX($R$3:R468)+1,"")</f>
        <v/>
      </c>
      <c r="S469" s="24">
        <v>467</v>
      </c>
      <c r="T469" s="39" t="s">
        <v>1005</v>
      </c>
      <c r="U469" s="25" t="s">
        <v>1006</v>
      </c>
      <c r="V469" s="25" t="s">
        <v>222</v>
      </c>
      <c r="W469" s="24">
        <v>1978</v>
      </c>
      <c r="X469" s="24" t="s">
        <v>42</v>
      </c>
      <c r="Y469" s="26">
        <v>43472</v>
      </c>
      <c r="Z469" s="26" t="s">
        <v>994</v>
      </c>
      <c r="AA469" s="26">
        <v>44019</v>
      </c>
      <c r="AB469" s="27"/>
      <c r="AC469" s="28"/>
      <c r="AD469" s="26"/>
      <c r="AE469" s="28"/>
      <c r="AF469" s="26"/>
      <c r="AG469" s="26"/>
      <c r="AH469" s="26"/>
      <c r="AI469" s="27">
        <f>COUNTIF(DangKyThamGapThuongXuyen!$L$4:$L$5261,DaTa!$T469)</f>
        <v>0</v>
      </c>
    </row>
    <row r="470" spans="17:35" ht="15" x14ac:dyDescent="0.2">
      <c r="Q470" s="29"/>
      <c r="R470" s="30" t="str">
        <f>IF($V470=$R$1,MAX($R$3:R469)+1,"")</f>
        <v/>
      </c>
      <c r="S470" s="24">
        <v>468</v>
      </c>
      <c r="T470" s="39" t="s">
        <v>1007</v>
      </c>
      <c r="U470" s="25" t="s">
        <v>1008</v>
      </c>
      <c r="V470" s="25" t="s">
        <v>35</v>
      </c>
      <c r="W470" s="24">
        <v>1977</v>
      </c>
      <c r="X470" s="24" t="s">
        <v>42</v>
      </c>
      <c r="Y470" s="26">
        <v>43458</v>
      </c>
      <c r="Z470" s="26">
        <v>43539</v>
      </c>
      <c r="AA470" s="26">
        <v>44098</v>
      </c>
      <c r="AB470" s="27"/>
      <c r="AC470" s="28" t="s">
        <v>88</v>
      </c>
      <c r="AD470" s="26">
        <v>43600</v>
      </c>
      <c r="AE470" s="28">
        <v>95</v>
      </c>
      <c r="AF470" s="26">
        <v>43695</v>
      </c>
      <c r="AG470" s="26"/>
      <c r="AH470" s="26"/>
      <c r="AI470" s="27">
        <f>COUNTIF(DangKyThamGapThuongXuyen!$L$4:$L$5261,DaTa!$T470)</f>
        <v>0</v>
      </c>
    </row>
    <row r="471" spans="17:35" ht="12.75" x14ac:dyDescent="0.2">
      <c r="Q471" s="29"/>
      <c r="R471" s="30" t="str">
        <f>IF($V471=$R$1,MAX($R$3:R470)+1,"")</f>
        <v/>
      </c>
      <c r="S471" s="24">
        <v>469</v>
      </c>
      <c r="T471" s="39" t="s">
        <v>1009</v>
      </c>
      <c r="U471" s="40" t="s">
        <v>1010</v>
      </c>
      <c r="V471" s="40" t="s">
        <v>300</v>
      </c>
      <c r="W471" s="41">
        <v>1987</v>
      </c>
      <c r="X471" s="24" t="s">
        <v>42</v>
      </c>
      <c r="Y471" s="42">
        <v>43455</v>
      </c>
      <c r="Z471" s="42">
        <v>43539</v>
      </c>
      <c r="AA471" s="42">
        <v>44064</v>
      </c>
      <c r="AB471" s="27"/>
      <c r="AC471" s="43"/>
      <c r="AD471" s="26"/>
      <c r="AE471" s="43"/>
      <c r="AF471" s="26"/>
      <c r="AG471" s="26"/>
      <c r="AH471" s="26"/>
      <c r="AI471" s="27">
        <f>COUNTIF(DangKyThamGapThuongXuyen!$L$4:$L$5261,DaTa!$T471)</f>
        <v>5</v>
      </c>
    </row>
    <row r="472" spans="17:35" ht="15" x14ac:dyDescent="0.2">
      <c r="Q472" s="29"/>
      <c r="R472" s="30" t="str">
        <f>IF($V472=$R$1,MAX($R$3:R471)+1,"")</f>
        <v/>
      </c>
      <c r="S472" s="24">
        <v>470</v>
      </c>
      <c r="T472" s="39" t="s">
        <v>1011</v>
      </c>
      <c r="U472" s="25" t="s">
        <v>1012</v>
      </c>
      <c r="V472" s="25" t="s">
        <v>228</v>
      </c>
      <c r="W472" s="24">
        <v>1972</v>
      </c>
      <c r="X472" s="24" t="s">
        <v>42</v>
      </c>
      <c r="Y472" s="26">
        <v>43453</v>
      </c>
      <c r="Z472" s="26">
        <v>43539</v>
      </c>
      <c r="AA472" s="26">
        <v>44093</v>
      </c>
      <c r="AB472" s="27"/>
      <c r="AC472" s="28"/>
      <c r="AD472" s="26"/>
      <c r="AE472" s="28"/>
      <c r="AF472" s="26"/>
      <c r="AG472" s="26"/>
      <c r="AH472" s="26"/>
      <c r="AI472" s="27">
        <f>COUNTIF(DangKyThamGapThuongXuyen!$L$4:$L$5261,DaTa!$T472)</f>
        <v>0</v>
      </c>
    </row>
    <row r="473" spans="17:35" ht="15" x14ac:dyDescent="0.2">
      <c r="Q473" s="29"/>
      <c r="R473" s="30" t="str">
        <f>IF($V473=$R$1,MAX($R$3:R472)+1,"")</f>
        <v/>
      </c>
      <c r="S473" s="24">
        <v>471</v>
      </c>
      <c r="T473" s="39" t="s">
        <v>1013</v>
      </c>
      <c r="U473" s="25" t="s">
        <v>63</v>
      </c>
      <c r="V473" s="25" t="s">
        <v>48</v>
      </c>
      <c r="W473" s="24">
        <v>1975</v>
      </c>
      <c r="X473" s="24" t="s">
        <v>21</v>
      </c>
      <c r="Y473" s="26">
        <v>43458</v>
      </c>
      <c r="Z473" s="26" t="s">
        <v>1014</v>
      </c>
      <c r="AA473" s="26">
        <v>44006</v>
      </c>
      <c r="AB473" s="49"/>
      <c r="AC473" s="28"/>
      <c r="AD473" s="26"/>
      <c r="AE473" s="28"/>
      <c r="AF473" s="26"/>
      <c r="AG473" s="26"/>
      <c r="AH473" s="26"/>
      <c r="AI473" s="27">
        <f>COUNTIF(DangKyThamGapThuongXuyen!$L$4:$L$5261,DaTa!$T473)</f>
        <v>0</v>
      </c>
    </row>
    <row r="474" spans="17:35" ht="15" x14ac:dyDescent="0.2">
      <c r="Q474" s="29"/>
      <c r="R474" s="30" t="str">
        <f>IF($V474=$R$1,MAX($R$3:R473)+1,"")</f>
        <v/>
      </c>
      <c r="S474" s="24">
        <v>472</v>
      </c>
      <c r="T474" s="39" t="s">
        <v>1015</v>
      </c>
      <c r="U474" s="25" t="s">
        <v>203</v>
      </c>
      <c r="V474" s="25" t="s">
        <v>1016</v>
      </c>
      <c r="W474" s="24">
        <v>1979</v>
      </c>
      <c r="X474" s="24" t="s">
        <v>21</v>
      </c>
      <c r="Y474" s="45">
        <v>43469</v>
      </c>
      <c r="Z474" s="26" t="s">
        <v>1014</v>
      </c>
      <c r="AA474" s="26">
        <v>44108</v>
      </c>
      <c r="AB474" s="27"/>
      <c r="AC474" s="28"/>
      <c r="AD474" s="26"/>
      <c r="AE474" s="28"/>
      <c r="AF474" s="26"/>
      <c r="AG474" s="26"/>
      <c r="AH474" s="26"/>
      <c r="AI474" s="27">
        <f>COUNTIF(DangKyThamGapThuongXuyen!$L$4:$L$5261,DaTa!$T474)</f>
        <v>2</v>
      </c>
    </row>
    <row r="475" spans="17:35" ht="15" x14ac:dyDescent="0.2">
      <c r="Q475" s="29"/>
      <c r="R475" s="30">
        <f>IF($V475=$R$1,MAX($R$3:R474)+1,"")</f>
        <v>6</v>
      </c>
      <c r="S475" s="24">
        <v>473</v>
      </c>
      <c r="T475" s="39" t="s">
        <v>1017</v>
      </c>
      <c r="U475" s="25" t="s">
        <v>75</v>
      </c>
      <c r="V475" s="25" t="s">
        <v>257</v>
      </c>
      <c r="W475" s="24">
        <v>1978</v>
      </c>
      <c r="X475" s="24" t="s">
        <v>21</v>
      </c>
      <c r="Y475" s="26">
        <v>43454</v>
      </c>
      <c r="Z475" s="26" t="s">
        <v>1014</v>
      </c>
      <c r="AA475" s="26">
        <v>44002</v>
      </c>
      <c r="AB475" s="27"/>
      <c r="AC475" s="28"/>
      <c r="AD475" s="26"/>
      <c r="AE475" s="28"/>
      <c r="AF475" s="26"/>
      <c r="AG475" s="26"/>
      <c r="AH475" s="26"/>
      <c r="AI475" s="27">
        <f>COUNTIF(DangKyThamGapThuongXuyen!$L$4:$L$5261,DaTa!$T475)</f>
        <v>0</v>
      </c>
    </row>
    <row r="476" spans="17:35" ht="15" x14ac:dyDescent="0.2">
      <c r="Q476" s="29"/>
      <c r="R476" s="30" t="str">
        <f>IF($V476=$R$1,MAX($R$3:R475)+1,"")</f>
        <v/>
      </c>
      <c r="S476" s="24">
        <v>474</v>
      </c>
      <c r="T476" s="39" t="s">
        <v>1018</v>
      </c>
      <c r="U476" s="25" t="s">
        <v>485</v>
      </c>
      <c r="V476" s="25" t="s">
        <v>1019</v>
      </c>
      <c r="W476" s="24">
        <v>1975</v>
      </c>
      <c r="X476" s="24" t="s">
        <v>21</v>
      </c>
      <c r="Y476" s="26">
        <v>43461</v>
      </c>
      <c r="Z476" s="26" t="s">
        <v>1014</v>
      </c>
      <c r="AA476" s="26">
        <v>44009</v>
      </c>
      <c r="AB476" s="27"/>
      <c r="AC476" s="28"/>
      <c r="AD476" s="26"/>
      <c r="AE476" s="28"/>
      <c r="AF476" s="26"/>
      <c r="AG476" s="26"/>
      <c r="AH476" s="26"/>
      <c r="AI476" s="27">
        <f>COUNTIF(DangKyThamGapThuongXuyen!$L$4:$L$5261,DaTa!$T476)</f>
        <v>2</v>
      </c>
    </row>
    <row r="477" spans="17:35" ht="15" x14ac:dyDescent="0.2">
      <c r="Q477" s="29"/>
      <c r="R477" s="30" t="str">
        <f>IF($V477=$R$1,MAX($R$3:R476)+1,"")</f>
        <v/>
      </c>
      <c r="S477" s="24">
        <v>475</v>
      </c>
      <c r="T477" s="39" t="s">
        <v>1020</v>
      </c>
      <c r="U477" s="25" t="s">
        <v>976</v>
      </c>
      <c r="V477" s="25" t="s">
        <v>1021</v>
      </c>
      <c r="W477" s="24">
        <v>1988</v>
      </c>
      <c r="X477" s="24" t="s">
        <v>21</v>
      </c>
      <c r="Y477" s="26">
        <v>43451</v>
      </c>
      <c r="Z477" s="26" t="s">
        <v>1014</v>
      </c>
      <c r="AA477" s="26">
        <v>43999</v>
      </c>
      <c r="AB477" s="27"/>
      <c r="AC477" s="28"/>
      <c r="AD477" s="26"/>
      <c r="AE477" s="28"/>
      <c r="AF477" s="26"/>
      <c r="AG477" s="26"/>
      <c r="AH477" s="26"/>
      <c r="AI477" s="27">
        <f>COUNTIF(DangKyThamGapThuongXuyen!$L$4:$L$5261,DaTa!$T477)</f>
        <v>2</v>
      </c>
    </row>
    <row r="478" spans="17:35" ht="15" x14ac:dyDescent="0.2">
      <c r="Q478" s="29"/>
      <c r="R478" s="30" t="str">
        <f>IF($V478=$R$1,MAX($R$3:R477)+1,"")</f>
        <v/>
      </c>
      <c r="S478" s="24">
        <v>476</v>
      </c>
      <c r="T478" s="39" t="s">
        <v>1022</v>
      </c>
      <c r="U478" s="25" t="s">
        <v>1023</v>
      </c>
      <c r="V478" s="25" t="s">
        <v>57</v>
      </c>
      <c r="W478" s="24">
        <v>1981</v>
      </c>
      <c r="X478" s="24" t="s">
        <v>21</v>
      </c>
      <c r="Y478" s="45">
        <v>43455</v>
      </c>
      <c r="Z478" s="26" t="s">
        <v>1024</v>
      </c>
      <c r="AA478" s="26">
        <v>44095</v>
      </c>
      <c r="AB478" s="27"/>
      <c r="AC478" s="28"/>
      <c r="AD478" s="26"/>
      <c r="AE478" s="28"/>
      <c r="AF478" s="26"/>
      <c r="AG478" s="26"/>
      <c r="AH478" s="26"/>
      <c r="AI478" s="27">
        <f>COUNTIF(DangKyThamGapThuongXuyen!$L$4:$L$5261,DaTa!$T478)</f>
        <v>1</v>
      </c>
    </row>
    <row r="479" spans="17:35" ht="15" x14ac:dyDescent="0.2">
      <c r="Q479" s="29"/>
      <c r="R479" s="30" t="str">
        <f>IF($V479=$R$1,MAX($R$3:R478)+1,"")</f>
        <v/>
      </c>
      <c r="S479" s="24">
        <v>477</v>
      </c>
      <c r="T479" s="39" t="s">
        <v>1025</v>
      </c>
      <c r="U479" s="25" t="s">
        <v>1026</v>
      </c>
      <c r="V479" s="48" t="s">
        <v>1027</v>
      </c>
      <c r="W479" s="24">
        <v>1982</v>
      </c>
      <c r="X479" s="24" t="s">
        <v>21</v>
      </c>
      <c r="Y479" s="26">
        <v>43461</v>
      </c>
      <c r="Z479" s="26" t="s">
        <v>1028</v>
      </c>
      <c r="AA479" s="26">
        <v>44009</v>
      </c>
      <c r="AB479" s="27"/>
      <c r="AC479" s="28"/>
      <c r="AD479" s="26"/>
      <c r="AE479" s="28"/>
      <c r="AF479" s="26"/>
      <c r="AG479" s="26"/>
      <c r="AH479" s="26"/>
      <c r="AI479" s="27">
        <f>COUNTIF(DangKyThamGapThuongXuyen!$L$4:$L$5261,DaTa!$T479)</f>
        <v>0</v>
      </c>
    </row>
    <row r="480" spans="17:35" ht="15" x14ac:dyDescent="0.25">
      <c r="Q480" s="29"/>
      <c r="R480" s="30" t="str">
        <f>IF($V480=$R$1,MAX($R$3:R479)+1,"")</f>
        <v/>
      </c>
      <c r="S480" s="24">
        <v>478</v>
      </c>
      <c r="T480" s="39" t="s">
        <v>1029</v>
      </c>
      <c r="U480" s="25" t="s">
        <v>360</v>
      </c>
      <c r="V480" s="25" t="s">
        <v>539</v>
      </c>
      <c r="W480" s="24">
        <v>1988</v>
      </c>
      <c r="X480" s="24" t="s">
        <v>21</v>
      </c>
      <c r="Y480" s="45">
        <v>43458</v>
      </c>
      <c r="Z480" s="57" t="s">
        <v>1028</v>
      </c>
      <c r="AA480" s="26">
        <v>44006</v>
      </c>
      <c r="AB480" s="27"/>
      <c r="AC480" s="67"/>
      <c r="AD480" s="26"/>
      <c r="AE480" s="67"/>
      <c r="AF480" s="26"/>
      <c r="AG480" s="26"/>
      <c r="AH480" s="26"/>
      <c r="AI480" s="27">
        <f>COUNTIF(DangKyThamGapThuongXuyen!$L$4:$L$5261,DaTa!$T480)</f>
        <v>0</v>
      </c>
    </row>
    <row r="481" spans="17:35" ht="15" x14ac:dyDescent="0.2">
      <c r="Q481" s="29"/>
      <c r="R481" s="30" t="str">
        <f>IF($V481=$R$1,MAX($R$3:R480)+1,"")</f>
        <v/>
      </c>
      <c r="S481" s="24">
        <v>479</v>
      </c>
      <c r="T481" s="39" t="s">
        <v>1030</v>
      </c>
      <c r="U481" s="25" t="s">
        <v>471</v>
      </c>
      <c r="V481" s="25" t="s">
        <v>228</v>
      </c>
      <c r="W481" s="24">
        <v>1988</v>
      </c>
      <c r="X481" s="24" t="s">
        <v>21</v>
      </c>
      <c r="Y481" s="46">
        <v>43467</v>
      </c>
      <c r="Z481" s="26" t="s">
        <v>1031</v>
      </c>
      <c r="AA481" s="47">
        <v>44106</v>
      </c>
      <c r="AB481" s="27"/>
      <c r="AC481" s="28"/>
      <c r="AD481" s="26"/>
      <c r="AE481" s="28"/>
      <c r="AF481" s="26"/>
      <c r="AG481" s="26"/>
      <c r="AH481" s="26"/>
      <c r="AI481" s="27">
        <f>COUNTIF(DangKyThamGapThuongXuyen!$L$4:$L$5261,DaTa!$T481)</f>
        <v>0</v>
      </c>
    </row>
    <row r="482" spans="17:35" ht="15" x14ac:dyDescent="0.2">
      <c r="Q482" s="29"/>
      <c r="R482" s="30" t="str">
        <f>IF($V482=$R$1,MAX($R$3:R481)+1,"")</f>
        <v/>
      </c>
      <c r="S482" s="24">
        <v>480</v>
      </c>
      <c r="T482" s="68" t="s">
        <v>1032</v>
      </c>
      <c r="U482" s="69" t="s">
        <v>1033</v>
      </c>
      <c r="V482" s="69" t="s">
        <v>57</v>
      </c>
      <c r="W482" s="70">
        <v>1987</v>
      </c>
      <c r="X482" s="70" t="s">
        <v>21</v>
      </c>
      <c r="Y482" s="71">
        <v>43473</v>
      </c>
      <c r="Z482" s="71" t="s">
        <v>1031</v>
      </c>
      <c r="AA482" s="71">
        <v>44143</v>
      </c>
      <c r="AB482" s="72"/>
      <c r="AC482" s="28"/>
      <c r="AD482" s="26"/>
      <c r="AE482" s="28"/>
      <c r="AF482" s="26"/>
      <c r="AG482" s="26"/>
      <c r="AH482" s="26"/>
      <c r="AI482" s="27">
        <f>COUNTIF(DangKyThamGapThuongXuyen!$L$4:$L$5261,DaTa!$T482)</f>
        <v>0</v>
      </c>
    </row>
    <row r="483" spans="17:35" ht="15" x14ac:dyDescent="0.2">
      <c r="Q483" s="29"/>
      <c r="R483" s="30" t="str">
        <f>IF($V483=$R$1,MAX($R$3:R482)+1,"")</f>
        <v/>
      </c>
      <c r="S483" s="24">
        <v>481</v>
      </c>
      <c r="T483" s="39" t="s">
        <v>1034</v>
      </c>
      <c r="U483" s="25" t="s">
        <v>471</v>
      </c>
      <c r="V483" s="25" t="s">
        <v>38</v>
      </c>
      <c r="W483" s="24">
        <v>1987</v>
      </c>
      <c r="X483" s="70" t="s">
        <v>21</v>
      </c>
      <c r="Y483" s="26">
        <v>43436</v>
      </c>
      <c r="Z483" s="26" t="s">
        <v>1035</v>
      </c>
      <c r="AA483" s="26">
        <v>44076</v>
      </c>
      <c r="AB483" s="72"/>
      <c r="AC483" s="28"/>
      <c r="AD483" s="26"/>
      <c r="AE483" s="28"/>
      <c r="AF483" s="26"/>
      <c r="AG483" s="26"/>
      <c r="AH483" s="26"/>
      <c r="AI483" s="27">
        <f>COUNTIF(DangKyThamGapThuongXuyen!$L$4:$L$5261,DaTa!$T483)</f>
        <v>0</v>
      </c>
    </row>
    <row r="484" spans="17:35" ht="15" x14ac:dyDescent="0.2">
      <c r="Q484" s="29"/>
      <c r="R484" s="30" t="str">
        <f>IF($V484=$R$1,MAX($R$3:R483)+1,"")</f>
        <v/>
      </c>
      <c r="S484" s="24">
        <v>482</v>
      </c>
      <c r="T484" s="39" t="s">
        <v>1036</v>
      </c>
      <c r="U484" s="25" t="s">
        <v>86</v>
      </c>
      <c r="V484" s="25" t="s">
        <v>236</v>
      </c>
      <c r="W484" s="24">
        <v>1978</v>
      </c>
      <c r="X484" s="70" t="s">
        <v>21</v>
      </c>
      <c r="Y484" s="26">
        <v>43468</v>
      </c>
      <c r="Z484" s="26" t="s">
        <v>1035</v>
      </c>
      <c r="AA484" s="26">
        <v>44199</v>
      </c>
      <c r="AB484" s="72"/>
      <c r="AC484" s="28"/>
      <c r="AD484" s="26"/>
      <c r="AE484" s="28"/>
      <c r="AF484" s="26"/>
      <c r="AG484" s="26"/>
      <c r="AH484" s="26"/>
      <c r="AI484" s="27">
        <f>COUNTIF(DangKyThamGapThuongXuyen!$L$4:$L$5261,DaTa!$T484)</f>
        <v>0</v>
      </c>
    </row>
    <row r="485" spans="17:35" ht="15" x14ac:dyDescent="0.2">
      <c r="Q485" s="29"/>
      <c r="R485" s="30" t="str">
        <f>IF($V485=$R$1,MAX($R$3:R484)+1,"")</f>
        <v/>
      </c>
      <c r="S485" s="24">
        <v>483</v>
      </c>
      <c r="T485" s="39" t="s">
        <v>1037</v>
      </c>
      <c r="U485" s="25" t="s">
        <v>1038</v>
      </c>
      <c r="V485" s="25" t="s">
        <v>87</v>
      </c>
      <c r="W485" s="24">
        <v>1979</v>
      </c>
      <c r="X485" s="70" t="s">
        <v>21</v>
      </c>
      <c r="Y485" s="26">
        <v>43477</v>
      </c>
      <c r="Z485" s="26" t="s">
        <v>1035</v>
      </c>
      <c r="AA485" s="26">
        <v>44208</v>
      </c>
      <c r="AB485" s="72"/>
      <c r="AC485" s="28"/>
      <c r="AD485" s="26"/>
      <c r="AE485" s="28"/>
      <c r="AF485" s="26"/>
      <c r="AG485" s="26"/>
      <c r="AH485" s="26"/>
      <c r="AI485" s="27">
        <f>COUNTIF(DangKyThamGapThuongXuyen!$L$4:$L$5261,DaTa!$T485)</f>
        <v>1</v>
      </c>
    </row>
    <row r="486" spans="17:35" ht="15" x14ac:dyDescent="0.2">
      <c r="Q486" s="29"/>
      <c r="R486" s="30" t="str">
        <f>IF($V486=$R$1,MAX($R$3:R485)+1,"")</f>
        <v/>
      </c>
      <c r="S486" s="24">
        <v>484</v>
      </c>
      <c r="T486" s="39" t="s">
        <v>1039</v>
      </c>
      <c r="U486" s="25" t="s">
        <v>1040</v>
      </c>
      <c r="V486" s="25" t="s">
        <v>35</v>
      </c>
      <c r="W486" s="24">
        <v>1988</v>
      </c>
      <c r="X486" s="70" t="s">
        <v>21</v>
      </c>
      <c r="Y486" s="26">
        <v>43446</v>
      </c>
      <c r="Z486" s="26" t="s">
        <v>1035</v>
      </c>
      <c r="AA486" s="26">
        <v>43994</v>
      </c>
      <c r="AB486" s="72"/>
      <c r="AC486" s="28"/>
      <c r="AD486" s="26"/>
      <c r="AE486" s="28"/>
      <c r="AF486" s="26"/>
      <c r="AG486" s="26"/>
      <c r="AH486" s="26"/>
      <c r="AI486" s="27">
        <f>COUNTIF(DangKyThamGapThuongXuyen!$L$4:$L$5261,DaTa!$T486)</f>
        <v>0</v>
      </c>
    </row>
    <row r="487" spans="17:35" ht="15" x14ac:dyDescent="0.2">
      <c r="Q487" s="29"/>
      <c r="R487" s="30" t="str">
        <f>IF($V487=$R$1,MAX($R$3:R486)+1,"")</f>
        <v/>
      </c>
      <c r="S487" s="24">
        <v>485</v>
      </c>
      <c r="T487" s="39" t="s">
        <v>1041</v>
      </c>
      <c r="U487" s="25" t="s">
        <v>1042</v>
      </c>
      <c r="V487" s="25" t="s">
        <v>222</v>
      </c>
      <c r="W487" s="24">
        <v>1981</v>
      </c>
      <c r="X487" s="70" t="s">
        <v>21</v>
      </c>
      <c r="Y487" s="26">
        <v>43489</v>
      </c>
      <c r="Z487" s="26" t="s">
        <v>1035</v>
      </c>
      <c r="AA487" s="26">
        <v>44036</v>
      </c>
      <c r="AB487" s="72"/>
      <c r="AC487" s="53"/>
      <c r="AD487" s="26"/>
      <c r="AE487" s="53"/>
      <c r="AF487" s="26"/>
      <c r="AG487" s="26"/>
      <c r="AH487" s="26"/>
      <c r="AI487" s="27">
        <f>COUNTIF(DangKyThamGapThuongXuyen!$L$4:$L$5261,DaTa!$T487)</f>
        <v>2</v>
      </c>
    </row>
    <row r="488" spans="17:35" ht="15" x14ac:dyDescent="0.2">
      <c r="Q488" s="29"/>
      <c r="R488" s="30" t="str">
        <f>IF($V488=$R$1,MAX($R$3:R487)+1,"")</f>
        <v/>
      </c>
      <c r="S488" s="24">
        <v>486</v>
      </c>
      <c r="T488" s="39" t="s">
        <v>1043</v>
      </c>
      <c r="U488" s="25" t="s">
        <v>63</v>
      </c>
      <c r="V488" s="25" t="s">
        <v>54</v>
      </c>
      <c r="W488" s="24">
        <v>1986</v>
      </c>
      <c r="X488" s="24" t="s">
        <v>21</v>
      </c>
      <c r="Y488" s="26">
        <v>43448</v>
      </c>
      <c r="Z488" s="26" t="s">
        <v>1035</v>
      </c>
      <c r="AA488" s="26">
        <v>44088</v>
      </c>
      <c r="AB488" s="27"/>
      <c r="AC488" s="28"/>
      <c r="AD488" s="26"/>
      <c r="AE488" s="28"/>
      <c r="AF488" s="26"/>
      <c r="AG488" s="26"/>
      <c r="AH488" s="26"/>
      <c r="AI488" s="27">
        <f>COUNTIF(DangKyThamGapThuongXuyen!$L$4:$L$5261,DaTa!$T488)</f>
        <v>0</v>
      </c>
    </row>
    <row r="489" spans="17:35" ht="15" x14ac:dyDescent="0.2">
      <c r="Q489" s="29"/>
      <c r="R489" s="30">
        <f>IF($V489=$R$1,MAX($R$3:R488)+1,"")</f>
        <v>7</v>
      </c>
      <c r="S489" s="24">
        <v>487</v>
      </c>
      <c r="T489" s="39" t="s">
        <v>1044</v>
      </c>
      <c r="U489" s="25" t="s">
        <v>358</v>
      </c>
      <c r="V489" s="25" t="s">
        <v>257</v>
      </c>
      <c r="W489" s="24">
        <v>1988</v>
      </c>
      <c r="X489" s="24" t="s">
        <v>21</v>
      </c>
      <c r="Y489" s="26">
        <v>43536</v>
      </c>
      <c r="Z489" s="26" t="s">
        <v>1045</v>
      </c>
      <c r="AA489" s="26">
        <v>44267</v>
      </c>
      <c r="AB489" s="27"/>
      <c r="AC489" s="28"/>
      <c r="AD489" s="26"/>
      <c r="AE489" s="28"/>
      <c r="AF489" s="26"/>
      <c r="AG489" s="26"/>
      <c r="AH489" s="26"/>
      <c r="AI489" s="27">
        <f>COUNTIF(DangKyThamGapThuongXuyen!$L$4:$L$5261,DaTa!$T489)</f>
        <v>0</v>
      </c>
    </row>
    <row r="490" spans="17:35" ht="12.75" x14ac:dyDescent="0.2">
      <c r="Q490" s="29"/>
      <c r="R490" s="30" t="str">
        <f>IF($V490=$R$1,MAX($R$3:R489)+1,"")</f>
        <v/>
      </c>
      <c r="S490" s="24">
        <v>488</v>
      </c>
      <c r="T490" s="39" t="s">
        <v>1046</v>
      </c>
      <c r="U490" s="40" t="s">
        <v>471</v>
      </c>
      <c r="V490" s="40" t="s">
        <v>161</v>
      </c>
      <c r="W490" s="41">
        <v>1982</v>
      </c>
      <c r="X490" s="24" t="s">
        <v>21</v>
      </c>
      <c r="Y490" s="42">
        <v>43476</v>
      </c>
      <c r="Z490" s="42" t="s">
        <v>1047</v>
      </c>
      <c r="AA490" s="42">
        <v>44023</v>
      </c>
      <c r="AB490" s="27"/>
      <c r="AC490" s="43"/>
      <c r="AD490" s="26"/>
      <c r="AE490" s="43"/>
      <c r="AF490" s="26"/>
      <c r="AG490" s="26"/>
      <c r="AH490" s="26"/>
      <c r="AI490" s="27">
        <f>COUNTIF(DangKyThamGapThuongXuyen!$L$4:$L$5261,DaTa!$T490)</f>
        <v>0</v>
      </c>
    </row>
    <row r="491" spans="17:35" ht="12.75" x14ac:dyDescent="0.2">
      <c r="Q491" s="29"/>
      <c r="R491" s="23" t="str">
        <f>IF($V491=$R$1,MAX($R$3:R490)+1,"")</f>
        <v/>
      </c>
      <c r="S491" s="24">
        <v>489</v>
      </c>
      <c r="T491" s="39" t="s">
        <v>1048</v>
      </c>
      <c r="U491" s="40" t="s">
        <v>266</v>
      </c>
      <c r="V491" s="40" t="s">
        <v>729</v>
      </c>
      <c r="W491" s="41">
        <v>1975</v>
      </c>
      <c r="X491" s="24" t="s">
        <v>21</v>
      </c>
      <c r="Y491" s="42">
        <v>43482</v>
      </c>
      <c r="Z491" s="42" t="s">
        <v>1047</v>
      </c>
      <c r="AA491" s="42">
        <v>44121</v>
      </c>
      <c r="AB491" s="27"/>
      <c r="AC491" s="43"/>
      <c r="AD491" s="26"/>
      <c r="AE491" s="43"/>
      <c r="AF491" s="26"/>
      <c r="AG491" s="26"/>
      <c r="AH491" s="26"/>
      <c r="AI491" s="27">
        <f>COUNTIF(DangKyThamGapThuongXuyen!$L$4:$L$5261,DaTa!$T491)</f>
        <v>0</v>
      </c>
    </row>
    <row r="492" spans="17:35" ht="15" x14ac:dyDescent="0.2">
      <c r="Q492" s="29"/>
      <c r="R492" s="30" t="str">
        <f>IF($V492=$R$1,MAX($R$3:R491)+1,"")</f>
        <v/>
      </c>
      <c r="S492" s="24">
        <v>490</v>
      </c>
      <c r="T492" s="39" t="s">
        <v>1049</v>
      </c>
      <c r="U492" s="25" t="s">
        <v>1050</v>
      </c>
      <c r="V492" s="25" t="s">
        <v>1051</v>
      </c>
      <c r="W492" s="24">
        <v>1976</v>
      </c>
      <c r="X492" s="24" t="s">
        <v>21</v>
      </c>
      <c r="Y492" s="26">
        <v>43484</v>
      </c>
      <c r="Z492" s="26" t="s">
        <v>1047</v>
      </c>
      <c r="AA492" s="26">
        <v>44123</v>
      </c>
      <c r="AB492" s="27"/>
      <c r="AC492" s="28"/>
      <c r="AD492" s="26"/>
      <c r="AE492" s="28"/>
      <c r="AF492" s="26"/>
      <c r="AG492" s="26"/>
      <c r="AH492" s="26"/>
      <c r="AI492" s="27">
        <f>COUNTIF(DangKyThamGapThuongXuyen!$L$4:$L$5261,DaTa!$T492)</f>
        <v>0</v>
      </c>
    </row>
    <row r="493" spans="17:35" ht="15" x14ac:dyDescent="0.2">
      <c r="Q493" s="29"/>
      <c r="R493" s="30" t="str">
        <f>IF($V493=$R$1,MAX($R$3:R492)+1,"")</f>
        <v/>
      </c>
      <c r="S493" s="24">
        <v>491</v>
      </c>
      <c r="T493" s="39" t="s">
        <v>1052</v>
      </c>
      <c r="U493" s="25" t="s">
        <v>1053</v>
      </c>
      <c r="V493" s="25" t="s">
        <v>351</v>
      </c>
      <c r="W493" s="24">
        <v>1990</v>
      </c>
      <c r="X493" s="24" t="s">
        <v>21</v>
      </c>
      <c r="Y493" s="26">
        <v>43468</v>
      </c>
      <c r="Z493" s="26" t="s">
        <v>1054</v>
      </c>
      <c r="AA493" s="26">
        <v>44015</v>
      </c>
      <c r="AB493" s="27"/>
      <c r="AC493" s="28"/>
      <c r="AD493" s="26"/>
      <c r="AE493" s="28"/>
      <c r="AF493" s="26"/>
      <c r="AG493" s="26"/>
      <c r="AH493" s="26"/>
      <c r="AI493" s="27">
        <f>COUNTIF(DangKyThamGapThuongXuyen!$L$4:$L$5261,DaTa!$T493)</f>
        <v>0</v>
      </c>
    </row>
    <row r="494" spans="17:35" ht="15" x14ac:dyDescent="0.2">
      <c r="Q494" s="29"/>
      <c r="R494" s="30" t="str">
        <f>IF($V494=$R$1,MAX($R$3:R493)+1,"")</f>
        <v/>
      </c>
      <c r="S494" s="24">
        <v>492</v>
      </c>
      <c r="T494" s="39" t="s">
        <v>1055</v>
      </c>
      <c r="U494" s="25" t="s">
        <v>1056</v>
      </c>
      <c r="V494" s="25" t="s">
        <v>93</v>
      </c>
      <c r="W494" s="24">
        <v>1972</v>
      </c>
      <c r="X494" s="24" t="s">
        <v>21</v>
      </c>
      <c r="Y494" s="26">
        <v>43487</v>
      </c>
      <c r="Z494" s="26" t="s">
        <v>1054</v>
      </c>
      <c r="AA494" s="26">
        <v>44126</v>
      </c>
      <c r="AB494" s="27"/>
      <c r="AC494" s="28"/>
      <c r="AD494" s="26"/>
      <c r="AE494" s="28"/>
      <c r="AF494" s="26"/>
      <c r="AG494" s="26"/>
      <c r="AH494" s="26"/>
      <c r="AI494" s="27">
        <f>COUNTIF(DangKyThamGapThuongXuyen!$L$4:$L$5261,DaTa!$T494)</f>
        <v>0</v>
      </c>
    </row>
    <row r="495" spans="17:35" ht="15" x14ac:dyDescent="0.2">
      <c r="Q495" s="29"/>
      <c r="R495" s="30" t="str">
        <f>IF($V495=$R$1,MAX($R$3:R494)+1,"")</f>
        <v/>
      </c>
      <c r="S495" s="24">
        <v>493</v>
      </c>
      <c r="T495" s="39" t="s">
        <v>1057</v>
      </c>
      <c r="U495" s="25" t="s">
        <v>1058</v>
      </c>
      <c r="V495" s="25" t="s">
        <v>104</v>
      </c>
      <c r="W495" s="24">
        <v>1977</v>
      </c>
      <c r="X495" s="24" t="s">
        <v>21</v>
      </c>
      <c r="Y495" s="26">
        <v>43488</v>
      </c>
      <c r="Z495" s="26" t="s">
        <v>1054</v>
      </c>
      <c r="AA495" s="26">
        <v>44127</v>
      </c>
      <c r="AB495" s="27"/>
      <c r="AC495" s="28"/>
      <c r="AD495" s="26"/>
      <c r="AE495" s="28"/>
      <c r="AF495" s="26"/>
      <c r="AG495" s="26"/>
      <c r="AH495" s="26"/>
      <c r="AI495" s="27">
        <f>COUNTIF(DangKyThamGapThuongXuyen!$L$4:$L$5261,DaTa!$T495)</f>
        <v>1</v>
      </c>
    </row>
    <row r="496" spans="17:35" ht="15" x14ac:dyDescent="0.2">
      <c r="Q496" s="29"/>
      <c r="R496" s="30" t="str">
        <f>IF($V496=$R$1,MAX($R$3:R495)+1,"")</f>
        <v/>
      </c>
      <c r="S496" s="24">
        <v>494</v>
      </c>
      <c r="T496" s="39" t="s">
        <v>1059</v>
      </c>
      <c r="U496" s="25" t="s">
        <v>807</v>
      </c>
      <c r="V496" s="25" t="s">
        <v>1016</v>
      </c>
      <c r="W496" s="24">
        <v>1987</v>
      </c>
      <c r="X496" s="24" t="s">
        <v>21</v>
      </c>
      <c r="Y496" s="26">
        <v>43508</v>
      </c>
      <c r="Z496" s="26">
        <v>43567</v>
      </c>
      <c r="AA496" s="44">
        <v>44239</v>
      </c>
      <c r="AB496" s="27"/>
      <c r="AC496" s="28"/>
      <c r="AD496" s="26"/>
      <c r="AE496" s="28"/>
      <c r="AF496" s="26"/>
      <c r="AG496" s="26"/>
      <c r="AH496" s="26"/>
      <c r="AI496" s="27">
        <f>COUNTIF(DangKyThamGapThuongXuyen!$L$4:$L$5261,DaTa!$T496)</f>
        <v>0</v>
      </c>
    </row>
    <row r="497" spans="17:35" ht="12.75" x14ac:dyDescent="0.2">
      <c r="Q497" s="29"/>
      <c r="R497" s="30" t="str">
        <f>IF($V497=$R$1,MAX($R$3:R496)+1,"")</f>
        <v/>
      </c>
      <c r="S497" s="24">
        <v>495</v>
      </c>
      <c r="T497" s="39" t="s">
        <v>1060</v>
      </c>
      <c r="U497" s="40" t="s">
        <v>1061</v>
      </c>
      <c r="V497" s="40" t="s">
        <v>1016</v>
      </c>
      <c r="W497" s="41">
        <v>1977</v>
      </c>
      <c r="X497" s="24" t="s">
        <v>21</v>
      </c>
      <c r="Y497" s="42">
        <v>43509</v>
      </c>
      <c r="Z497" s="42">
        <v>43567</v>
      </c>
      <c r="AA497" s="42">
        <v>44117</v>
      </c>
      <c r="AB497" s="27"/>
      <c r="AC497" s="43"/>
      <c r="AD497" s="26"/>
      <c r="AE497" s="43"/>
      <c r="AF497" s="26"/>
      <c r="AG497" s="26"/>
      <c r="AH497" s="26"/>
      <c r="AI497" s="27">
        <f>COUNTIF(DangKyThamGapThuongXuyen!$L$4:$L$5261,DaTa!$T497)</f>
        <v>0</v>
      </c>
    </row>
    <row r="498" spans="17:35" ht="15" x14ac:dyDescent="0.2">
      <c r="Q498" s="29"/>
      <c r="R498" s="30" t="str">
        <f>IF($V498=$R$1,MAX($R$3:R497)+1,"")</f>
        <v/>
      </c>
      <c r="S498" s="24">
        <v>496</v>
      </c>
      <c r="T498" s="39" t="s">
        <v>1062</v>
      </c>
      <c r="U498" s="25" t="s">
        <v>1063</v>
      </c>
      <c r="V498" s="25" t="s">
        <v>93</v>
      </c>
      <c r="W498" s="24">
        <v>1982</v>
      </c>
      <c r="X498" s="24" t="s">
        <v>21</v>
      </c>
      <c r="Y498" s="26">
        <v>43479</v>
      </c>
      <c r="Z498" s="26">
        <v>43567</v>
      </c>
      <c r="AA498" s="26">
        <v>44026</v>
      </c>
      <c r="AB498" s="27"/>
      <c r="AC498" s="28"/>
      <c r="AD498" s="26"/>
      <c r="AE498" s="28"/>
      <c r="AF498" s="26"/>
      <c r="AG498" s="26"/>
      <c r="AH498" s="26"/>
      <c r="AI498" s="27">
        <f>COUNTIF(DangKyThamGapThuongXuyen!$L$4:$L$5261,DaTa!$T498)</f>
        <v>0</v>
      </c>
    </row>
    <row r="499" spans="17:35" ht="12.75" x14ac:dyDescent="0.2">
      <c r="Q499" s="29"/>
      <c r="R499" s="23" t="str">
        <f>IF($V499=$R$1,MAX($R$3:R498)+1,"")</f>
        <v/>
      </c>
      <c r="S499" s="24">
        <v>497</v>
      </c>
      <c r="T499" s="39" t="s">
        <v>1064</v>
      </c>
      <c r="U499" s="40" t="s">
        <v>1065</v>
      </c>
      <c r="V499" s="40" t="s">
        <v>1066</v>
      </c>
      <c r="W499" s="41">
        <v>1990</v>
      </c>
      <c r="X499" s="24" t="s">
        <v>21</v>
      </c>
      <c r="Y499" s="42">
        <v>43474</v>
      </c>
      <c r="Z499" s="42">
        <v>43567</v>
      </c>
      <c r="AA499" s="42">
        <v>44205</v>
      </c>
      <c r="AB499" s="27"/>
      <c r="AC499" s="43"/>
      <c r="AD499" s="26"/>
      <c r="AE499" s="43"/>
      <c r="AF499" s="26"/>
      <c r="AG499" s="26"/>
      <c r="AH499" s="26"/>
      <c r="AI499" s="27">
        <f>COUNTIF(DangKyThamGapThuongXuyen!$L$4:$L$5261,DaTa!$T499)</f>
        <v>0</v>
      </c>
    </row>
    <row r="500" spans="17:35" ht="15" x14ac:dyDescent="0.2">
      <c r="Q500" s="29"/>
      <c r="R500" s="30" t="str">
        <f>IF($V500=$R$1,MAX($R$3:R499)+1,"")</f>
        <v/>
      </c>
      <c r="S500" s="24">
        <v>498</v>
      </c>
      <c r="T500" s="39" t="s">
        <v>1067</v>
      </c>
      <c r="U500" s="25" t="s">
        <v>320</v>
      </c>
      <c r="V500" s="25" t="s">
        <v>1068</v>
      </c>
      <c r="W500" s="24">
        <v>1972</v>
      </c>
      <c r="X500" s="24" t="s">
        <v>73</v>
      </c>
      <c r="Y500" s="26">
        <v>43472</v>
      </c>
      <c r="Z500" s="26">
        <v>43574</v>
      </c>
      <c r="AA500" s="26">
        <v>44019</v>
      </c>
      <c r="AB500" s="27"/>
      <c r="AC500" s="28"/>
      <c r="AD500" s="26"/>
      <c r="AE500" s="28"/>
      <c r="AF500" s="26"/>
      <c r="AG500" s="26"/>
      <c r="AH500" s="26"/>
      <c r="AI500" s="27">
        <f>COUNTIF(DangKyThamGapThuongXuyen!$L$4:$L$5261,DaTa!$T500)</f>
        <v>0</v>
      </c>
    </row>
    <row r="501" spans="17:35" ht="12.75" x14ac:dyDescent="0.2">
      <c r="Q501" s="29"/>
      <c r="R501" s="30" t="str">
        <f>IF($V501=$R$1,MAX($R$3:R500)+1,"")</f>
        <v/>
      </c>
      <c r="S501" s="24">
        <v>499</v>
      </c>
      <c r="T501" s="39" t="s">
        <v>1069</v>
      </c>
      <c r="U501" s="40" t="s">
        <v>1070</v>
      </c>
      <c r="V501" s="40" t="s">
        <v>634</v>
      </c>
      <c r="W501" s="41">
        <v>1987</v>
      </c>
      <c r="X501" s="24" t="s">
        <v>73</v>
      </c>
      <c r="Y501" s="42">
        <v>43514</v>
      </c>
      <c r="Z501" s="42">
        <v>43574</v>
      </c>
      <c r="AA501" s="42">
        <v>44245</v>
      </c>
      <c r="AB501" s="27"/>
      <c r="AC501" s="43"/>
      <c r="AD501" s="26"/>
      <c r="AE501" s="43"/>
      <c r="AF501" s="26"/>
      <c r="AG501" s="26"/>
      <c r="AH501" s="26"/>
      <c r="AI501" s="27">
        <f>COUNTIF(DangKyThamGapThuongXuyen!$L$4:$L$5261,DaTa!$T501)</f>
        <v>1</v>
      </c>
    </row>
    <row r="502" spans="17:35" ht="15" x14ac:dyDescent="0.2">
      <c r="Q502" s="29"/>
      <c r="R502" s="30" t="str">
        <f>IF($V502=$R$1,MAX($R$3:R501)+1,"")</f>
        <v/>
      </c>
      <c r="S502" s="24">
        <v>500</v>
      </c>
      <c r="T502" s="39" t="s">
        <v>1071</v>
      </c>
      <c r="U502" s="25" t="s">
        <v>1072</v>
      </c>
      <c r="V502" s="25" t="s">
        <v>534</v>
      </c>
      <c r="W502" s="24">
        <v>1980</v>
      </c>
      <c r="X502" s="24" t="s">
        <v>73</v>
      </c>
      <c r="Y502" s="26">
        <v>43514</v>
      </c>
      <c r="Z502" s="26">
        <v>43574</v>
      </c>
      <c r="AA502" s="26">
        <v>44245</v>
      </c>
      <c r="AB502" s="27"/>
      <c r="AC502" s="28"/>
      <c r="AD502" s="26"/>
      <c r="AE502" s="28"/>
      <c r="AF502" s="26"/>
      <c r="AG502" s="26"/>
      <c r="AH502" s="26"/>
      <c r="AI502" s="27">
        <f>COUNTIF(DangKyThamGapThuongXuyen!$L$4:$L$5261,DaTa!$T502)</f>
        <v>1</v>
      </c>
    </row>
    <row r="503" spans="17:35" ht="15" x14ac:dyDescent="0.2">
      <c r="Q503" s="29"/>
      <c r="R503" s="30" t="str">
        <f>IF($V503=$R$1,MAX($R$3:R502)+1,"")</f>
        <v/>
      </c>
      <c r="S503" s="24">
        <v>501</v>
      </c>
      <c r="T503" s="39" t="s">
        <v>1073</v>
      </c>
      <c r="U503" s="25" t="s">
        <v>1074</v>
      </c>
      <c r="V503" s="25" t="s">
        <v>354</v>
      </c>
      <c r="W503" s="24">
        <v>1981</v>
      </c>
      <c r="X503" s="24" t="s">
        <v>73</v>
      </c>
      <c r="Y503" s="26">
        <v>43476</v>
      </c>
      <c r="Z503" s="26">
        <v>43574</v>
      </c>
      <c r="AA503" s="26">
        <v>44115</v>
      </c>
      <c r="AB503" s="27"/>
      <c r="AC503" s="28" t="s">
        <v>243</v>
      </c>
      <c r="AD503" s="26"/>
      <c r="AE503" s="28"/>
      <c r="AF503" s="26"/>
      <c r="AG503" s="26"/>
      <c r="AH503" s="26"/>
      <c r="AI503" s="27">
        <f>COUNTIF(DangKyThamGapThuongXuyen!$L$4:$L$5261,DaTa!$T503)</f>
        <v>0</v>
      </c>
    </row>
    <row r="504" spans="17:35" ht="15" x14ac:dyDescent="0.2">
      <c r="Q504" s="29"/>
      <c r="R504" s="30" t="str">
        <f>IF($V504=$R$1,MAX($R$3:R503)+1,"")</f>
        <v/>
      </c>
      <c r="S504" s="24">
        <v>502</v>
      </c>
      <c r="T504" s="39" t="s">
        <v>1075</v>
      </c>
      <c r="U504" s="25" t="s">
        <v>946</v>
      </c>
      <c r="V504" s="25" t="s">
        <v>1076</v>
      </c>
      <c r="W504" s="24">
        <v>1986</v>
      </c>
      <c r="X504" s="24" t="s">
        <v>73</v>
      </c>
      <c r="Y504" s="45">
        <v>43476</v>
      </c>
      <c r="Z504" s="26">
        <v>43574</v>
      </c>
      <c r="AA504" s="26">
        <v>44207</v>
      </c>
      <c r="AB504" s="27"/>
      <c r="AC504" s="28" t="s">
        <v>243</v>
      </c>
      <c r="AD504" s="26"/>
      <c r="AE504" s="28"/>
      <c r="AF504" s="26"/>
      <c r="AG504" s="26"/>
      <c r="AH504" s="26"/>
      <c r="AI504" s="27">
        <f>COUNTIF(DangKyThamGapThuongXuyen!$L$4:$L$5261,DaTa!$T504)</f>
        <v>0</v>
      </c>
    </row>
    <row r="505" spans="17:35" ht="15" x14ac:dyDescent="0.2">
      <c r="Q505" s="29"/>
      <c r="R505" s="30" t="str">
        <f>IF($V505=$R$1,MAX($R$3:R504)+1,"")</f>
        <v/>
      </c>
      <c r="S505" s="24">
        <v>503</v>
      </c>
      <c r="T505" s="39" t="s">
        <v>1077</v>
      </c>
      <c r="U505" s="25" t="s">
        <v>384</v>
      </c>
      <c r="V505" s="25" t="s">
        <v>441</v>
      </c>
      <c r="W505" s="24">
        <v>1989</v>
      </c>
      <c r="X505" s="24" t="s">
        <v>73</v>
      </c>
      <c r="Y505" s="26">
        <v>43486</v>
      </c>
      <c r="Z505" s="26">
        <v>43574</v>
      </c>
      <c r="AA505" s="26">
        <v>44125</v>
      </c>
      <c r="AB505" s="49"/>
      <c r="AC505" s="28"/>
      <c r="AD505" s="26"/>
      <c r="AE505" s="28"/>
      <c r="AF505" s="26"/>
      <c r="AG505" s="26"/>
      <c r="AH505" s="26"/>
      <c r="AI505" s="27">
        <f>COUNTIF(DangKyThamGapThuongXuyen!$L$4:$L$5261,DaTa!$T505)</f>
        <v>0</v>
      </c>
    </row>
    <row r="506" spans="17:35" ht="15" x14ac:dyDescent="0.2">
      <c r="Q506" s="29"/>
      <c r="R506" s="30" t="str">
        <f>IF($V506=$R$1,MAX($R$3:R505)+1,"")</f>
        <v/>
      </c>
      <c r="S506" s="24">
        <v>504</v>
      </c>
      <c r="T506" s="39" t="s">
        <v>1078</v>
      </c>
      <c r="U506" s="25" t="s">
        <v>1079</v>
      </c>
      <c r="V506" s="25" t="s">
        <v>146</v>
      </c>
      <c r="W506" s="24">
        <v>1985</v>
      </c>
      <c r="X506" s="24" t="s">
        <v>73</v>
      </c>
      <c r="Y506" s="26">
        <v>43480</v>
      </c>
      <c r="Z506" s="26">
        <v>43574</v>
      </c>
      <c r="AA506" s="26">
        <v>44211</v>
      </c>
      <c r="AB506" s="27"/>
      <c r="AC506" s="28"/>
      <c r="AD506" s="26"/>
      <c r="AE506" s="28"/>
      <c r="AF506" s="26"/>
      <c r="AG506" s="26"/>
      <c r="AH506" s="26"/>
      <c r="AI506" s="27">
        <f>COUNTIF(DangKyThamGapThuongXuyen!$L$4:$L$5261,DaTa!$T506)</f>
        <v>0</v>
      </c>
    </row>
    <row r="507" spans="17:35" ht="12.75" x14ac:dyDescent="0.2">
      <c r="Q507" s="29"/>
      <c r="R507" s="30" t="str">
        <f>IF($V507=$R$1,MAX($R$3:R506)+1,"")</f>
        <v/>
      </c>
      <c r="S507" s="24">
        <v>505</v>
      </c>
      <c r="T507" s="39" t="s">
        <v>1080</v>
      </c>
      <c r="U507" s="40" t="s">
        <v>172</v>
      </c>
      <c r="V507" s="40" t="s">
        <v>282</v>
      </c>
      <c r="W507" s="41">
        <v>1987</v>
      </c>
      <c r="X507" s="24" t="s">
        <v>73</v>
      </c>
      <c r="Y507" s="42" t="s">
        <v>1081</v>
      </c>
      <c r="Z507" s="42" t="s">
        <v>1082</v>
      </c>
      <c r="AA507" s="42">
        <v>44189</v>
      </c>
      <c r="AB507" s="27"/>
      <c r="AC507" s="43" t="s">
        <v>88</v>
      </c>
      <c r="AD507" s="26">
        <v>43604</v>
      </c>
      <c r="AE507" s="43">
        <v>45</v>
      </c>
      <c r="AF507" s="26">
        <v>43649</v>
      </c>
      <c r="AG507" s="26"/>
      <c r="AH507" s="26"/>
      <c r="AI507" s="27">
        <f>COUNTIF(DangKyThamGapThuongXuyen!$L$4:$L$5261,DaTa!$T507)</f>
        <v>1</v>
      </c>
    </row>
    <row r="508" spans="17:35" ht="15" x14ac:dyDescent="0.2">
      <c r="Q508" s="29"/>
      <c r="R508" s="30" t="str">
        <f>IF($V508=$R$1,MAX($R$3:R507)+1,"")</f>
        <v/>
      </c>
      <c r="S508" s="24">
        <v>506</v>
      </c>
      <c r="T508" s="39" t="s">
        <v>1083</v>
      </c>
      <c r="U508" s="25" t="s">
        <v>1084</v>
      </c>
      <c r="V508" s="25" t="s">
        <v>153</v>
      </c>
      <c r="W508" s="24">
        <v>1969</v>
      </c>
      <c r="X508" s="24" t="s">
        <v>73</v>
      </c>
      <c r="Y508" s="26" t="s">
        <v>925</v>
      </c>
      <c r="Z508" s="26" t="s">
        <v>1082</v>
      </c>
      <c r="AA508" s="26">
        <v>44199</v>
      </c>
      <c r="AB508" s="27"/>
      <c r="AC508" s="28"/>
      <c r="AD508" s="26"/>
      <c r="AE508" s="28"/>
      <c r="AF508" s="26"/>
      <c r="AG508" s="26"/>
      <c r="AH508" s="26"/>
      <c r="AI508" s="27">
        <f>COUNTIF(DangKyThamGapThuongXuyen!$L$4:$L$5261,DaTa!$T508)</f>
        <v>0</v>
      </c>
    </row>
    <row r="509" spans="17:35" ht="15" x14ac:dyDescent="0.2">
      <c r="Q509" s="29"/>
      <c r="R509" s="30" t="str">
        <f>IF($V509=$R$1,MAX($R$3:R508)+1,"")</f>
        <v/>
      </c>
      <c r="S509" s="24">
        <v>507</v>
      </c>
      <c r="T509" s="39" t="s">
        <v>1085</v>
      </c>
      <c r="U509" s="25" t="s">
        <v>471</v>
      </c>
      <c r="V509" s="25" t="s">
        <v>35</v>
      </c>
      <c r="W509" s="24">
        <v>1985</v>
      </c>
      <c r="X509" s="24" t="s">
        <v>73</v>
      </c>
      <c r="Y509" s="26" t="s">
        <v>1086</v>
      </c>
      <c r="Z509" s="26" t="s">
        <v>1082</v>
      </c>
      <c r="AA509" s="26">
        <v>44207</v>
      </c>
      <c r="AB509" s="27"/>
      <c r="AC509" s="28"/>
      <c r="AD509" s="26"/>
      <c r="AE509" s="28"/>
      <c r="AF509" s="26"/>
      <c r="AG509" s="26"/>
      <c r="AH509" s="26"/>
      <c r="AI509" s="27">
        <f>COUNTIF(DangKyThamGapThuongXuyen!$L$4:$L$5261,DaTa!$T509)</f>
        <v>1</v>
      </c>
    </row>
    <row r="510" spans="17:35" ht="15" x14ac:dyDescent="0.2">
      <c r="Q510" s="29"/>
      <c r="R510" s="30" t="str">
        <f>IF($V510=$R$1,MAX($R$3:R509)+1,"")</f>
        <v/>
      </c>
      <c r="S510" s="24">
        <v>508</v>
      </c>
      <c r="T510" s="39" t="s">
        <v>1087</v>
      </c>
      <c r="U510" s="25" t="s">
        <v>1088</v>
      </c>
      <c r="V510" s="25" t="s">
        <v>267</v>
      </c>
      <c r="W510" s="24">
        <v>1976</v>
      </c>
      <c r="X510" s="24" t="s">
        <v>73</v>
      </c>
      <c r="Y510" s="26" t="s">
        <v>1089</v>
      </c>
      <c r="Z510" s="26" t="s">
        <v>1082</v>
      </c>
      <c r="AA510" s="26">
        <v>44226</v>
      </c>
      <c r="AB510" s="27"/>
      <c r="AC510" s="28"/>
      <c r="AD510" s="26"/>
      <c r="AE510" s="28"/>
      <c r="AF510" s="26"/>
      <c r="AG510" s="26"/>
      <c r="AH510" s="26"/>
      <c r="AI510" s="27">
        <f>COUNTIF(DangKyThamGapThuongXuyen!$L$4:$L$5261,DaTa!$T510)</f>
        <v>0</v>
      </c>
    </row>
    <row r="511" spans="17:35" ht="15" x14ac:dyDescent="0.2">
      <c r="Q511" s="29"/>
      <c r="R511" s="30" t="str">
        <f>IF($V511=$R$1,MAX($R$3:R510)+1,"")</f>
        <v/>
      </c>
      <c r="S511" s="24">
        <v>509</v>
      </c>
      <c r="T511" s="39" t="s">
        <v>1090</v>
      </c>
      <c r="U511" s="25" t="s">
        <v>141</v>
      </c>
      <c r="V511" s="25" t="s">
        <v>153</v>
      </c>
      <c r="W511" s="24">
        <v>1972</v>
      </c>
      <c r="X511" s="24" t="s">
        <v>73</v>
      </c>
      <c r="Y511" s="26">
        <v>43550</v>
      </c>
      <c r="Z511" s="26" t="s">
        <v>1091</v>
      </c>
      <c r="AA511" s="26">
        <v>44100</v>
      </c>
      <c r="AB511" s="27"/>
      <c r="AC511" s="53"/>
      <c r="AD511" s="26"/>
      <c r="AE511" s="53"/>
      <c r="AF511" s="26"/>
      <c r="AG511" s="26"/>
      <c r="AH511" s="26"/>
      <c r="AI511" s="27">
        <f>COUNTIF(DangKyThamGapThuongXuyen!$L$4:$L$5261,DaTa!$T511)</f>
        <v>2</v>
      </c>
    </row>
    <row r="512" spans="17:35" ht="15" x14ac:dyDescent="0.2">
      <c r="Q512" s="29"/>
      <c r="R512" s="30" t="str">
        <f>IF($V512=$R$1,MAX($R$3:R511)+1,"")</f>
        <v/>
      </c>
      <c r="S512" s="24">
        <v>510</v>
      </c>
      <c r="T512" s="39" t="s">
        <v>1092</v>
      </c>
      <c r="U512" s="25" t="s">
        <v>1093</v>
      </c>
      <c r="V512" s="25" t="s">
        <v>1094</v>
      </c>
      <c r="W512" s="24">
        <v>1985</v>
      </c>
      <c r="X512" s="24" t="s">
        <v>73</v>
      </c>
      <c r="Y512" s="26">
        <v>43553</v>
      </c>
      <c r="Z512" s="26" t="s">
        <v>1091</v>
      </c>
      <c r="AA512" s="26">
        <v>44164</v>
      </c>
      <c r="AB512" s="27"/>
      <c r="AC512" s="28"/>
      <c r="AD512" s="26"/>
      <c r="AE512" s="28"/>
      <c r="AF512" s="26"/>
      <c r="AG512" s="26"/>
      <c r="AH512" s="26"/>
      <c r="AI512" s="27">
        <f>COUNTIF(DangKyThamGapThuongXuyen!$L$4:$L$5261,DaTa!$T512)</f>
        <v>0</v>
      </c>
    </row>
    <row r="513" spans="17:35" ht="15" x14ac:dyDescent="0.2">
      <c r="Q513" s="29"/>
      <c r="R513" s="30" t="str">
        <f>IF($V513=$R$1,MAX($R$3:R512)+1,"")</f>
        <v/>
      </c>
      <c r="S513" s="24">
        <v>511</v>
      </c>
      <c r="T513" s="39" t="s">
        <v>1095</v>
      </c>
      <c r="U513" s="25" t="s">
        <v>1096</v>
      </c>
      <c r="V513" s="48" t="s">
        <v>472</v>
      </c>
      <c r="W513" s="24">
        <v>1986</v>
      </c>
      <c r="X513" s="24" t="s">
        <v>73</v>
      </c>
      <c r="Y513" s="26">
        <v>43559</v>
      </c>
      <c r="Z513" s="26" t="s">
        <v>1097</v>
      </c>
      <c r="AA513" s="26">
        <v>44290</v>
      </c>
      <c r="AB513" s="27"/>
      <c r="AC513" s="28"/>
      <c r="AD513" s="26"/>
      <c r="AE513" s="28"/>
      <c r="AF513" s="26"/>
      <c r="AG513" s="26"/>
      <c r="AH513" s="26"/>
      <c r="AI513" s="27">
        <f>COUNTIF(DangKyThamGapThuongXuyen!$L$4:$L$5261,DaTa!$T513)</f>
        <v>0</v>
      </c>
    </row>
    <row r="514" spans="17:35" ht="15" x14ac:dyDescent="0.2">
      <c r="Q514" s="29"/>
      <c r="R514" s="30" t="str">
        <f>IF($V514=$R$1,MAX($R$3:R513)+1,"")</f>
        <v/>
      </c>
      <c r="S514" s="24">
        <v>512</v>
      </c>
      <c r="T514" s="39" t="s">
        <v>1098</v>
      </c>
      <c r="U514" s="25" t="s">
        <v>1099</v>
      </c>
      <c r="V514" s="25" t="s">
        <v>87</v>
      </c>
      <c r="W514" s="24">
        <v>1978</v>
      </c>
      <c r="X514" s="24" t="s">
        <v>73</v>
      </c>
      <c r="Y514" s="26">
        <v>43477</v>
      </c>
      <c r="Z514" s="26">
        <v>43587</v>
      </c>
      <c r="AA514" s="26">
        <v>44208</v>
      </c>
      <c r="AB514" s="27"/>
      <c r="AC514" s="28" t="s">
        <v>668</v>
      </c>
      <c r="AD514" s="26">
        <v>43619</v>
      </c>
      <c r="AE514" s="28">
        <v>61</v>
      </c>
      <c r="AF514" s="26">
        <v>43680</v>
      </c>
      <c r="AG514" s="26"/>
      <c r="AH514" s="26"/>
      <c r="AI514" s="27">
        <f>COUNTIF(DangKyThamGapThuongXuyen!$L$4:$L$5261,DaTa!$T514)</f>
        <v>0</v>
      </c>
    </row>
    <row r="515" spans="17:35" ht="15" x14ac:dyDescent="0.2">
      <c r="Q515" s="29"/>
      <c r="R515" s="30" t="str">
        <f>IF($V515=$R$1,MAX($R$3:R514)+1,"")</f>
        <v/>
      </c>
      <c r="S515" s="24">
        <v>513</v>
      </c>
      <c r="T515" s="39" t="s">
        <v>1100</v>
      </c>
      <c r="U515" s="25" t="s">
        <v>1101</v>
      </c>
      <c r="V515" s="25" t="s">
        <v>70</v>
      </c>
      <c r="W515" s="24">
        <v>1990</v>
      </c>
      <c r="X515" s="24" t="s">
        <v>73</v>
      </c>
      <c r="Y515" s="26">
        <v>43509</v>
      </c>
      <c r="Z515" s="26">
        <v>43587</v>
      </c>
      <c r="AA515" s="26">
        <v>44240</v>
      </c>
      <c r="AB515" s="27"/>
      <c r="AC515" s="28"/>
      <c r="AD515" s="26"/>
      <c r="AE515" s="28"/>
      <c r="AF515" s="26"/>
      <c r="AG515" s="26"/>
      <c r="AH515" s="26"/>
      <c r="AI515" s="27">
        <f>COUNTIF(DangKyThamGapThuongXuyen!$L$4:$L$5261,DaTa!$T515)</f>
        <v>0</v>
      </c>
    </row>
    <row r="516" spans="17:35" ht="15" x14ac:dyDescent="0.2">
      <c r="Q516" s="29"/>
      <c r="R516" s="30" t="str">
        <f>IF($V516=$R$1,MAX($R$3:R515)+1,"")</f>
        <v/>
      </c>
      <c r="S516" s="24">
        <v>514</v>
      </c>
      <c r="T516" s="39" t="s">
        <v>1102</v>
      </c>
      <c r="U516" s="25" t="s">
        <v>1103</v>
      </c>
      <c r="V516" s="25" t="s">
        <v>54</v>
      </c>
      <c r="W516" s="24">
        <v>1987</v>
      </c>
      <c r="X516" s="24" t="s">
        <v>73</v>
      </c>
      <c r="Y516" s="26">
        <v>43495</v>
      </c>
      <c r="Z516" s="26">
        <v>43594</v>
      </c>
      <c r="AA516" s="26">
        <v>44226</v>
      </c>
      <c r="AB516" s="27"/>
      <c r="AC516" s="28" t="s">
        <v>243</v>
      </c>
      <c r="AD516" s="26">
        <v>43594</v>
      </c>
      <c r="AE516" s="28"/>
      <c r="AF516" s="26"/>
      <c r="AG516" s="26"/>
      <c r="AH516" s="26"/>
      <c r="AI516" s="27">
        <f>COUNTIF(DangKyThamGapThuongXuyen!$L$4:$L$5261,DaTa!$T516)</f>
        <v>0</v>
      </c>
    </row>
    <row r="517" spans="17:35" ht="15" x14ac:dyDescent="0.2">
      <c r="Q517" s="29"/>
      <c r="R517" s="30" t="str">
        <f>IF($V517=$R$1,MAX($R$3:R516)+1,"")</f>
        <v/>
      </c>
      <c r="S517" s="24">
        <v>515</v>
      </c>
      <c r="T517" s="39" t="s">
        <v>1104</v>
      </c>
      <c r="U517" s="25" t="s">
        <v>468</v>
      </c>
      <c r="V517" s="25" t="s">
        <v>376</v>
      </c>
      <c r="W517" s="24">
        <v>1967</v>
      </c>
      <c r="X517" s="24" t="s">
        <v>73</v>
      </c>
      <c r="Y517" s="26">
        <v>43529</v>
      </c>
      <c r="Z517" s="26">
        <v>43594</v>
      </c>
      <c r="AA517" s="26">
        <v>44170</v>
      </c>
      <c r="AB517" s="27"/>
      <c r="AC517" s="28"/>
      <c r="AD517" s="26"/>
      <c r="AE517" s="28"/>
      <c r="AF517" s="26"/>
      <c r="AG517" s="26"/>
      <c r="AH517" s="26"/>
      <c r="AI517" s="27">
        <f>COUNTIF(DangKyThamGapThuongXuyen!$L$4:$L$5261,DaTa!$T517)</f>
        <v>1</v>
      </c>
    </row>
    <row r="518" spans="17:35" ht="15" x14ac:dyDescent="0.2">
      <c r="Q518" s="29"/>
      <c r="R518" s="30" t="str">
        <f>IF($V518=$R$1,MAX($R$3:R517)+1,"")</f>
        <v/>
      </c>
      <c r="S518" s="24">
        <v>516</v>
      </c>
      <c r="T518" s="39" t="s">
        <v>1105</v>
      </c>
      <c r="U518" s="25" t="s">
        <v>1106</v>
      </c>
      <c r="V518" s="25" t="s">
        <v>1107</v>
      </c>
      <c r="W518" s="24">
        <v>1989</v>
      </c>
      <c r="X518" s="24" t="s">
        <v>73</v>
      </c>
      <c r="Y518" s="26">
        <v>43517</v>
      </c>
      <c r="Z518" s="26">
        <v>43594</v>
      </c>
      <c r="AA518" s="26">
        <v>44248</v>
      </c>
      <c r="AB518" s="27"/>
      <c r="AC518" s="28"/>
      <c r="AD518" s="26"/>
      <c r="AE518" s="28"/>
      <c r="AF518" s="26"/>
      <c r="AG518" s="26"/>
      <c r="AH518" s="26"/>
      <c r="AI518" s="27">
        <f>COUNTIF(DangKyThamGapThuongXuyen!$L$4:$L$5261,DaTa!$T518)</f>
        <v>0</v>
      </c>
    </row>
    <row r="519" spans="17:35" ht="15" x14ac:dyDescent="0.2">
      <c r="Q519" s="29"/>
      <c r="R519" s="30" t="str">
        <f>IF($V519=$R$1,MAX($R$3:R518)+1,"")</f>
        <v/>
      </c>
      <c r="S519" s="24">
        <v>517</v>
      </c>
      <c r="T519" s="39" t="s">
        <v>1108</v>
      </c>
      <c r="U519" s="25" t="s">
        <v>471</v>
      </c>
      <c r="V519" s="25" t="s">
        <v>579</v>
      </c>
      <c r="W519" s="24">
        <v>1990</v>
      </c>
      <c r="X519" s="24" t="s">
        <v>73</v>
      </c>
      <c r="Y519" s="26">
        <v>43517</v>
      </c>
      <c r="Z519" s="26">
        <v>43599</v>
      </c>
      <c r="AA519" s="26">
        <v>44156</v>
      </c>
      <c r="AB519" s="27"/>
      <c r="AC519" s="28"/>
      <c r="AD519" s="26"/>
      <c r="AE519" s="28"/>
      <c r="AF519" s="26"/>
      <c r="AG519" s="26"/>
      <c r="AH519" s="26"/>
      <c r="AI519" s="27">
        <f>COUNTIF(DangKyThamGapThuongXuyen!$L$4:$L$5261,DaTa!$T519)</f>
        <v>0</v>
      </c>
    </row>
    <row r="520" spans="17:35" ht="15" x14ac:dyDescent="0.2">
      <c r="Q520" s="29"/>
      <c r="R520" s="30" t="str">
        <f>IF($V520=$R$1,MAX($R$3:R519)+1,"")</f>
        <v/>
      </c>
      <c r="S520" s="24">
        <v>518</v>
      </c>
      <c r="T520" s="39" t="s">
        <v>1109</v>
      </c>
      <c r="U520" s="25" t="s">
        <v>341</v>
      </c>
      <c r="V520" s="25" t="s">
        <v>228</v>
      </c>
      <c r="W520" s="24">
        <v>1988</v>
      </c>
      <c r="X520" s="24" t="s">
        <v>73</v>
      </c>
      <c r="Y520" s="46">
        <v>43506</v>
      </c>
      <c r="Z520" s="45">
        <v>43599</v>
      </c>
      <c r="AA520" s="50">
        <v>44053</v>
      </c>
      <c r="AB520" s="27"/>
      <c r="AC520" s="28"/>
      <c r="AD520" s="26"/>
      <c r="AE520" s="28"/>
      <c r="AF520" s="26"/>
      <c r="AG520" s="26"/>
      <c r="AH520" s="26"/>
      <c r="AI520" s="27">
        <f>COUNTIF(DangKyThamGapThuongXuyen!$L$4:$L$5261,DaTa!$T520)</f>
        <v>0</v>
      </c>
    </row>
    <row r="521" spans="17:35" ht="15" x14ac:dyDescent="0.2">
      <c r="Q521" s="29"/>
      <c r="R521" s="30" t="str">
        <f>IF($V521=$R$1,MAX($R$3:R520)+1,"")</f>
        <v/>
      </c>
      <c r="S521" s="24">
        <v>519</v>
      </c>
      <c r="T521" s="39" t="s">
        <v>1110</v>
      </c>
      <c r="U521" s="25" t="s">
        <v>471</v>
      </c>
      <c r="V521" s="25" t="s">
        <v>1111</v>
      </c>
      <c r="W521" s="24">
        <v>1988</v>
      </c>
      <c r="X521" s="24" t="s">
        <v>73</v>
      </c>
      <c r="Y521" s="26">
        <v>43515</v>
      </c>
      <c r="Z521" s="26">
        <v>43599</v>
      </c>
      <c r="AA521" s="44">
        <v>44246</v>
      </c>
      <c r="AB521" s="27"/>
      <c r="AC521" s="28"/>
      <c r="AD521" s="26"/>
      <c r="AE521" s="28"/>
      <c r="AF521" s="26"/>
      <c r="AG521" s="26"/>
      <c r="AH521" s="26"/>
      <c r="AI521" s="27">
        <f>COUNTIF(DangKyThamGapThuongXuyen!$L$4:$L$5261,DaTa!$T521)</f>
        <v>1</v>
      </c>
    </row>
    <row r="522" spans="17:35" ht="12.75" x14ac:dyDescent="0.2">
      <c r="Q522" s="29"/>
      <c r="R522" s="30" t="str">
        <f>IF($V522=$R$1,MAX($R$3:R521)+1,"")</f>
        <v/>
      </c>
      <c r="S522" s="24">
        <v>520</v>
      </c>
      <c r="T522" s="39" t="s">
        <v>1112</v>
      </c>
      <c r="U522" s="25" t="s">
        <v>1113</v>
      </c>
      <c r="V522" s="25" t="s">
        <v>351</v>
      </c>
      <c r="W522" s="24">
        <v>1979</v>
      </c>
      <c r="X522" s="24" t="s">
        <v>73</v>
      </c>
      <c r="Y522" s="42">
        <v>43516</v>
      </c>
      <c r="Z522" s="26">
        <v>43599</v>
      </c>
      <c r="AA522" s="73">
        <v>44155</v>
      </c>
      <c r="AB522" s="27"/>
      <c r="AC522" s="74"/>
      <c r="AD522" s="26"/>
      <c r="AE522" s="74"/>
      <c r="AF522" s="26"/>
      <c r="AG522" s="26"/>
      <c r="AH522" s="26"/>
      <c r="AI522" s="27">
        <f>COUNTIF(DangKyThamGapThuongXuyen!$L$4:$L$5261,DaTa!$T522)</f>
        <v>1</v>
      </c>
    </row>
    <row r="523" spans="17:35" ht="15" x14ac:dyDescent="0.2">
      <c r="Q523" s="29"/>
      <c r="R523" s="30" t="str">
        <f>IF($V523=$R$1,MAX($R$3:R522)+1,"")</f>
        <v/>
      </c>
      <c r="S523" s="24">
        <v>521</v>
      </c>
      <c r="T523" s="39" t="s">
        <v>1114</v>
      </c>
      <c r="U523" s="25" t="s">
        <v>1115</v>
      </c>
      <c r="V523" s="25" t="s">
        <v>274</v>
      </c>
      <c r="W523" s="24">
        <v>1980</v>
      </c>
      <c r="X523" s="24" t="s">
        <v>29</v>
      </c>
      <c r="Y523" s="26">
        <v>43530</v>
      </c>
      <c r="Z523" s="26">
        <v>43599</v>
      </c>
      <c r="AA523" s="26">
        <v>44202</v>
      </c>
      <c r="AB523" s="27"/>
      <c r="AC523" s="28"/>
      <c r="AD523" s="26"/>
      <c r="AE523" s="28"/>
      <c r="AF523" s="26"/>
      <c r="AG523" s="26"/>
      <c r="AH523" s="26"/>
      <c r="AI523" s="27">
        <f>COUNTIF(DangKyThamGapThuongXuyen!$L$4:$L$5261,DaTa!$T523)</f>
        <v>1</v>
      </c>
    </row>
    <row r="524" spans="17:35" ht="15" x14ac:dyDescent="0.2">
      <c r="Q524" s="29"/>
      <c r="R524" s="30" t="str">
        <f>IF($V524=$R$1,MAX($R$3:R523)+1,"")</f>
        <v/>
      </c>
      <c r="S524" s="24">
        <v>522</v>
      </c>
      <c r="T524" s="39" t="s">
        <v>1116</v>
      </c>
      <c r="U524" s="40" t="s">
        <v>1117</v>
      </c>
      <c r="V524" s="40" t="s">
        <v>510</v>
      </c>
      <c r="W524" s="41">
        <v>1978</v>
      </c>
      <c r="X524" s="24" t="s">
        <v>29</v>
      </c>
      <c r="Y524" s="42">
        <v>43517</v>
      </c>
      <c r="Z524" s="42">
        <v>43599</v>
      </c>
      <c r="AA524" s="42">
        <v>44156</v>
      </c>
      <c r="AB524" s="27"/>
      <c r="AC524" s="28" t="s">
        <v>88</v>
      </c>
      <c r="AD524" s="26">
        <v>43616</v>
      </c>
      <c r="AE524" s="28">
        <v>65</v>
      </c>
      <c r="AF524" s="26">
        <v>43681</v>
      </c>
      <c r="AG524" s="26"/>
      <c r="AH524" s="26"/>
      <c r="AI524" s="27">
        <f>COUNTIF(DangKyThamGapThuongXuyen!$L$4:$L$5261,DaTa!$T524)</f>
        <v>0</v>
      </c>
    </row>
    <row r="525" spans="17:35" ht="15" x14ac:dyDescent="0.2">
      <c r="Q525" s="29"/>
      <c r="R525" s="30" t="str">
        <f>IF($V525=$R$1,MAX($R$3:R524)+1,"")</f>
        <v/>
      </c>
      <c r="S525" s="24">
        <v>523</v>
      </c>
      <c r="T525" s="39" t="s">
        <v>1118</v>
      </c>
      <c r="U525" s="40" t="s">
        <v>613</v>
      </c>
      <c r="V525" s="48" t="s">
        <v>187</v>
      </c>
      <c r="W525" s="41">
        <v>1968</v>
      </c>
      <c r="X525" s="24" t="s">
        <v>29</v>
      </c>
      <c r="Y525" s="42">
        <v>43509</v>
      </c>
      <c r="Z525" s="42">
        <v>43599</v>
      </c>
      <c r="AA525" s="42">
        <v>44240</v>
      </c>
      <c r="AB525" s="27"/>
      <c r="AC525" s="28"/>
      <c r="AD525" s="26"/>
      <c r="AE525" s="28"/>
      <c r="AF525" s="26"/>
      <c r="AG525" s="26"/>
      <c r="AH525" s="26"/>
      <c r="AI525" s="27">
        <f>COUNTIF(DangKyThamGapThuongXuyen!$L$4:$L$5261,DaTa!$T525)</f>
        <v>1</v>
      </c>
    </row>
    <row r="526" spans="17:35" ht="15" x14ac:dyDescent="0.2">
      <c r="Q526" s="29"/>
      <c r="R526" s="30" t="str">
        <f>IF($V526=$R$1,MAX($R$3:R525)+1,"")</f>
        <v/>
      </c>
      <c r="S526" s="24">
        <v>524</v>
      </c>
      <c r="T526" s="39" t="s">
        <v>1119</v>
      </c>
      <c r="U526" s="40" t="s">
        <v>471</v>
      </c>
      <c r="V526" s="40" t="s">
        <v>107</v>
      </c>
      <c r="W526" s="41">
        <v>1979</v>
      </c>
      <c r="X526" s="24" t="s">
        <v>29</v>
      </c>
      <c r="Y526" s="42">
        <v>43508</v>
      </c>
      <c r="Z526" s="42">
        <v>43599</v>
      </c>
      <c r="AA526" s="42">
        <v>44239</v>
      </c>
      <c r="AB526" s="27"/>
      <c r="AC526" s="28"/>
      <c r="AD526" s="26"/>
      <c r="AE526" s="28"/>
      <c r="AF526" s="26"/>
      <c r="AG526" s="26"/>
      <c r="AH526" s="26"/>
      <c r="AI526" s="27">
        <f>COUNTIF(DangKyThamGapThuongXuyen!$L$4:$L$5261,DaTa!$T526)</f>
        <v>2</v>
      </c>
    </row>
    <row r="527" spans="17:35" ht="12.75" x14ac:dyDescent="0.2">
      <c r="Q527" s="29"/>
      <c r="R527" s="30" t="str">
        <f>IF($V527=$R$1,MAX($R$3:R526)+1,"")</f>
        <v/>
      </c>
      <c r="S527" s="24">
        <v>525</v>
      </c>
      <c r="T527" s="39" t="s">
        <v>1120</v>
      </c>
      <c r="U527" s="40" t="s">
        <v>358</v>
      </c>
      <c r="V527" s="40" t="s">
        <v>510</v>
      </c>
      <c r="W527" s="41">
        <v>1990</v>
      </c>
      <c r="X527" s="24" t="s">
        <v>29</v>
      </c>
      <c r="Y527" s="42">
        <v>43528</v>
      </c>
      <c r="Z527" s="42">
        <v>43600</v>
      </c>
      <c r="AA527" s="42">
        <v>44078</v>
      </c>
      <c r="AB527" s="27"/>
      <c r="AC527" s="43"/>
      <c r="AD527" s="26"/>
      <c r="AE527" s="43"/>
      <c r="AF527" s="26"/>
      <c r="AG527" s="26"/>
      <c r="AH527" s="26"/>
      <c r="AI527" s="27">
        <f>COUNTIF(DangKyThamGapThuongXuyen!$L$4:$L$5261,DaTa!$T527)</f>
        <v>0</v>
      </c>
    </row>
    <row r="528" spans="17:35" ht="15" x14ac:dyDescent="0.2">
      <c r="Q528" s="29"/>
      <c r="R528" s="30" t="str">
        <f>IF($V528=$R$1,MAX($R$3:R527)+1,"")</f>
        <v/>
      </c>
      <c r="S528" s="24">
        <v>526</v>
      </c>
      <c r="T528" s="39" t="s">
        <v>1121</v>
      </c>
      <c r="U528" s="25" t="s">
        <v>1122</v>
      </c>
      <c r="V528" s="25" t="s">
        <v>219</v>
      </c>
      <c r="W528" s="24">
        <v>1982</v>
      </c>
      <c r="X528" s="24" t="s">
        <v>29</v>
      </c>
      <c r="Y528" s="26">
        <v>43532</v>
      </c>
      <c r="Z528" s="26">
        <v>43600</v>
      </c>
      <c r="AA528" s="26">
        <v>43990</v>
      </c>
      <c r="AB528" s="27"/>
      <c r="AC528" s="28"/>
      <c r="AD528" s="26"/>
      <c r="AE528" s="28"/>
      <c r="AF528" s="26"/>
      <c r="AG528" s="26"/>
      <c r="AH528" s="26"/>
      <c r="AI528" s="27">
        <f>COUNTIF(DangKyThamGapThuongXuyen!$L$4:$L$5261,DaTa!$T528)</f>
        <v>0</v>
      </c>
    </row>
    <row r="529" spans="17:35" ht="15" x14ac:dyDescent="0.2">
      <c r="Q529" s="29"/>
      <c r="R529" s="30" t="str">
        <f>IF($V529=$R$1,MAX($R$3:R528)+1,"")</f>
        <v/>
      </c>
      <c r="S529" s="24">
        <v>527</v>
      </c>
      <c r="T529" s="39" t="s">
        <v>1123</v>
      </c>
      <c r="U529" s="25" t="s">
        <v>360</v>
      </c>
      <c r="V529" s="25" t="s">
        <v>24</v>
      </c>
      <c r="W529" s="24">
        <v>1972</v>
      </c>
      <c r="X529" s="24" t="s">
        <v>29</v>
      </c>
      <c r="Y529" s="26">
        <v>43482</v>
      </c>
      <c r="Z529" s="26">
        <v>43600</v>
      </c>
      <c r="AA529" s="26">
        <v>44213</v>
      </c>
      <c r="AB529" s="27"/>
      <c r="AC529" s="28"/>
      <c r="AD529" s="26"/>
      <c r="AE529" s="28"/>
      <c r="AF529" s="26"/>
      <c r="AG529" s="26"/>
      <c r="AH529" s="26"/>
      <c r="AI529" s="27">
        <f>COUNTIF(DangKyThamGapThuongXuyen!$L$4:$L$5261,DaTa!$T529)</f>
        <v>0</v>
      </c>
    </row>
    <row r="530" spans="17:35" ht="15" x14ac:dyDescent="0.2">
      <c r="Q530" s="29"/>
      <c r="R530" s="30" t="str">
        <f>IF($V530=$R$1,MAX($R$3:R529)+1,"")</f>
        <v/>
      </c>
      <c r="S530" s="24">
        <v>528</v>
      </c>
      <c r="T530" s="39" t="s">
        <v>1124</v>
      </c>
      <c r="U530" s="25" t="s">
        <v>1125</v>
      </c>
      <c r="V530" s="25" t="s">
        <v>24</v>
      </c>
      <c r="W530" s="24">
        <v>1979</v>
      </c>
      <c r="X530" s="24" t="s">
        <v>29</v>
      </c>
      <c r="Y530" s="26">
        <v>43515</v>
      </c>
      <c r="Z530" s="26">
        <v>43600</v>
      </c>
      <c r="AA530" s="26">
        <v>44062</v>
      </c>
      <c r="AB530" s="27"/>
      <c r="AC530" s="28"/>
      <c r="AD530" s="26"/>
      <c r="AE530" s="28"/>
      <c r="AF530" s="26"/>
      <c r="AG530" s="26"/>
      <c r="AH530" s="26"/>
      <c r="AI530" s="27">
        <f>COUNTIF(DangKyThamGapThuongXuyen!$L$4:$L$5261,DaTa!$T530)</f>
        <v>0</v>
      </c>
    </row>
    <row r="531" spans="17:35" ht="12.75" x14ac:dyDescent="0.2">
      <c r="Q531" s="29"/>
      <c r="R531" s="30" t="str">
        <f>IF($V531=$R$1,MAX($R$3:R530)+1,"")</f>
        <v/>
      </c>
      <c r="S531" s="24">
        <v>529</v>
      </c>
      <c r="T531" s="39" t="s">
        <v>1126</v>
      </c>
      <c r="U531" s="25" t="s">
        <v>1127</v>
      </c>
      <c r="V531" s="25" t="s">
        <v>131</v>
      </c>
      <c r="W531" s="24">
        <v>1977</v>
      </c>
      <c r="X531" s="24" t="s">
        <v>29</v>
      </c>
      <c r="Y531" s="26">
        <v>43543</v>
      </c>
      <c r="Z531" s="26">
        <v>43605</v>
      </c>
      <c r="AA531" s="26">
        <v>44184</v>
      </c>
      <c r="AB531" s="27"/>
      <c r="AC531" s="43"/>
      <c r="AD531" s="26"/>
      <c r="AE531" s="43"/>
      <c r="AF531" s="26"/>
      <c r="AG531" s="26"/>
      <c r="AH531" s="26"/>
      <c r="AI531" s="27">
        <f>COUNTIF(DangKyThamGapThuongXuyen!$L$4:$L$5261,DaTa!$T531)</f>
        <v>0</v>
      </c>
    </row>
    <row r="532" spans="17:35" ht="15" x14ac:dyDescent="0.2">
      <c r="Q532" s="29"/>
      <c r="R532" s="30" t="str">
        <f>IF($V532=$R$1,MAX($R$3:R531)+1,"")</f>
        <v/>
      </c>
      <c r="S532" s="24">
        <v>530</v>
      </c>
      <c r="T532" s="39" t="s">
        <v>1128</v>
      </c>
      <c r="U532" s="25" t="s">
        <v>703</v>
      </c>
      <c r="V532" s="25" t="s">
        <v>381</v>
      </c>
      <c r="W532" s="24">
        <v>1984</v>
      </c>
      <c r="X532" s="24" t="s">
        <v>29</v>
      </c>
      <c r="Y532" s="26">
        <v>43536</v>
      </c>
      <c r="Z532" s="26">
        <v>43605</v>
      </c>
      <c r="AA532" s="26">
        <v>44177</v>
      </c>
      <c r="AB532" s="27"/>
      <c r="AC532" s="28"/>
      <c r="AD532" s="26"/>
      <c r="AE532" s="28"/>
      <c r="AF532" s="26"/>
      <c r="AG532" s="26"/>
      <c r="AH532" s="26"/>
      <c r="AI532" s="27">
        <f>COUNTIF(DangKyThamGapThuongXuyen!$L$4:$L$5261,DaTa!$T532)</f>
        <v>0</v>
      </c>
    </row>
    <row r="533" spans="17:35" ht="15" x14ac:dyDescent="0.2">
      <c r="Q533" s="29"/>
      <c r="R533" s="30" t="str">
        <f>IF($V533=$R$1,MAX($R$3:R532)+1,"")</f>
        <v/>
      </c>
      <c r="S533" s="24">
        <v>531</v>
      </c>
      <c r="T533" s="39" t="s">
        <v>1129</v>
      </c>
      <c r="U533" s="25" t="s">
        <v>1130</v>
      </c>
      <c r="V533" s="25" t="s">
        <v>583</v>
      </c>
      <c r="W533" s="24">
        <v>1989</v>
      </c>
      <c r="X533" s="24" t="s">
        <v>29</v>
      </c>
      <c r="Y533" s="46">
        <v>43582</v>
      </c>
      <c r="Z533" s="26">
        <v>43607</v>
      </c>
      <c r="AA533" s="50">
        <v>44313</v>
      </c>
      <c r="AB533" s="27"/>
      <c r="AC533" s="28"/>
      <c r="AD533" s="26"/>
      <c r="AE533" s="28"/>
      <c r="AF533" s="26"/>
      <c r="AG533" s="26"/>
      <c r="AH533" s="26"/>
      <c r="AI533" s="27">
        <f>COUNTIF(DangKyThamGapThuongXuyen!$L$4:$L$5261,DaTa!$T533)</f>
        <v>0</v>
      </c>
    </row>
    <row r="534" spans="17:35" ht="15" x14ac:dyDescent="0.2">
      <c r="Q534" s="29"/>
      <c r="R534" s="30" t="str">
        <f>IF($V534=$R$1,MAX($R$3:R533)+1,"")</f>
        <v/>
      </c>
      <c r="S534" s="24">
        <v>532</v>
      </c>
      <c r="T534" s="39" t="s">
        <v>1131</v>
      </c>
      <c r="U534" s="25" t="s">
        <v>1132</v>
      </c>
      <c r="V534" s="25" t="s">
        <v>1133</v>
      </c>
      <c r="W534" s="24">
        <v>1975</v>
      </c>
      <c r="X534" s="24" t="s">
        <v>29</v>
      </c>
      <c r="Y534" s="46">
        <v>43520</v>
      </c>
      <c r="Z534" s="26">
        <v>43608</v>
      </c>
      <c r="AA534" s="50">
        <v>44067</v>
      </c>
      <c r="AB534" s="27"/>
      <c r="AC534" s="28"/>
      <c r="AD534" s="26"/>
      <c r="AE534" s="28"/>
      <c r="AF534" s="26"/>
      <c r="AG534" s="26"/>
      <c r="AH534" s="26"/>
      <c r="AI534" s="27">
        <f>COUNTIF(DangKyThamGapThuongXuyen!$L$4:$L$5261,DaTa!$T534)</f>
        <v>0</v>
      </c>
    </row>
    <row r="535" spans="17:35" ht="15" x14ac:dyDescent="0.2">
      <c r="Q535" s="29"/>
      <c r="R535" s="30" t="str">
        <f>IF($V535=$R$1,MAX($R$3:R534)+1,"")</f>
        <v/>
      </c>
      <c r="S535" s="24">
        <v>533</v>
      </c>
      <c r="T535" s="39" t="s">
        <v>1134</v>
      </c>
      <c r="U535" s="25" t="s">
        <v>1135</v>
      </c>
      <c r="V535" s="25" t="s">
        <v>246</v>
      </c>
      <c r="W535" s="24">
        <v>1973</v>
      </c>
      <c r="X535" s="24" t="s">
        <v>29</v>
      </c>
      <c r="Y535" s="26">
        <v>43530</v>
      </c>
      <c r="Z535" s="26">
        <v>43608</v>
      </c>
      <c r="AA535" s="26">
        <v>44261</v>
      </c>
      <c r="AB535" s="27"/>
      <c r="AC535" s="28"/>
      <c r="AD535" s="26"/>
      <c r="AE535" s="28"/>
      <c r="AF535" s="26"/>
      <c r="AG535" s="26"/>
      <c r="AH535" s="26"/>
      <c r="AI535" s="27">
        <f>COUNTIF(DangKyThamGapThuongXuyen!$L$4:$L$5261,DaTa!$T535)</f>
        <v>0</v>
      </c>
    </row>
    <row r="536" spans="17:35" ht="15" x14ac:dyDescent="0.2">
      <c r="Q536" s="29"/>
      <c r="R536" s="23" t="str">
        <f>IF($V536=$R$1,MAX($R$3:R535)+1,"")</f>
        <v/>
      </c>
      <c r="S536" s="24">
        <v>534</v>
      </c>
      <c r="T536" s="39" t="s">
        <v>1136</v>
      </c>
      <c r="U536" s="25" t="s">
        <v>1137</v>
      </c>
      <c r="V536" s="25" t="s">
        <v>231</v>
      </c>
      <c r="W536" s="24">
        <v>1968</v>
      </c>
      <c r="X536" s="24" t="s">
        <v>29</v>
      </c>
      <c r="Y536" s="26">
        <v>43512</v>
      </c>
      <c r="Z536" s="26">
        <v>43608</v>
      </c>
      <c r="AA536" s="26">
        <v>44151</v>
      </c>
      <c r="AB536" s="27"/>
      <c r="AC536" s="28"/>
      <c r="AD536" s="26"/>
      <c r="AE536" s="28"/>
      <c r="AF536" s="26"/>
      <c r="AG536" s="26"/>
      <c r="AH536" s="26"/>
      <c r="AI536" s="27">
        <f>COUNTIF(DangKyThamGapThuongXuyen!$L$4:$L$5261,DaTa!$T536)</f>
        <v>0</v>
      </c>
    </row>
    <row r="537" spans="17:35" ht="33.6" customHeight="1" x14ac:dyDescent="0.2">
      <c r="Q537" s="29"/>
      <c r="R537" s="30" t="str">
        <f>IF($V537=$R$1,MAX($R$3:R536)+1,"")</f>
        <v/>
      </c>
      <c r="S537" s="24">
        <v>535</v>
      </c>
      <c r="T537" s="39" t="s">
        <v>1138</v>
      </c>
      <c r="U537" s="25" t="s">
        <v>1139</v>
      </c>
      <c r="V537" s="25" t="s">
        <v>351</v>
      </c>
      <c r="W537" s="24">
        <v>1976</v>
      </c>
      <c r="X537" s="24" t="s">
        <v>29</v>
      </c>
      <c r="Y537" s="26">
        <v>43514</v>
      </c>
      <c r="Z537" s="26">
        <v>43608</v>
      </c>
      <c r="AA537" s="26">
        <v>44245</v>
      </c>
      <c r="AB537" s="27"/>
      <c r="AC537" s="28"/>
      <c r="AD537" s="26"/>
      <c r="AE537" s="28"/>
      <c r="AF537" s="26"/>
      <c r="AG537" s="26"/>
      <c r="AH537" s="26"/>
      <c r="AI537" s="27">
        <f>COUNTIF(DangKyThamGapThuongXuyen!$L$4:$L$5261,DaTa!$T537)</f>
        <v>1</v>
      </c>
    </row>
    <row r="538" spans="17:35" ht="33.6" customHeight="1" x14ac:dyDescent="0.2">
      <c r="Q538" s="29"/>
      <c r="R538" s="30" t="str">
        <f>IF($V538=$R$1,MAX($R$3:R537)+1,"")</f>
        <v/>
      </c>
      <c r="S538" s="24">
        <v>536</v>
      </c>
      <c r="T538" s="39" t="s">
        <v>1140</v>
      </c>
      <c r="U538" s="40" t="s">
        <v>1141</v>
      </c>
      <c r="V538" s="40" t="s">
        <v>195</v>
      </c>
      <c r="W538" s="41">
        <v>1989</v>
      </c>
      <c r="X538" s="24" t="s">
        <v>29</v>
      </c>
      <c r="Y538" s="60">
        <v>43529</v>
      </c>
      <c r="Z538" s="26">
        <v>43608</v>
      </c>
      <c r="AA538" s="42">
        <v>44079</v>
      </c>
      <c r="AB538" s="27"/>
      <c r="AC538" s="28"/>
      <c r="AD538" s="26"/>
      <c r="AE538" s="28"/>
      <c r="AF538" s="26"/>
      <c r="AG538" s="26"/>
      <c r="AH538" s="26"/>
      <c r="AI538" s="27">
        <f>COUNTIF(DangKyThamGapThuongXuyen!$L$4:$L$5261,DaTa!$T538)</f>
        <v>0</v>
      </c>
    </row>
    <row r="539" spans="17:35" ht="33.6" customHeight="1" x14ac:dyDescent="0.2">
      <c r="Q539" s="29"/>
      <c r="R539" s="30" t="str">
        <f>IF($V539=$R$1,MAX($R$3:R538)+1,"")</f>
        <v/>
      </c>
      <c r="S539" s="24">
        <v>537</v>
      </c>
      <c r="T539" s="39" t="s">
        <v>1142</v>
      </c>
      <c r="U539" s="25" t="s">
        <v>471</v>
      </c>
      <c r="V539" s="25" t="s">
        <v>729</v>
      </c>
      <c r="W539" s="24">
        <v>1964</v>
      </c>
      <c r="X539" s="24" t="s">
        <v>29</v>
      </c>
      <c r="Y539" s="26">
        <v>43549</v>
      </c>
      <c r="Z539" s="26">
        <v>43608</v>
      </c>
      <c r="AA539" s="26">
        <v>44280</v>
      </c>
      <c r="AB539" s="27"/>
      <c r="AC539" s="28"/>
      <c r="AD539" s="26"/>
      <c r="AE539" s="28"/>
      <c r="AF539" s="26"/>
      <c r="AG539" s="26"/>
      <c r="AH539" s="26"/>
      <c r="AI539" s="27">
        <f>COUNTIF(DangKyThamGapThuongXuyen!$L$4:$L$5261,DaTa!$T539)</f>
        <v>0</v>
      </c>
    </row>
    <row r="540" spans="17:35" ht="33.6" customHeight="1" x14ac:dyDescent="0.2">
      <c r="Q540" s="29"/>
      <c r="R540" s="30" t="str">
        <f>IF($V540=$R$1,MAX($R$3:R539)+1,"")</f>
        <v/>
      </c>
      <c r="S540" s="24">
        <v>538</v>
      </c>
      <c r="T540" s="39" t="s">
        <v>1143</v>
      </c>
      <c r="U540" s="25" t="s">
        <v>90</v>
      </c>
      <c r="V540" s="25" t="s">
        <v>48</v>
      </c>
      <c r="W540" s="24">
        <v>1990</v>
      </c>
      <c r="X540" s="24" t="s">
        <v>29</v>
      </c>
      <c r="Y540" s="26">
        <v>43505</v>
      </c>
      <c r="Z540" s="26">
        <v>43613</v>
      </c>
      <c r="AA540" s="26">
        <v>44236</v>
      </c>
      <c r="AB540" s="27"/>
      <c r="AC540" s="28"/>
      <c r="AD540" s="26"/>
      <c r="AE540" s="28"/>
      <c r="AF540" s="26"/>
      <c r="AG540" s="26"/>
      <c r="AH540" s="26"/>
      <c r="AI540" s="27">
        <f>COUNTIF(DangKyThamGapThuongXuyen!$L$4:$L$5261,DaTa!$T540)</f>
        <v>1</v>
      </c>
    </row>
    <row r="541" spans="17:35" ht="33.6" customHeight="1" x14ac:dyDescent="0.2">
      <c r="Q541" s="29"/>
      <c r="R541" s="30" t="str">
        <f>IF($V541=$R$1,MAX($R$3:R540)+1,"")</f>
        <v/>
      </c>
      <c r="S541" s="24">
        <v>539</v>
      </c>
      <c r="T541" s="39" t="s">
        <v>1144</v>
      </c>
      <c r="U541" s="25" t="s">
        <v>443</v>
      </c>
      <c r="V541" s="25" t="s">
        <v>109</v>
      </c>
      <c r="W541" s="24">
        <v>1984</v>
      </c>
      <c r="X541" s="24" t="s">
        <v>29</v>
      </c>
      <c r="Y541" s="26">
        <v>43524</v>
      </c>
      <c r="Z541" s="26">
        <v>43613</v>
      </c>
      <c r="AA541" s="26">
        <v>44255</v>
      </c>
      <c r="AB541" s="27"/>
      <c r="AC541" s="28"/>
      <c r="AD541" s="26"/>
      <c r="AE541" s="28"/>
      <c r="AF541" s="26"/>
      <c r="AG541" s="26"/>
      <c r="AH541" s="26"/>
      <c r="AI541" s="27">
        <f>COUNTIF(DangKyThamGapThuongXuyen!$L$4:$L$5261,DaTa!$T541)</f>
        <v>1</v>
      </c>
    </row>
    <row r="542" spans="17:35" ht="33.6" customHeight="1" x14ac:dyDescent="0.2">
      <c r="Q542" s="29"/>
      <c r="R542" s="30" t="str">
        <f>IF($V542=$R$1,MAX($R$3:R541)+1,"")</f>
        <v/>
      </c>
      <c r="S542" s="24">
        <v>540</v>
      </c>
      <c r="T542" s="39" t="s">
        <v>1145</v>
      </c>
      <c r="U542" s="25" t="s">
        <v>374</v>
      </c>
      <c r="V542" s="25" t="s">
        <v>754</v>
      </c>
      <c r="W542" s="24">
        <v>1982</v>
      </c>
      <c r="X542" s="24" t="s">
        <v>29</v>
      </c>
      <c r="Y542" s="26">
        <v>43534</v>
      </c>
      <c r="Z542" s="26">
        <v>43613</v>
      </c>
      <c r="AA542" s="26">
        <v>43992</v>
      </c>
      <c r="AB542" s="27"/>
      <c r="AC542" s="28"/>
      <c r="AD542" s="26"/>
      <c r="AE542" s="28"/>
      <c r="AF542" s="26"/>
      <c r="AG542" s="26"/>
      <c r="AH542" s="26"/>
      <c r="AI542" s="27">
        <f>COUNTIF(DangKyThamGapThuongXuyen!$L$4:$L$5261,DaTa!$T542)</f>
        <v>0</v>
      </c>
    </row>
    <row r="543" spans="17:35" ht="33.6" customHeight="1" x14ac:dyDescent="0.2">
      <c r="Q543" s="29"/>
      <c r="R543" s="30" t="str">
        <f>IF($V543=$R$1,MAX($R$3:R542)+1,"")</f>
        <v/>
      </c>
      <c r="S543" s="24">
        <v>541</v>
      </c>
      <c r="T543" s="39" t="s">
        <v>1146</v>
      </c>
      <c r="U543" s="25" t="s">
        <v>1084</v>
      </c>
      <c r="V543" s="48" t="s">
        <v>381</v>
      </c>
      <c r="W543" s="24">
        <v>1982</v>
      </c>
      <c r="X543" s="24" t="s">
        <v>29</v>
      </c>
      <c r="Y543" s="26">
        <v>43539</v>
      </c>
      <c r="Z543" s="26">
        <v>43613</v>
      </c>
      <c r="AA543" s="26">
        <v>44089</v>
      </c>
      <c r="AB543" s="27"/>
      <c r="AC543" s="28"/>
      <c r="AD543" s="26"/>
      <c r="AE543" s="28"/>
      <c r="AF543" s="26"/>
      <c r="AG543" s="26"/>
      <c r="AH543" s="26"/>
      <c r="AI543" s="27">
        <f>COUNTIF(DangKyThamGapThuongXuyen!$L$4:$L$5261,DaTa!$T543)</f>
        <v>1</v>
      </c>
    </row>
    <row r="544" spans="17:35" ht="33.6" customHeight="1" x14ac:dyDescent="0.2">
      <c r="Q544" s="29"/>
      <c r="R544" s="30" t="str">
        <f>IF($V544=$R$1,MAX($R$3:R543)+1,"")</f>
        <v/>
      </c>
      <c r="S544" s="24">
        <v>542</v>
      </c>
      <c r="T544" s="39" t="s">
        <v>1147</v>
      </c>
      <c r="U544" s="25" t="s">
        <v>770</v>
      </c>
      <c r="V544" s="25" t="s">
        <v>1148</v>
      </c>
      <c r="W544" s="24">
        <v>1965</v>
      </c>
      <c r="X544" s="24" t="s">
        <v>29</v>
      </c>
      <c r="Y544" s="26">
        <v>43529</v>
      </c>
      <c r="Z544" s="26">
        <v>43613</v>
      </c>
      <c r="AA544" s="26">
        <v>44260</v>
      </c>
      <c r="AB544" s="27"/>
      <c r="AC544" s="28"/>
      <c r="AD544" s="26"/>
      <c r="AE544" s="28"/>
      <c r="AF544" s="26"/>
      <c r="AG544" s="26"/>
      <c r="AH544" s="26"/>
      <c r="AI544" s="27">
        <f>COUNTIF(DangKyThamGapThuongXuyen!$L$4:$L$5261,DaTa!$T544)</f>
        <v>2</v>
      </c>
    </row>
    <row r="545" spans="17:35" ht="33.6" customHeight="1" x14ac:dyDescent="0.2">
      <c r="Q545" s="29"/>
      <c r="R545" s="30" t="str">
        <f>IF($V545=$R$1,MAX($R$3:R544)+1,"")</f>
        <v/>
      </c>
      <c r="S545" s="24">
        <v>543</v>
      </c>
      <c r="T545" s="39" t="s">
        <v>1149</v>
      </c>
      <c r="U545" s="25" t="s">
        <v>1150</v>
      </c>
      <c r="V545" s="25" t="s">
        <v>717</v>
      </c>
      <c r="W545" s="24">
        <v>1980</v>
      </c>
      <c r="X545" s="24" t="s">
        <v>29</v>
      </c>
      <c r="Y545" s="26">
        <v>43520</v>
      </c>
      <c r="Z545" s="26">
        <v>43615</v>
      </c>
      <c r="AA545" s="26">
        <v>44159</v>
      </c>
      <c r="AB545" s="27"/>
      <c r="AC545" s="28"/>
      <c r="AD545" s="26"/>
      <c r="AE545" s="28"/>
      <c r="AF545" s="26"/>
      <c r="AG545" s="26"/>
      <c r="AH545" s="26"/>
      <c r="AI545" s="27">
        <f>COUNTIF(DangKyThamGapThuongXuyen!$L$4:$L$5261,DaTa!$T545)</f>
        <v>0</v>
      </c>
    </row>
    <row r="546" spans="17:35" ht="33.6" customHeight="1" x14ac:dyDescent="0.2">
      <c r="Q546" s="29"/>
      <c r="R546" s="30" t="str">
        <f>IF($V546=$R$1,MAX($R$3:R545)+1,"")</f>
        <v/>
      </c>
      <c r="S546" s="24">
        <v>544</v>
      </c>
      <c r="T546" s="39" t="s">
        <v>1151</v>
      </c>
      <c r="U546" s="25" t="s">
        <v>1152</v>
      </c>
      <c r="V546" s="25" t="s">
        <v>376</v>
      </c>
      <c r="W546" s="24">
        <v>1987</v>
      </c>
      <c r="X546" s="24" t="s">
        <v>29</v>
      </c>
      <c r="Y546" s="26">
        <v>43516</v>
      </c>
      <c r="Z546" s="26">
        <v>43621</v>
      </c>
      <c r="AA546" s="26">
        <v>44155</v>
      </c>
      <c r="AB546" s="27"/>
      <c r="AC546" s="28"/>
      <c r="AD546" s="26"/>
      <c r="AE546" s="28"/>
      <c r="AF546" s="26"/>
      <c r="AG546" s="26"/>
      <c r="AH546" s="26"/>
      <c r="AI546" s="27">
        <f>COUNTIF(DangKyThamGapThuongXuyen!$L$4:$L$5261,DaTa!$T546)</f>
        <v>1</v>
      </c>
    </row>
    <row r="547" spans="17:35" ht="33.6" customHeight="1" x14ac:dyDescent="0.2">
      <c r="Q547" s="29"/>
      <c r="R547" s="30" t="str">
        <f>IF($V547=$R$1,MAX($R$3:R546)+1,"")</f>
        <v/>
      </c>
      <c r="S547" s="24">
        <v>545</v>
      </c>
      <c r="T547" s="39" t="s">
        <v>1153</v>
      </c>
      <c r="U547" s="25" t="s">
        <v>63</v>
      </c>
      <c r="V547" s="25" t="s">
        <v>697</v>
      </c>
      <c r="W547" s="24">
        <v>1986</v>
      </c>
      <c r="X547" s="24" t="s">
        <v>29</v>
      </c>
      <c r="Y547" s="26">
        <v>43544</v>
      </c>
      <c r="Z547" s="26">
        <v>43621</v>
      </c>
      <c r="AA547" s="26">
        <v>44094</v>
      </c>
      <c r="AB547" s="27"/>
      <c r="AC547" s="28"/>
      <c r="AD547" s="26"/>
      <c r="AE547" s="28"/>
      <c r="AF547" s="26"/>
      <c r="AG547" s="26"/>
      <c r="AH547" s="26"/>
      <c r="AI547" s="27">
        <f>COUNTIF(DangKyThamGapThuongXuyen!$L$4:$L$5261,DaTa!$T547)</f>
        <v>0</v>
      </c>
    </row>
    <row r="548" spans="17:35" ht="33.6" customHeight="1" x14ac:dyDescent="0.2">
      <c r="Q548" s="29"/>
      <c r="R548" s="30" t="str">
        <f>IF($V548=$R$1,MAX($R$3:R547)+1,"")</f>
        <v/>
      </c>
      <c r="S548" s="24">
        <v>546</v>
      </c>
      <c r="T548" s="39" t="s">
        <v>1154</v>
      </c>
      <c r="U548" s="25" t="s">
        <v>63</v>
      </c>
      <c r="V548" s="25" t="s">
        <v>1155</v>
      </c>
      <c r="W548" s="24">
        <v>1968</v>
      </c>
      <c r="X548" s="24" t="s">
        <v>42</v>
      </c>
      <c r="Y548" s="26">
        <v>43544</v>
      </c>
      <c r="Z548" s="26">
        <v>43621</v>
      </c>
      <c r="AA548" s="26">
        <v>44094</v>
      </c>
      <c r="AB548" s="27"/>
      <c r="AC548" s="28"/>
      <c r="AD548" s="26"/>
      <c r="AE548" s="28"/>
      <c r="AF548" s="26"/>
      <c r="AG548" s="26"/>
      <c r="AH548" s="26"/>
      <c r="AI548" s="27">
        <f>COUNTIF(DangKyThamGapThuongXuyen!$L$4:$L$5261,DaTa!$T548)</f>
        <v>1</v>
      </c>
    </row>
    <row r="549" spans="17:35" ht="33.6" customHeight="1" x14ac:dyDescent="0.25">
      <c r="Q549" s="29"/>
      <c r="R549" s="30" t="str">
        <f>IF($V549=$R$1,MAX($R$3:R548)+1,"")</f>
        <v/>
      </c>
      <c r="S549" s="24">
        <v>547</v>
      </c>
      <c r="T549" s="39" t="s">
        <v>1156</v>
      </c>
      <c r="U549" s="25" t="s">
        <v>1157</v>
      </c>
      <c r="V549" s="25" t="s">
        <v>222</v>
      </c>
      <c r="W549" s="24">
        <v>1982</v>
      </c>
      <c r="X549" s="24" t="s">
        <v>29</v>
      </c>
      <c r="Y549" s="46">
        <v>43538</v>
      </c>
      <c r="Z549" s="26">
        <v>43623</v>
      </c>
      <c r="AA549" s="50">
        <v>44149</v>
      </c>
      <c r="AB549" s="75"/>
      <c r="AC549" s="28" t="s">
        <v>243</v>
      </c>
      <c r="AD549" s="26">
        <v>43623</v>
      </c>
      <c r="AE549" s="28"/>
      <c r="AF549" s="26"/>
      <c r="AG549" s="26"/>
      <c r="AH549" s="26"/>
      <c r="AI549" s="27">
        <f>COUNTIF(DangKyThamGapThuongXuyen!$L$4:$L$5261,DaTa!$T549)</f>
        <v>0</v>
      </c>
    </row>
    <row r="550" spans="17:35" ht="33.6" customHeight="1" x14ac:dyDescent="0.2">
      <c r="Q550" s="29"/>
      <c r="R550" s="30" t="str">
        <f>IF($V550=$R$1,MAX($R$3:R549)+1,"")</f>
        <v/>
      </c>
      <c r="S550" s="24">
        <v>548</v>
      </c>
      <c r="T550" s="39" t="s">
        <v>1158</v>
      </c>
      <c r="U550" s="25" t="s">
        <v>81</v>
      </c>
      <c r="V550" s="25" t="s">
        <v>115</v>
      </c>
      <c r="W550" s="24">
        <v>1971</v>
      </c>
      <c r="X550" s="24" t="s">
        <v>29</v>
      </c>
      <c r="Y550" s="26">
        <v>43489</v>
      </c>
      <c r="Z550" s="26">
        <v>43623</v>
      </c>
      <c r="AA550" s="44">
        <v>43854</v>
      </c>
      <c r="AB550" s="27"/>
      <c r="AC550" s="28"/>
      <c r="AD550" s="26"/>
      <c r="AE550" s="28"/>
      <c r="AF550" s="26"/>
      <c r="AG550" s="26"/>
      <c r="AH550" s="26"/>
      <c r="AI550" s="27">
        <f>COUNTIF(DangKyThamGapThuongXuyen!$L$4:$L$5261,DaTa!$T550)</f>
        <v>1</v>
      </c>
    </row>
    <row r="551" spans="17:35" ht="33.6" customHeight="1" x14ac:dyDescent="0.2">
      <c r="Q551" s="29"/>
      <c r="R551" s="30" t="str">
        <f>IF($V551=$R$1,MAX($R$3:R550)+1,"")</f>
        <v/>
      </c>
      <c r="S551" s="24">
        <v>549</v>
      </c>
      <c r="T551" s="39" t="s">
        <v>1159</v>
      </c>
      <c r="U551" s="25" t="s">
        <v>1160</v>
      </c>
      <c r="V551" s="48" t="s">
        <v>1161</v>
      </c>
      <c r="W551" s="24">
        <v>1974</v>
      </c>
      <c r="X551" s="24" t="s">
        <v>29</v>
      </c>
      <c r="Y551" s="46">
        <v>43551</v>
      </c>
      <c r="Z551" s="26">
        <v>43623</v>
      </c>
      <c r="AA551" s="47">
        <v>44192</v>
      </c>
      <c r="AB551" s="27"/>
      <c r="AC551" s="28"/>
      <c r="AD551" s="26"/>
      <c r="AE551" s="28"/>
      <c r="AF551" s="26"/>
      <c r="AG551" s="26"/>
      <c r="AH551" s="26"/>
      <c r="AI551" s="27">
        <f>COUNTIF(DangKyThamGapThuongXuyen!$L$4:$L$5261,DaTa!$T551)</f>
        <v>0</v>
      </c>
    </row>
    <row r="552" spans="17:35" ht="33.6" customHeight="1" x14ac:dyDescent="0.2">
      <c r="Q552" s="29"/>
      <c r="R552" s="30" t="str">
        <f>IF($V552=$R$1,MAX($R$3:R551)+1,"")</f>
        <v/>
      </c>
      <c r="S552" s="24">
        <v>550</v>
      </c>
      <c r="T552" s="39" t="s">
        <v>1162</v>
      </c>
      <c r="U552" s="40" t="s">
        <v>360</v>
      </c>
      <c r="V552" s="40" t="s">
        <v>1163</v>
      </c>
      <c r="W552" s="41">
        <v>1975</v>
      </c>
      <c r="X552" s="24" t="s">
        <v>25</v>
      </c>
      <c r="Y552" s="42">
        <v>43553</v>
      </c>
      <c r="Z552" s="42">
        <v>43624</v>
      </c>
      <c r="AA552" s="42">
        <v>44284</v>
      </c>
      <c r="AB552" s="27"/>
      <c r="AC552" s="43"/>
      <c r="AD552" s="26"/>
      <c r="AE552" s="43"/>
      <c r="AF552" s="26"/>
      <c r="AG552" s="26"/>
      <c r="AH552" s="26"/>
      <c r="AI552" s="27">
        <f>COUNTIF(DangKyThamGapThuongXuyen!$L$4:$L$5261,DaTa!$T552)</f>
        <v>0</v>
      </c>
    </row>
    <row r="553" spans="17:35" ht="33.6" customHeight="1" x14ac:dyDescent="0.2">
      <c r="Q553" s="29"/>
      <c r="R553" s="30" t="str">
        <f>IF($V553=$R$1,MAX($R$3:R552)+1,"")</f>
        <v/>
      </c>
      <c r="S553" s="24">
        <v>551</v>
      </c>
      <c r="T553" s="39" t="s">
        <v>1164</v>
      </c>
      <c r="U553" s="40" t="s">
        <v>286</v>
      </c>
      <c r="V553" s="40" t="s">
        <v>729</v>
      </c>
      <c r="W553" s="41">
        <v>1986</v>
      </c>
      <c r="X553" s="24" t="s">
        <v>25</v>
      </c>
      <c r="Y553" s="42">
        <v>43538</v>
      </c>
      <c r="Z553" s="42">
        <v>43624</v>
      </c>
      <c r="AA553" s="42">
        <v>43996</v>
      </c>
      <c r="AB553" s="27"/>
      <c r="AC553" s="43" t="s">
        <v>61</v>
      </c>
      <c r="AD553" s="26">
        <v>43636</v>
      </c>
      <c r="AE553" s="43"/>
      <c r="AF553" s="26"/>
      <c r="AG553" s="26"/>
      <c r="AH553" s="26"/>
      <c r="AI553" s="27">
        <f>COUNTIF(DangKyThamGapThuongXuyen!$L$4:$L$5261,DaTa!$T553)</f>
        <v>1</v>
      </c>
    </row>
    <row r="554" spans="17:35" ht="33.6" customHeight="1" x14ac:dyDescent="0.2">
      <c r="Q554" s="29"/>
      <c r="R554" s="30" t="str">
        <f>IF($V554=$R$1,MAX($R$3:R553)+1,"")</f>
        <v/>
      </c>
      <c r="S554" s="24">
        <v>552</v>
      </c>
      <c r="T554" s="39" t="s">
        <v>1165</v>
      </c>
      <c r="U554" s="40" t="s">
        <v>386</v>
      </c>
      <c r="V554" s="40" t="s">
        <v>35</v>
      </c>
      <c r="W554" s="41">
        <v>1978</v>
      </c>
      <c r="X554" s="24" t="s">
        <v>25</v>
      </c>
      <c r="Y554" s="42">
        <v>43550</v>
      </c>
      <c r="Z554" s="42">
        <v>43624</v>
      </c>
      <c r="AA554" s="42">
        <v>44281</v>
      </c>
      <c r="AB554" s="27"/>
      <c r="AC554" s="43"/>
      <c r="AD554" s="26"/>
      <c r="AE554" s="43"/>
      <c r="AF554" s="26"/>
      <c r="AG554" s="26"/>
      <c r="AH554" s="26"/>
      <c r="AI554" s="27">
        <f>COUNTIF(DangKyThamGapThuongXuyen!$L$4:$L$5261,DaTa!$T554)</f>
        <v>0</v>
      </c>
    </row>
    <row r="555" spans="17:35" ht="33.6" customHeight="1" x14ac:dyDescent="0.2">
      <c r="Q555" s="29"/>
      <c r="R555" s="23" t="str">
        <f>IF($V555=$R$1,MAX($R$3:R554)+1,"")</f>
        <v/>
      </c>
      <c r="S555" s="24">
        <v>553</v>
      </c>
      <c r="T555" s="39" t="s">
        <v>1166</v>
      </c>
      <c r="U555" s="40" t="s">
        <v>1167</v>
      </c>
      <c r="V555" s="40" t="s">
        <v>209</v>
      </c>
      <c r="W555" s="41">
        <v>1986</v>
      </c>
      <c r="X555" s="24" t="s">
        <v>25</v>
      </c>
      <c r="Y555" s="42">
        <v>43553</v>
      </c>
      <c r="Z555" s="42">
        <v>43624</v>
      </c>
      <c r="AA555" s="42">
        <v>44284</v>
      </c>
      <c r="AB555" s="27"/>
      <c r="AC555" s="43"/>
      <c r="AD555" s="26"/>
      <c r="AE555" s="43"/>
      <c r="AF555" s="26"/>
      <c r="AG555" s="26"/>
      <c r="AH555" s="26"/>
      <c r="AI555" s="27">
        <f>COUNTIF(DangKyThamGapThuongXuyen!$L$4:$L$5261,DaTa!$T555)</f>
        <v>1</v>
      </c>
    </row>
    <row r="556" spans="17:35" ht="33.6" customHeight="1" x14ac:dyDescent="0.2">
      <c r="Q556" s="29"/>
      <c r="R556" s="30" t="str">
        <f>IF($V556=$R$1,MAX($R$3:R555)+1,"")</f>
        <v/>
      </c>
      <c r="S556" s="24">
        <v>554</v>
      </c>
      <c r="T556" s="39" t="s">
        <v>1168</v>
      </c>
      <c r="U556" s="40" t="s">
        <v>286</v>
      </c>
      <c r="V556" s="40" t="s">
        <v>161</v>
      </c>
      <c r="W556" s="41">
        <v>1979</v>
      </c>
      <c r="X556" s="24" t="s">
        <v>25</v>
      </c>
      <c r="Y556" s="42">
        <v>43574</v>
      </c>
      <c r="Z556" s="42">
        <v>43624</v>
      </c>
      <c r="AA556" s="42">
        <v>44305</v>
      </c>
      <c r="AB556" s="27"/>
      <c r="AC556" s="43"/>
      <c r="AD556" s="26"/>
      <c r="AE556" s="43"/>
      <c r="AF556" s="26"/>
      <c r="AG556" s="26"/>
      <c r="AH556" s="26"/>
      <c r="AI556" s="27">
        <f>COUNTIF(DangKyThamGapThuongXuyen!$L$4:$L$5261,DaTa!$T556)</f>
        <v>1</v>
      </c>
    </row>
    <row r="557" spans="17:35" ht="33.6" customHeight="1" x14ac:dyDescent="0.2">
      <c r="Q557" s="29"/>
      <c r="R557" s="30" t="str">
        <f>IF($V557=$R$1,MAX($R$3:R556)+1,"")</f>
        <v/>
      </c>
      <c r="S557" s="24">
        <v>555</v>
      </c>
      <c r="T557" s="39" t="s">
        <v>1169</v>
      </c>
      <c r="U557" s="40" t="s">
        <v>341</v>
      </c>
      <c r="V557" s="40" t="s">
        <v>313</v>
      </c>
      <c r="W557" s="41">
        <v>1984</v>
      </c>
      <c r="X557" s="24" t="s">
        <v>25</v>
      </c>
      <c r="Y557" s="42">
        <v>43552</v>
      </c>
      <c r="Z557" s="42">
        <v>43624</v>
      </c>
      <c r="AA557" s="42">
        <v>44193</v>
      </c>
      <c r="AB557" s="27"/>
      <c r="AC557" s="43"/>
      <c r="AD557" s="26"/>
      <c r="AE557" s="43"/>
      <c r="AF557" s="26"/>
      <c r="AG557" s="26"/>
      <c r="AH557" s="26"/>
      <c r="AI557" s="27">
        <f>COUNTIF(DangKyThamGapThuongXuyen!$L$4:$L$5261,DaTa!$T557)</f>
        <v>1</v>
      </c>
    </row>
    <row r="558" spans="17:35" ht="33.6" customHeight="1" x14ac:dyDescent="0.2">
      <c r="Q558" s="29"/>
      <c r="R558" s="30" t="str">
        <f>IF($V558=$R$1,MAX($R$3:R557)+1,"")</f>
        <v/>
      </c>
      <c r="S558" s="24">
        <v>556</v>
      </c>
      <c r="T558" s="39" t="s">
        <v>1170</v>
      </c>
      <c r="U558" s="40" t="s">
        <v>1171</v>
      </c>
      <c r="V558" s="40" t="s">
        <v>313</v>
      </c>
      <c r="W558" s="41">
        <v>1989</v>
      </c>
      <c r="X558" s="24" t="s">
        <v>25</v>
      </c>
      <c r="Y558" s="42">
        <v>43559</v>
      </c>
      <c r="Z558" s="42">
        <v>43624</v>
      </c>
      <c r="AA558" s="42">
        <v>44016</v>
      </c>
      <c r="AB558" s="27"/>
      <c r="AC558" s="43"/>
      <c r="AD558" s="26"/>
      <c r="AE558" s="43"/>
      <c r="AF558" s="26"/>
      <c r="AG558" s="26"/>
      <c r="AH558" s="26"/>
      <c r="AI558" s="27">
        <f>COUNTIF(DangKyThamGapThuongXuyen!$L$4:$L$5261,DaTa!$T558)</f>
        <v>2</v>
      </c>
    </row>
    <row r="559" spans="17:35" ht="33.6" customHeight="1" x14ac:dyDescent="0.2">
      <c r="Q559" s="29"/>
      <c r="R559" s="30">
        <f>IF($V559=$R$1,MAX($R$3:R558)+1,"")</f>
        <v>8</v>
      </c>
      <c r="S559" s="24">
        <v>557</v>
      </c>
      <c r="T559" s="39" t="s">
        <v>1172</v>
      </c>
      <c r="U559" s="25" t="s">
        <v>1173</v>
      </c>
      <c r="V559" s="25" t="s">
        <v>257</v>
      </c>
      <c r="W559" s="24">
        <v>1979</v>
      </c>
      <c r="X559" s="24" t="s">
        <v>25</v>
      </c>
      <c r="Y559" s="26">
        <v>43552</v>
      </c>
      <c r="Z559" s="26">
        <v>43628</v>
      </c>
      <c r="AA559" s="26">
        <v>44193</v>
      </c>
      <c r="AB559" s="27"/>
      <c r="AC559" s="28"/>
      <c r="AD559" s="26"/>
      <c r="AE559" s="28"/>
      <c r="AF559" s="26"/>
      <c r="AG559" s="26"/>
      <c r="AH559" s="26"/>
      <c r="AI559" s="27">
        <f>COUNTIF(DangKyThamGapThuongXuyen!$L$4:$L$5261,DaTa!$T559)</f>
        <v>0</v>
      </c>
    </row>
    <row r="560" spans="17:35" ht="33.6" customHeight="1" x14ac:dyDescent="0.2">
      <c r="Q560" s="29"/>
      <c r="R560" s="30" t="str">
        <f>IF($V560=$R$1,MAX($R$3:R559)+1,"")</f>
        <v/>
      </c>
      <c r="S560" s="24">
        <v>558</v>
      </c>
      <c r="T560" s="39" t="s">
        <v>1174</v>
      </c>
      <c r="U560" s="25" t="s">
        <v>1175</v>
      </c>
      <c r="V560" s="25" t="s">
        <v>293</v>
      </c>
      <c r="W560" s="24">
        <v>1984</v>
      </c>
      <c r="X560" s="24" t="s">
        <v>25</v>
      </c>
      <c r="Y560" s="26">
        <v>43600</v>
      </c>
      <c r="Z560" s="26">
        <v>43629</v>
      </c>
      <c r="AA560" s="26">
        <v>44242</v>
      </c>
      <c r="AB560" s="27"/>
      <c r="AC560" s="28" t="s">
        <v>61</v>
      </c>
      <c r="AD560" s="26">
        <v>43630</v>
      </c>
      <c r="AE560" s="28"/>
      <c r="AF560" s="26"/>
      <c r="AG560" s="26"/>
      <c r="AH560" s="26"/>
      <c r="AI560" s="27">
        <f>COUNTIF(DangKyThamGapThuongXuyen!$L$4:$L$5261,DaTa!$T560)</f>
        <v>0</v>
      </c>
    </row>
    <row r="561" spans="17:35" ht="33.6" customHeight="1" x14ac:dyDescent="0.2">
      <c r="Q561" s="29"/>
      <c r="R561" s="30" t="str">
        <f>IF($V561=$R$1,MAX($R$3:R560)+1,"")</f>
        <v/>
      </c>
      <c r="S561" s="24">
        <v>559</v>
      </c>
      <c r="T561" s="39" t="s">
        <v>1176</v>
      </c>
      <c r="U561" s="25" t="s">
        <v>1177</v>
      </c>
      <c r="V561" s="25" t="s">
        <v>195</v>
      </c>
      <c r="W561" s="24">
        <v>1983</v>
      </c>
      <c r="X561" s="24" t="s">
        <v>25</v>
      </c>
      <c r="Y561" s="26">
        <v>43601</v>
      </c>
      <c r="Z561" s="26">
        <v>43629</v>
      </c>
      <c r="AA561" s="26">
        <v>44243</v>
      </c>
      <c r="AB561" s="27"/>
      <c r="AC561" s="28"/>
      <c r="AD561" s="26"/>
      <c r="AE561" s="28"/>
      <c r="AF561" s="26"/>
      <c r="AG561" s="26"/>
      <c r="AH561" s="26"/>
      <c r="AI561" s="27">
        <f>COUNTIF(DangKyThamGapThuongXuyen!$L$4:$L$5261,DaTa!$T561)</f>
        <v>2</v>
      </c>
    </row>
    <row r="562" spans="17:35" ht="33.6" customHeight="1" x14ac:dyDescent="0.2">
      <c r="Q562" s="29"/>
      <c r="R562" s="30" t="str">
        <f>IF($V562=$R$1,MAX($R$3:R561)+1,"")</f>
        <v/>
      </c>
      <c r="S562" s="24">
        <v>560</v>
      </c>
      <c r="T562" s="39" t="s">
        <v>1178</v>
      </c>
      <c r="U562" s="25" t="s">
        <v>1179</v>
      </c>
      <c r="V562" s="25" t="s">
        <v>120</v>
      </c>
      <c r="W562" s="24">
        <v>1989</v>
      </c>
      <c r="X562" s="24" t="s">
        <v>25</v>
      </c>
      <c r="Y562" s="26">
        <v>43526</v>
      </c>
      <c r="Z562" s="26">
        <v>43630</v>
      </c>
      <c r="AA562" s="26">
        <v>44167</v>
      </c>
      <c r="AB562" s="27"/>
      <c r="AC562" s="28"/>
      <c r="AD562" s="26"/>
      <c r="AE562" s="28"/>
      <c r="AF562" s="26"/>
      <c r="AG562" s="26"/>
      <c r="AH562" s="26"/>
      <c r="AI562" s="27">
        <f>COUNTIF(DangKyThamGapThuongXuyen!$L$4:$L$5261,DaTa!$T562)</f>
        <v>0</v>
      </c>
    </row>
    <row r="563" spans="17:35" ht="33.6" customHeight="1" x14ac:dyDescent="0.2">
      <c r="Q563" s="29"/>
      <c r="R563" s="30" t="str">
        <f>IF($V563=$R$1,MAX($R$3:R562)+1,"")</f>
        <v/>
      </c>
      <c r="S563" s="24">
        <v>561</v>
      </c>
      <c r="T563" s="39" t="s">
        <v>1180</v>
      </c>
      <c r="U563" s="25" t="s">
        <v>1181</v>
      </c>
      <c r="V563" s="25" t="s">
        <v>87</v>
      </c>
      <c r="W563" s="24">
        <v>1965</v>
      </c>
      <c r="X563" s="24" t="s">
        <v>25</v>
      </c>
      <c r="Y563" s="26">
        <v>43534</v>
      </c>
      <c r="Z563" s="26">
        <v>43630</v>
      </c>
      <c r="AA563" s="26">
        <v>44206</v>
      </c>
      <c r="AB563" s="27"/>
      <c r="AC563" s="28"/>
      <c r="AD563" s="26"/>
      <c r="AE563" s="28"/>
      <c r="AF563" s="26"/>
      <c r="AG563" s="26"/>
      <c r="AH563" s="26"/>
      <c r="AI563" s="27">
        <f>COUNTIF(DangKyThamGapThuongXuyen!$L$4:$L$5261,DaTa!$T563)</f>
        <v>0</v>
      </c>
    </row>
    <row r="564" spans="17:35" ht="33.6" customHeight="1" x14ac:dyDescent="0.2">
      <c r="Q564" s="29"/>
      <c r="R564" s="30" t="str">
        <f>IF($V564=$R$1,MAX($R$3:R563)+1,"")</f>
        <v/>
      </c>
      <c r="S564" s="24">
        <v>562</v>
      </c>
      <c r="T564" s="39" t="s">
        <v>1182</v>
      </c>
      <c r="U564" s="25" t="s">
        <v>578</v>
      </c>
      <c r="V564" s="25" t="s">
        <v>1183</v>
      </c>
      <c r="W564" s="24">
        <v>1976</v>
      </c>
      <c r="X564" s="24" t="s">
        <v>25</v>
      </c>
      <c r="Y564" s="26">
        <v>43544</v>
      </c>
      <c r="Z564" s="26">
        <v>43630</v>
      </c>
      <c r="AA564" s="26">
        <v>44185</v>
      </c>
      <c r="AB564" s="27"/>
      <c r="AC564" s="28"/>
      <c r="AD564" s="26"/>
      <c r="AE564" s="28"/>
      <c r="AF564" s="26"/>
      <c r="AG564" s="26"/>
      <c r="AH564" s="26"/>
      <c r="AI564" s="27">
        <f>COUNTIF(DangKyThamGapThuongXuyen!$L$4:$L$5261,DaTa!$T564)</f>
        <v>1</v>
      </c>
    </row>
    <row r="565" spans="17:35" ht="33.6" customHeight="1" x14ac:dyDescent="0.2">
      <c r="Q565" s="29"/>
      <c r="R565" s="30" t="str">
        <f>IF($V565=$R$1,MAX($R$3:R564)+1,"")</f>
        <v/>
      </c>
      <c r="S565" s="24">
        <v>563</v>
      </c>
      <c r="T565" s="39" t="s">
        <v>1184</v>
      </c>
      <c r="U565" s="40" t="s">
        <v>1185</v>
      </c>
      <c r="V565" s="40" t="s">
        <v>1186</v>
      </c>
      <c r="W565" s="41">
        <v>1968</v>
      </c>
      <c r="X565" s="24" t="s">
        <v>25</v>
      </c>
      <c r="Y565" s="60">
        <v>43532</v>
      </c>
      <c r="Z565" s="42">
        <v>43630</v>
      </c>
      <c r="AA565" s="42">
        <v>44143</v>
      </c>
      <c r="AB565" s="27"/>
      <c r="AC565" s="28"/>
      <c r="AD565" s="26"/>
      <c r="AE565" s="28"/>
      <c r="AF565" s="26"/>
      <c r="AG565" s="26"/>
      <c r="AH565" s="26"/>
      <c r="AI565" s="27">
        <f>COUNTIF(DangKyThamGapThuongXuyen!$L$4:$L$5261,DaTa!$T565)</f>
        <v>2</v>
      </c>
    </row>
    <row r="566" spans="17:35" ht="33.6" customHeight="1" x14ac:dyDescent="0.2">
      <c r="Q566" s="29"/>
      <c r="R566" s="30" t="str">
        <f>IF($V566=$R$1,MAX($R$3:R565)+1,"")</f>
        <v/>
      </c>
      <c r="S566" s="24">
        <v>564</v>
      </c>
      <c r="T566" s="39" t="s">
        <v>1187</v>
      </c>
      <c r="U566" s="25" t="s">
        <v>1188</v>
      </c>
      <c r="V566" s="25" t="s">
        <v>695</v>
      </c>
      <c r="W566" s="24">
        <v>1987</v>
      </c>
      <c r="X566" s="24" t="s">
        <v>25</v>
      </c>
      <c r="Y566" s="26">
        <v>43532</v>
      </c>
      <c r="Z566" s="26">
        <v>43630</v>
      </c>
      <c r="AA566" s="26">
        <v>44143</v>
      </c>
      <c r="AB566" s="27"/>
      <c r="AC566" s="28"/>
      <c r="AD566" s="26"/>
      <c r="AE566" s="28"/>
      <c r="AF566" s="26"/>
      <c r="AG566" s="26"/>
      <c r="AH566" s="26"/>
      <c r="AI566" s="27">
        <f>COUNTIF(DangKyThamGapThuongXuyen!$L$4:$L$5261,DaTa!$T566)</f>
        <v>0</v>
      </c>
    </row>
    <row r="567" spans="17:35" ht="33.6" customHeight="1" x14ac:dyDescent="0.2">
      <c r="Q567" s="29"/>
      <c r="R567" s="30" t="str">
        <f>IF($V567=$R$1,MAX($R$3:R566)+1,"")</f>
        <v/>
      </c>
      <c r="S567" s="24">
        <v>565</v>
      </c>
      <c r="T567" s="39" t="s">
        <v>1189</v>
      </c>
      <c r="U567" s="25" t="s">
        <v>1190</v>
      </c>
      <c r="V567" s="25" t="s">
        <v>1191</v>
      </c>
      <c r="W567" s="24">
        <v>1975</v>
      </c>
      <c r="X567" s="24" t="s">
        <v>21</v>
      </c>
      <c r="Y567" s="46">
        <v>43609</v>
      </c>
      <c r="Z567" s="26">
        <v>43634</v>
      </c>
      <c r="AA567" s="50">
        <v>44340</v>
      </c>
      <c r="AB567" s="27"/>
      <c r="AC567" s="28"/>
      <c r="AD567" s="26"/>
      <c r="AE567" s="28"/>
      <c r="AF567" s="26"/>
      <c r="AG567" s="26"/>
      <c r="AH567" s="26"/>
      <c r="AI567" s="27">
        <f>COUNTIF(DangKyThamGapThuongXuyen!$L$4:$L$5261,DaTa!$T567)</f>
        <v>0</v>
      </c>
    </row>
    <row r="568" spans="17:35" ht="33.6" customHeight="1" x14ac:dyDescent="0.2">
      <c r="Q568" s="29"/>
      <c r="R568" s="30" t="str">
        <f>IF($V568=$R$1,MAX($R$3:R567)+1,"")</f>
        <v/>
      </c>
      <c r="S568" s="24">
        <v>566</v>
      </c>
      <c r="T568" s="39" t="s">
        <v>1192</v>
      </c>
      <c r="U568" s="40" t="s">
        <v>1193</v>
      </c>
      <c r="V568" s="40" t="s">
        <v>1107</v>
      </c>
      <c r="W568" s="41">
        <v>1970</v>
      </c>
      <c r="X568" s="24" t="s">
        <v>21</v>
      </c>
      <c r="Y568" s="42">
        <v>43609</v>
      </c>
      <c r="Z568" s="42">
        <v>43634</v>
      </c>
      <c r="AA568" s="42">
        <v>44340</v>
      </c>
      <c r="AB568" s="27"/>
      <c r="AC568" s="43"/>
      <c r="AD568" s="26"/>
      <c r="AE568" s="43"/>
      <c r="AF568" s="26"/>
      <c r="AG568" s="26"/>
      <c r="AH568" s="26"/>
      <c r="AI568" s="27">
        <f>COUNTIF(DangKyThamGapThuongXuyen!$L$4:$L$5261,DaTa!$T568)</f>
        <v>0</v>
      </c>
    </row>
    <row r="569" spans="17:35" ht="33.6" customHeight="1" x14ac:dyDescent="0.2">
      <c r="Q569" s="29"/>
      <c r="R569" s="30" t="str">
        <f>IF($V569=$R$1,MAX($R$3:R568)+1,"")</f>
        <v/>
      </c>
      <c r="S569" s="24">
        <v>567</v>
      </c>
      <c r="T569" s="39" t="s">
        <v>1194</v>
      </c>
      <c r="U569" s="25" t="s">
        <v>1195</v>
      </c>
      <c r="V569" s="25" t="s">
        <v>148</v>
      </c>
      <c r="W569" s="24">
        <v>1985</v>
      </c>
      <c r="X569" s="24" t="s">
        <v>21</v>
      </c>
      <c r="Y569" s="26">
        <v>43544</v>
      </c>
      <c r="Z569" s="26">
        <v>43637</v>
      </c>
      <c r="AA569" s="26">
        <v>44094</v>
      </c>
      <c r="AB569" s="27"/>
      <c r="AC569" s="43"/>
      <c r="AD569" s="26"/>
      <c r="AE569" s="43"/>
      <c r="AF569" s="26"/>
      <c r="AG569" s="26"/>
      <c r="AH569" s="26"/>
      <c r="AI569" s="27">
        <f>COUNTIF(DangKyThamGapThuongXuyen!$L$4:$L$5261,DaTa!$T569)</f>
        <v>0</v>
      </c>
    </row>
    <row r="570" spans="17:35" ht="33.6" customHeight="1" x14ac:dyDescent="0.2">
      <c r="Q570" s="29"/>
      <c r="R570" s="30" t="str">
        <f>IF($V570=$R$1,MAX($R$3:R569)+1,"")</f>
        <v/>
      </c>
      <c r="S570" s="24">
        <v>568</v>
      </c>
      <c r="T570" s="39" t="s">
        <v>1196</v>
      </c>
      <c r="U570" s="40" t="s">
        <v>1197</v>
      </c>
      <c r="V570" s="48" t="s">
        <v>242</v>
      </c>
      <c r="W570" s="41">
        <v>1974</v>
      </c>
      <c r="X570" s="24" t="s">
        <v>21</v>
      </c>
      <c r="Y570" s="42">
        <v>43554</v>
      </c>
      <c r="Z570" s="42">
        <v>43637</v>
      </c>
      <c r="AA570" s="42">
        <v>44104</v>
      </c>
      <c r="AB570" s="27"/>
      <c r="AC570" s="43" t="s">
        <v>61</v>
      </c>
      <c r="AD570" s="26">
        <v>43637</v>
      </c>
      <c r="AE570" s="43"/>
      <c r="AF570" s="26"/>
      <c r="AG570" s="26"/>
      <c r="AH570" s="26"/>
      <c r="AI570" s="27">
        <f>COUNTIF(DangKyThamGapThuongXuyen!$L$4:$L$5261,DaTa!$T570)</f>
        <v>0</v>
      </c>
    </row>
    <row r="571" spans="17:35" ht="33.6" customHeight="1" x14ac:dyDescent="0.2">
      <c r="Q571" s="29"/>
      <c r="R571" s="30" t="str">
        <f>IF($V571=$R$1,MAX($R$3:R570)+1,"")</f>
        <v/>
      </c>
      <c r="S571" s="24">
        <v>569</v>
      </c>
      <c r="T571" s="39" t="s">
        <v>1198</v>
      </c>
      <c r="U571" s="40" t="s">
        <v>114</v>
      </c>
      <c r="V571" s="40" t="s">
        <v>32</v>
      </c>
      <c r="W571" s="41">
        <v>1987</v>
      </c>
      <c r="X571" s="24" t="s">
        <v>21</v>
      </c>
      <c r="Y571" s="42">
        <v>43546</v>
      </c>
      <c r="Z571" s="42">
        <v>43637</v>
      </c>
      <c r="AA571" s="42">
        <v>44096</v>
      </c>
      <c r="AB571" s="27"/>
      <c r="AC571" s="43"/>
      <c r="AD571" s="26"/>
      <c r="AE571" s="43"/>
      <c r="AF571" s="26"/>
      <c r="AG571" s="26"/>
      <c r="AH571" s="26"/>
      <c r="AI571" s="27">
        <f>COUNTIF(DangKyThamGapThuongXuyen!$L$4:$L$5261,DaTa!$T571)</f>
        <v>0</v>
      </c>
    </row>
    <row r="572" spans="17:35" ht="33.6" customHeight="1" x14ac:dyDescent="0.2">
      <c r="Q572" s="29"/>
      <c r="R572" s="30" t="str">
        <f>IF($V572=$R$1,MAX($R$3:R571)+1,"")</f>
        <v/>
      </c>
      <c r="S572" s="24">
        <v>570</v>
      </c>
      <c r="T572" s="39" t="s">
        <v>1199</v>
      </c>
      <c r="U572" s="25" t="s">
        <v>1167</v>
      </c>
      <c r="V572" s="25" t="s">
        <v>123</v>
      </c>
      <c r="W572" s="24">
        <v>1987</v>
      </c>
      <c r="X572" s="24" t="s">
        <v>21</v>
      </c>
      <c r="Y572" s="46">
        <v>43547</v>
      </c>
      <c r="Z572" s="26">
        <v>43637</v>
      </c>
      <c r="AA572" s="47">
        <v>44188</v>
      </c>
      <c r="AB572" s="27"/>
      <c r="AC572" s="28"/>
      <c r="AD572" s="26"/>
      <c r="AE572" s="28"/>
      <c r="AF572" s="26"/>
      <c r="AG572" s="26"/>
      <c r="AH572" s="26"/>
      <c r="AI572" s="27">
        <f>COUNTIF(DangKyThamGapThuongXuyen!$L$4:$L$5261,DaTa!$T572)</f>
        <v>0</v>
      </c>
    </row>
    <row r="573" spans="17:35" ht="33.6" customHeight="1" x14ac:dyDescent="0.2">
      <c r="Q573" s="29"/>
      <c r="R573" s="30" t="str">
        <f>IF($V573=$R$1,MAX($R$3:R572)+1,"")</f>
        <v/>
      </c>
      <c r="S573" s="24">
        <v>571</v>
      </c>
      <c r="T573" s="39" t="s">
        <v>1200</v>
      </c>
      <c r="U573" s="25" t="s">
        <v>286</v>
      </c>
      <c r="V573" s="25" t="s">
        <v>120</v>
      </c>
      <c r="W573" s="24">
        <v>1988</v>
      </c>
      <c r="X573" s="24" t="s">
        <v>21</v>
      </c>
      <c r="Y573" s="26">
        <v>43552</v>
      </c>
      <c r="Z573" s="26">
        <v>43637</v>
      </c>
      <c r="AA573" s="26">
        <v>44193</v>
      </c>
      <c r="AB573" s="27"/>
      <c r="AC573" s="28"/>
      <c r="AD573" s="26"/>
      <c r="AE573" s="28"/>
      <c r="AF573" s="26"/>
      <c r="AG573" s="26"/>
      <c r="AH573" s="26"/>
      <c r="AI573" s="27">
        <f>COUNTIF(DangKyThamGapThuongXuyen!$L$4:$L$5261,DaTa!$T573)</f>
        <v>0</v>
      </c>
    </row>
    <row r="574" spans="17:35" ht="33.6" customHeight="1" x14ac:dyDescent="0.2">
      <c r="Q574" s="29"/>
      <c r="R574" s="30" t="str">
        <f>IF($V574=$R$1,MAX($R$3:R573)+1,"")</f>
        <v/>
      </c>
      <c r="S574" s="24">
        <v>572</v>
      </c>
      <c r="T574" s="39" t="s">
        <v>1201</v>
      </c>
      <c r="U574" s="25" t="s">
        <v>1202</v>
      </c>
      <c r="V574" s="25" t="s">
        <v>35</v>
      </c>
      <c r="W574" s="24">
        <v>1975</v>
      </c>
      <c r="X574" s="24" t="s">
        <v>21</v>
      </c>
      <c r="Y574" s="26">
        <v>43557</v>
      </c>
      <c r="Z574" s="26">
        <v>43637</v>
      </c>
      <c r="AA574" s="26">
        <v>44288</v>
      </c>
      <c r="AB574" s="27"/>
      <c r="AC574" s="28"/>
      <c r="AD574" s="26"/>
      <c r="AE574" s="28"/>
      <c r="AF574" s="26"/>
      <c r="AG574" s="26"/>
      <c r="AH574" s="26"/>
      <c r="AI574" s="27">
        <f>COUNTIF(DangKyThamGapThuongXuyen!$L$4:$L$5261,DaTa!$T574)</f>
        <v>0</v>
      </c>
    </row>
    <row r="575" spans="17:35" ht="33.6" customHeight="1" x14ac:dyDescent="0.2">
      <c r="Q575" s="29"/>
      <c r="R575" s="30" t="str">
        <f>IF($V575=$R$1,MAX($R$3:R574)+1,"")</f>
        <v/>
      </c>
      <c r="S575" s="24">
        <v>573</v>
      </c>
      <c r="T575" s="39" t="s">
        <v>1203</v>
      </c>
      <c r="U575" s="25" t="s">
        <v>1204</v>
      </c>
      <c r="V575" s="25" t="s">
        <v>1205</v>
      </c>
      <c r="W575" s="24">
        <v>1969</v>
      </c>
      <c r="X575" s="24" t="s">
        <v>21</v>
      </c>
      <c r="Y575" s="26">
        <v>43564</v>
      </c>
      <c r="Z575" s="26">
        <v>43637</v>
      </c>
      <c r="AA575" s="26">
        <v>44295</v>
      </c>
      <c r="AB575" s="27"/>
      <c r="AC575" s="28"/>
      <c r="AD575" s="26"/>
      <c r="AE575" s="28"/>
      <c r="AF575" s="26"/>
      <c r="AG575" s="26"/>
      <c r="AH575" s="26"/>
      <c r="AI575" s="27">
        <f>COUNTIF(DangKyThamGapThuongXuyen!$L$4:$L$5261,DaTa!$T575)</f>
        <v>0</v>
      </c>
    </row>
    <row r="576" spans="17:35" ht="33.6" customHeight="1" x14ac:dyDescent="0.2">
      <c r="Q576" s="29"/>
      <c r="R576" s="30" t="str">
        <f>IF($V576=$R$1,MAX($R$3:R575)+1,"")</f>
        <v/>
      </c>
      <c r="S576" s="24">
        <v>574</v>
      </c>
      <c r="T576" s="39" t="s">
        <v>1206</v>
      </c>
      <c r="U576" s="25" t="s">
        <v>824</v>
      </c>
      <c r="V576" s="25" t="s">
        <v>376</v>
      </c>
      <c r="W576" s="24">
        <v>1989</v>
      </c>
      <c r="X576" s="24" t="s">
        <v>21</v>
      </c>
      <c r="Y576" s="26">
        <v>43542</v>
      </c>
      <c r="Z576" s="26">
        <v>43643</v>
      </c>
      <c r="AA576" s="26">
        <v>44273</v>
      </c>
      <c r="AB576" s="27"/>
      <c r="AC576" s="43"/>
      <c r="AD576" s="26"/>
      <c r="AE576" s="43"/>
      <c r="AF576" s="26"/>
      <c r="AG576" s="26"/>
      <c r="AH576" s="26"/>
      <c r="AI576" s="27">
        <f>COUNTIF(DangKyThamGapThuongXuyen!$L$4:$L$5261,DaTa!$T576)</f>
        <v>0</v>
      </c>
    </row>
    <row r="577" spans="17:35" ht="33.6" customHeight="1" x14ac:dyDescent="0.2">
      <c r="Q577" s="29"/>
      <c r="R577" s="30" t="str">
        <f>IF($V577=$R$1,MAX($R$3:R576)+1,"")</f>
        <v/>
      </c>
      <c r="S577" s="24">
        <v>575</v>
      </c>
      <c r="T577" s="39" t="s">
        <v>1207</v>
      </c>
      <c r="U577" s="25" t="s">
        <v>1132</v>
      </c>
      <c r="V577" s="25" t="s">
        <v>376</v>
      </c>
      <c r="W577" s="24">
        <v>1980</v>
      </c>
      <c r="X577" s="24" t="s">
        <v>21</v>
      </c>
      <c r="Y577" s="46">
        <v>43538</v>
      </c>
      <c r="Z577" s="26">
        <v>43643</v>
      </c>
      <c r="AA577" s="47">
        <v>44269</v>
      </c>
      <c r="AB577" s="27"/>
      <c r="AC577" s="28"/>
      <c r="AD577" s="26"/>
      <c r="AE577" s="28"/>
      <c r="AF577" s="26"/>
      <c r="AG577" s="26"/>
      <c r="AH577" s="26"/>
      <c r="AI577" s="27">
        <f>COUNTIF(DangKyThamGapThuongXuyen!$L$4:$L$5261,DaTa!$T577)</f>
        <v>0</v>
      </c>
    </row>
    <row r="578" spans="17:35" ht="33.6" customHeight="1" x14ac:dyDescent="0.2">
      <c r="Q578" s="29"/>
      <c r="R578" s="30" t="str">
        <f>IF($V578=$R$1,MAX($R$3:R577)+1,"")</f>
        <v/>
      </c>
      <c r="S578" s="24">
        <v>576</v>
      </c>
      <c r="T578" s="39" t="s">
        <v>1208</v>
      </c>
      <c r="U578" s="25" t="s">
        <v>1209</v>
      </c>
      <c r="V578" s="25" t="s">
        <v>93</v>
      </c>
      <c r="W578" s="24">
        <v>1976</v>
      </c>
      <c r="X578" s="24" t="s">
        <v>21</v>
      </c>
      <c r="Y578" s="26">
        <v>43561</v>
      </c>
      <c r="Z578" s="26">
        <v>43643</v>
      </c>
      <c r="AA578" s="26">
        <v>44292</v>
      </c>
      <c r="AB578" s="27"/>
      <c r="AC578" s="28"/>
      <c r="AD578" s="26"/>
      <c r="AE578" s="28"/>
      <c r="AF578" s="26"/>
      <c r="AG578" s="26"/>
      <c r="AH578" s="26"/>
      <c r="AI578" s="27">
        <f>COUNTIF(DangKyThamGapThuongXuyen!$L$4:$L$5261,DaTa!$T578)</f>
        <v>0</v>
      </c>
    </row>
    <row r="579" spans="17:35" ht="33.6" customHeight="1" x14ac:dyDescent="0.2">
      <c r="Q579" s="29"/>
      <c r="R579" s="30" t="str">
        <f>IF($V579=$R$1,MAX($R$3:R578)+1,"")</f>
        <v/>
      </c>
      <c r="S579" s="24">
        <v>577</v>
      </c>
      <c r="T579" s="39" t="s">
        <v>1210</v>
      </c>
      <c r="U579" s="25" t="s">
        <v>1211</v>
      </c>
      <c r="V579" s="25" t="s">
        <v>1212</v>
      </c>
      <c r="W579" s="24">
        <v>1979</v>
      </c>
      <c r="X579" s="24" t="s">
        <v>21</v>
      </c>
      <c r="Y579" s="26">
        <v>43558</v>
      </c>
      <c r="Z579" s="26">
        <v>43643</v>
      </c>
      <c r="AA579" s="26">
        <v>44199</v>
      </c>
      <c r="AB579" s="27"/>
      <c r="AC579" s="28"/>
      <c r="AD579" s="26"/>
      <c r="AE579" s="28"/>
      <c r="AF579" s="26"/>
      <c r="AG579" s="26"/>
      <c r="AH579" s="26"/>
      <c r="AI579" s="27">
        <f>COUNTIF(DangKyThamGapThuongXuyen!$L$4:$L$5261,DaTa!$T579)</f>
        <v>0</v>
      </c>
    </row>
    <row r="580" spans="17:35" ht="33.6" customHeight="1" x14ac:dyDescent="0.2">
      <c r="Q580" s="29"/>
      <c r="R580" s="30" t="str">
        <f>IF($V580=$R$1,MAX($R$3:R579)+1,"")</f>
        <v/>
      </c>
      <c r="S580" s="24">
        <v>578</v>
      </c>
      <c r="T580" s="39" t="s">
        <v>1213</v>
      </c>
      <c r="U580" s="25" t="s">
        <v>1137</v>
      </c>
      <c r="V580" s="25" t="s">
        <v>1016</v>
      </c>
      <c r="W580" s="24">
        <v>1978</v>
      </c>
      <c r="X580" s="24" t="s">
        <v>21</v>
      </c>
      <c r="Y580" s="46">
        <v>43564</v>
      </c>
      <c r="Z580" s="26">
        <v>43643</v>
      </c>
      <c r="AA580" s="50">
        <v>44174</v>
      </c>
      <c r="AB580" s="27"/>
      <c r="AC580" s="28"/>
      <c r="AD580" s="26"/>
      <c r="AE580" s="28"/>
      <c r="AF580" s="26"/>
      <c r="AG580" s="26"/>
      <c r="AH580" s="26"/>
      <c r="AI580" s="27">
        <f>COUNTIF(DangKyThamGapThuongXuyen!$L$4:$L$5261,DaTa!$T580)</f>
        <v>0</v>
      </c>
    </row>
    <row r="581" spans="17:35" ht="33.6" customHeight="1" x14ac:dyDescent="0.2">
      <c r="Q581" s="29"/>
      <c r="R581" s="30" t="str">
        <f>IF($V581=$R$1,MAX($R$3:R580)+1,"")</f>
        <v/>
      </c>
      <c r="S581" s="24">
        <v>579</v>
      </c>
      <c r="T581" s="39" t="s">
        <v>1214</v>
      </c>
      <c r="U581" s="40" t="s">
        <v>1215</v>
      </c>
      <c r="V581" s="40" t="s">
        <v>990</v>
      </c>
      <c r="W581" s="41">
        <v>1970</v>
      </c>
      <c r="X581" s="24" t="s">
        <v>21</v>
      </c>
      <c r="Y581" s="42">
        <v>43571</v>
      </c>
      <c r="Z581" s="42">
        <v>43643</v>
      </c>
      <c r="AA581" s="42">
        <v>44302</v>
      </c>
      <c r="AB581" s="27"/>
      <c r="AC581" s="43"/>
      <c r="AD581" s="26"/>
      <c r="AE581" s="43"/>
      <c r="AF581" s="26"/>
      <c r="AG581" s="26"/>
      <c r="AH581" s="26"/>
      <c r="AI581" s="27">
        <f>COUNTIF(DangKyThamGapThuongXuyen!$L$4:$L$5261,DaTa!$T581)</f>
        <v>0</v>
      </c>
    </row>
    <row r="582" spans="17:35" ht="33.6" customHeight="1" x14ac:dyDescent="0.2">
      <c r="Q582" s="29"/>
      <c r="R582" s="30" t="str">
        <f>IF($V582=$R$1,MAX($R$3:R581)+1,"")</f>
        <v/>
      </c>
      <c r="S582" s="24">
        <v>580</v>
      </c>
      <c r="T582" s="39" t="s">
        <v>1216</v>
      </c>
      <c r="U582" s="25" t="s">
        <v>1217</v>
      </c>
      <c r="V582" s="25" t="s">
        <v>789</v>
      </c>
      <c r="W582" s="24">
        <v>1969</v>
      </c>
      <c r="X582" s="24" t="s">
        <v>21</v>
      </c>
      <c r="Y582" s="26">
        <v>43580</v>
      </c>
      <c r="Z582" s="26">
        <v>43643</v>
      </c>
      <c r="AA582" s="26">
        <v>44311</v>
      </c>
      <c r="AB582" s="27"/>
      <c r="AC582" s="28"/>
      <c r="AD582" s="26"/>
      <c r="AE582" s="28"/>
      <c r="AF582" s="26"/>
      <c r="AG582" s="26"/>
      <c r="AH582" s="26"/>
      <c r="AI582" s="27">
        <f>COUNTIF(DangKyThamGapThuongXuyen!$L$4:$L$5261,DaTa!$T582)</f>
        <v>0</v>
      </c>
    </row>
    <row r="583" spans="17:35" ht="33.6" customHeight="1" x14ac:dyDescent="0.2">
      <c r="Q583" s="29"/>
      <c r="R583" s="30" t="str">
        <f>IF($V583=$R$1,MAX($R$3:R582)+1,"")</f>
        <v/>
      </c>
      <c r="S583" s="24">
        <v>581</v>
      </c>
      <c r="T583" s="39" t="s">
        <v>1218</v>
      </c>
      <c r="U583" s="25" t="s">
        <v>1219</v>
      </c>
      <c r="V583" s="25" t="s">
        <v>293</v>
      </c>
      <c r="W583" s="24">
        <v>1985</v>
      </c>
      <c r="X583" s="24" t="s">
        <v>21</v>
      </c>
      <c r="Y583" s="26">
        <v>43582</v>
      </c>
      <c r="Z583" s="26">
        <v>43643</v>
      </c>
      <c r="AA583" s="26">
        <v>44039</v>
      </c>
      <c r="AB583" s="27"/>
      <c r="AC583" s="28"/>
      <c r="AD583" s="26"/>
      <c r="AE583" s="28"/>
      <c r="AF583" s="26"/>
      <c r="AG583" s="26"/>
      <c r="AH583" s="26"/>
      <c r="AI583" s="27">
        <f>COUNTIF(DangKyThamGapThuongXuyen!$L$4:$L$5261,DaTa!$T583)</f>
        <v>0</v>
      </c>
    </row>
    <row r="584" spans="17:35" ht="33.6" customHeight="1" x14ac:dyDescent="0.2">
      <c r="Q584" s="29"/>
      <c r="R584" s="30" t="str">
        <f>IF($V584=$R$1,MAX($R$3:R583)+1,"")</f>
        <v/>
      </c>
      <c r="S584" s="24">
        <v>582</v>
      </c>
      <c r="T584" s="39" t="s">
        <v>1220</v>
      </c>
      <c r="U584" s="25" t="s">
        <v>1221</v>
      </c>
      <c r="V584" s="25" t="s">
        <v>445</v>
      </c>
      <c r="W584" s="24">
        <v>1972</v>
      </c>
      <c r="X584" s="24" t="s">
        <v>21</v>
      </c>
      <c r="Y584" s="26">
        <v>43558</v>
      </c>
      <c r="Z584" s="26">
        <v>43643</v>
      </c>
      <c r="AA584" s="26">
        <v>44289</v>
      </c>
      <c r="AB584" s="27"/>
      <c r="AC584" s="43"/>
      <c r="AD584" s="26"/>
      <c r="AE584" s="43"/>
      <c r="AF584" s="26"/>
      <c r="AG584" s="26"/>
      <c r="AH584" s="26"/>
      <c r="AI584" s="27">
        <f>COUNTIF(DangKyThamGapThuongXuyen!$L$4:$L$5261,DaTa!$T584)</f>
        <v>0</v>
      </c>
    </row>
    <row r="585" spans="17:35" ht="33.6" customHeight="1" x14ac:dyDescent="0.2">
      <c r="Q585" s="29"/>
      <c r="R585" s="30" t="str">
        <f>IF($V585=$R$1,MAX($R$3:R584)+1,"")</f>
        <v/>
      </c>
      <c r="S585" s="24">
        <v>583</v>
      </c>
      <c r="T585" s="39"/>
      <c r="U585" s="25"/>
      <c r="V585" s="25"/>
      <c r="W585" s="24"/>
      <c r="X585" s="24"/>
      <c r="Y585" s="26"/>
      <c r="Z585" s="26"/>
      <c r="AA585" s="26"/>
      <c r="AB585" s="27"/>
      <c r="AC585" s="28"/>
      <c r="AD585" s="26"/>
      <c r="AE585" s="28"/>
      <c r="AF585" s="26"/>
      <c r="AG585" s="26"/>
      <c r="AH585" s="26"/>
      <c r="AI585" s="27">
        <f>COUNTIF(DangKyThamGapThuongXuyen!$L$4:$L$5261,DaTa!$T585)</f>
        <v>0</v>
      </c>
    </row>
    <row r="586" spans="17:35" ht="33.6" customHeight="1" x14ac:dyDescent="0.2">
      <c r="Q586" s="29"/>
      <c r="R586" s="30" t="str">
        <f>IF($V586=$R$1,MAX($R$3:R585)+1,"")</f>
        <v/>
      </c>
      <c r="S586" s="24">
        <v>584</v>
      </c>
      <c r="T586" s="39"/>
      <c r="U586" s="25"/>
      <c r="V586" s="25"/>
      <c r="W586" s="24"/>
      <c r="X586" s="24"/>
      <c r="Y586" s="26"/>
      <c r="Z586" s="26"/>
      <c r="AA586" s="26"/>
      <c r="AB586" s="27"/>
      <c r="AC586" s="28"/>
      <c r="AD586" s="26"/>
      <c r="AE586" s="28"/>
      <c r="AF586" s="26"/>
      <c r="AG586" s="26"/>
      <c r="AH586" s="26"/>
      <c r="AI586" s="27">
        <f>COUNTIF(DangKyThamGapThuongXuyen!$L$4:$L$5261,DaTa!$T586)</f>
        <v>0</v>
      </c>
    </row>
    <row r="587" spans="17:35" ht="33.6" customHeight="1" x14ac:dyDescent="0.2">
      <c r="Q587" s="29"/>
      <c r="R587" s="30" t="str">
        <f>IF($V587=$R$1,MAX($R$3:R586)+1,"")</f>
        <v/>
      </c>
      <c r="S587" s="24">
        <v>585</v>
      </c>
      <c r="T587" s="39"/>
      <c r="U587" s="25"/>
      <c r="V587" s="25"/>
      <c r="W587" s="24"/>
      <c r="X587" s="24"/>
      <c r="Y587" s="26"/>
      <c r="Z587" s="26"/>
      <c r="AA587" s="26"/>
      <c r="AB587" s="27"/>
      <c r="AC587" s="28"/>
      <c r="AD587" s="26"/>
      <c r="AE587" s="28"/>
      <c r="AF587" s="26"/>
      <c r="AG587" s="26"/>
      <c r="AH587" s="26"/>
      <c r="AI587" s="27">
        <f>COUNTIF(DangKyThamGapThuongXuyen!$L$4:$L$5261,DaTa!$T587)</f>
        <v>0</v>
      </c>
    </row>
    <row r="588" spans="17:35" ht="33.6" customHeight="1" x14ac:dyDescent="0.2">
      <c r="Q588" s="29"/>
      <c r="R588" s="30" t="str">
        <f>IF($V588=$R$1,MAX($R$3:R587)+1,"")</f>
        <v/>
      </c>
      <c r="S588" s="24">
        <v>586</v>
      </c>
      <c r="T588" s="39"/>
      <c r="U588" s="25"/>
      <c r="V588" s="25"/>
      <c r="W588" s="24"/>
      <c r="X588" s="24"/>
      <c r="Y588" s="26"/>
      <c r="Z588" s="26"/>
      <c r="AA588" s="26"/>
      <c r="AB588" s="27"/>
      <c r="AC588" s="28"/>
      <c r="AD588" s="26"/>
      <c r="AE588" s="28"/>
      <c r="AF588" s="26"/>
      <c r="AG588" s="26"/>
      <c r="AH588" s="26"/>
      <c r="AI588" s="27">
        <f>COUNTIF(DangKyThamGapThuongXuyen!$L$4:$L$5261,DaTa!$T588)</f>
        <v>0</v>
      </c>
    </row>
    <row r="589" spans="17:35" ht="33.6" customHeight="1" x14ac:dyDescent="0.2">
      <c r="Q589" s="29"/>
      <c r="R589" s="8"/>
      <c r="S589" s="24">
        <v>587</v>
      </c>
      <c r="T589" s="39"/>
      <c r="U589" s="25"/>
      <c r="V589" s="25"/>
      <c r="W589" s="24"/>
      <c r="X589" s="24"/>
      <c r="Y589" s="26"/>
      <c r="Z589" s="26"/>
      <c r="AA589" s="26"/>
      <c r="AB589" s="27"/>
      <c r="AC589" s="28"/>
      <c r="AD589" s="26"/>
      <c r="AE589" s="28"/>
      <c r="AF589" s="26"/>
      <c r="AG589" s="26"/>
      <c r="AH589" s="26"/>
      <c r="AI589" s="27">
        <f>COUNTIF(DangKyThamGapThuongXuyen!$L$4:$L$5261,DaTa!$T589)</f>
        <v>0</v>
      </c>
    </row>
    <row r="590" spans="17:35" ht="33.6" customHeight="1" x14ac:dyDescent="0.2">
      <c r="Q590" s="29"/>
    </row>
    <row r="591" spans="17:35" ht="33.6" customHeight="1" x14ac:dyDescent="0.2">
      <c r="Q591" s="29"/>
    </row>
    <row r="592" spans="17:35" ht="33.6" customHeight="1" x14ac:dyDescent="0.2">
      <c r="Q592" s="29"/>
    </row>
    <row r="593" spans="17:17" ht="33.6" customHeight="1" x14ac:dyDescent="0.2">
      <c r="Q593" s="29"/>
    </row>
    <row r="594" spans="17:17" ht="33.6" customHeight="1" x14ac:dyDescent="0.2">
      <c r="Q594" s="29"/>
    </row>
    <row r="595" spans="17:17" ht="33.6" customHeight="1" x14ac:dyDescent="0.2">
      <c r="Q595" s="29"/>
    </row>
    <row r="596" spans="17:17" ht="33.6" customHeight="1" x14ac:dyDescent="0.2">
      <c r="Q596" s="29"/>
    </row>
    <row r="597" spans="17:17" ht="33.6" customHeight="1" x14ac:dyDescent="0.2">
      <c r="Q597" s="29"/>
    </row>
    <row r="598" spans="17:17" ht="33.6" customHeight="1" x14ac:dyDescent="0.2">
      <c r="Q598" s="29"/>
    </row>
    <row r="599" spans="17:17" ht="33.6" customHeight="1" x14ac:dyDescent="0.2">
      <c r="Q599" s="29"/>
    </row>
    <row r="600" spans="17:17" ht="33.6" customHeight="1" x14ac:dyDescent="0.2">
      <c r="Q600" s="29"/>
    </row>
    <row r="601" spans="17:17" ht="33.6" customHeight="1" x14ac:dyDescent="0.2">
      <c r="Q601" s="29"/>
    </row>
    <row r="602" spans="17:17" ht="33.6" customHeight="1" x14ac:dyDescent="0.2">
      <c r="Q602" s="29"/>
    </row>
    <row r="603" spans="17:17" ht="33.6" customHeight="1" x14ac:dyDescent="0.2">
      <c r="Q603" s="29"/>
    </row>
    <row r="604" spans="17:17" ht="33.6" customHeight="1" x14ac:dyDescent="0.2">
      <c r="Q604" s="29"/>
    </row>
    <row r="605" spans="17:17" ht="33.6" customHeight="1" x14ac:dyDescent="0.2">
      <c r="Q605" s="29"/>
    </row>
    <row r="606" spans="17:17" ht="33.6" customHeight="1" x14ac:dyDescent="0.2">
      <c r="Q606" s="29"/>
    </row>
    <row r="607" spans="17:17" ht="33.6" customHeight="1" x14ac:dyDescent="0.2">
      <c r="Q607" s="29"/>
    </row>
    <row r="608" spans="17:17" ht="33.6" customHeight="1" x14ac:dyDescent="0.2">
      <c r="Q608" s="29"/>
    </row>
    <row r="609" spans="12:17" ht="33.6" customHeight="1" x14ac:dyDescent="0.2">
      <c r="Q609" s="29"/>
    </row>
    <row r="610" spans="12:17" ht="33.6" customHeight="1" x14ac:dyDescent="0.2">
      <c r="Q610" s="29"/>
    </row>
    <row r="611" spans="12:17" ht="33.6" customHeight="1" x14ac:dyDescent="0.2">
      <c r="Q611" s="29"/>
    </row>
    <row r="612" spans="12:17" ht="33.6" customHeight="1" x14ac:dyDescent="0.2">
      <c r="Q612" s="29"/>
    </row>
    <row r="613" spans="12:17" ht="33.6" customHeight="1" x14ac:dyDescent="0.2">
      <c r="Q613" s="29"/>
    </row>
    <row r="614" spans="12:17" ht="33.6" customHeight="1" x14ac:dyDescent="0.2">
      <c r="Q614" s="29"/>
    </row>
    <row r="615" spans="12:17" ht="33.6" customHeight="1" x14ac:dyDescent="0.2">
      <c r="Q615" s="29"/>
    </row>
    <row r="620" spans="12:17" x14ac:dyDescent="0.2">
      <c r="L620" s="76"/>
      <c r="N620" s="76"/>
    </row>
  </sheetData>
  <autoFilter ref="S2:AH589"/>
  <mergeCells count="5">
    <mergeCell ref="R1:R2"/>
    <mergeCell ref="A1:B1"/>
    <mergeCell ref="C1:H1"/>
    <mergeCell ref="I1:P1"/>
    <mergeCell ref="S1:AH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AB29"/>
  <sheetViews>
    <sheetView showGridLines="0" zoomScale="93" zoomScaleNormal="93" workbookViewId="0">
      <pane ySplit="14" topLeftCell="A15" activePane="bottomLeft" state="frozen"/>
      <selection activeCell="B1" sqref="B1"/>
      <selection pane="bottomLeft" activeCell="Q10" sqref="Q10"/>
    </sheetView>
  </sheetViews>
  <sheetFormatPr baseColWidth="10" defaultColWidth="0" defaultRowHeight="15" outlineLevelCol="1" x14ac:dyDescent="0.25"/>
  <cols>
    <col min="1" max="1" width="2.7109375" style="1" customWidth="1" outlineLevel="1"/>
    <col min="2" max="2" width="12.140625" style="1" customWidth="1"/>
    <col min="3" max="3" width="7.42578125" style="1" customWidth="1"/>
    <col min="4" max="4" width="9.5703125" style="1" customWidth="1"/>
    <col min="5" max="5" width="1.140625" customWidth="1"/>
    <col min="6" max="6" width="17.42578125" style="1" customWidth="1"/>
    <col min="7" max="7" width="17" style="1" customWidth="1"/>
    <col min="8" max="9" width="10.5703125" style="1" customWidth="1"/>
    <col min="10" max="10" width="13.5703125" style="1" customWidth="1"/>
    <col min="11" max="11" width="11.140625" style="1" customWidth="1"/>
    <col min="12" max="12" width="7.140625" style="1" customWidth="1"/>
    <col min="13" max="13" width="12.85546875" style="1" customWidth="1"/>
    <col min="14" max="14" width="13.5703125" style="1" bestFit="1" customWidth="1"/>
    <col min="15" max="15" width="1.42578125" customWidth="1"/>
    <col min="16" max="16" width="15.140625" style="1" customWidth="1"/>
    <col min="17" max="17" width="14.85546875" style="1" customWidth="1"/>
    <col min="18" max="18" width="1.28515625" customWidth="1"/>
    <col min="19" max="19" width="17.42578125" style="1" customWidth="1"/>
    <col min="20" max="20" width="12" style="1" customWidth="1"/>
    <col min="21" max="21" width="16.5703125" style="1" customWidth="1"/>
    <col min="22" max="22" width="14.42578125" style="1" bestFit="1" customWidth="1"/>
    <col min="23" max="23" width="13.5703125" style="1" customWidth="1"/>
    <col min="24" max="24" width="20.5703125" style="1" bestFit="1" customWidth="1"/>
    <col min="25" max="25" width="1" style="1" customWidth="1"/>
    <col min="26" max="28" width="0" style="152" hidden="1" customWidth="1"/>
    <col min="29" max="16384" width="9.140625" style="152" hidden="1"/>
  </cols>
  <sheetData>
    <row r="1" spans="1:25" s="1" customFormat="1" ht="25.5" customHeight="1" x14ac:dyDescent="0.25">
      <c r="A1" s="92" t="str">
        <f>IF(COUNTIFS($D$15:$D$9086,$F$4,$B$15:$B$9086,$Q$10)&gt;=1,"1","0")</f>
        <v>1</v>
      </c>
      <c r="B1" s="93" t="s">
        <v>1224</v>
      </c>
      <c r="C1" s="94"/>
      <c r="D1" s="94"/>
      <c r="E1" s="94"/>
      <c r="F1" s="94"/>
      <c r="G1" s="94"/>
      <c r="H1" s="93"/>
      <c r="I1" s="94"/>
      <c r="J1" s="94"/>
      <c r="K1" s="94"/>
      <c r="L1" s="94"/>
      <c r="M1" s="94"/>
      <c r="N1" s="94"/>
      <c r="O1" s="94"/>
      <c r="P1" s="94"/>
      <c r="Q1" s="94"/>
      <c r="R1" s="95"/>
      <c r="S1" s="250" t="s">
        <v>1225</v>
      </c>
      <c r="T1" s="251"/>
      <c r="U1" s="251"/>
      <c r="V1" s="251"/>
      <c r="W1" s="251"/>
      <c r="X1" s="252"/>
      <c r="Y1" s="96"/>
    </row>
    <row r="2" spans="1:25" customFormat="1" ht="13.5" customHeight="1" x14ac:dyDescent="0.25">
      <c r="A2" t="str">
        <f>"T"&amp;MONTH(Q10)&amp;"-"&amp;YEAR(Q10)</f>
        <v>T7-2019</v>
      </c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</row>
    <row r="3" spans="1:25" customFormat="1" ht="14.25" customHeight="1" x14ac:dyDescent="0.25">
      <c r="A3" s="97"/>
      <c r="B3" s="98" t="s">
        <v>1226</v>
      </c>
      <c r="C3" s="98"/>
      <c r="D3" s="99"/>
      <c r="E3" s="100"/>
      <c r="F3" s="101">
        <v>7</v>
      </c>
      <c r="G3" s="102"/>
      <c r="H3" s="102"/>
      <c r="I3" s="102"/>
      <c r="J3" s="102"/>
      <c r="K3" s="102"/>
      <c r="L3" s="102"/>
      <c r="M3" s="102"/>
      <c r="N3" s="103"/>
      <c r="O3" s="100"/>
      <c r="P3" s="242" t="s">
        <v>1227</v>
      </c>
      <c r="Q3" s="253"/>
      <c r="R3" s="100"/>
      <c r="S3" s="104" t="s">
        <v>1228</v>
      </c>
      <c r="T3" s="104" t="s">
        <v>1229</v>
      </c>
      <c r="U3" s="104" t="s">
        <v>1230</v>
      </c>
      <c r="V3" s="104" t="s">
        <v>1231</v>
      </c>
      <c r="W3" s="104" t="s">
        <v>1232</v>
      </c>
      <c r="X3" s="104" t="s">
        <v>1233</v>
      </c>
      <c r="Y3" s="96"/>
    </row>
    <row r="4" spans="1:25" s="1" customFormat="1" ht="12.75" customHeight="1" x14ac:dyDescent="0.25">
      <c r="A4" s="1">
        <v>1</v>
      </c>
      <c r="B4" s="256" t="s">
        <v>1234</v>
      </c>
      <c r="C4" s="256"/>
      <c r="D4" s="257"/>
      <c r="E4" s="96"/>
      <c r="F4" s="262" t="s">
        <v>58</v>
      </c>
      <c r="G4" s="105" t="s">
        <v>1235</v>
      </c>
      <c r="H4" s="105" t="s">
        <v>1228</v>
      </c>
      <c r="I4" s="105" t="s">
        <v>1229</v>
      </c>
      <c r="J4" s="105" t="s">
        <v>1236</v>
      </c>
      <c r="K4" s="105" t="s">
        <v>1237</v>
      </c>
      <c r="L4" s="106"/>
      <c r="M4" s="106" t="s">
        <v>1238</v>
      </c>
      <c r="N4" s="106" t="s">
        <v>1239</v>
      </c>
      <c r="O4" s="96"/>
      <c r="P4" s="243"/>
      <c r="Q4" s="254"/>
      <c r="R4" s="165"/>
      <c r="S4" s="107" t="s">
        <v>1339</v>
      </c>
      <c r="T4" s="108"/>
      <c r="U4" s="108"/>
      <c r="V4" s="108"/>
      <c r="W4" s="108"/>
      <c r="X4" s="109"/>
      <c r="Y4" s="100"/>
    </row>
    <row r="5" spans="1:25" s="117" customFormat="1" ht="17.100000000000001" customHeight="1" x14ac:dyDescent="0.25">
      <c r="A5" s="1">
        <v>2</v>
      </c>
      <c r="B5" s="258"/>
      <c r="C5" s="258"/>
      <c r="D5" s="259"/>
      <c r="E5" s="96"/>
      <c r="F5" s="262"/>
      <c r="G5" s="110" t="str">
        <f>IFERROR(VLOOKUP($F$4,DaTa!$T$2:$AI$1000,2,0),"Chưa cập nhật DS")</f>
        <v xml:space="preserve">Võ Văn </v>
      </c>
      <c r="H5" s="110" t="str">
        <f>IFERROR(VLOOKUP($F$4,DaTa!$T$2:$AI$1000,3,0),"Chưa cập nhật DS")</f>
        <v>Lợi</v>
      </c>
      <c r="I5" s="110">
        <f>IFERROR(VLOOKUP($F$4,DaTa!$T$2:$AI$1000,4,0),"Chưa cập nhật DS")</f>
        <v>1966</v>
      </c>
      <c r="J5" s="110" t="str">
        <f>IFERROR(VLOOKUP($F$4,DaTa!$T$2:$AI$1000,5,0),"Chưa cập nhật DS")</f>
        <v>B</v>
      </c>
      <c r="K5" s="110" t="str">
        <f>IFERROR(VLOOKUP($F$4,DaTa!$T$2:$AI$1000,10,0),"Chưa cập nhật DS")</f>
        <v>YT</v>
      </c>
      <c r="L5" s="110"/>
      <c r="M5" s="113" t="str">
        <f>IF(K5="kl",VLOOKUP($F$4,[1]DaTa!$C:$Q,13,0),"")</f>
        <v/>
      </c>
      <c r="N5" s="112" t="str">
        <f>IF(COUNTIFS($D$14:$D$13855,F4,$B$14:$B$13855,Q10,$C$14:$C$13855,F3)&gt;=1,"1","Đã thăm trong ngày")</f>
        <v>1</v>
      </c>
      <c r="O5" s="96"/>
      <c r="P5" s="263">
        <v>6</v>
      </c>
      <c r="Q5" s="254"/>
      <c r="R5" s="165"/>
      <c r="S5" s="114" t="str">
        <f>IFERROR(VLOOKUP($A4,Table4[],2,0),"")</f>
        <v/>
      </c>
      <c r="T5" s="115" t="str">
        <f>IFERROR(VLOOKUP($A4,Table4[#All],3,0),"")</f>
        <v/>
      </c>
      <c r="U5" s="115" t="str">
        <f>IFERROR(VLOOKUP($A4,Table4[#All],4,0),"")</f>
        <v/>
      </c>
      <c r="V5" s="115" t="str">
        <f>IFERROR(VLOOKUP($A4,Table4[],3,0),"")</f>
        <v/>
      </c>
      <c r="W5" s="115" t="str">
        <f>IFERROR(VLOOKUP($A4,Table4[],6,0),"")</f>
        <v/>
      </c>
      <c r="X5" s="116" t="str">
        <f>IFERROR(VLOOKUP($A4,Table4[],8,0),"")</f>
        <v/>
      </c>
      <c r="Y5" s="100"/>
    </row>
    <row r="6" spans="1:25" s="1" customFormat="1" ht="15" customHeight="1" x14ac:dyDescent="0.25">
      <c r="A6" s="1">
        <v>3</v>
      </c>
      <c r="B6" s="260"/>
      <c r="C6" s="260"/>
      <c r="D6" s="261"/>
      <c r="E6" s="96"/>
      <c r="F6" s="262"/>
      <c r="G6" s="264" t="str">
        <f>IF(F4="","",IF(OR($K$5="KL",K5="TRỐN",K5="ViỆN",K5="NA",K5="DI LÍ"),"KHÔNG THĂM ĐƯỢC","ĐƯỢC THĂM GẶP"))</f>
        <v>ĐƯỢC THĂM GẶP</v>
      </c>
      <c r="H6" s="265"/>
      <c r="I6" s="265"/>
      <c r="J6" s="265"/>
      <c r="K6" s="265"/>
      <c r="L6" s="265"/>
      <c r="M6" s="265"/>
      <c r="N6" s="266"/>
      <c r="O6" s="96"/>
      <c r="P6" s="263"/>
      <c r="Q6" s="255"/>
      <c r="R6" s="165"/>
      <c r="S6" s="114" t="str">
        <f>IFERROR(VLOOKUP($A5,Table4[],2,0),"")</f>
        <v/>
      </c>
      <c r="T6" s="115" t="str">
        <f>IFERROR(VLOOKUP($A5,Table4[#All],3,0),"")</f>
        <v/>
      </c>
      <c r="U6" s="115" t="str">
        <f>IFERROR(VLOOKUP($A5,Table4[#All],4,0),"")</f>
        <v/>
      </c>
      <c r="V6" s="115" t="str">
        <f>IFERROR(VLOOKUP($A5,Table4[],3,0),"")</f>
        <v/>
      </c>
      <c r="W6" s="115" t="str">
        <f>IFERROR(VLOOKUP($A5,Table4[],6,0),"")</f>
        <v/>
      </c>
      <c r="X6" s="116" t="str">
        <f>IFERROR(VLOOKUP($A5,Table4[],8,0),"")</f>
        <v/>
      </c>
      <c r="Y6" s="100"/>
    </row>
    <row r="7" spans="1:25" s="1" customFormat="1" ht="12" customHeight="1" x14ac:dyDescent="0.25">
      <c r="A7" s="118">
        <v>4</v>
      </c>
      <c r="B7" s="119"/>
      <c r="C7" s="119"/>
      <c r="D7" s="120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121"/>
      <c r="Q7" s="122"/>
      <c r="R7" s="165"/>
      <c r="S7" s="114" t="str">
        <f>IFERROR(VLOOKUP($A6,Table4[],2,0),"")</f>
        <v/>
      </c>
      <c r="T7" s="115" t="str">
        <f>IFERROR(VLOOKUP($A6,Table4[#All],3,0),"")</f>
        <v/>
      </c>
      <c r="U7" s="115" t="str">
        <f>IFERROR(VLOOKUP($A6,Table4[#All],4,0),"")</f>
        <v/>
      </c>
      <c r="V7" s="115" t="str">
        <f>IFERROR(VLOOKUP($A6,Table4[],3,0),"")</f>
        <v/>
      </c>
      <c r="W7" s="115" t="str">
        <f>IFERROR(VLOOKUP($A6,Table4[],6,0),"")</f>
        <v/>
      </c>
      <c r="X7" s="116" t="str">
        <f>IFERROR(VLOOKUP($A6,Table4[],8,0),"")</f>
        <v/>
      </c>
      <c r="Y7" s="100"/>
    </row>
    <row r="8" spans="1:25" s="1" customFormat="1" ht="13.5" customHeight="1" x14ac:dyDescent="0.25">
      <c r="A8" s="92">
        <v>5</v>
      </c>
      <c r="B8" s="238" t="s">
        <v>1240</v>
      </c>
      <c r="C8" s="238"/>
      <c r="D8" s="238"/>
      <c r="E8" s="96"/>
      <c r="F8" s="240"/>
      <c r="G8" s="123" t="s">
        <v>1241</v>
      </c>
      <c r="H8" s="123" t="s">
        <v>1230</v>
      </c>
      <c r="I8" s="123" t="s">
        <v>1242</v>
      </c>
      <c r="J8" s="123" t="s">
        <v>1243</v>
      </c>
      <c r="K8" s="124" t="s">
        <v>1244</v>
      </c>
      <c r="L8" s="124"/>
      <c r="M8" s="106"/>
      <c r="N8" s="125"/>
      <c r="O8" s="96"/>
      <c r="P8" s="242" t="s">
        <v>1245</v>
      </c>
      <c r="Q8" s="244">
        <f>COUNTIFS($B$15:$B$9086,$Q$10,$A15:$A9086,"0")</f>
        <v>2</v>
      </c>
      <c r="R8" s="165"/>
      <c r="S8" s="114" t="str">
        <f>IFERROR(VLOOKUP($A7,Table4[],2,0),"")</f>
        <v/>
      </c>
      <c r="T8" s="115" t="str">
        <f>IFERROR(VLOOKUP($A7,Table4[#All],3,0),"")</f>
        <v/>
      </c>
      <c r="U8" s="115" t="str">
        <f>IFERROR(VLOOKUP($A7,Table4[#All],4,0),"")</f>
        <v/>
      </c>
      <c r="V8" s="115" t="str">
        <f>IFERROR(VLOOKUP($A7,Table4[],3,0),"")</f>
        <v/>
      </c>
      <c r="W8" s="115" t="str">
        <f>IFERROR(VLOOKUP($A7,Table4[],6,0),"")</f>
        <v/>
      </c>
      <c r="X8" s="116" t="str">
        <f>IFERROR(VLOOKUP($A7,Table4[],8,0),"")</f>
        <v/>
      </c>
      <c r="Y8" s="100"/>
    </row>
    <row r="9" spans="1:25" s="1" customFormat="1" x14ac:dyDescent="0.25">
      <c r="A9" s="118">
        <v>6</v>
      </c>
      <c r="B9" s="239"/>
      <c r="C9" s="239"/>
      <c r="D9" s="239"/>
      <c r="E9" s="96"/>
      <c r="F9" s="241"/>
      <c r="G9" s="111" t="str">
        <f>IFERROR(VLOOKUP($F$8,$S$5:$X$12,2,0),"")</f>
        <v/>
      </c>
      <c r="H9" s="111" t="str">
        <f>IFERROR(VLOOKUP($F$8,$S$5:$X$12,3,0),"")</f>
        <v/>
      </c>
      <c r="I9" s="126" t="str">
        <f>IFERROR(VLOOKUP($F$8,$S$5:$X$12,4,0),"")</f>
        <v/>
      </c>
      <c r="J9" s="126" t="str">
        <f>IFERROR(VLOOKUP($F$8,$S$5:$X$12,5,0),"")</f>
        <v/>
      </c>
      <c r="K9" s="112">
        <f>COUNTIFS($D:$D,$F$4,$J:$J,$S$4,$W:$W,$A$2)</f>
        <v>0</v>
      </c>
      <c r="L9" s="112"/>
      <c r="M9" s="112"/>
      <c r="N9" s="127"/>
      <c r="O9" s="96"/>
      <c r="P9" s="243"/>
      <c r="Q9" s="245"/>
      <c r="R9" s="165"/>
      <c r="S9" s="114" t="str">
        <f>IFERROR(VLOOKUP($A8,Table4[],2,0),"")</f>
        <v/>
      </c>
      <c r="T9" s="115" t="str">
        <f>IFERROR(VLOOKUP($A8,Table4[#All],3,0),"")</f>
        <v/>
      </c>
      <c r="U9" s="115" t="str">
        <f>IFERROR(VLOOKUP($A8,Table4[#All],4,0),"")</f>
        <v/>
      </c>
      <c r="V9" s="115" t="str">
        <f>IFERROR(VLOOKUP($A8,Table4[],3,0),"")</f>
        <v/>
      </c>
      <c r="W9" s="115" t="str">
        <f>IFERROR(VLOOKUP($A8,Table4[],6,0),"")</f>
        <v/>
      </c>
      <c r="X9" s="116" t="str">
        <f>IFERROR(VLOOKUP($A8,Table4[],8,0),"")</f>
        <v/>
      </c>
      <c r="Y9" s="96"/>
    </row>
    <row r="10" spans="1:25" s="1" customFormat="1" ht="14.25" customHeight="1" x14ac:dyDescent="0.25">
      <c r="A10" s="92">
        <v>7</v>
      </c>
      <c r="B10" s="128" t="s">
        <v>1246</v>
      </c>
      <c r="C10" s="128"/>
      <c r="D10" s="128"/>
      <c r="E10" s="96"/>
      <c r="F10" s="127"/>
      <c r="G10" s="127"/>
      <c r="H10" s="127"/>
      <c r="I10" s="127"/>
      <c r="J10" s="127"/>
      <c r="K10" s="127"/>
      <c r="L10" s="127"/>
      <c r="M10" s="127"/>
      <c r="N10" s="127"/>
      <c r="O10" s="96"/>
      <c r="P10" s="129" t="s">
        <v>1247</v>
      </c>
      <c r="Q10" s="130">
        <v>43652</v>
      </c>
      <c r="R10" s="165"/>
      <c r="S10" s="114" t="str">
        <f>IFERROR(VLOOKUP($A9,Table4[],2,0),"")</f>
        <v/>
      </c>
      <c r="T10" s="115" t="str">
        <f>IFERROR(VLOOKUP($A9,Table4[#All],3,0),"")</f>
        <v/>
      </c>
      <c r="U10" s="115" t="str">
        <f>IFERROR(VLOOKUP($A9,Table4[#All],4,0),"")</f>
        <v/>
      </c>
      <c r="V10" s="115" t="str">
        <f>IFERROR(VLOOKUP($A9,Table4[],3,0),"")</f>
        <v/>
      </c>
      <c r="W10" s="115" t="str">
        <f>IFERROR(VLOOKUP($A9,Table4[],6,0),"")</f>
        <v/>
      </c>
      <c r="X10" s="116" t="str">
        <f>IFERROR(VLOOKUP($A9,Table4[],8,0),"")</f>
        <v/>
      </c>
      <c r="Y10" s="96"/>
    </row>
    <row r="11" spans="1:25" s="1" customFormat="1" x14ac:dyDescent="0.25">
      <c r="A11" s="118">
        <v>8</v>
      </c>
      <c r="B11" s="128" t="s">
        <v>1233</v>
      </c>
      <c r="C11" s="128"/>
      <c r="D11" s="128"/>
      <c r="E11" s="96"/>
      <c r="F11" s="127"/>
      <c r="G11" s="127"/>
      <c r="H11" s="127"/>
      <c r="I11" s="127"/>
      <c r="J11" s="127"/>
      <c r="K11" s="127"/>
      <c r="L11" s="127"/>
      <c r="M11" s="127"/>
      <c r="N11" s="127"/>
      <c r="O11" s="96"/>
      <c r="P11" s="246" t="s">
        <v>1248</v>
      </c>
      <c r="Q11" s="248" t="s">
        <v>1249</v>
      </c>
      <c r="R11" s="165"/>
      <c r="S11" s="114" t="str">
        <f>IFERROR(VLOOKUP($A10,Table4[],2,0),"")</f>
        <v/>
      </c>
      <c r="T11" s="115" t="str">
        <f>IFERROR(VLOOKUP($A10,Table4[#All],3,0),"")</f>
        <v/>
      </c>
      <c r="U11" s="115" t="str">
        <f>IFERROR(VLOOKUP($A10,Table4[#All],4,0),"")</f>
        <v/>
      </c>
      <c r="V11" s="115" t="str">
        <f>IFERROR(VLOOKUP($A10,Table4[],3,0),"")</f>
        <v/>
      </c>
      <c r="W11" s="115" t="str">
        <f>IFERROR(VLOOKUP($A10,Table4[],6,0),"")</f>
        <v/>
      </c>
      <c r="X11" s="116" t="str">
        <f>IFERROR(VLOOKUP($A10,Table4[],8,0),"")</f>
        <v/>
      </c>
      <c r="Y11" s="96"/>
    </row>
    <row r="12" spans="1:25" s="1" customFormat="1" x14ac:dyDescent="0.25">
      <c r="A12" s="1">
        <f>IF(AND(K9&gt;0,$F$8=$S$4),1,0)</f>
        <v>0</v>
      </c>
      <c r="B12" s="128" t="s">
        <v>1250</v>
      </c>
      <c r="C12" s="128"/>
      <c r="D12" s="128"/>
      <c r="E12" s="96"/>
      <c r="F12" s="131"/>
      <c r="G12" s="127"/>
      <c r="H12" s="127"/>
      <c r="I12" s="127"/>
      <c r="J12" s="127"/>
      <c r="K12" s="127"/>
      <c r="L12" s="127"/>
      <c r="M12" s="127"/>
      <c r="N12" s="127"/>
      <c r="O12" s="96"/>
      <c r="P12" s="247"/>
      <c r="Q12" s="249"/>
      <c r="R12" s="165"/>
      <c r="S12" s="114" t="str">
        <f>IFERROR(VLOOKUP($A11,Table4[],2,0),"")</f>
        <v/>
      </c>
      <c r="T12" s="115" t="str">
        <f>IFERROR(VLOOKUP($A11,Table4[#All],3,0),"")</f>
        <v/>
      </c>
      <c r="U12" s="115" t="str">
        <f>IFERROR(VLOOKUP($A11,Table4[#All],4,0),"")</f>
        <v/>
      </c>
      <c r="V12" s="115" t="str">
        <f>IFERROR(VLOOKUP($A11,Table4[],3,0),"")</f>
        <v/>
      </c>
      <c r="W12" s="115" t="str">
        <f>IFERROR(VLOOKUP($A11,Table4[],6,0),"")</f>
        <v/>
      </c>
      <c r="X12" s="116" t="str">
        <f>IFERROR(VLOOKUP($A11,Table4[],8,0),"")</f>
        <v/>
      </c>
      <c r="Y12" s="96"/>
    </row>
    <row r="13" spans="1:25" s="1" customFormat="1" ht="41.45" customHeight="1" x14ac:dyDescent="0.25">
      <c r="A13" s="132">
        <f>COUNTIFS($J$14:$J$9152,F8,$D$14:$D$9152,$F$4,$B14:$B9152,$Q$10)</f>
        <v>0</v>
      </c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  <c r="V13" s="96"/>
      <c r="W13" s="96"/>
      <c r="X13" s="96"/>
      <c r="Y13" s="96"/>
    </row>
    <row r="14" spans="1:25" s="1" customFormat="1" ht="20.25" customHeight="1" x14ac:dyDescent="0.25">
      <c r="A14" s="133" t="s">
        <v>1251</v>
      </c>
      <c r="B14" s="134" t="s">
        <v>1252</v>
      </c>
      <c r="C14" s="134" t="s">
        <v>1226</v>
      </c>
      <c r="D14" s="135" t="s">
        <v>1253</v>
      </c>
      <c r="E14" s="136" t="s">
        <v>1254</v>
      </c>
      <c r="F14" s="134" t="s">
        <v>1235</v>
      </c>
      <c r="G14" s="134" t="s">
        <v>1228</v>
      </c>
      <c r="H14" s="134" t="s">
        <v>1229</v>
      </c>
      <c r="I14" s="134" t="s">
        <v>1236</v>
      </c>
      <c r="J14" s="137" t="s">
        <v>1255</v>
      </c>
      <c r="K14" s="138" t="s">
        <v>1256</v>
      </c>
      <c r="L14" s="137" t="s">
        <v>1257</v>
      </c>
      <c r="M14" s="134" t="s">
        <v>1258</v>
      </c>
      <c r="N14" s="137" t="s">
        <v>1231</v>
      </c>
      <c r="O14" s="139" t="s">
        <v>1259</v>
      </c>
      <c r="P14" s="140" t="s">
        <v>1260</v>
      </c>
      <c r="Q14" s="140" t="s">
        <v>1261</v>
      </c>
      <c r="R14" s="140" t="s">
        <v>1262</v>
      </c>
      <c r="S14" s="137" t="s">
        <v>1233</v>
      </c>
      <c r="T14" s="140" t="s">
        <v>1263</v>
      </c>
      <c r="U14" s="134" t="s">
        <v>1264</v>
      </c>
      <c r="V14" s="134" t="s">
        <v>1265</v>
      </c>
      <c r="W14" s="134" t="s">
        <v>1266</v>
      </c>
      <c r="X14" s="140" t="s">
        <v>1267</v>
      </c>
    </row>
    <row r="15" spans="1:25" x14ac:dyDescent="0.25">
      <c r="A15" s="141" t="s">
        <v>1268</v>
      </c>
      <c r="B15" s="142">
        <v>43561</v>
      </c>
      <c r="C15" s="143"/>
      <c r="D15" s="144" t="s">
        <v>992</v>
      </c>
      <c r="E15" s="145"/>
      <c r="F15" s="146" t="s">
        <v>63</v>
      </c>
      <c r="G15" s="146" t="s">
        <v>993</v>
      </c>
      <c r="H15" s="143">
        <v>1971</v>
      </c>
      <c r="I15" s="143" t="s">
        <v>42</v>
      </c>
      <c r="J15" s="147" t="s">
        <v>1269</v>
      </c>
      <c r="K15" s="148"/>
      <c r="L15" s="148">
        <v>1973</v>
      </c>
      <c r="M15" s="146" t="s">
        <v>568</v>
      </c>
      <c r="N15" s="147" t="s">
        <v>1268</v>
      </c>
      <c r="O15" s="149"/>
      <c r="P15" s="147"/>
      <c r="Q15" s="150"/>
      <c r="R15" s="149"/>
      <c r="S15" s="147"/>
      <c r="T15" s="148"/>
      <c r="U15" s="146"/>
      <c r="V15" s="146" t="s">
        <v>1249</v>
      </c>
      <c r="W15" s="143" t="s">
        <v>1270</v>
      </c>
      <c r="X15" s="151"/>
    </row>
    <row r="16" spans="1:25" x14ac:dyDescent="0.25">
      <c r="A16" s="141" t="s">
        <v>1271</v>
      </c>
      <c r="B16" s="142">
        <v>43561</v>
      </c>
      <c r="C16" s="143"/>
      <c r="D16" s="144" t="s">
        <v>992</v>
      </c>
      <c r="E16" s="145"/>
      <c r="F16" s="146" t="s">
        <v>63</v>
      </c>
      <c r="G16" s="146" t="s">
        <v>993</v>
      </c>
      <c r="H16" s="143">
        <v>1971</v>
      </c>
      <c r="I16" s="143" t="s">
        <v>42</v>
      </c>
      <c r="J16" s="147" t="s">
        <v>775</v>
      </c>
      <c r="K16" s="148"/>
      <c r="L16" s="148">
        <v>1970</v>
      </c>
      <c r="M16" s="146" t="s">
        <v>1272</v>
      </c>
      <c r="N16" s="147" t="s">
        <v>1268</v>
      </c>
      <c r="O16" s="149"/>
      <c r="P16" s="147"/>
      <c r="Q16" s="150"/>
      <c r="R16" s="149"/>
      <c r="S16" s="147"/>
      <c r="T16" s="148"/>
      <c r="U16" s="146"/>
      <c r="V16" s="146" t="s">
        <v>1249</v>
      </c>
      <c r="W16" s="143" t="s">
        <v>1270</v>
      </c>
      <c r="X16" s="151"/>
    </row>
    <row r="17" spans="1:24" x14ac:dyDescent="0.25">
      <c r="A17" s="141" t="s">
        <v>1268</v>
      </c>
      <c r="B17" s="142">
        <v>43561</v>
      </c>
      <c r="C17" s="143"/>
      <c r="D17" s="144" t="s">
        <v>1003</v>
      </c>
      <c r="E17" s="145"/>
      <c r="F17" s="146" t="s">
        <v>1004</v>
      </c>
      <c r="G17" s="146" t="s">
        <v>1273</v>
      </c>
      <c r="H17" s="143">
        <v>1973</v>
      </c>
      <c r="I17" s="143" t="s">
        <v>42</v>
      </c>
      <c r="J17" s="147" t="s">
        <v>274</v>
      </c>
      <c r="K17" s="148"/>
      <c r="L17" s="148">
        <v>1962</v>
      </c>
      <c r="M17" s="146" t="s">
        <v>1272</v>
      </c>
      <c r="N17" s="147" t="s">
        <v>1268</v>
      </c>
      <c r="O17" s="149"/>
      <c r="P17" s="147"/>
      <c r="Q17" s="150"/>
      <c r="R17" s="149"/>
      <c r="S17" s="147"/>
      <c r="T17" s="148"/>
      <c r="U17" s="146"/>
      <c r="V17" s="146" t="s">
        <v>1249</v>
      </c>
      <c r="W17" s="143" t="s">
        <v>1270</v>
      </c>
      <c r="X17" s="151"/>
    </row>
    <row r="18" spans="1:24" x14ac:dyDescent="0.25">
      <c r="A18" s="141" t="s">
        <v>1268</v>
      </c>
      <c r="B18" s="142">
        <v>43561</v>
      </c>
      <c r="C18" s="143"/>
      <c r="D18" s="144" t="s">
        <v>561</v>
      </c>
      <c r="E18" s="145"/>
      <c r="F18" s="146" t="s">
        <v>562</v>
      </c>
      <c r="G18" s="146" t="s">
        <v>104</v>
      </c>
      <c r="H18" s="143">
        <v>1981</v>
      </c>
      <c r="I18" s="143" t="s">
        <v>42</v>
      </c>
      <c r="J18" s="147" t="s">
        <v>1274</v>
      </c>
      <c r="K18" s="148"/>
      <c r="L18" s="148">
        <v>1957</v>
      </c>
      <c r="M18" s="146" t="s">
        <v>1275</v>
      </c>
      <c r="N18" s="147" t="s">
        <v>1276</v>
      </c>
      <c r="O18" s="149"/>
      <c r="P18" s="147"/>
      <c r="Q18" s="150"/>
      <c r="R18" s="149"/>
      <c r="S18" s="147"/>
      <c r="T18" s="148"/>
      <c r="U18" s="146"/>
      <c r="V18" s="146" t="s">
        <v>1249</v>
      </c>
      <c r="W18" s="143" t="s">
        <v>1270</v>
      </c>
      <c r="X18" s="151"/>
    </row>
    <row r="19" spans="1:24" x14ac:dyDescent="0.25">
      <c r="A19" s="132" t="s">
        <v>1268</v>
      </c>
      <c r="B19" s="142">
        <v>43561</v>
      </c>
      <c r="C19" s="143"/>
      <c r="D19" s="153" t="s">
        <v>1001</v>
      </c>
      <c r="E19" s="154"/>
      <c r="F19" s="146" t="s">
        <v>1002</v>
      </c>
      <c r="G19" s="146" t="s">
        <v>161</v>
      </c>
      <c r="H19" s="143">
        <v>1979</v>
      </c>
      <c r="I19" s="143" t="s">
        <v>42</v>
      </c>
      <c r="J19" s="147" t="s">
        <v>156</v>
      </c>
      <c r="K19" s="148"/>
      <c r="L19" s="148">
        <v>1985</v>
      </c>
      <c r="M19" s="146" t="s">
        <v>1277</v>
      </c>
      <c r="N19" s="147"/>
      <c r="O19" s="149"/>
      <c r="P19" s="147"/>
      <c r="Q19" s="150"/>
      <c r="R19" s="149"/>
      <c r="S19" s="147"/>
      <c r="T19" s="148"/>
      <c r="U19" s="146"/>
      <c r="V19" s="146" t="s">
        <v>1249</v>
      </c>
      <c r="W19" s="143" t="s">
        <v>1270</v>
      </c>
      <c r="X19" s="155"/>
    </row>
    <row r="20" spans="1:24" x14ac:dyDescent="0.25">
      <c r="A20" s="156" t="s">
        <v>1268</v>
      </c>
      <c r="B20" s="157">
        <v>43561</v>
      </c>
      <c r="C20" s="158"/>
      <c r="D20" s="153" t="s">
        <v>1009</v>
      </c>
      <c r="E20" s="154"/>
      <c r="F20" s="159" t="s">
        <v>1010</v>
      </c>
      <c r="G20" s="159" t="s">
        <v>300</v>
      </c>
      <c r="H20" s="158">
        <v>1987</v>
      </c>
      <c r="I20" s="143" t="s">
        <v>42</v>
      </c>
      <c r="J20" s="160" t="s">
        <v>1278</v>
      </c>
      <c r="K20" s="161"/>
      <c r="L20" s="161">
        <v>1970</v>
      </c>
      <c r="M20" s="159" t="s">
        <v>1279</v>
      </c>
      <c r="N20" s="160" t="s">
        <v>1280</v>
      </c>
      <c r="O20" s="162"/>
      <c r="P20" s="160"/>
      <c r="Q20" s="151"/>
      <c r="R20" s="162"/>
      <c r="S20" s="160"/>
      <c r="T20" s="161"/>
      <c r="U20" s="159"/>
      <c r="V20" s="159" t="s">
        <v>1249</v>
      </c>
      <c r="W20" s="163" t="s">
        <v>1270</v>
      </c>
      <c r="X20" s="164"/>
    </row>
    <row r="21" spans="1:24" x14ac:dyDescent="0.25">
      <c r="A21" s="156" t="s">
        <v>1271</v>
      </c>
      <c r="B21" s="157">
        <v>43561</v>
      </c>
      <c r="C21" s="158"/>
      <c r="D21" s="153" t="s">
        <v>1009</v>
      </c>
      <c r="E21" s="154"/>
      <c r="F21" s="159" t="s">
        <v>1010</v>
      </c>
      <c r="G21" s="159" t="s">
        <v>300</v>
      </c>
      <c r="H21" s="158">
        <v>1987</v>
      </c>
      <c r="I21" s="143" t="s">
        <v>42</v>
      </c>
      <c r="J21" s="160" t="s">
        <v>1281</v>
      </c>
      <c r="K21" s="161"/>
      <c r="L21" s="161">
        <v>1993</v>
      </c>
      <c r="M21" s="159" t="s">
        <v>1277</v>
      </c>
      <c r="N21" s="160" t="s">
        <v>1268</v>
      </c>
      <c r="O21" s="162"/>
      <c r="P21" s="160" t="s">
        <v>1282</v>
      </c>
      <c r="Q21" s="151"/>
      <c r="R21" s="162"/>
      <c r="S21" s="160"/>
      <c r="T21" s="161"/>
      <c r="U21" s="159"/>
      <c r="V21" s="159" t="s">
        <v>1249</v>
      </c>
      <c r="W21" s="163" t="s">
        <v>1270</v>
      </c>
      <c r="X21" s="164"/>
    </row>
    <row r="22" spans="1:24" x14ac:dyDescent="0.25">
      <c r="A22" s="156" t="s">
        <v>1268</v>
      </c>
      <c r="B22" s="157">
        <v>43568</v>
      </c>
      <c r="C22" s="158"/>
      <c r="D22" s="153" t="s">
        <v>571</v>
      </c>
      <c r="E22" s="154"/>
      <c r="F22" s="159" t="s">
        <v>572</v>
      </c>
      <c r="G22" s="159" t="s">
        <v>398</v>
      </c>
      <c r="H22" s="158">
        <v>1979</v>
      </c>
      <c r="I22" s="143" t="s">
        <v>42</v>
      </c>
      <c r="J22" s="160" t="s">
        <v>1283</v>
      </c>
      <c r="K22" s="161"/>
      <c r="L22" s="161">
        <v>1984</v>
      </c>
      <c r="M22" s="159" t="s">
        <v>1277</v>
      </c>
      <c r="N22" s="160" t="s">
        <v>1284</v>
      </c>
      <c r="O22" s="162"/>
      <c r="P22" s="160"/>
      <c r="Q22" s="151"/>
      <c r="R22" s="162"/>
      <c r="S22" s="160"/>
      <c r="T22" s="161"/>
      <c r="U22" s="159"/>
      <c r="V22" s="159" t="s">
        <v>1249</v>
      </c>
      <c r="W22" s="163" t="s">
        <v>1270</v>
      </c>
      <c r="X22" s="164"/>
    </row>
    <row r="23" spans="1:24" x14ac:dyDescent="0.25">
      <c r="A23" s="156" t="s">
        <v>1268</v>
      </c>
      <c r="B23" s="157">
        <v>43575</v>
      </c>
      <c r="C23" s="158"/>
      <c r="D23" s="153" t="s">
        <v>772</v>
      </c>
      <c r="E23" s="154"/>
      <c r="F23" s="159" t="s">
        <v>360</v>
      </c>
      <c r="G23" s="159" t="s">
        <v>738</v>
      </c>
      <c r="H23" s="158">
        <v>1978</v>
      </c>
      <c r="I23" s="143" t="s">
        <v>42</v>
      </c>
      <c r="J23" s="160" t="s">
        <v>1285</v>
      </c>
      <c r="K23" s="161"/>
      <c r="L23" s="161">
        <v>1967</v>
      </c>
      <c r="M23" s="159" t="s">
        <v>1286</v>
      </c>
      <c r="N23" s="160" t="s">
        <v>1287</v>
      </c>
      <c r="O23" s="162"/>
      <c r="P23" s="160"/>
      <c r="Q23" s="151"/>
      <c r="R23" s="162"/>
      <c r="S23" s="160"/>
      <c r="T23" s="161"/>
      <c r="U23" s="159"/>
      <c r="V23" s="159" t="s">
        <v>1249</v>
      </c>
      <c r="W23" s="163" t="s">
        <v>1270</v>
      </c>
      <c r="X23" s="164"/>
    </row>
    <row r="24" spans="1:24" x14ac:dyDescent="0.25">
      <c r="A24" s="156" t="s">
        <v>1268</v>
      </c>
      <c r="B24" s="157">
        <v>43575</v>
      </c>
      <c r="C24" s="158"/>
      <c r="D24" s="153" t="s">
        <v>803</v>
      </c>
      <c r="E24" s="154"/>
      <c r="F24" s="159" t="s">
        <v>804</v>
      </c>
      <c r="G24" s="159" t="s">
        <v>1288</v>
      </c>
      <c r="H24" s="158">
        <v>1987</v>
      </c>
      <c r="I24" s="143" t="s">
        <v>42</v>
      </c>
      <c r="J24" s="160" t="s">
        <v>1289</v>
      </c>
      <c r="K24" s="161"/>
      <c r="L24" s="161">
        <v>1952</v>
      </c>
      <c r="M24" s="159" t="s">
        <v>1279</v>
      </c>
      <c r="N24" s="160" t="s">
        <v>1290</v>
      </c>
      <c r="O24" s="162"/>
      <c r="P24" s="160" t="s">
        <v>1291</v>
      </c>
      <c r="Q24" s="151"/>
      <c r="R24" s="162"/>
      <c r="S24" s="160"/>
      <c r="T24" s="161"/>
      <c r="U24" s="159"/>
      <c r="V24" s="159" t="s">
        <v>1249</v>
      </c>
      <c r="W24" s="163" t="s">
        <v>1270</v>
      </c>
      <c r="X24" s="164"/>
    </row>
    <row r="25" spans="1:24" x14ac:dyDescent="0.25">
      <c r="A25" s="156" t="s">
        <v>1268</v>
      </c>
      <c r="B25" s="157">
        <v>43575</v>
      </c>
      <c r="C25" s="158"/>
      <c r="D25" s="153" t="s">
        <v>608</v>
      </c>
      <c r="E25" s="154"/>
      <c r="F25" s="159" t="s">
        <v>609</v>
      </c>
      <c r="G25" s="159" t="s">
        <v>96</v>
      </c>
      <c r="H25" s="158">
        <v>1987</v>
      </c>
      <c r="I25" s="143" t="s">
        <v>42</v>
      </c>
      <c r="J25" s="160" t="s">
        <v>1292</v>
      </c>
      <c r="K25" s="161"/>
      <c r="L25" s="161">
        <v>2006</v>
      </c>
      <c r="M25" s="159" t="s">
        <v>1293</v>
      </c>
      <c r="N25" s="160" t="s">
        <v>1294</v>
      </c>
      <c r="O25" s="162"/>
      <c r="P25" s="160"/>
      <c r="Q25" s="151"/>
      <c r="R25" s="162"/>
      <c r="S25" s="160"/>
      <c r="T25" s="161"/>
      <c r="U25" s="159"/>
      <c r="V25" s="159" t="s">
        <v>1249</v>
      </c>
      <c r="W25" s="163" t="s">
        <v>1270</v>
      </c>
      <c r="X25" s="164"/>
    </row>
    <row r="26" spans="1:24" x14ac:dyDescent="0.25">
      <c r="A26" s="156">
        <v>0</v>
      </c>
      <c r="B26" s="201">
        <v>43652</v>
      </c>
      <c r="C26" s="202">
        <v>7</v>
      </c>
      <c r="D26" s="198" t="s">
        <v>1156</v>
      </c>
      <c r="E26" s="199"/>
      <c r="F26" s="203" t="s">
        <v>1157</v>
      </c>
      <c r="G26" s="203" t="s">
        <v>222</v>
      </c>
      <c r="H26" s="202">
        <v>1982</v>
      </c>
      <c r="I26" s="202" t="s">
        <v>29</v>
      </c>
      <c r="J26" s="204"/>
      <c r="K26" s="205"/>
      <c r="L26" s="205"/>
      <c r="M26" s="203"/>
      <c r="N26" s="204"/>
      <c r="O26" s="206"/>
      <c r="P26" s="204"/>
      <c r="Q26" s="207"/>
      <c r="R26" s="206"/>
      <c r="S26" s="204"/>
      <c r="T26" s="205"/>
      <c r="U26" s="203"/>
      <c r="V26" s="203" t="s">
        <v>1249</v>
      </c>
      <c r="W26" s="208" t="s">
        <v>1336</v>
      </c>
      <c r="X26" s="200"/>
    </row>
    <row r="27" spans="1:24" x14ac:dyDescent="0.25">
      <c r="A27" s="156">
        <v>0</v>
      </c>
      <c r="B27" s="270">
        <v>43652</v>
      </c>
      <c r="C27" s="202">
        <v>7</v>
      </c>
      <c r="D27" s="198" t="s">
        <v>58</v>
      </c>
      <c r="E27" s="199"/>
      <c r="F27" s="203" t="s">
        <v>59</v>
      </c>
      <c r="G27" s="203" t="s">
        <v>60</v>
      </c>
      <c r="H27" s="202">
        <v>1966</v>
      </c>
      <c r="I27" s="202" t="s">
        <v>25</v>
      </c>
      <c r="J27" s="204"/>
      <c r="K27" s="205"/>
      <c r="L27" s="205"/>
      <c r="M27" s="203"/>
      <c r="N27" s="204"/>
      <c r="O27" s="206"/>
      <c r="P27" s="204"/>
      <c r="Q27" s="207"/>
      <c r="R27" s="206"/>
      <c r="S27" s="204"/>
      <c r="T27" s="205"/>
      <c r="U27" s="203"/>
      <c r="V27" s="203" t="s">
        <v>1249</v>
      </c>
      <c r="W27" s="208" t="s">
        <v>1336</v>
      </c>
      <c r="X27" s="200"/>
    </row>
    <row r="28" spans="1:24" x14ac:dyDescent="0.25">
      <c r="A28" s="156">
        <v>1</v>
      </c>
      <c r="B28" s="270">
        <v>43652</v>
      </c>
      <c r="C28" s="202">
        <v>7</v>
      </c>
      <c r="D28" s="198" t="s">
        <v>58</v>
      </c>
      <c r="E28" s="199"/>
      <c r="F28" s="203" t="s">
        <v>59</v>
      </c>
      <c r="G28" s="203" t="s">
        <v>60</v>
      </c>
      <c r="H28" s="202">
        <v>1966</v>
      </c>
      <c r="I28" s="202" t="s">
        <v>25</v>
      </c>
      <c r="J28" s="204"/>
      <c r="K28" s="205"/>
      <c r="L28" s="205"/>
      <c r="M28" s="203"/>
      <c r="N28" s="204"/>
      <c r="O28" s="206"/>
      <c r="P28" s="204"/>
      <c r="Q28" s="207"/>
      <c r="R28" s="206"/>
      <c r="S28" s="204"/>
      <c r="T28" s="205"/>
      <c r="U28" s="203"/>
      <c r="V28" s="203" t="s">
        <v>1249</v>
      </c>
      <c r="W28" s="208" t="s">
        <v>1336</v>
      </c>
      <c r="X28" s="200"/>
    </row>
    <row r="29" spans="1:24" x14ac:dyDescent="0.25">
      <c r="A29" s="156">
        <v>1</v>
      </c>
      <c r="B29" s="270">
        <v>43652</v>
      </c>
      <c r="C29" s="202">
        <v>7</v>
      </c>
      <c r="D29" s="198" t="s">
        <v>58</v>
      </c>
      <c r="E29" s="199"/>
      <c r="F29" s="203" t="s">
        <v>59</v>
      </c>
      <c r="G29" s="203" t="s">
        <v>60</v>
      </c>
      <c r="H29" s="202">
        <v>1966</v>
      </c>
      <c r="I29" s="202" t="s">
        <v>25</v>
      </c>
      <c r="J29" s="204"/>
      <c r="K29" s="205"/>
      <c r="L29" s="205"/>
      <c r="M29" s="203"/>
      <c r="N29" s="204"/>
      <c r="O29" s="206"/>
      <c r="P29" s="204"/>
      <c r="Q29" s="207"/>
      <c r="R29" s="206"/>
      <c r="S29" s="204"/>
      <c r="T29" s="205"/>
      <c r="U29" s="203"/>
      <c r="V29" s="203" t="s">
        <v>1249</v>
      </c>
      <c r="W29" s="208" t="s">
        <v>1336</v>
      </c>
      <c r="X29" s="200"/>
    </row>
  </sheetData>
  <dataConsolidate/>
  <mergeCells count="13">
    <mergeCell ref="S1:X1"/>
    <mergeCell ref="P3:P4"/>
    <mergeCell ref="Q3:Q6"/>
    <mergeCell ref="B4:D6"/>
    <mergeCell ref="F4:F6"/>
    <mergeCell ref="P5:P6"/>
    <mergeCell ref="G6:N6"/>
    <mergeCell ref="B8:D9"/>
    <mergeCell ref="F8:F9"/>
    <mergeCell ref="P8:P9"/>
    <mergeCell ref="Q8:Q9"/>
    <mergeCell ref="P11:P12"/>
    <mergeCell ref="Q11:Q12"/>
  </mergeCells>
  <conditionalFormatting sqref="G6">
    <cfRule type="containsText" dxfId="3" priority="3" operator="containsText" text="ĐƯỢC THĂM GẶP">
      <formula>NOT(ISERROR(SEARCH("ĐƯỢC THĂM GẶP",G6)))</formula>
    </cfRule>
    <cfRule type="containsText" dxfId="2" priority="4" operator="containsText" text="KHÔNG THĂM ĐƯỢC">
      <formula>NOT(ISERROR(SEARCH("KHÔNG THĂM ĐƯỢC",G6)))</formula>
    </cfRule>
  </conditionalFormatting>
  <conditionalFormatting sqref="F8:F9">
    <cfRule type="expression" dxfId="1" priority="1">
      <formula>$A$12&gt;0</formula>
    </cfRule>
    <cfRule type="expression" dxfId="0" priority="2">
      <formula>$A$13&gt;0</formula>
    </cfRule>
  </conditionalFormatting>
  <dataValidations count="7">
    <dataValidation type="whole" allowBlank="1" showInputMessage="1" showErrorMessage="1" error="KHÔNG ĐƯỢC CHỈNH SỬA VÙNG NÀY" prompt="Mặc định mỗi học viên đều có cháu nhỏ được phép thăm" sqref="S1:X3 S13:X13">
      <formula1>0</formula1>
      <formula2>0</formula2>
    </dataValidation>
    <dataValidation type="list" allowBlank="1" showInputMessage="1" showErrorMessage="1" error="NHẬP SAI KIỂU DỮ LIỆU" sqref="F3">
      <formula1>$A$4:$A$11</formula1>
    </dataValidation>
    <dataValidation type="list" allowBlank="1" showInputMessage="1" showErrorMessage="1" error="CHƯA CÓ TÊN TRONG DANH SÁCH CÁN BỘ TRỰC" sqref="Q11:Q12">
      <formula1>CBGQ</formula1>
    </dataValidation>
    <dataValidation type="whole" allowBlank="1" showInputMessage="1" showErrorMessage="1" sqref="G3:N3">
      <formula1>0</formula1>
      <formula2>0</formula2>
    </dataValidation>
    <dataValidation type="list" allowBlank="1" showInputMessage="1" showErrorMessage="1" prompt="LỰA CHỌN NGƯỜI ĐĂNG KÍ THĂM GẶP" sqref="F8:F9">
      <formula1>$S$4:$S$12</formula1>
    </dataValidation>
    <dataValidation type="list" allowBlank="1" showInputMessage="1" showErrorMessage="1" error="KHÔNG PHẢI NGƯỜI CÓ THẨM QUYỀN GIẢI QUYẾT" sqref="F12">
      <formula1>DAC_BIET</formula1>
    </dataValidation>
    <dataValidation allowBlank="1" showInputMessage="1" showErrorMessage="1" prompt="NHẬP DANH SỐ VÀO Ô VÀNG" sqref="F4:F6"/>
  </dataValidations>
  <pageMargins left="0.7" right="0.7" top="0.75" bottom="0.75" header="0.3" footer="0.3"/>
  <pageSetup paperSize="9" orientation="portrait" verticalDpi="0" r:id="rId1"/>
  <drawing r:id="rId2"/>
  <legacy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N336"/>
  <sheetViews>
    <sheetView showGridLines="0" tabSelected="1" zoomScale="85" zoomScaleNormal="85" workbookViewId="0">
      <pane xSplit="1" ySplit="4" topLeftCell="B320" activePane="bottomRight" state="frozen"/>
      <selection pane="topRight" activeCell="B1" sqref="B1"/>
      <selection pane="bottomLeft" activeCell="A6" sqref="A6"/>
      <selection pane="bottomRight" activeCell="A336" sqref="A336"/>
    </sheetView>
  </sheetViews>
  <sheetFormatPr baseColWidth="10" defaultColWidth="9.140625" defaultRowHeight="15" x14ac:dyDescent="0.25"/>
  <cols>
    <col min="1" max="1" width="5" customWidth="1"/>
    <col min="2" max="2" width="24.7109375" bestFit="1" customWidth="1"/>
    <col min="3" max="3" width="8" customWidth="1"/>
    <col min="4" max="4" width="14.7109375" customWidth="1"/>
    <col min="5" max="5" width="14" customWidth="1"/>
    <col min="6" max="6" width="13.42578125" customWidth="1"/>
    <col min="7" max="7" width="26.7109375" customWidth="1"/>
    <col min="8" max="8" width="58.85546875" customWidth="1"/>
    <col min="9" max="9" width="18.42578125" customWidth="1"/>
    <col min="10" max="10" width="13.140625" customWidth="1"/>
    <col min="11" max="11" width="21.42578125" customWidth="1"/>
    <col min="12" max="12" width="10.28515625" customWidth="1"/>
    <col min="13" max="13" width="25" bestFit="1" customWidth="1"/>
    <col min="14" max="14" width="11.85546875" customWidth="1"/>
  </cols>
  <sheetData>
    <row r="1" spans="1:14" ht="19.5" customHeight="1" x14ac:dyDescent="0.25">
      <c r="A1" s="267" t="s">
        <v>1323</v>
      </c>
      <c r="B1" s="267"/>
      <c r="C1" s="267"/>
      <c r="D1" s="267"/>
      <c r="K1" t="s">
        <v>2224</v>
      </c>
    </row>
    <row r="2" spans="1:14" ht="41.25" customHeight="1" x14ac:dyDescent="0.25">
      <c r="B2" s="197"/>
      <c r="C2" s="268" t="s">
        <v>1324</v>
      </c>
      <c r="D2" s="268"/>
      <c r="E2" s="268"/>
      <c r="F2" s="268"/>
      <c r="G2" s="268"/>
      <c r="H2" s="268"/>
      <c r="I2" s="194"/>
      <c r="J2" s="194"/>
      <c r="K2" s="269" t="s">
        <v>2225</v>
      </c>
      <c r="L2" s="269"/>
      <c r="M2" s="269"/>
      <c r="N2" s="269"/>
    </row>
    <row r="3" spans="1:14" ht="135.75" customHeight="1" x14ac:dyDescent="0.25">
      <c r="A3" s="195"/>
      <c r="B3" s="196"/>
      <c r="C3" s="195"/>
      <c r="D3" s="195"/>
      <c r="E3" s="195"/>
      <c r="F3" s="195"/>
      <c r="G3" s="195"/>
      <c r="I3" s="195"/>
      <c r="J3" s="195"/>
      <c r="K3" s="269"/>
      <c r="L3" s="269"/>
      <c r="M3" s="269"/>
      <c r="N3" s="269"/>
    </row>
    <row r="4" spans="1:14" ht="21.75" customHeight="1" x14ac:dyDescent="0.25">
      <c r="A4" s="209" t="s">
        <v>1325</v>
      </c>
      <c r="B4" s="210" t="s">
        <v>4</v>
      </c>
      <c r="C4" s="210" t="s">
        <v>5</v>
      </c>
      <c r="D4" s="210" t="s">
        <v>1326</v>
      </c>
      <c r="E4" s="210" t="s">
        <v>1258</v>
      </c>
      <c r="F4" s="210" t="s">
        <v>1327</v>
      </c>
      <c r="G4" s="210" t="s">
        <v>1329</v>
      </c>
      <c r="H4" s="210" t="s">
        <v>1328</v>
      </c>
      <c r="I4" s="210" t="s">
        <v>1330</v>
      </c>
      <c r="J4" s="210" t="s">
        <v>1331</v>
      </c>
      <c r="K4" s="210" t="s">
        <v>1332</v>
      </c>
      <c r="L4" s="210" t="s">
        <v>1333</v>
      </c>
      <c r="M4" s="210" t="s">
        <v>1334</v>
      </c>
      <c r="N4" s="210" t="s">
        <v>1335</v>
      </c>
    </row>
    <row r="5" spans="1:14" x14ac:dyDescent="0.25">
      <c r="A5" s="211" t="str">
        <f>IF(DuLieuThamNuoiNgay!$F$4=$L5,MAX(DangKyThamGapThuongXuyen!$A$4:A4)+1,"")</f>
        <v/>
      </c>
      <c r="B5" s="212" t="s">
        <v>1340</v>
      </c>
      <c r="C5" s="212">
        <v>1974</v>
      </c>
      <c r="D5" s="212" t="s">
        <v>1341</v>
      </c>
      <c r="E5" s="212" t="s">
        <v>1841</v>
      </c>
      <c r="F5" s="212"/>
      <c r="G5" s="212" t="s">
        <v>2204</v>
      </c>
      <c r="H5" s="212"/>
      <c r="I5" s="212"/>
      <c r="J5" s="212" t="s">
        <v>1338</v>
      </c>
      <c r="K5" s="212" t="s">
        <v>1338</v>
      </c>
      <c r="L5" s="212" t="s">
        <v>615</v>
      </c>
      <c r="M5" s="212" t="s">
        <v>1999</v>
      </c>
      <c r="N5" s="212" t="s">
        <v>222</v>
      </c>
    </row>
    <row r="6" spans="1:14" x14ac:dyDescent="0.25">
      <c r="A6" s="211" t="str">
        <f>IF(DuLieuThamNuoiNgay!$F$4=$L6,MAX(DangKyThamGapThuongXuyen!$A$4:A5)+1,"")</f>
        <v/>
      </c>
      <c r="B6" s="212" t="s">
        <v>1342</v>
      </c>
      <c r="C6" s="212">
        <v>1984</v>
      </c>
      <c r="D6" s="212" t="s">
        <v>1343</v>
      </c>
      <c r="E6" s="212" t="s">
        <v>1841</v>
      </c>
      <c r="F6" s="212"/>
      <c r="G6" s="212" t="s">
        <v>2173</v>
      </c>
      <c r="H6" s="212" t="s">
        <v>1862</v>
      </c>
      <c r="I6" s="212"/>
      <c r="J6" s="212" t="s">
        <v>1338</v>
      </c>
      <c r="K6" s="212" t="s">
        <v>1338</v>
      </c>
      <c r="L6" s="212" t="s">
        <v>482</v>
      </c>
      <c r="M6" s="212" t="s">
        <v>2000</v>
      </c>
      <c r="N6" s="212" t="s">
        <v>1161</v>
      </c>
    </row>
    <row r="7" spans="1:14" x14ac:dyDescent="0.25">
      <c r="A7" s="211" t="str">
        <f>IF(DuLieuThamNuoiNgay!$F$4=$L7,MAX(DangKyThamGapThuongXuyen!$A$4:A6)+1,"")</f>
        <v/>
      </c>
      <c r="B7" s="212" t="s">
        <v>1344</v>
      </c>
      <c r="C7" s="212">
        <v>1979</v>
      </c>
      <c r="D7" s="212" t="s">
        <v>1345</v>
      </c>
      <c r="E7" s="212" t="s">
        <v>1277</v>
      </c>
      <c r="F7" s="212"/>
      <c r="G7" s="212" t="s">
        <v>2173</v>
      </c>
      <c r="H7" s="212" t="s">
        <v>1863</v>
      </c>
      <c r="I7" s="212"/>
      <c r="J7" s="212" t="s">
        <v>1338</v>
      </c>
      <c r="K7" s="212" t="s">
        <v>1338</v>
      </c>
      <c r="L7" s="212" t="s">
        <v>930</v>
      </c>
      <c r="M7" s="212" t="s">
        <v>2001</v>
      </c>
      <c r="N7" s="212" t="s">
        <v>729</v>
      </c>
    </row>
    <row r="8" spans="1:14" x14ac:dyDescent="0.25">
      <c r="A8" s="211" t="str">
        <f>IF(DuLieuThamNuoiNgay!$F$4=$L8,MAX(DangKyThamGapThuongXuyen!$A$4:A7)+1,"")</f>
        <v/>
      </c>
      <c r="B8" s="212" t="s">
        <v>1346</v>
      </c>
      <c r="C8" s="212">
        <v>1975</v>
      </c>
      <c r="D8" s="212" t="s">
        <v>1347</v>
      </c>
      <c r="E8" s="212" t="s">
        <v>568</v>
      </c>
      <c r="F8" s="212"/>
      <c r="G8" s="212" t="s">
        <v>2173</v>
      </c>
      <c r="H8" s="212" t="s">
        <v>1864</v>
      </c>
      <c r="I8" s="212"/>
      <c r="J8" s="212" t="s">
        <v>1338</v>
      </c>
      <c r="K8" s="212" t="s">
        <v>1338</v>
      </c>
      <c r="L8" s="212" t="s">
        <v>930</v>
      </c>
      <c r="M8" s="212" t="s">
        <v>2001</v>
      </c>
      <c r="N8" s="212" t="s">
        <v>729</v>
      </c>
    </row>
    <row r="9" spans="1:14" x14ac:dyDescent="0.25">
      <c r="A9" s="211" t="str">
        <f>IF(DuLieuThamNuoiNgay!$F$4=$L9,MAX(DangKyThamGapThuongXuyen!$A$4:A8)+1,"")</f>
        <v/>
      </c>
      <c r="B9" s="212" t="s">
        <v>1348</v>
      </c>
      <c r="C9" s="212">
        <v>1949</v>
      </c>
      <c r="D9" s="212" t="s">
        <v>1349</v>
      </c>
      <c r="E9" s="212" t="s">
        <v>1275</v>
      </c>
      <c r="F9" s="212"/>
      <c r="G9" s="212" t="s">
        <v>2173</v>
      </c>
      <c r="H9" s="212" t="s">
        <v>1865</v>
      </c>
      <c r="I9" s="212"/>
      <c r="J9" s="212"/>
      <c r="K9" s="212"/>
      <c r="L9" s="212" t="s">
        <v>226</v>
      </c>
      <c r="M9" s="212" t="s">
        <v>2002</v>
      </c>
      <c r="N9" s="212"/>
    </row>
    <row r="10" spans="1:14" x14ac:dyDescent="0.25">
      <c r="A10" s="211" t="str">
        <f>IF(DuLieuThamNuoiNgay!$F$4=$L10,MAX(DangKyThamGapThuongXuyen!$A$4:A9)+1,"")</f>
        <v/>
      </c>
      <c r="B10" s="212" t="s">
        <v>1350</v>
      </c>
      <c r="C10" s="212">
        <v>1960</v>
      </c>
      <c r="D10" s="212" t="s">
        <v>1351</v>
      </c>
      <c r="E10" s="212" t="s">
        <v>1279</v>
      </c>
      <c r="F10" s="212"/>
      <c r="G10" s="212" t="s">
        <v>2173</v>
      </c>
      <c r="H10" s="212" t="s">
        <v>1866</v>
      </c>
      <c r="I10" s="212"/>
      <c r="J10" s="212"/>
      <c r="K10" s="212"/>
      <c r="L10" s="212" t="s">
        <v>947</v>
      </c>
      <c r="M10" s="212" t="s">
        <v>2003</v>
      </c>
      <c r="N10" s="212"/>
    </row>
    <row r="11" spans="1:14" x14ac:dyDescent="0.25">
      <c r="A11" s="211" t="str">
        <f>IF(DuLieuThamNuoiNgay!$F$4=$L11,MAX(DangKyThamGapThuongXuyen!$A$4:A10)+1,"")</f>
        <v/>
      </c>
      <c r="B11" s="212" t="s">
        <v>1352</v>
      </c>
      <c r="C11" s="212">
        <v>1955</v>
      </c>
      <c r="D11" s="212" t="s">
        <v>1353</v>
      </c>
      <c r="E11" s="212" t="s">
        <v>1275</v>
      </c>
      <c r="F11" s="212"/>
      <c r="G11" s="212" t="s">
        <v>2173</v>
      </c>
      <c r="H11" s="212" t="s">
        <v>1866</v>
      </c>
      <c r="I11" s="212"/>
      <c r="J11" s="212"/>
      <c r="K11" s="212"/>
      <c r="L11" s="212" t="s">
        <v>947</v>
      </c>
      <c r="M11" s="212" t="s">
        <v>2003</v>
      </c>
      <c r="N11" s="212"/>
    </row>
    <row r="12" spans="1:14" x14ac:dyDescent="0.25">
      <c r="A12" s="211" t="str">
        <f>IF(DuLieuThamNuoiNgay!$F$4=$L12,MAX(DangKyThamGapThuongXuyen!$A$4:A11)+1,"")</f>
        <v/>
      </c>
      <c r="B12" s="212" t="s">
        <v>1354</v>
      </c>
      <c r="C12" s="212">
        <v>1966</v>
      </c>
      <c r="D12" s="212" t="s">
        <v>1355</v>
      </c>
      <c r="E12" s="212" t="s">
        <v>1272</v>
      </c>
      <c r="F12" s="212"/>
      <c r="G12" s="212" t="s">
        <v>2173</v>
      </c>
      <c r="H12" s="212" t="s">
        <v>1867</v>
      </c>
      <c r="I12" s="212"/>
      <c r="J12" s="212"/>
      <c r="K12" s="212"/>
      <c r="L12" s="212" t="s">
        <v>220</v>
      </c>
      <c r="M12" s="212" t="s">
        <v>2004</v>
      </c>
      <c r="N12" s="212"/>
    </row>
    <row r="13" spans="1:14" x14ac:dyDescent="0.25">
      <c r="A13" s="211" t="str">
        <f>IF(DuLieuThamNuoiNgay!$F$4=$L13,MAX(DangKyThamGapThuongXuyen!$A$4:A12)+1,"")</f>
        <v/>
      </c>
      <c r="B13" s="212" t="s">
        <v>1356</v>
      </c>
      <c r="C13" s="212">
        <v>1994</v>
      </c>
      <c r="D13" s="212" t="s">
        <v>1357</v>
      </c>
      <c r="E13" s="212" t="s">
        <v>1296</v>
      </c>
      <c r="F13" s="212"/>
      <c r="G13" s="212" t="s">
        <v>2173</v>
      </c>
      <c r="H13" s="212" t="s">
        <v>1867</v>
      </c>
      <c r="I13" s="212"/>
      <c r="J13" s="212"/>
      <c r="K13" s="212"/>
      <c r="L13" s="212" t="s">
        <v>220</v>
      </c>
      <c r="M13" s="212" t="s">
        <v>2004</v>
      </c>
      <c r="N13" s="212"/>
    </row>
    <row r="14" spans="1:14" x14ac:dyDescent="0.25">
      <c r="A14" s="211" t="str">
        <f>IF(DuLieuThamNuoiNgay!$F$4=$L14,MAX(DangKyThamGapThuongXuyen!$A$4:A13)+1,"")</f>
        <v/>
      </c>
      <c r="B14" s="212" t="s">
        <v>1358</v>
      </c>
      <c r="C14" s="212">
        <v>1978</v>
      </c>
      <c r="D14" s="212" t="s">
        <v>1359</v>
      </c>
      <c r="E14" s="212" t="s">
        <v>1277</v>
      </c>
      <c r="F14" s="212"/>
      <c r="G14" s="212" t="s">
        <v>2173</v>
      </c>
      <c r="H14" s="212" t="s">
        <v>1868</v>
      </c>
      <c r="I14" s="212"/>
      <c r="J14" s="212"/>
      <c r="K14" s="212"/>
      <c r="L14" s="212" t="s">
        <v>721</v>
      </c>
      <c r="M14" s="212" t="s">
        <v>2005</v>
      </c>
      <c r="N14" s="212"/>
    </row>
    <row r="15" spans="1:14" x14ac:dyDescent="0.25">
      <c r="A15" s="211" t="str">
        <f>IF(DuLieuThamNuoiNgay!$F$4=$L15,MAX(DangKyThamGapThuongXuyen!$A$4:A14)+1,"")</f>
        <v/>
      </c>
      <c r="B15" s="212" t="s">
        <v>1360</v>
      </c>
      <c r="C15" s="212">
        <v>2000</v>
      </c>
      <c r="D15" s="212" t="s">
        <v>1361</v>
      </c>
      <c r="E15" s="212" t="s">
        <v>1293</v>
      </c>
      <c r="F15" s="212"/>
      <c r="G15" s="212" t="s">
        <v>2173</v>
      </c>
      <c r="H15" s="212" t="s">
        <v>1868</v>
      </c>
      <c r="I15" s="212"/>
      <c r="J15" s="212"/>
      <c r="K15" s="212"/>
      <c r="L15" s="212" t="s">
        <v>721</v>
      </c>
      <c r="M15" s="212" t="s">
        <v>2005</v>
      </c>
      <c r="N15" s="212"/>
    </row>
    <row r="16" spans="1:14" x14ac:dyDescent="0.25">
      <c r="A16" s="211" t="str">
        <f>IF(DuLieuThamNuoiNgay!$F$4=$L16,MAX(DangKyThamGapThuongXuyen!$A$4:A15)+1,"")</f>
        <v/>
      </c>
      <c r="B16" s="212" t="s">
        <v>1362</v>
      </c>
      <c r="C16" s="212">
        <v>1954</v>
      </c>
      <c r="D16" s="212" t="s">
        <v>1363</v>
      </c>
      <c r="E16" s="212" t="s">
        <v>1842</v>
      </c>
      <c r="F16" s="212"/>
      <c r="G16" s="212" t="s">
        <v>2173</v>
      </c>
      <c r="H16" s="212" t="s">
        <v>1869</v>
      </c>
      <c r="I16" s="212"/>
      <c r="J16" s="212"/>
      <c r="K16" s="212"/>
      <c r="L16" s="212" t="s">
        <v>721</v>
      </c>
      <c r="M16" s="212" t="s">
        <v>2005</v>
      </c>
      <c r="N16" s="212"/>
    </row>
    <row r="17" spans="1:14" x14ac:dyDescent="0.25">
      <c r="A17" s="211" t="str">
        <f>IF(DuLieuThamNuoiNgay!$F$4=$L17,MAX(DangKyThamGapThuongXuyen!$A$4:A16)+1,"")</f>
        <v/>
      </c>
      <c r="B17" s="212" t="s">
        <v>1364</v>
      </c>
      <c r="C17" s="212">
        <v>1984</v>
      </c>
      <c r="D17" s="212" t="s">
        <v>1365</v>
      </c>
      <c r="E17" s="212" t="s">
        <v>1843</v>
      </c>
      <c r="F17" s="212"/>
      <c r="G17" s="212" t="s">
        <v>2173</v>
      </c>
      <c r="H17" s="212" t="s">
        <v>1869</v>
      </c>
      <c r="I17" s="212"/>
      <c r="J17" s="212"/>
      <c r="K17" s="212"/>
      <c r="L17" s="212" t="s">
        <v>721</v>
      </c>
      <c r="M17" s="212" t="s">
        <v>2005</v>
      </c>
      <c r="N17" s="212"/>
    </row>
    <row r="18" spans="1:14" x14ac:dyDescent="0.25">
      <c r="A18" s="211" t="str">
        <f>IF(DuLieuThamNuoiNgay!$F$4=$L18,MAX(DangKyThamGapThuongXuyen!$A$4:A17)+1,"")</f>
        <v/>
      </c>
      <c r="B18" s="212" t="s">
        <v>1366</v>
      </c>
      <c r="C18" s="212">
        <v>2006</v>
      </c>
      <c r="D18" s="212"/>
      <c r="E18" s="212" t="s">
        <v>1293</v>
      </c>
      <c r="F18" s="212"/>
      <c r="G18" s="212" t="s">
        <v>2173</v>
      </c>
      <c r="H18" s="212" t="s">
        <v>1868</v>
      </c>
      <c r="I18" s="212"/>
      <c r="J18" s="212"/>
      <c r="K18" s="212"/>
      <c r="L18" s="212" t="s">
        <v>721</v>
      </c>
      <c r="M18" s="212" t="s">
        <v>2005</v>
      </c>
      <c r="N18" s="212"/>
    </row>
    <row r="19" spans="1:14" x14ac:dyDescent="0.25">
      <c r="A19" s="211" t="str">
        <f>IF(DuLieuThamNuoiNgay!$F$4=$L19,MAX(DangKyThamGapThuongXuyen!$A$4:A18)+1,"")</f>
        <v/>
      </c>
      <c r="B19" s="212" t="s">
        <v>1367</v>
      </c>
      <c r="C19" s="212">
        <v>1974</v>
      </c>
      <c r="D19" s="212" t="s">
        <v>1368</v>
      </c>
      <c r="E19" s="212" t="s">
        <v>1272</v>
      </c>
      <c r="F19" s="212"/>
      <c r="G19" s="212" t="s">
        <v>2173</v>
      </c>
      <c r="H19" s="212" t="s">
        <v>1870</v>
      </c>
      <c r="I19" s="212"/>
      <c r="J19" s="212"/>
      <c r="K19" s="212"/>
      <c r="L19" s="212" t="s">
        <v>425</v>
      </c>
      <c r="M19" s="212" t="s">
        <v>2006</v>
      </c>
      <c r="N19" s="212"/>
    </row>
    <row r="20" spans="1:14" x14ac:dyDescent="0.25">
      <c r="A20" s="211" t="str">
        <f>IF(DuLieuThamNuoiNgay!$F$4=$L20,MAX(DangKyThamGapThuongXuyen!$A$4:A19)+1,"")</f>
        <v/>
      </c>
      <c r="B20" s="212" t="s">
        <v>1369</v>
      </c>
      <c r="C20" s="212">
        <v>1961</v>
      </c>
      <c r="D20" s="212" t="s">
        <v>1370</v>
      </c>
      <c r="E20" s="212" t="s">
        <v>1279</v>
      </c>
      <c r="F20" s="212"/>
      <c r="G20" s="212" t="s">
        <v>2173</v>
      </c>
      <c r="H20" s="212" t="s">
        <v>1871</v>
      </c>
      <c r="I20" s="212"/>
      <c r="J20" s="212"/>
      <c r="K20" s="212"/>
      <c r="L20" s="212" t="s">
        <v>736</v>
      </c>
      <c r="M20" s="212" t="s">
        <v>2007</v>
      </c>
      <c r="N20" s="212"/>
    </row>
    <row r="21" spans="1:14" x14ac:dyDescent="0.25">
      <c r="A21" s="211" t="str">
        <f>IF(DuLieuThamNuoiNgay!$F$4=$L21,MAX(DangKyThamGapThuongXuyen!$A$4:A20)+1,"")</f>
        <v/>
      </c>
      <c r="B21" s="212" t="s">
        <v>1371</v>
      </c>
      <c r="C21" s="212">
        <v>1983</v>
      </c>
      <c r="D21" s="212" t="s">
        <v>1372</v>
      </c>
      <c r="E21" s="212" t="s">
        <v>35</v>
      </c>
      <c r="F21" s="212"/>
      <c r="G21" s="212" t="s">
        <v>2173</v>
      </c>
      <c r="H21" s="212" t="s">
        <v>1871</v>
      </c>
      <c r="I21" s="212"/>
      <c r="J21" s="212"/>
      <c r="K21" s="212"/>
      <c r="L21" s="212" t="s">
        <v>736</v>
      </c>
      <c r="M21" s="212" t="s">
        <v>2007</v>
      </c>
      <c r="N21" s="212"/>
    </row>
    <row r="22" spans="1:14" x14ac:dyDescent="0.25">
      <c r="A22" s="211" t="str">
        <f>IF(DuLieuThamNuoiNgay!$F$4=$L22,MAX(DangKyThamGapThuongXuyen!$A$4:A21)+1,"")</f>
        <v/>
      </c>
      <c r="B22" s="212" t="s">
        <v>1373</v>
      </c>
      <c r="C22" s="212">
        <v>1960</v>
      </c>
      <c r="D22" s="212"/>
      <c r="E22" s="212" t="s">
        <v>1275</v>
      </c>
      <c r="F22" s="212"/>
      <c r="G22" s="212" t="s">
        <v>2173</v>
      </c>
      <c r="H22" s="212" t="s">
        <v>1872</v>
      </c>
      <c r="I22" s="212"/>
      <c r="J22" s="212"/>
      <c r="K22" s="212"/>
      <c r="L22" s="212" t="s">
        <v>903</v>
      </c>
      <c r="M22" s="212" t="s">
        <v>2008</v>
      </c>
      <c r="N22" s="212"/>
    </row>
    <row r="23" spans="1:14" x14ac:dyDescent="0.25">
      <c r="A23" s="211" t="str">
        <f>IF(DuLieuThamNuoiNgay!$F$4=$L23,MAX(DangKyThamGapThuongXuyen!$A$4:A22)+1,"")</f>
        <v/>
      </c>
      <c r="B23" s="212" t="s">
        <v>1374</v>
      </c>
      <c r="C23" s="212">
        <v>1962</v>
      </c>
      <c r="D23" s="212"/>
      <c r="E23" s="212" t="s">
        <v>1279</v>
      </c>
      <c r="F23" s="212"/>
      <c r="G23" s="212" t="s">
        <v>2173</v>
      </c>
      <c r="H23" s="212" t="s">
        <v>1872</v>
      </c>
      <c r="I23" s="212"/>
      <c r="J23" s="212"/>
      <c r="K23" s="212"/>
      <c r="L23" s="212" t="s">
        <v>903</v>
      </c>
      <c r="M23" s="212" t="s">
        <v>2008</v>
      </c>
      <c r="N23" s="212"/>
    </row>
    <row r="24" spans="1:14" x14ac:dyDescent="0.25">
      <c r="A24" s="211" t="str">
        <f>IF(DuLieuThamNuoiNgay!$F$4=$L24,MAX(DangKyThamGapThuongXuyen!$A$4:A23)+1,"")</f>
        <v/>
      </c>
      <c r="B24" s="212" t="s">
        <v>1375</v>
      </c>
      <c r="C24" s="212">
        <v>1981</v>
      </c>
      <c r="D24" s="212"/>
      <c r="E24" s="212" t="s">
        <v>1272</v>
      </c>
      <c r="F24" s="212"/>
      <c r="G24" s="212" t="s">
        <v>2173</v>
      </c>
      <c r="H24" s="212" t="s">
        <v>1872</v>
      </c>
      <c r="I24" s="212"/>
      <c r="J24" s="212"/>
      <c r="K24" s="212"/>
      <c r="L24" s="212" t="s">
        <v>903</v>
      </c>
      <c r="M24" s="212" t="s">
        <v>2008</v>
      </c>
      <c r="N24" s="212"/>
    </row>
    <row r="25" spans="1:14" x14ac:dyDescent="0.25">
      <c r="A25" s="211" t="str">
        <f>IF(DuLieuThamNuoiNgay!$F$4=$L25,MAX(DangKyThamGapThuongXuyen!$A$4:A24)+1,"")</f>
        <v/>
      </c>
      <c r="B25" s="212" t="s">
        <v>1376</v>
      </c>
      <c r="C25" s="212">
        <v>1964</v>
      </c>
      <c r="D25" s="212" t="s">
        <v>1377</v>
      </c>
      <c r="E25" s="212" t="s">
        <v>1279</v>
      </c>
      <c r="F25" s="212"/>
      <c r="G25" s="212" t="s">
        <v>2173</v>
      </c>
      <c r="H25" s="212" t="s">
        <v>1873</v>
      </c>
      <c r="I25" s="212"/>
      <c r="J25" s="212"/>
      <c r="K25" s="212"/>
      <c r="L25" s="212" t="s">
        <v>504</v>
      </c>
      <c r="M25" s="212" t="s">
        <v>2009</v>
      </c>
      <c r="N25" s="212"/>
    </row>
    <row r="26" spans="1:14" x14ac:dyDescent="0.25">
      <c r="A26" s="211" t="str">
        <f>IF(DuLieuThamNuoiNgay!$F$4=$L26,MAX(DangKyThamGapThuongXuyen!$A$4:A25)+1,"")</f>
        <v/>
      </c>
      <c r="B26" s="212" t="s">
        <v>1378</v>
      </c>
      <c r="C26" s="212">
        <v>1962</v>
      </c>
      <c r="D26" s="212" t="s">
        <v>1379</v>
      </c>
      <c r="E26" s="212" t="s">
        <v>1275</v>
      </c>
      <c r="F26" s="212"/>
      <c r="G26" s="212" t="s">
        <v>2173</v>
      </c>
      <c r="H26" s="212" t="s">
        <v>1873</v>
      </c>
      <c r="I26" s="212"/>
      <c r="J26" s="212"/>
      <c r="K26" s="212"/>
      <c r="L26" s="212" t="s">
        <v>504</v>
      </c>
      <c r="M26" s="212" t="s">
        <v>2009</v>
      </c>
      <c r="N26" s="212"/>
    </row>
    <row r="27" spans="1:14" x14ac:dyDescent="0.25">
      <c r="A27" s="211" t="str">
        <f>IF(DuLieuThamNuoiNgay!$F$4=$L27,MAX(DangKyThamGapThuongXuyen!$A$4:A26)+1,"")</f>
        <v/>
      </c>
      <c r="B27" s="212" t="s">
        <v>1380</v>
      </c>
      <c r="C27" s="212">
        <v>1971</v>
      </c>
      <c r="D27" s="212" t="s">
        <v>1381</v>
      </c>
      <c r="E27" s="212" t="s">
        <v>1279</v>
      </c>
      <c r="F27" s="212"/>
      <c r="G27" s="212" t="s">
        <v>2173</v>
      </c>
      <c r="H27" s="212" t="s">
        <v>1874</v>
      </c>
      <c r="I27" s="212"/>
      <c r="J27" s="212"/>
      <c r="K27" s="212"/>
      <c r="L27" s="212" t="s">
        <v>178</v>
      </c>
      <c r="M27" s="212" t="s">
        <v>2010</v>
      </c>
      <c r="N27" s="212"/>
    </row>
    <row r="28" spans="1:14" x14ac:dyDescent="0.25">
      <c r="A28" s="211" t="str">
        <f>IF(DuLieuThamNuoiNgay!$F$4=$L28,MAX(DangKyThamGapThuongXuyen!$A$4:A27)+1,"")</f>
        <v/>
      </c>
      <c r="B28" s="212" t="s">
        <v>1382</v>
      </c>
      <c r="C28" s="212">
        <v>1987</v>
      </c>
      <c r="D28" s="212" t="s">
        <v>1383</v>
      </c>
      <c r="E28" s="212" t="s">
        <v>1293</v>
      </c>
      <c r="F28" s="212"/>
      <c r="G28" s="212" t="s">
        <v>2173</v>
      </c>
      <c r="H28" s="212" t="s">
        <v>1875</v>
      </c>
      <c r="I28" s="212"/>
      <c r="J28" s="212"/>
      <c r="K28" s="212"/>
      <c r="L28" s="212" t="s">
        <v>91</v>
      </c>
      <c r="M28" s="212" t="s">
        <v>2011</v>
      </c>
      <c r="N28" s="212"/>
    </row>
    <row r="29" spans="1:14" x14ac:dyDescent="0.25">
      <c r="A29" s="211" t="str">
        <f>IF(DuLieuThamNuoiNgay!$F$4=$L29,MAX(DangKyThamGapThuongXuyen!$A$4:A28)+1,"")</f>
        <v/>
      </c>
      <c r="B29" s="212" t="s">
        <v>1384</v>
      </c>
      <c r="C29" s="212">
        <v>1971</v>
      </c>
      <c r="D29" s="212" t="s">
        <v>1385</v>
      </c>
      <c r="E29" s="212" t="s">
        <v>568</v>
      </c>
      <c r="F29" s="212"/>
      <c r="G29" s="212" t="s">
        <v>2173</v>
      </c>
      <c r="H29" s="212" t="s">
        <v>1876</v>
      </c>
      <c r="I29" s="212"/>
      <c r="J29" s="212"/>
      <c r="K29" s="212"/>
      <c r="L29" s="212" t="s">
        <v>91</v>
      </c>
      <c r="M29" s="212" t="s">
        <v>2011</v>
      </c>
      <c r="N29" s="212"/>
    </row>
    <row r="30" spans="1:14" x14ac:dyDescent="0.25">
      <c r="A30" s="211" t="str">
        <f>IF(DuLieuThamNuoiNgay!$F$4=$L30,MAX(DangKyThamGapThuongXuyen!$A$4:A29)+1,"")</f>
        <v/>
      </c>
      <c r="B30" s="212" t="s">
        <v>1386</v>
      </c>
      <c r="C30" s="212">
        <v>1987</v>
      </c>
      <c r="D30" s="212" t="s">
        <v>1387</v>
      </c>
      <c r="E30" s="212" t="s">
        <v>35</v>
      </c>
      <c r="F30" s="212"/>
      <c r="G30" s="212" t="s">
        <v>2173</v>
      </c>
      <c r="H30" s="212" t="s">
        <v>1877</v>
      </c>
      <c r="I30" s="212"/>
      <c r="J30" s="212"/>
      <c r="K30" s="212"/>
      <c r="L30" s="212" t="s">
        <v>77</v>
      </c>
      <c r="M30" s="212" t="s">
        <v>2012</v>
      </c>
      <c r="N30" s="212"/>
    </row>
    <row r="31" spans="1:14" x14ac:dyDescent="0.25">
      <c r="A31" s="211" t="str">
        <f>IF(DuLieuThamNuoiNgay!$F$4=$L31,MAX(DangKyThamGapThuongXuyen!$A$4:A30)+1,"")</f>
        <v/>
      </c>
      <c r="B31" s="212" t="s">
        <v>1388</v>
      </c>
      <c r="C31" s="212">
        <v>1957</v>
      </c>
      <c r="D31" s="212" t="s">
        <v>1389</v>
      </c>
      <c r="E31" s="212" t="s">
        <v>1275</v>
      </c>
      <c r="F31" s="212"/>
      <c r="G31" s="212" t="s">
        <v>2173</v>
      </c>
      <c r="H31" s="212" t="s">
        <v>1878</v>
      </c>
      <c r="I31" s="212"/>
      <c r="J31" s="212"/>
      <c r="K31" s="212"/>
      <c r="L31" s="212" t="s">
        <v>869</v>
      </c>
      <c r="M31" s="212" t="s">
        <v>2013</v>
      </c>
      <c r="N31" s="212"/>
    </row>
    <row r="32" spans="1:14" x14ac:dyDescent="0.25">
      <c r="A32" s="211" t="str">
        <f>IF(DuLieuThamNuoiNgay!$F$4=$L32,MAX(DangKyThamGapThuongXuyen!$A$4:A31)+1,"")</f>
        <v/>
      </c>
      <c r="B32" s="212" t="s">
        <v>1390</v>
      </c>
      <c r="C32" s="212">
        <v>1990</v>
      </c>
      <c r="D32" s="212" t="s">
        <v>1391</v>
      </c>
      <c r="E32" s="212" t="s">
        <v>1277</v>
      </c>
      <c r="F32" s="212"/>
      <c r="G32" s="212" t="s">
        <v>2173</v>
      </c>
      <c r="H32" s="212" t="s">
        <v>1878</v>
      </c>
      <c r="I32" s="212"/>
      <c r="J32" s="212"/>
      <c r="K32" s="212"/>
      <c r="L32" s="212" t="s">
        <v>869</v>
      </c>
      <c r="M32" s="212" t="s">
        <v>2013</v>
      </c>
      <c r="N32" s="212"/>
    </row>
    <row r="33" spans="1:14" x14ac:dyDescent="0.25">
      <c r="A33" s="211" t="str">
        <f>IF(DuLieuThamNuoiNgay!$F$4=$L33,MAX(DangKyThamGapThuongXuyen!$A$4:A32)+1,"")</f>
        <v/>
      </c>
      <c r="B33" s="212" t="s">
        <v>1392</v>
      </c>
      <c r="C33" s="212">
        <v>1962</v>
      </c>
      <c r="D33" s="212" t="s">
        <v>1393</v>
      </c>
      <c r="E33" s="212" t="s">
        <v>1279</v>
      </c>
      <c r="F33" s="212"/>
      <c r="G33" s="212" t="s">
        <v>2173</v>
      </c>
      <c r="H33" s="212" t="s">
        <v>1879</v>
      </c>
      <c r="I33" s="212"/>
      <c r="J33" s="212"/>
      <c r="K33" s="212"/>
      <c r="L33" s="212" t="s">
        <v>301</v>
      </c>
      <c r="M33" s="212" t="s">
        <v>2014</v>
      </c>
      <c r="N33" s="212"/>
    </row>
    <row r="34" spans="1:14" x14ac:dyDescent="0.25">
      <c r="A34" s="211" t="str">
        <f>IF(DuLieuThamNuoiNgay!$F$4=$L34,MAX(DangKyThamGapThuongXuyen!$A$4:A33)+1,"")</f>
        <v/>
      </c>
      <c r="B34" s="212" t="s">
        <v>1394</v>
      </c>
      <c r="C34" s="212">
        <v>1952</v>
      </c>
      <c r="D34" s="212" t="s">
        <v>1395</v>
      </c>
      <c r="E34" s="212" t="s">
        <v>1275</v>
      </c>
      <c r="F34" s="212"/>
      <c r="G34" s="212" t="s">
        <v>2173</v>
      </c>
      <c r="H34" s="212" t="s">
        <v>1879</v>
      </c>
      <c r="I34" s="212"/>
      <c r="J34" s="212"/>
      <c r="K34" s="212"/>
      <c r="L34" s="212" t="s">
        <v>301</v>
      </c>
      <c r="M34" s="212" t="s">
        <v>2014</v>
      </c>
      <c r="N34" s="212"/>
    </row>
    <row r="35" spans="1:14" x14ac:dyDescent="0.25">
      <c r="A35" s="211" t="str">
        <f>IF(DuLieuThamNuoiNgay!$F$4=$L35,MAX(DangKyThamGapThuongXuyen!$A$4:A34)+1,"")</f>
        <v/>
      </c>
      <c r="B35" s="212" t="s">
        <v>1396</v>
      </c>
      <c r="C35" s="212">
        <v>1953</v>
      </c>
      <c r="D35" s="212" t="s">
        <v>1397</v>
      </c>
      <c r="E35" s="212" t="s">
        <v>1279</v>
      </c>
      <c r="F35" s="212"/>
      <c r="G35" s="212" t="s">
        <v>2173</v>
      </c>
      <c r="H35" s="212" t="s">
        <v>1880</v>
      </c>
      <c r="I35" s="212"/>
      <c r="J35" s="212"/>
      <c r="K35" s="212"/>
      <c r="L35" s="212" t="s">
        <v>2015</v>
      </c>
      <c r="M35" s="212" t="s">
        <v>2016</v>
      </c>
      <c r="N35" s="212"/>
    </row>
    <row r="36" spans="1:14" x14ac:dyDescent="0.25">
      <c r="A36" s="211" t="str">
        <f>IF(DuLieuThamNuoiNgay!$F$4=$L36,MAX(DangKyThamGapThuongXuyen!$A$4:A35)+1,"")</f>
        <v/>
      </c>
      <c r="B36" s="212" t="s">
        <v>1398</v>
      </c>
      <c r="C36" s="212">
        <v>1988</v>
      </c>
      <c r="D36" s="212" t="s">
        <v>1399</v>
      </c>
      <c r="E36" s="212" t="s">
        <v>1293</v>
      </c>
      <c r="F36" s="212"/>
      <c r="G36" s="212" t="s">
        <v>2173</v>
      </c>
      <c r="H36" s="212" t="s">
        <v>1880</v>
      </c>
      <c r="I36" s="212"/>
      <c r="J36" s="212"/>
      <c r="K36" s="212"/>
      <c r="L36" s="212" t="s">
        <v>2015</v>
      </c>
      <c r="M36" s="212" t="s">
        <v>2016</v>
      </c>
      <c r="N36" s="212"/>
    </row>
    <row r="37" spans="1:14" x14ac:dyDescent="0.25">
      <c r="A37" s="211" t="str">
        <f>IF(DuLieuThamNuoiNgay!$F$4=$L37,MAX(DangKyThamGapThuongXuyen!$A$4:A36)+1,"")</f>
        <v/>
      </c>
      <c r="B37" s="212" t="s">
        <v>1400</v>
      </c>
      <c r="C37" s="212">
        <v>1974</v>
      </c>
      <c r="D37" s="212" t="s">
        <v>1401</v>
      </c>
      <c r="E37" s="212" t="s">
        <v>1272</v>
      </c>
      <c r="F37" s="212"/>
      <c r="G37" s="212" t="s">
        <v>2173</v>
      </c>
      <c r="H37" s="212" t="s">
        <v>1881</v>
      </c>
      <c r="I37" s="212"/>
      <c r="J37" s="212"/>
      <c r="K37" s="212"/>
      <c r="L37" s="212" t="s">
        <v>439</v>
      </c>
      <c r="M37" s="212" t="s">
        <v>2017</v>
      </c>
      <c r="N37" s="212"/>
    </row>
    <row r="38" spans="1:14" x14ac:dyDescent="0.25">
      <c r="A38" s="211" t="str">
        <f>IF(DuLieuThamNuoiNgay!$F$4=$L38,MAX(DangKyThamGapThuongXuyen!$A$4:A37)+1,"")</f>
        <v/>
      </c>
      <c r="B38" s="212" t="s">
        <v>1402</v>
      </c>
      <c r="C38" s="212">
        <v>1971</v>
      </c>
      <c r="D38" s="212" t="s">
        <v>1403</v>
      </c>
      <c r="E38" s="212" t="s">
        <v>35</v>
      </c>
      <c r="F38" s="212"/>
      <c r="G38" s="212" t="s">
        <v>2173</v>
      </c>
      <c r="H38" s="212" t="s">
        <v>1881</v>
      </c>
      <c r="I38" s="212"/>
      <c r="J38" s="212"/>
      <c r="K38" s="212"/>
      <c r="L38" s="212" t="s">
        <v>439</v>
      </c>
      <c r="M38" s="212" t="s">
        <v>2017</v>
      </c>
      <c r="N38" s="212"/>
    </row>
    <row r="39" spans="1:14" x14ac:dyDescent="0.25">
      <c r="A39" s="211" t="str">
        <f>IF(DuLieuThamNuoiNgay!$F$4=$L39,MAX(DangKyThamGapThuongXuyen!$A$4:A38)+1,"")</f>
        <v/>
      </c>
      <c r="B39" s="212" t="s">
        <v>1404</v>
      </c>
      <c r="C39" s="212">
        <v>1956</v>
      </c>
      <c r="D39" s="212" t="s">
        <v>1405</v>
      </c>
      <c r="E39" s="212" t="s">
        <v>1301</v>
      </c>
      <c r="F39" s="212"/>
      <c r="G39" s="212" t="s">
        <v>2173</v>
      </c>
      <c r="H39" s="212" t="s">
        <v>1882</v>
      </c>
      <c r="I39" s="212"/>
      <c r="J39" s="212"/>
      <c r="K39" s="212"/>
      <c r="L39" s="212" t="s">
        <v>923</v>
      </c>
      <c r="M39" s="212" t="s">
        <v>2018</v>
      </c>
      <c r="N39" s="212"/>
    </row>
    <row r="40" spans="1:14" x14ac:dyDescent="0.25">
      <c r="A40" s="211" t="str">
        <f>IF(DuLieuThamNuoiNgay!$F$4=$L40,MAX(DangKyThamGapThuongXuyen!$A$4:A39)+1,"")</f>
        <v/>
      </c>
      <c r="B40" s="212" t="s">
        <v>1406</v>
      </c>
      <c r="C40" s="212">
        <v>1962</v>
      </c>
      <c r="D40" s="212" t="s">
        <v>1407</v>
      </c>
      <c r="E40" s="212" t="s">
        <v>1302</v>
      </c>
      <c r="F40" s="212"/>
      <c r="G40" s="212" t="s">
        <v>2173</v>
      </c>
      <c r="H40" s="212" t="s">
        <v>1883</v>
      </c>
      <c r="I40" s="212"/>
      <c r="J40" s="212"/>
      <c r="K40" s="212"/>
      <c r="L40" s="212" t="s">
        <v>923</v>
      </c>
      <c r="M40" s="212" t="s">
        <v>2018</v>
      </c>
      <c r="N40" s="212"/>
    </row>
    <row r="41" spans="1:14" x14ac:dyDescent="0.25">
      <c r="A41" s="211" t="str">
        <f>IF(DuLieuThamNuoiNgay!$F$4=$L41,MAX(DangKyThamGapThuongXuyen!$A$4:A40)+1,"")</f>
        <v/>
      </c>
      <c r="B41" s="212" t="s">
        <v>1408</v>
      </c>
      <c r="C41" s="212">
        <v>1992</v>
      </c>
      <c r="D41" s="212">
        <v>7.9192001413999999E-2</v>
      </c>
      <c r="E41" s="212" t="s">
        <v>1277</v>
      </c>
      <c r="F41" s="212"/>
      <c r="G41" s="212" t="s">
        <v>2173</v>
      </c>
      <c r="H41" s="212" t="s">
        <v>1884</v>
      </c>
      <c r="I41" s="212"/>
      <c r="J41" s="212"/>
      <c r="K41" s="212"/>
      <c r="L41" s="212" t="s">
        <v>733</v>
      </c>
      <c r="M41" s="212" t="s">
        <v>2019</v>
      </c>
      <c r="N41" s="212"/>
    </row>
    <row r="42" spans="1:14" x14ac:dyDescent="0.25">
      <c r="A42" s="211" t="str">
        <f>IF(DuLieuThamNuoiNgay!$F$4=$L42,MAX(DangKyThamGapThuongXuyen!$A$4:A41)+1,"")</f>
        <v/>
      </c>
      <c r="B42" s="212" t="s">
        <v>1409</v>
      </c>
      <c r="C42" s="212">
        <v>1967</v>
      </c>
      <c r="D42" s="212" t="s">
        <v>1410</v>
      </c>
      <c r="E42" s="212" t="s">
        <v>1279</v>
      </c>
      <c r="F42" s="212"/>
      <c r="G42" s="212" t="s">
        <v>2173</v>
      </c>
      <c r="H42" s="212" t="s">
        <v>1885</v>
      </c>
      <c r="I42" s="212"/>
      <c r="J42" s="212"/>
      <c r="K42" s="212"/>
      <c r="L42" s="212" t="s">
        <v>733</v>
      </c>
      <c r="M42" s="212" t="s">
        <v>2019</v>
      </c>
      <c r="N42" s="212"/>
    </row>
    <row r="43" spans="1:14" x14ac:dyDescent="0.25">
      <c r="A43" s="211" t="str">
        <f>IF(DuLieuThamNuoiNgay!$F$4=$L43,MAX(DangKyThamGapThuongXuyen!$A$4:A42)+1,"")</f>
        <v/>
      </c>
      <c r="B43" s="212" t="s">
        <v>1411</v>
      </c>
      <c r="C43" s="212">
        <v>1990</v>
      </c>
      <c r="D43" s="212" t="s">
        <v>1412</v>
      </c>
      <c r="E43" s="212" t="s">
        <v>35</v>
      </c>
      <c r="F43" s="212"/>
      <c r="G43" s="212" t="s">
        <v>2173</v>
      </c>
      <c r="H43" s="212" t="s">
        <v>1885</v>
      </c>
      <c r="I43" s="212"/>
      <c r="J43" s="212"/>
      <c r="K43" s="212"/>
      <c r="L43" s="212" t="s">
        <v>733</v>
      </c>
      <c r="M43" s="212" t="s">
        <v>2019</v>
      </c>
      <c r="N43" s="212"/>
    </row>
    <row r="44" spans="1:14" x14ac:dyDescent="0.25">
      <c r="A44" s="211" t="str">
        <f>IF(DuLieuThamNuoiNgay!$F$4=$L44,MAX(DangKyThamGapThuongXuyen!$A$4:A43)+1,"")</f>
        <v/>
      </c>
      <c r="B44" s="212" t="s">
        <v>1413</v>
      </c>
      <c r="C44" s="212">
        <v>1954</v>
      </c>
      <c r="D44" s="212" t="s">
        <v>1414</v>
      </c>
      <c r="E44" s="212" t="s">
        <v>1279</v>
      </c>
      <c r="F44" s="212"/>
      <c r="G44" s="212" t="s">
        <v>2173</v>
      </c>
      <c r="H44" s="212" t="s">
        <v>1886</v>
      </c>
      <c r="I44" s="212"/>
      <c r="J44" s="212"/>
      <c r="K44" s="212"/>
      <c r="L44" s="212" t="s">
        <v>373</v>
      </c>
      <c r="M44" s="212" t="s">
        <v>2020</v>
      </c>
      <c r="N44" s="212"/>
    </row>
    <row r="45" spans="1:14" x14ac:dyDescent="0.25">
      <c r="A45" s="211" t="str">
        <f>IF(DuLieuThamNuoiNgay!$F$4=$L45,MAX(DangKyThamGapThuongXuyen!$A$4:A44)+1,"")</f>
        <v/>
      </c>
      <c r="B45" s="212" t="s">
        <v>1415</v>
      </c>
      <c r="C45" s="212">
        <v>1979</v>
      </c>
      <c r="D45" s="212" t="s">
        <v>1416</v>
      </c>
      <c r="E45" s="212" t="s">
        <v>1277</v>
      </c>
      <c r="F45" s="212"/>
      <c r="G45" s="212" t="s">
        <v>2173</v>
      </c>
      <c r="H45" s="212" t="s">
        <v>1887</v>
      </c>
      <c r="I45" s="212"/>
      <c r="J45" s="212"/>
      <c r="K45" s="212"/>
      <c r="L45" s="212" t="s">
        <v>129</v>
      </c>
      <c r="M45" s="212" t="s">
        <v>2021</v>
      </c>
      <c r="N45" s="212"/>
    </row>
    <row r="46" spans="1:14" x14ac:dyDescent="0.25">
      <c r="A46" s="211" t="str">
        <f>IF(DuLieuThamNuoiNgay!$F$4=$L46,MAX(DangKyThamGapThuongXuyen!$A$4:A45)+1,"")</f>
        <v/>
      </c>
      <c r="B46" s="212" t="s">
        <v>1417</v>
      </c>
      <c r="C46" s="212">
        <v>1979</v>
      </c>
      <c r="D46" s="212" t="s">
        <v>1418</v>
      </c>
      <c r="E46" s="212" t="s">
        <v>568</v>
      </c>
      <c r="F46" s="212"/>
      <c r="G46" s="212" t="s">
        <v>2173</v>
      </c>
      <c r="H46" s="212" t="s">
        <v>1887</v>
      </c>
      <c r="I46" s="212"/>
      <c r="J46" s="212"/>
      <c r="K46" s="212"/>
      <c r="L46" s="212" t="s">
        <v>129</v>
      </c>
      <c r="M46" s="212" t="s">
        <v>2021</v>
      </c>
      <c r="N46" s="212"/>
    </row>
    <row r="47" spans="1:14" x14ac:dyDescent="0.25">
      <c r="A47" s="211" t="str">
        <f>IF(DuLieuThamNuoiNgay!$F$4=$L47,MAX(DangKyThamGapThuongXuyen!$A$4:A46)+1,"")</f>
        <v/>
      </c>
      <c r="B47" s="212" t="s">
        <v>1419</v>
      </c>
      <c r="C47" s="212">
        <v>2007</v>
      </c>
      <c r="D47" s="212"/>
      <c r="E47" s="212" t="s">
        <v>1293</v>
      </c>
      <c r="F47" s="212"/>
      <c r="G47" s="212" t="s">
        <v>2173</v>
      </c>
      <c r="H47" s="212" t="s">
        <v>1887</v>
      </c>
      <c r="I47" s="212"/>
      <c r="J47" s="212"/>
      <c r="K47" s="212"/>
      <c r="L47" s="212" t="s">
        <v>129</v>
      </c>
      <c r="M47" s="212" t="s">
        <v>2021</v>
      </c>
      <c r="N47" s="212"/>
    </row>
    <row r="48" spans="1:14" x14ac:dyDescent="0.25">
      <c r="A48" s="211" t="str">
        <f>IF(DuLieuThamNuoiNgay!$F$4=$L48,MAX(DangKyThamGapThuongXuyen!$A$4:A47)+1,"")</f>
        <v/>
      </c>
      <c r="B48" s="212" t="s">
        <v>1420</v>
      </c>
      <c r="C48" s="212">
        <v>1978</v>
      </c>
      <c r="D48" s="212" t="s">
        <v>1421</v>
      </c>
      <c r="E48" s="212" t="s">
        <v>1277</v>
      </c>
      <c r="F48" s="212"/>
      <c r="G48" s="212" t="s">
        <v>2174</v>
      </c>
      <c r="H48" s="212"/>
      <c r="I48" s="212"/>
      <c r="J48" s="212"/>
      <c r="K48" s="212"/>
      <c r="L48" s="212" t="s">
        <v>2022</v>
      </c>
      <c r="M48" s="212" t="s">
        <v>2023</v>
      </c>
      <c r="N48" s="212"/>
    </row>
    <row r="49" spans="1:14" x14ac:dyDescent="0.25">
      <c r="A49" s="211" t="str">
        <f>IF(DuLieuThamNuoiNgay!$F$4=$L49,MAX(DangKyThamGapThuongXuyen!$A$4:A48)+1,"")</f>
        <v/>
      </c>
      <c r="B49" s="212" t="s">
        <v>1422</v>
      </c>
      <c r="C49" s="212">
        <v>1976</v>
      </c>
      <c r="D49" s="212" t="s">
        <v>1423</v>
      </c>
      <c r="E49" s="212" t="s">
        <v>1277</v>
      </c>
      <c r="F49" s="212"/>
      <c r="G49" s="212" t="s">
        <v>2175</v>
      </c>
      <c r="H49" s="212" t="s">
        <v>1888</v>
      </c>
      <c r="I49" s="212"/>
      <c r="J49" s="212"/>
      <c r="K49" s="212"/>
      <c r="L49" s="212" t="s">
        <v>647</v>
      </c>
      <c r="M49" s="212" t="s">
        <v>2024</v>
      </c>
      <c r="N49" s="212"/>
    </row>
    <row r="50" spans="1:14" x14ac:dyDescent="0.25">
      <c r="A50" s="211" t="str">
        <f>IF(DuLieuThamNuoiNgay!$F$4=$L50,MAX(DangKyThamGapThuongXuyen!$A$4:A49)+1,"")</f>
        <v/>
      </c>
      <c r="B50" s="212" t="s">
        <v>1424</v>
      </c>
      <c r="C50" s="212">
        <v>1950</v>
      </c>
      <c r="D50" s="212" t="s">
        <v>1425</v>
      </c>
      <c r="E50" s="212" t="s">
        <v>1844</v>
      </c>
      <c r="F50" s="212"/>
      <c r="G50" s="212" t="s">
        <v>2173</v>
      </c>
      <c r="H50" s="212" t="s">
        <v>1889</v>
      </c>
      <c r="I50" s="212"/>
      <c r="J50" s="212"/>
      <c r="K50" s="212"/>
      <c r="L50" s="212" t="s">
        <v>647</v>
      </c>
      <c r="M50" s="212" t="s">
        <v>2024</v>
      </c>
      <c r="N50" s="212"/>
    </row>
    <row r="51" spans="1:14" x14ac:dyDescent="0.25">
      <c r="A51" s="211" t="str">
        <f>IF(DuLieuThamNuoiNgay!$F$4=$L51,MAX(DangKyThamGapThuongXuyen!$A$4:A50)+1,"")</f>
        <v/>
      </c>
      <c r="B51" s="212" t="s">
        <v>1426</v>
      </c>
      <c r="C51" s="212">
        <v>1960</v>
      </c>
      <c r="D51" s="212" t="s">
        <v>1427</v>
      </c>
      <c r="E51" s="212" t="s">
        <v>1845</v>
      </c>
      <c r="F51" s="212"/>
      <c r="G51" s="212" t="s">
        <v>2173</v>
      </c>
      <c r="H51" s="212" t="s">
        <v>1890</v>
      </c>
      <c r="I51" s="212"/>
      <c r="J51" s="212"/>
      <c r="K51" s="212"/>
      <c r="L51" s="212" t="s">
        <v>377</v>
      </c>
      <c r="M51" s="212" t="s">
        <v>2025</v>
      </c>
      <c r="N51" s="212"/>
    </row>
    <row r="52" spans="1:14" x14ac:dyDescent="0.25">
      <c r="A52" s="211" t="str">
        <f>IF(DuLieuThamNuoiNgay!$F$4=$L52,MAX(DangKyThamGapThuongXuyen!$A$4:A51)+1,"")</f>
        <v/>
      </c>
      <c r="B52" s="212" t="s">
        <v>1428</v>
      </c>
      <c r="C52" s="212">
        <v>1963</v>
      </c>
      <c r="D52" s="212" t="s">
        <v>1429</v>
      </c>
      <c r="E52" s="212" t="s">
        <v>1279</v>
      </c>
      <c r="F52" s="212"/>
      <c r="G52" s="212"/>
      <c r="H52" s="212"/>
      <c r="I52" s="212"/>
      <c r="J52" s="212"/>
      <c r="K52" s="212"/>
      <c r="L52" s="212" t="s">
        <v>377</v>
      </c>
      <c r="M52" s="212" t="s">
        <v>2025</v>
      </c>
      <c r="N52" s="212"/>
    </row>
    <row r="53" spans="1:14" x14ac:dyDescent="0.25">
      <c r="A53" s="211" t="str">
        <f>IF(DuLieuThamNuoiNgay!$F$4=$L53,MAX(DangKyThamGapThuongXuyen!$A$4:A52)+1,"")</f>
        <v/>
      </c>
      <c r="B53" s="212" t="s">
        <v>1430</v>
      </c>
      <c r="C53" s="212">
        <v>1978</v>
      </c>
      <c r="D53" s="212" t="s">
        <v>1431</v>
      </c>
      <c r="E53" s="212" t="s">
        <v>35</v>
      </c>
      <c r="F53" s="212"/>
      <c r="G53" s="212" t="s">
        <v>2173</v>
      </c>
      <c r="H53" s="212" t="s">
        <v>1891</v>
      </c>
      <c r="I53" s="212"/>
      <c r="J53" s="212"/>
      <c r="K53" s="212"/>
      <c r="L53" s="212" t="s">
        <v>335</v>
      </c>
      <c r="M53" s="212" t="s">
        <v>2026</v>
      </c>
      <c r="N53" s="212"/>
    </row>
    <row r="54" spans="1:14" x14ac:dyDescent="0.25">
      <c r="A54" s="211" t="str">
        <f>IF(DuLieuThamNuoiNgay!$F$4=$L54,MAX(DangKyThamGapThuongXuyen!$A$4:A53)+1,"")</f>
        <v/>
      </c>
      <c r="B54" s="212" t="s">
        <v>1432</v>
      </c>
      <c r="C54" s="212">
        <v>1999</v>
      </c>
      <c r="D54" s="212" t="s">
        <v>1433</v>
      </c>
      <c r="E54" s="212" t="s">
        <v>1296</v>
      </c>
      <c r="F54" s="212"/>
      <c r="G54" s="212" t="s">
        <v>2173</v>
      </c>
      <c r="H54" s="212" t="s">
        <v>1892</v>
      </c>
      <c r="I54" s="212"/>
      <c r="J54" s="212"/>
      <c r="K54" s="212"/>
      <c r="L54" s="212" t="s">
        <v>335</v>
      </c>
      <c r="M54" s="212" t="s">
        <v>2026</v>
      </c>
      <c r="N54" s="212"/>
    </row>
    <row r="55" spans="1:14" x14ac:dyDescent="0.25">
      <c r="A55" s="211" t="str">
        <f>IF(DuLieuThamNuoiNgay!$F$4=$L55,MAX(DangKyThamGapThuongXuyen!$A$4:A54)+1,"")</f>
        <v/>
      </c>
      <c r="B55" s="212" t="s">
        <v>1434</v>
      </c>
      <c r="C55" s="212">
        <v>1975</v>
      </c>
      <c r="D55" s="212" t="s">
        <v>1435</v>
      </c>
      <c r="E55" s="212" t="s">
        <v>1277</v>
      </c>
      <c r="F55" s="212"/>
      <c r="G55" s="212" t="s">
        <v>2173</v>
      </c>
      <c r="H55" s="212" t="s">
        <v>1893</v>
      </c>
      <c r="I55" s="212"/>
      <c r="J55" s="212"/>
      <c r="K55" s="212"/>
      <c r="L55" s="212" t="s">
        <v>456</v>
      </c>
      <c r="M55" s="212" t="s">
        <v>2027</v>
      </c>
      <c r="N55" s="212"/>
    </row>
    <row r="56" spans="1:14" x14ac:dyDescent="0.25">
      <c r="A56" s="211" t="str">
        <f>IF(DuLieuThamNuoiNgay!$F$4=$L56,MAX(DangKyThamGapThuongXuyen!$A$4:A55)+1,"")</f>
        <v/>
      </c>
      <c r="B56" s="212" t="s">
        <v>1436</v>
      </c>
      <c r="C56" s="212">
        <v>1995</v>
      </c>
      <c r="D56" s="212" t="s">
        <v>1437</v>
      </c>
      <c r="E56" s="212" t="s">
        <v>1293</v>
      </c>
      <c r="F56" s="212"/>
      <c r="G56" s="212" t="s">
        <v>2173</v>
      </c>
      <c r="H56" s="212" t="s">
        <v>1893</v>
      </c>
      <c r="I56" s="212"/>
      <c r="J56" s="212"/>
      <c r="K56" s="212"/>
      <c r="L56" s="212" t="s">
        <v>456</v>
      </c>
      <c r="M56" s="212" t="s">
        <v>2027</v>
      </c>
      <c r="N56" s="212"/>
    </row>
    <row r="57" spans="1:14" x14ac:dyDescent="0.25">
      <c r="A57" s="211" t="str">
        <f>IF(DuLieuThamNuoiNgay!$F$4=$L57,MAX(DangKyThamGapThuongXuyen!$A$4:A56)+1,"")</f>
        <v/>
      </c>
      <c r="B57" s="212" t="s">
        <v>1438</v>
      </c>
      <c r="C57" s="212">
        <v>1983</v>
      </c>
      <c r="D57" s="212" t="s">
        <v>1439</v>
      </c>
      <c r="E57" s="212" t="s">
        <v>568</v>
      </c>
      <c r="F57" s="212"/>
      <c r="G57" s="212" t="s">
        <v>2174</v>
      </c>
      <c r="H57" s="212"/>
      <c r="I57" s="212"/>
      <c r="J57" s="212"/>
      <c r="K57" s="212"/>
      <c r="L57" s="212" t="s">
        <v>1022</v>
      </c>
      <c r="M57" s="212" t="s">
        <v>2028</v>
      </c>
      <c r="N57" s="212"/>
    </row>
    <row r="58" spans="1:14" x14ac:dyDescent="0.25">
      <c r="A58" s="211" t="str">
        <f>IF(DuLieuThamNuoiNgay!$F$4=$L58,MAX(DangKyThamGapThuongXuyen!$A$4:A57)+1,"")</f>
        <v/>
      </c>
      <c r="B58" s="212" t="s">
        <v>1440</v>
      </c>
      <c r="C58" s="212">
        <v>1983</v>
      </c>
      <c r="D58" s="212" t="s">
        <v>1441</v>
      </c>
      <c r="E58" s="212" t="s">
        <v>1272</v>
      </c>
      <c r="F58" s="212"/>
      <c r="G58" s="212" t="s">
        <v>2173</v>
      </c>
      <c r="H58" s="212" t="s">
        <v>1894</v>
      </c>
      <c r="I58" s="212"/>
      <c r="J58" s="212"/>
      <c r="K58" s="212"/>
      <c r="L58" s="212" t="s">
        <v>2029</v>
      </c>
      <c r="M58" s="212" t="s">
        <v>2030</v>
      </c>
      <c r="N58" s="212"/>
    </row>
    <row r="59" spans="1:14" x14ac:dyDescent="0.25">
      <c r="A59" s="211" t="str">
        <f>IF(DuLieuThamNuoiNgay!$F$4=$L59,MAX(DangKyThamGapThuongXuyen!$A$4:A58)+1,"")</f>
        <v/>
      </c>
      <c r="B59" s="212" t="s">
        <v>1442</v>
      </c>
      <c r="C59" s="212">
        <v>1959</v>
      </c>
      <c r="D59" s="212" t="s">
        <v>1443</v>
      </c>
      <c r="E59" s="212" t="s">
        <v>1275</v>
      </c>
      <c r="F59" s="212"/>
      <c r="G59" s="212" t="s">
        <v>2173</v>
      </c>
      <c r="H59" s="212" t="s">
        <v>1895</v>
      </c>
      <c r="I59" s="212"/>
      <c r="J59" s="212"/>
      <c r="K59" s="212"/>
      <c r="L59" s="212" t="s">
        <v>323</v>
      </c>
      <c r="M59" s="212" t="s">
        <v>2031</v>
      </c>
      <c r="N59" s="212"/>
    </row>
    <row r="60" spans="1:14" x14ac:dyDescent="0.25">
      <c r="A60" s="211" t="str">
        <f>IF(DuLieuThamNuoiNgay!$F$4=$L60,MAX(DangKyThamGapThuongXuyen!$A$4:A59)+1,"")</f>
        <v/>
      </c>
      <c r="B60" s="212" t="s">
        <v>1444</v>
      </c>
      <c r="C60" s="212">
        <v>1961</v>
      </c>
      <c r="D60" s="212" t="s">
        <v>1445</v>
      </c>
      <c r="E60" s="212" t="s">
        <v>1279</v>
      </c>
      <c r="F60" s="212"/>
      <c r="G60" s="212" t="s">
        <v>2173</v>
      </c>
      <c r="H60" s="212" t="s">
        <v>1895</v>
      </c>
      <c r="I60" s="212"/>
      <c r="J60" s="212"/>
      <c r="K60" s="212"/>
      <c r="L60" s="212" t="s">
        <v>323</v>
      </c>
      <c r="M60" s="212" t="s">
        <v>2031</v>
      </c>
      <c r="N60" s="212"/>
    </row>
    <row r="61" spans="1:14" x14ac:dyDescent="0.25">
      <c r="A61" s="211" t="str">
        <f>IF(DuLieuThamNuoiNgay!$F$4=$L61,MAX(DangKyThamGapThuongXuyen!$A$4:A60)+1,"")</f>
        <v/>
      </c>
      <c r="B61" s="212" t="s">
        <v>1446</v>
      </c>
      <c r="C61" s="212">
        <v>1985</v>
      </c>
      <c r="D61" s="212" t="s">
        <v>1447</v>
      </c>
      <c r="E61" s="212" t="s">
        <v>1277</v>
      </c>
      <c r="F61" s="212"/>
      <c r="G61" s="212" t="s">
        <v>2173</v>
      </c>
      <c r="H61" s="212" t="s">
        <v>1895</v>
      </c>
      <c r="I61" s="212"/>
      <c r="J61" s="212"/>
      <c r="K61" s="212"/>
      <c r="L61" s="212" t="s">
        <v>323</v>
      </c>
      <c r="M61" s="212" t="s">
        <v>2031</v>
      </c>
      <c r="N61" s="212"/>
    </row>
    <row r="62" spans="1:14" x14ac:dyDescent="0.25">
      <c r="A62" s="211" t="str">
        <f>IF(DuLieuThamNuoiNgay!$F$4=$L62,MAX(DangKyThamGapThuongXuyen!$A$4:A61)+1,"")</f>
        <v/>
      </c>
      <c r="B62" s="212" t="s">
        <v>1448</v>
      </c>
      <c r="C62" s="212">
        <v>2005</v>
      </c>
      <c r="D62" s="212"/>
      <c r="E62" s="212" t="s">
        <v>1293</v>
      </c>
      <c r="F62" s="212"/>
      <c r="G62" s="212" t="s">
        <v>2173</v>
      </c>
      <c r="H62" s="212" t="s">
        <v>1895</v>
      </c>
      <c r="I62" s="212"/>
      <c r="J62" s="212"/>
      <c r="K62" s="212"/>
      <c r="L62" s="212" t="s">
        <v>323</v>
      </c>
      <c r="M62" s="212" t="s">
        <v>2031</v>
      </c>
      <c r="N62" s="212"/>
    </row>
    <row r="63" spans="1:14" x14ac:dyDescent="0.25">
      <c r="A63" s="211" t="str">
        <f>IF(DuLieuThamNuoiNgay!$F$4=$L63,MAX(DangKyThamGapThuongXuyen!$A$4:A62)+1,"")</f>
        <v/>
      </c>
      <c r="B63" s="212" t="s">
        <v>1449</v>
      </c>
      <c r="C63" s="212">
        <v>2009</v>
      </c>
      <c r="D63" s="212"/>
      <c r="E63" s="212" t="s">
        <v>1293</v>
      </c>
      <c r="F63" s="212"/>
      <c r="G63" s="212" t="s">
        <v>2173</v>
      </c>
      <c r="H63" s="212" t="s">
        <v>1895</v>
      </c>
      <c r="I63" s="212"/>
      <c r="J63" s="212"/>
      <c r="K63" s="212"/>
      <c r="L63" s="212" t="s">
        <v>323</v>
      </c>
      <c r="M63" s="212" t="s">
        <v>2031</v>
      </c>
      <c r="N63" s="212"/>
    </row>
    <row r="64" spans="1:14" x14ac:dyDescent="0.25">
      <c r="A64" s="211" t="str">
        <f>IF(DuLieuThamNuoiNgay!$F$4=$L64,MAX(DangKyThamGapThuongXuyen!$A$4:A63)+1,"")</f>
        <v/>
      </c>
      <c r="B64" s="212" t="s">
        <v>1450</v>
      </c>
      <c r="C64" s="212">
        <v>1965</v>
      </c>
      <c r="D64" s="212" t="s">
        <v>1451</v>
      </c>
      <c r="E64" s="212" t="s">
        <v>1279</v>
      </c>
      <c r="F64" s="212"/>
      <c r="G64" s="212" t="s">
        <v>2173</v>
      </c>
      <c r="H64" s="212" t="s">
        <v>1896</v>
      </c>
      <c r="I64" s="212"/>
      <c r="J64" s="212"/>
      <c r="K64" s="212"/>
      <c r="L64" s="212" t="s">
        <v>291</v>
      </c>
      <c r="M64" s="212" t="s">
        <v>2032</v>
      </c>
      <c r="N64" s="212"/>
    </row>
    <row r="65" spans="1:14" x14ac:dyDescent="0.25">
      <c r="A65" s="211" t="str">
        <f>IF(DuLieuThamNuoiNgay!$F$4=$L65,MAX(DangKyThamGapThuongXuyen!$A$4:A64)+1,"")</f>
        <v/>
      </c>
      <c r="B65" s="212" t="s">
        <v>1452</v>
      </c>
      <c r="C65" s="212">
        <v>1966</v>
      </c>
      <c r="D65" s="212" t="s">
        <v>1453</v>
      </c>
      <c r="E65" s="212" t="s">
        <v>1279</v>
      </c>
      <c r="F65" s="212"/>
      <c r="G65" s="212" t="s">
        <v>2173</v>
      </c>
      <c r="H65" s="212" t="s">
        <v>1897</v>
      </c>
      <c r="I65" s="212"/>
      <c r="J65" s="212"/>
      <c r="K65" s="212"/>
      <c r="L65" s="212" t="s">
        <v>678</v>
      </c>
      <c r="M65" s="212" t="s">
        <v>2033</v>
      </c>
      <c r="N65" s="212"/>
    </row>
    <row r="66" spans="1:14" x14ac:dyDescent="0.25">
      <c r="A66" s="211" t="str">
        <f>IF(DuLieuThamNuoiNgay!$F$4=$L66,MAX(DangKyThamGapThuongXuyen!$A$4:A65)+1,"")</f>
        <v/>
      </c>
      <c r="B66" s="212" t="s">
        <v>1454</v>
      </c>
      <c r="C66" s="212">
        <v>1989</v>
      </c>
      <c r="D66" s="212" t="s">
        <v>1455</v>
      </c>
      <c r="E66" s="212" t="s">
        <v>1279</v>
      </c>
      <c r="F66" s="212"/>
      <c r="G66" s="212" t="s">
        <v>2173</v>
      </c>
      <c r="H66" s="212" t="s">
        <v>1897</v>
      </c>
      <c r="I66" s="212"/>
      <c r="J66" s="212"/>
      <c r="K66" s="212"/>
      <c r="L66" s="212" t="s">
        <v>678</v>
      </c>
      <c r="M66" s="212" t="s">
        <v>2033</v>
      </c>
      <c r="N66" s="212"/>
    </row>
    <row r="67" spans="1:14" x14ac:dyDescent="0.25">
      <c r="A67" s="211" t="str">
        <f>IF(DuLieuThamNuoiNgay!$F$4=$L67,MAX(DangKyThamGapThuongXuyen!$A$4:A66)+1,"")</f>
        <v/>
      </c>
      <c r="B67" s="212" t="s">
        <v>1456</v>
      </c>
      <c r="C67" s="212">
        <v>1994</v>
      </c>
      <c r="D67" s="212" t="s">
        <v>1457</v>
      </c>
      <c r="E67" s="212" t="s">
        <v>1277</v>
      </c>
      <c r="F67" s="212"/>
      <c r="G67" s="212" t="s">
        <v>2173</v>
      </c>
      <c r="H67" s="212" t="s">
        <v>1898</v>
      </c>
      <c r="I67" s="212"/>
      <c r="J67" s="212"/>
      <c r="K67" s="212"/>
      <c r="L67" s="212" t="s">
        <v>678</v>
      </c>
      <c r="M67" s="212" t="s">
        <v>2033</v>
      </c>
      <c r="N67" s="212"/>
    </row>
    <row r="68" spans="1:14" x14ac:dyDescent="0.25">
      <c r="A68" s="211" t="str">
        <f>IF(DuLieuThamNuoiNgay!$F$4=$L68,MAX(DangKyThamGapThuongXuyen!$A$4:A67)+1,"")</f>
        <v/>
      </c>
      <c r="B68" s="212" t="s">
        <v>1278</v>
      </c>
      <c r="C68" s="212">
        <v>1970</v>
      </c>
      <c r="D68" s="212" t="s">
        <v>1280</v>
      </c>
      <c r="E68" s="212" t="s">
        <v>1279</v>
      </c>
      <c r="F68" s="212"/>
      <c r="G68" s="212" t="s">
        <v>2173</v>
      </c>
      <c r="H68" s="212" t="s">
        <v>1899</v>
      </c>
      <c r="I68" s="212"/>
      <c r="J68" s="212"/>
      <c r="K68" s="212"/>
      <c r="L68" s="212" t="s">
        <v>1009</v>
      </c>
      <c r="M68" s="212" t="s">
        <v>2034</v>
      </c>
      <c r="N68" s="212"/>
    </row>
    <row r="69" spans="1:14" x14ac:dyDescent="0.25">
      <c r="A69" s="211" t="str">
        <f>IF(DuLieuThamNuoiNgay!$F$4=$L69,MAX(DangKyThamGapThuongXuyen!$A$4:A68)+1,"")</f>
        <v/>
      </c>
      <c r="B69" s="212" t="s">
        <v>1281</v>
      </c>
      <c r="C69" s="212">
        <v>1993</v>
      </c>
      <c r="D69" s="212" t="s">
        <v>1458</v>
      </c>
      <c r="E69" s="212" t="s">
        <v>1277</v>
      </c>
      <c r="F69" s="212"/>
      <c r="G69" s="212" t="s">
        <v>2173</v>
      </c>
      <c r="H69" s="212" t="s">
        <v>1900</v>
      </c>
      <c r="I69" s="212"/>
      <c r="J69" s="212"/>
      <c r="K69" s="212"/>
      <c r="L69" s="212" t="s">
        <v>1009</v>
      </c>
      <c r="M69" s="212" t="s">
        <v>2034</v>
      </c>
      <c r="N69" s="212"/>
    </row>
    <row r="70" spans="1:14" x14ac:dyDescent="0.25">
      <c r="A70" s="211" t="str">
        <f>IF(DuLieuThamNuoiNgay!$F$4=$L70,MAX(DangKyThamGapThuongXuyen!$A$4:A69)+1,"")</f>
        <v/>
      </c>
      <c r="B70" s="212" t="s">
        <v>1459</v>
      </c>
      <c r="C70" s="212">
        <v>1979</v>
      </c>
      <c r="D70" s="212" t="s">
        <v>1460</v>
      </c>
      <c r="E70" s="212" t="s">
        <v>1272</v>
      </c>
      <c r="F70" s="212"/>
      <c r="G70" s="212" t="s">
        <v>2174</v>
      </c>
      <c r="H70" s="212" t="s">
        <v>1878</v>
      </c>
      <c r="I70" s="212"/>
      <c r="J70" s="212"/>
      <c r="K70" s="212"/>
      <c r="L70" s="212" t="s">
        <v>869</v>
      </c>
      <c r="M70" s="212" t="s">
        <v>2013</v>
      </c>
      <c r="N70" s="212"/>
    </row>
    <row r="71" spans="1:14" x14ac:dyDescent="0.25">
      <c r="A71" s="211" t="str">
        <f>IF(DuLieuThamNuoiNgay!$F$4=$L71,MAX(DangKyThamGapThuongXuyen!$A$4:A70)+1,"")</f>
        <v/>
      </c>
      <c r="B71" s="212" t="s">
        <v>1461</v>
      </c>
      <c r="C71" s="212">
        <v>2000</v>
      </c>
      <c r="D71" s="212"/>
      <c r="E71" s="212" t="s">
        <v>1293</v>
      </c>
      <c r="F71" s="212"/>
      <c r="G71" s="212" t="s">
        <v>2173</v>
      </c>
      <c r="H71" s="212"/>
      <c r="I71" s="212"/>
      <c r="J71" s="212"/>
      <c r="K71" s="212"/>
      <c r="L71" s="212" t="s">
        <v>269</v>
      </c>
      <c r="M71" s="212" t="s">
        <v>2035</v>
      </c>
      <c r="N71" s="212"/>
    </row>
    <row r="72" spans="1:14" x14ac:dyDescent="0.25">
      <c r="A72" s="211" t="str">
        <f>IF(DuLieuThamNuoiNgay!$F$4=$L72,MAX(DangKyThamGapThuongXuyen!$A$4:A71)+1,"")</f>
        <v/>
      </c>
      <c r="B72" s="212" t="s">
        <v>1339</v>
      </c>
      <c r="C72" s="212">
        <v>2009</v>
      </c>
      <c r="D72" s="212"/>
      <c r="E72" s="212" t="s">
        <v>1293</v>
      </c>
      <c r="F72" s="212"/>
      <c r="G72" s="212"/>
      <c r="H72" s="212"/>
      <c r="I72" s="212"/>
      <c r="J72" s="212"/>
      <c r="K72" s="212"/>
      <c r="L72" s="212" t="s">
        <v>269</v>
      </c>
      <c r="M72" s="212" t="s">
        <v>2035</v>
      </c>
      <c r="N72" s="212"/>
    </row>
    <row r="73" spans="1:14" x14ac:dyDescent="0.25">
      <c r="A73" s="211" t="str">
        <f>IF(DuLieuThamNuoiNgay!$F$4=$L73,MAX(DangKyThamGapThuongXuyen!$A$4:A72)+1,"")</f>
        <v/>
      </c>
      <c r="B73" s="212" t="s">
        <v>1462</v>
      </c>
      <c r="C73" s="212">
        <v>1961</v>
      </c>
      <c r="D73" s="212" t="s">
        <v>1463</v>
      </c>
      <c r="E73" s="212" t="s">
        <v>1279</v>
      </c>
      <c r="F73" s="212"/>
      <c r="G73" s="212" t="s">
        <v>2173</v>
      </c>
      <c r="H73" s="212"/>
      <c r="I73" s="212"/>
      <c r="J73" s="212"/>
      <c r="K73" s="212"/>
      <c r="L73" s="212" t="s">
        <v>357</v>
      </c>
      <c r="M73" s="212" t="s">
        <v>2036</v>
      </c>
      <c r="N73" s="212"/>
    </row>
    <row r="74" spans="1:14" x14ac:dyDescent="0.25">
      <c r="A74" s="211" t="str">
        <f>IF(DuLieuThamNuoiNgay!$F$4=$L74,MAX(DangKyThamGapThuongXuyen!$A$4:A73)+1,"")</f>
        <v/>
      </c>
      <c r="B74" s="212" t="s">
        <v>1464</v>
      </c>
      <c r="C74" s="212">
        <v>1957</v>
      </c>
      <c r="D74" s="212" t="s">
        <v>1465</v>
      </c>
      <c r="E74" s="212" t="s">
        <v>1275</v>
      </c>
      <c r="F74" s="212"/>
      <c r="G74" s="212" t="s">
        <v>2173</v>
      </c>
      <c r="H74" s="212"/>
      <c r="I74" s="212"/>
      <c r="J74" s="212"/>
      <c r="K74" s="212"/>
      <c r="L74" s="212" t="s">
        <v>357</v>
      </c>
      <c r="M74" s="212" t="s">
        <v>2036</v>
      </c>
      <c r="N74" s="212"/>
    </row>
    <row r="75" spans="1:14" x14ac:dyDescent="0.25">
      <c r="A75" s="211" t="str">
        <f>IF(DuLieuThamNuoiNgay!$F$4=$L75,MAX(DangKyThamGapThuongXuyen!$A$4:A74)+1,"")</f>
        <v/>
      </c>
      <c r="B75" s="212" t="s">
        <v>1466</v>
      </c>
      <c r="C75" s="212">
        <v>1931</v>
      </c>
      <c r="D75" s="212" t="s">
        <v>1467</v>
      </c>
      <c r="E75" s="212" t="s">
        <v>1846</v>
      </c>
      <c r="F75" s="212"/>
      <c r="G75" s="212" t="s">
        <v>2173</v>
      </c>
      <c r="H75" s="212"/>
      <c r="I75" s="212"/>
      <c r="J75" s="212"/>
      <c r="K75" s="212"/>
      <c r="L75" s="212" t="s">
        <v>207</v>
      </c>
      <c r="M75" s="212" t="s">
        <v>2037</v>
      </c>
      <c r="N75" s="212"/>
    </row>
    <row r="76" spans="1:14" x14ac:dyDescent="0.25">
      <c r="A76" s="211" t="str">
        <f>IF(DuLieuThamNuoiNgay!$F$4=$L76,MAX(DangKyThamGapThuongXuyen!$A$4:A75)+1,"")</f>
        <v/>
      </c>
      <c r="B76" s="212" t="s">
        <v>1468</v>
      </c>
      <c r="C76" s="212">
        <v>1960</v>
      </c>
      <c r="D76" s="212" t="s">
        <v>1469</v>
      </c>
      <c r="E76" s="212" t="s">
        <v>398</v>
      </c>
      <c r="F76" s="212"/>
      <c r="G76" s="212" t="s">
        <v>2173</v>
      </c>
      <c r="H76" s="212"/>
      <c r="I76" s="212"/>
      <c r="J76" s="212"/>
      <c r="K76" s="212"/>
      <c r="L76" s="212" t="s">
        <v>207</v>
      </c>
      <c r="M76" s="212" t="s">
        <v>2037</v>
      </c>
      <c r="N76" s="212"/>
    </row>
    <row r="77" spans="1:14" x14ac:dyDescent="0.25">
      <c r="A77" s="211" t="str">
        <f>IF(DuLieuThamNuoiNgay!$F$4=$L77,MAX(DangKyThamGapThuongXuyen!$A$4:A76)+1,"")</f>
        <v/>
      </c>
      <c r="B77" s="212" t="s">
        <v>1470</v>
      </c>
      <c r="C77" s="212">
        <v>1964</v>
      </c>
      <c r="D77" s="212" t="s">
        <v>1471</v>
      </c>
      <c r="E77" s="212" t="s">
        <v>1302</v>
      </c>
      <c r="F77" s="212"/>
      <c r="G77" s="212" t="s">
        <v>2173</v>
      </c>
      <c r="H77" s="212"/>
      <c r="I77" s="212"/>
      <c r="J77" s="212"/>
      <c r="K77" s="212"/>
      <c r="L77" s="212" t="s">
        <v>207</v>
      </c>
      <c r="M77" s="212" t="s">
        <v>2037</v>
      </c>
      <c r="N77" s="212"/>
    </row>
    <row r="78" spans="1:14" x14ac:dyDescent="0.25">
      <c r="A78" s="211" t="str">
        <f>IF(DuLieuThamNuoiNgay!$F$4=$L78,MAX(DangKyThamGapThuongXuyen!$A$4:A77)+1,"")</f>
        <v/>
      </c>
      <c r="B78" s="212" t="s">
        <v>1472</v>
      </c>
      <c r="C78" s="212">
        <v>1969</v>
      </c>
      <c r="D78" s="212" t="s">
        <v>1473</v>
      </c>
      <c r="E78" s="212" t="s">
        <v>1301</v>
      </c>
      <c r="F78" s="212"/>
      <c r="G78" s="212" t="s">
        <v>2173</v>
      </c>
      <c r="H78" s="212"/>
      <c r="I78" s="212"/>
      <c r="J78" s="212"/>
      <c r="K78" s="212"/>
      <c r="L78" s="212" t="s">
        <v>207</v>
      </c>
      <c r="M78" s="212" t="s">
        <v>2037</v>
      </c>
      <c r="N78" s="212"/>
    </row>
    <row r="79" spans="1:14" x14ac:dyDescent="0.25">
      <c r="A79" s="211" t="str">
        <f>IF(DuLieuThamNuoiNgay!$F$4=$L79,MAX(DangKyThamGapThuongXuyen!$A$4:A78)+1,"")</f>
        <v/>
      </c>
      <c r="B79" s="212" t="s">
        <v>1474</v>
      </c>
      <c r="C79" s="212">
        <v>1962</v>
      </c>
      <c r="D79" s="212" t="s">
        <v>1475</v>
      </c>
      <c r="E79" s="212" t="s">
        <v>1301</v>
      </c>
      <c r="F79" s="212"/>
      <c r="G79" s="212" t="s">
        <v>2173</v>
      </c>
      <c r="H79" s="212"/>
      <c r="I79" s="212"/>
      <c r="J79" s="212"/>
      <c r="K79" s="212"/>
      <c r="L79" s="212" t="s">
        <v>207</v>
      </c>
      <c r="M79" s="212" t="s">
        <v>2037</v>
      </c>
      <c r="N79" s="212"/>
    </row>
    <row r="80" spans="1:14" x14ac:dyDescent="0.25">
      <c r="A80" s="211" t="str">
        <f>IF(DuLieuThamNuoiNgay!$F$4=$L80,MAX(DangKyThamGapThuongXuyen!$A$4:A79)+1,"")</f>
        <v/>
      </c>
      <c r="B80" s="212" t="s">
        <v>1476</v>
      </c>
      <c r="C80" s="212">
        <v>1984</v>
      </c>
      <c r="D80" s="212" t="s">
        <v>1477</v>
      </c>
      <c r="E80" s="212" t="s">
        <v>1279</v>
      </c>
      <c r="F80" s="212"/>
      <c r="G80" s="212" t="s">
        <v>2173</v>
      </c>
      <c r="H80" s="212"/>
      <c r="I80" s="212"/>
      <c r="J80" s="212"/>
      <c r="K80" s="212"/>
      <c r="L80" s="212" t="s">
        <v>207</v>
      </c>
      <c r="M80" s="212" t="s">
        <v>2037</v>
      </c>
      <c r="N80" s="212"/>
    </row>
    <row r="81" spans="1:14" x14ac:dyDescent="0.25">
      <c r="A81" s="211" t="str">
        <f>IF(DuLieuThamNuoiNgay!$F$4=$L81,MAX(DangKyThamGapThuongXuyen!$A$4:A80)+1,"")</f>
        <v/>
      </c>
      <c r="B81" s="212" t="s">
        <v>1478</v>
      </c>
      <c r="C81" s="212">
        <v>1953</v>
      </c>
      <c r="D81" s="212" t="s">
        <v>1479</v>
      </c>
      <c r="E81" s="212" t="s">
        <v>1279</v>
      </c>
      <c r="F81" s="212"/>
      <c r="G81" s="212" t="s">
        <v>2173</v>
      </c>
      <c r="H81" s="212"/>
      <c r="I81" s="212"/>
      <c r="J81" s="212"/>
      <c r="K81" s="212"/>
      <c r="L81" s="212" t="s">
        <v>207</v>
      </c>
      <c r="M81" s="212" t="s">
        <v>2037</v>
      </c>
      <c r="N81" s="212"/>
    </row>
    <row r="82" spans="1:14" x14ac:dyDescent="0.25">
      <c r="A82" s="211" t="str">
        <f>IF(DuLieuThamNuoiNgay!$F$4=$L82,MAX(DangKyThamGapThuongXuyen!$A$4:A81)+1,"")</f>
        <v/>
      </c>
      <c r="B82" s="212" t="s">
        <v>1480</v>
      </c>
      <c r="C82" s="212">
        <v>2001</v>
      </c>
      <c r="D82" s="212" t="s">
        <v>1481</v>
      </c>
      <c r="E82" s="212" t="s">
        <v>1296</v>
      </c>
      <c r="F82" s="212"/>
      <c r="G82" s="212" t="s">
        <v>2173</v>
      </c>
      <c r="H82" s="212"/>
      <c r="I82" s="212"/>
      <c r="J82" s="212"/>
      <c r="K82" s="212"/>
      <c r="L82" s="212" t="s">
        <v>207</v>
      </c>
      <c r="M82" s="212" t="s">
        <v>2037</v>
      </c>
      <c r="N82" s="212"/>
    </row>
    <row r="83" spans="1:14" x14ac:dyDescent="0.25">
      <c r="A83" s="211" t="str">
        <f>IF(DuLieuThamNuoiNgay!$F$4=$L83,MAX(DangKyThamGapThuongXuyen!$A$4:A82)+1,"")</f>
        <v/>
      </c>
      <c r="B83" s="212" t="s">
        <v>1482</v>
      </c>
      <c r="C83" s="212">
        <v>19987</v>
      </c>
      <c r="D83" s="212" t="s">
        <v>1483</v>
      </c>
      <c r="E83" s="212" t="s">
        <v>1277</v>
      </c>
      <c r="F83" s="212"/>
      <c r="G83" s="212" t="s">
        <v>2173</v>
      </c>
      <c r="H83" s="212"/>
      <c r="I83" s="212"/>
      <c r="J83" s="212"/>
      <c r="K83" s="212"/>
      <c r="L83" s="212" t="s">
        <v>464</v>
      </c>
      <c r="M83" s="212" t="s">
        <v>2038</v>
      </c>
      <c r="N83" s="212"/>
    </row>
    <row r="84" spans="1:14" x14ac:dyDescent="0.25">
      <c r="A84" s="211" t="str">
        <f>IF(DuLieuThamNuoiNgay!$F$4=$L84,MAX(DangKyThamGapThuongXuyen!$A$4:A83)+1,"")</f>
        <v/>
      </c>
      <c r="B84" s="212" t="s">
        <v>1484</v>
      </c>
      <c r="C84" s="212">
        <v>1980</v>
      </c>
      <c r="D84" s="212" t="s">
        <v>1485</v>
      </c>
      <c r="E84" s="212" t="s">
        <v>1277</v>
      </c>
      <c r="F84" s="212"/>
      <c r="G84" s="212" t="s">
        <v>2173</v>
      </c>
      <c r="H84" s="212"/>
      <c r="I84" s="212"/>
      <c r="J84" s="212"/>
      <c r="K84" s="212"/>
      <c r="L84" s="212" t="s">
        <v>473</v>
      </c>
      <c r="M84" s="212" t="s">
        <v>2039</v>
      </c>
      <c r="N84" s="212"/>
    </row>
    <row r="85" spans="1:14" x14ac:dyDescent="0.25">
      <c r="A85" s="211" t="str">
        <f>IF(DuLieuThamNuoiNgay!$F$4=$L85,MAX(DangKyThamGapThuongXuyen!$A$4:A84)+1,"")</f>
        <v/>
      </c>
      <c r="B85" s="212" t="s">
        <v>1486</v>
      </c>
      <c r="C85" s="212">
        <v>1999</v>
      </c>
      <c r="D85" s="212" t="s">
        <v>1487</v>
      </c>
      <c r="E85" s="212" t="s">
        <v>1293</v>
      </c>
      <c r="F85" s="212"/>
      <c r="G85" s="212" t="s">
        <v>2173</v>
      </c>
      <c r="H85" s="212"/>
      <c r="I85" s="212"/>
      <c r="J85" s="212"/>
      <c r="K85" s="212"/>
      <c r="L85" s="212" t="s">
        <v>473</v>
      </c>
      <c r="M85" s="212" t="s">
        <v>2039</v>
      </c>
      <c r="N85" s="212"/>
    </row>
    <row r="86" spans="1:14" x14ac:dyDescent="0.25">
      <c r="A86" s="211" t="str">
        <f>IF(DuLieuThamNuoiNgay!$F$4=$L86,MAX(DangKyThamGapThuongXuyen!$A$4:A85)+1,"")</f>
        <v/>
      </c>
      <c r="B86" s="212" t="s">
        <v>1488</v>
      </c>
      <c r="C86" s="212">
        <v>2001</v>
      </c>
      <c r="D86" s="212"/>
      <c r="E86" s="212" t="s">
        <v>1293</v>
      </c>
      <c r="F86" s="212"/>
      <c r="G86" s="212" t="s">
        <v>2173</v>
      </c>
      <c r="H86" s="212"/>
      <c r="I86" s="212"/>
      <c r="J86" s="212"/>
      <c r="K86" s="212"/>
      <c r="L86" s="212" t="s">
        <v>473</v>
      </c>
      <c r="M86" s="212" t="s">
        <v>2039</v>
      </c>
      <c r="N86" s="212"/>
    </row>
    <row r="87" spans="1:14" x14ac:dyDescent="0.25">
      <c r="A87" s="211" t="str">
        <f>IF(DuLieuThamNuoiNgay!$F$4=$L87,MAX(DangKyThamGapThuongXuyen!$A$4:A86)+1,"")</f>
        <v/>
      </c>
      <c r="B87" s="212" t="s">
        <v>1489</v>
      </c>
      <c r="C87" s="212">
        <v>2009</v>
      </c>
      <c r="D87" s="212"/>
      <c r="E87" s="212" t="s">
        <v>1293</v>
      </c>
      <c r="F87" s="212"/>
      <c r="G87" s="212" t="s">
        <v>2173</v>
      </c>
      <c r="H87" s="212"/>
      <c r="I87" s="212"/>
      <c r="J87" s="212"/>
      <c r="K87" s="212"/>
      <c r="L87" s="212" t="s">
        <v>473</v>
      </c>
      <c r="M87" s="212" t="s">
        <v>2039</v>
      </c>
      <c r="N87" s="212"/>
    </row>
    <row r="88" spans="1:14" x14ac:dyDescent="0.25">
      <c r="A88" s="211" t="str">
        <f>IF(DuLieuThamNuoiNgay!$F$4=$L88,MAX(DangKyThamGapThuongXuyen!$A$4:A87)+1,"")</f>
        <v/>
      </c>
      <c r="B88" s="212" t="s">
        <v>1490</v>
      </c>
      <c r="C88" s="212">
        <v>1989</v>
      </c>
      <c r="D88" s="212" t="s">
        <v>1491</v>
      </c>
      <c r="E88" s="212" t="s">
        <v>1277</v>
      </c>
      <c r="F88" s="212"/>
      <c r="G88" s="212" t="s">
        <v>2173</v>
      </c>
      <c r="H88" s="212"/>
      <c r="I88" s="212"/>
      <c r="J88" s="212"/>
      <c r="K88" s="212"/>
      <c r="L88" s="212" t="s">
        <v>2040</v>
      </c>
      <c r="M88" s="212" t="s">
        <v>2041</v>
      </c>
      <c r="N88" s="212"/>
    </row>
    <row r="89" spans="1:14" x14ac:dyDescent="0.25">
      <c r="A89" s="211" t="str">
        <f>IF(DuLieuThamNuoiNgay!$F$4=$L89,MAX(DangKyThamGapThuongXuyen!$A$4:A88)+1,"")</f>
        <v/>
      </c>
      <c r="B89" s="212" t="s">
        <v>1492</v>
      </c>
      <c r="C89" s="212">
        <v>2006</v>
      </c>
      <c r="D89" s="212"/>
      <c r="E89" s="212" t="s">
        <v>1847</v>
      </c>
      <c r="F89" s="212"/>
      <c r="G89" s="212" t="s">
        <v>2173</v>
      </c>
      <c r="H89" s="212"/>
      <c r="I89" s="212"/>
      <c r="J89" s="212"/>
      <c r="K89" s="212"/>
      <c r="L89" s="212" t="s">
        <v>2040</v>
      </c>
      <c r="M89" s="212" t="s">
        <v>2041</v>
      </c>
      <c r="N89" s="212"/>
    </row>
    <row r="90" spans="1:14" x14ac:dyDescent="0.25">
      <c r="A90" s="211" t="str">
        <f>IF(DuLieuThamNuoiNgay!$F$4=$L90,MAX(DangKyThamGapThuongXuyen!$A$4:A89)+1,"")</f>
        <v/>
      </c>
      <c r="B90" s="212" t="s">
        <v>1493</v>
      </c>
      <c r="C90" s="212">
        <v>1960</v>
      </c>
      <c r="D90" s="212" t="s">
        <v>1494</v>
      </c>
      <c r="E90" s="212" t="s">
        <v>1848</v>
      </c>
      <c r="F90" s="212"/>
      <c r="G90" s="212" t="s">
        <v>2173</v>
      </c>
      <c r="H90" s="212"/>
      <c r="I90" s="212"/>
      <c r="J90" s="212"/>
      <c r="K90" s="212"/>
      <c r="L90" s="212" t="s">
        <v>2040</v>
      </c>
      <c r="M90" s="212" t="s">
        <v>2041</v>
      </c>
      <c r="N90" s="212"/>
    </row>
    <row r="91" spans="1:14" x14ac:dyDescent="0.25">
      <c r="A91" s="211" t="str">
        <f>IF(DuLieuThamNuoiNgay!$F$4=$L91,MAX(DangKyThamGapThuongXuyen!$A$4:A90)+1,"")</f>
        <v/>
      </c>
      <c r="B91" s="212" t="s">
        <v>1495</v>
      </c>
      <c r="C91" s="212">
        <v>1972</v>
      </c>
      <c r="D91" s="212" t="s">
        <v>1496</v>
      </c>
      <c r="E91" s="212" t="s">
        <v>1272</v>
      </c>
      <c r="F91" s="212"/>
      <c r="G91" s="212" t="s">
        <v>2173</v>
      </c>
      <c r="H91" s="212"/>
      <c r="I91" s="212"/>
      <c r="J91" s="212"/>
      <c r="K91" s="212"/>
      <c r="L91" s="212" t="s">
        <v>2040</v>
      </c>
      <c r="M91" s="212" t="s">
        <v>2041</v>
      </c>
      <c r="N91" s="212"/>
    </row>
    <row r="92" spans="1:14" x14ac:dyDescent="0.25">
      <c r="A92" s="211" t="str">
        <f>IF(DuLieuThamNuoiNgay!$F$4=$L92,MAX(DangKyThamGapThuongXuyen!$A$4:A91)+1,"")</f>
        <v/>
      </c>
      <c r="B92" s="212" t="s">
        <v>1497</v>
      </c>
      <c r="C92" s="212">
        <v>1941</v>
      </c>
      <c r="D92" s="212" t="s">
        <v>1498</v>
      </c>
      <c r="E92" s="212" t="s">
        <v>1279</v>
      </c>
      <c r="F92" s="212"/>
      <c r="G92" s="212" t="s">
        <v>2173</v>
      </c>
      <c r="H92" s="212"/>
      <c r="I92" s="212"/>
      <c r="J92" s="212"/>
      <c r="K92" s="212"/>
      <c r="L92" s="212" t="s">
        <v>2040</v>
      </c>
      <c r="M92" s="212" t="s">
        <v>2041</v>
      </c>
      <c r="N92" s="212"/>
    </row>
    <row r="93" spans="1:14" x14ac:dyDescent="0.25">
      <c r="A93" s="211" t="str">
        <f>IF(DuLieuThamNuoiNgay!$F$4=$L93,MAX(DangKyThamGapThuongXuyen!$A$4:A92)+1,"")</f>
        <v/>
      </c>
      <c r="B93" s="212" t="s">
        <v>1499</v>
      </c>
      <c r="C93" s="212">
        <v>2006</v>
      </c>
      <c r="D93" s="212"/>
      <c r="E93" s="212" t="s">
        <v>1293</v>
      </c>
      <c r="F93" s="212"/>
      <c r="G93" s="212" t="s">
        <v>2173</v>
      </c>
      <c r="H93" s="212"/>
      <c r="I93" s="212"/>
      <c r="J93" s="212"/>
      <c r="K93" s="212"/>
      <c r="L93" s="212" t="s">
        <v>2040</v>
      </c>
      <c r="M93" s="212" t="s">
        <v>2041</v>
      </c>
      <c r="N93" s="212"/>
    </row>
    <row r="94" spans="1:14" x14ac:dyDescent="0.25">
      <c r="A94" s="211" t="str">
        <f>IF(DuLieuThamNuoiNgay!$F$4=$L94,MAX(DangKyThamGapThuongXuyen!$A$4:A93)+1,"")</f>
        <v/>
      </c>
      <c r="B94" s="212" t="s">
        <v>1500</v>
      </c>
      <c r="C94" s="212">
        <v>1989</v>
      </c>
      <c r="D94" s="212" t="s">
        <v>1501</v>
      </c>
      <c r="E94" s="212" t="s">
        <v>1296</v>
      </c>
      <c r="F94" s="212"/>
      <c r="G94" s="212" t="s">
        <v>2173</v>
      </c>
      <c r="H94" s="212"/>
      <c r="I94" s="212"/>
      <c r="J94" s="212"/>
      <c r="K94" s="212"/>
      <c r="L94" s="212" t="s">
        <v>2040</v>
      </c>
      <c r="M94" s="212" t="s">
        <v>2041</v>
      </c>
      <c r="N94" s="212"/>
    </row>
    <row r="95" spans="1:14" x14ac:dyDescent="0.25">
      <c r="A95" s="211" t="str">
        <f>IF(DuLieuThamNuoiNgay!$F$4=$L95,MAX(DangKyThamGapThuongXuyen!$A$4:A94)+1,"")</f>
        <v/>
      </c>
      <c r="B95" s="212" t="s">
        <v>1502</v>
      </c>
      <c r="C95" s="212">
        <v>2003</v>
      </c>
      <c r="D95" s="212"/>
      <c r="E95" s="212" t="s">
        <v>1293</v>
      </c>
      <c r="F95" s="212"/>
      <c r="G95" s="212" t="s">
        <v>2173</v>
      </c>
      <c r="H95" s="212"/>
      <c r="I95" s="212"/>
      <c r="J95" s="212"/>
      <c r="K95" s="212"/>
      <c r="L95" s="212" t="s">
        <v>2040</v>
      </c>
      <c r="M95" s="212" t="s">
        <v>2041</v>
      </c>
      <c r="N95" s="212"/>
    </row>
    <row r="96" spans="1:14" x14ac:dyDescent="0.25">
      <c r="A96" s="211" t="str">
        <f>IF(DuLieuThamNuoiNgay!$F$4=$L96,MAX(DangKyThamGapThuongXuyen!$A$4:A95)+1,"")</f>
        <v/>
      </c>
      <c r="B96" s="212" t="s">
        <v>1503</v>
      </c>
      <c r="C96" s="212">
        <v>1979</v>
      </c>
      <c r="D96" s="212" t="s">
        <v>1504</v>
      </c>
      <c r="E96" s="212" t="s">
        <v>568</v>
      </c>
      <c r="F96" s="212"/>
      <c r="G96" s="212" t="s">
        <v>2173</v>
      </c>
      <c r="H96" s="212"/>
      <c r="I96" s="212"/>
      <c r="J96" s="212"/>
      <c r="K96" s="212"/>
      <c r="L96" s="212" t="s">
        <v>2040</v>
      </c>
      <c r="M96" s="212" t="s">
        <v>2041</v>
      </c>
      <c r="N96" s="212"/>
    </row>
    <row r="97" spans="1:14" x14ac:dyDescent="0.25">
      <c r="A97" s="211" t="str">
        <f>IF(DuLieuThamNuoiNgay!$F$4=$L97,MAX(DangKyThamGapThuongXuyen!$A$4:A96)+1,"")</f>
        <v/>
      </c>
      <c r="B97" s="212" t="s">
        <v>1505</v>
      </c>
      <c r="C97" s="212">
        <v>1973</v>
      </c>
      <c r="D97" s="212" t="s">
        <v>1506</v>
      </c>
      <c r="E97" s="212" t="s">
        <v>1277</v>
      </c>
      <c r="F97" s="212"/>
      <c r="G97" s="212" t="s">
        <v>2173</v>
      </c>
      <c r="H97" s="212"/>
      <c r="I97" s="212"/>
      <c r="J97" s="212"/>
      <c r="K97" s="212"/>
      <c r="L97" s="212" t="s">
        <v>970</v>
      </c>
      <c r="M97" s="212" t="s">
        <v>2042</v>
      </c>
      <c r="N97" s="212"/>
    </row>
    <row r="98" spans="1:14" x14ac:dyDescent="0.25">
      <c r="A98" s="211" t="str">
        <f>IF(DuLieuThamNuoiNgay!$F$4=$L98,MAX(DangKyThamGapThuongXuyen!$A$4:A97)+1,"")</f>
        <v/>
      </c>
      <c r="B98" s="212" t="s">
        <v>1507</v>
      </c>
      <c r="C98" s="212">
        <v>2008</v>
      </c>
      <c r="D98" s="212"/>
      <c r="E98" s="212" t="s">
        <v>1293</v>
      </c>
      <c r="F98" s="212"/>
      <c r="G98" s="212" t="s">
        <v>2173</v>
      </c>
      <c r="H98" s="212"/>
      <c r="I98" s="212"/>
      <c r="J98" s="212"/>
      <c r="K98" s="212"/>
      <c r="L98" s="212" t="s">
        <v>970</v>
      </c>
      <c r="M98" s="212" t="s">
        <v>2042</v>
      </c>
      <c r="N98" s="212"/>
    </row>
    <row r="99" spans="1:14" x14ac:dyDescent="0.25">
      <c r="A99" s="211" t="str">
        <f>IF(DuLieuThamNuoiNgay!$F$4=$L99,MAX(DangKyThamGapThuongXuyen!$A$4:A98)+1,"")</f>
        <v/>
      </c>
      <c r="B99" s="212" t="s">
        <v>1508</v>
      </c>
      <c r="C99" s="212">
        <v>1952</v>
      </c>
      <c r="D99" s="212"/>
      <c r="E99" s="212" t="s">
        <v>1275</v>
      </c>
      <c r="F99" s="212"/>
      <c r="G99" s="212" t="s">
        <v>2173</v>
      </c>
      <c r="H99" s="212"/>
      <c r="I99" s="212"/>
      <c r="J99" s="212"/>
      <c r="K99" s="212"/>
      <c r="L99" s="212" t="s">
        <v>446</v>
      </c>
      <c r="M99" s="212" t="s">
        <v>2043</v>
      </c>
      <c r="N99" s="212"/>
    </row>
    <row r="100" spans="1:14" x14ac:dyDescent="0.25">
      <c r="A100" s="211" t="str">
        <f>IF(DuLieuThamNuoiNgay!$F$4=$L100,MAX(DangKyThamGapThuongXuyen!$A$4:A99)+1,"")</f>
        <v/>
      </c>
      <c r="B100" s="212" t="s">
        <v>1509</v>
      </c>
      <c r="C100" s="212">
        <v>1957</v>
      </c>
      <c r="D100" s="212"/>
      <c r="E100" s="212" t="s">
        <v>1279</v>
      </c>
      <c r="F100" s="212"/>
      <c r="G100" s="212" t="s">
        <v>2173</v>
      </c>
      <c r="H100" s="212"/>
      <c r="I100" s="212"/>
      <c r="J100" s="212"/>
      <c r="K100" s="212"/>
      <c r="L100" s="212" t="s">
        <v>446</v>
      </c>
      <c r="M100" s="212" t="s">
        <v>2043</v>
      </c>
      <c r="N100" s="212"/>
    </row>
    <row r="101" spans="1:14" x14ac:dyDescent="0.25">
      <c r="A101" s="211" t="str">
        <f>IF(DuLieuThamNuoiNgay!$F$4=$L101,MAX(DangKyThamGapThuongXuyen!$A$4:A100)+1,"")</f>
        <v/>
      </c>
      <c r="B101" s="212" t="s">
        <v>1510</v>
      </c>
      <c r="C101" s="212">
        <v>1977</v>
      </c>
      <c r="D101" s="212" t="s">
        <v>1511</v>
      </c>
      <c r="E101" s="212" t="s">
        <v>1277</v>
      </c>
      <c r="F101" s="212"/>
      <c r="G101" s="212" t="s">
        <v>2173</v>
      </c>
      <c r="H101" s="212"/>
      <c r="I101" s="212"/>
      <c r="J101" s="212"/>
      <c r="K101" s="212"/>
      <c r="L101" s="212" t="s">
        <v>446</v>
      </c>
      <c r="M101" s="212" t="s">
        <v>2043</v>
      </c>
      <c r="N101" s="212"/>
    </row>
    <row r="102" spans="1:14" x14ac:dyDescent="0.25">
      <c r="A102" s="211" t="str">
        <f>IF(DuLieuThamNuoiNgay!$F$4=$L102,MAX(DangKyThamGapThuongXuyen!$A$4:A101)+1,"")</f>
        <v/>
      </c>
      <c r="B102" s="212" t="s">
        <v>1512</v>
      </c>
      <c r="C102" s="212">
        <v>1996</v>
      </c>
      <c r="D102" s="212" t="s">
        <v>1513</v>
      </c>
      <c r="E102" s="212" t="s">
        <v>1293</v>
      </c>
      <c r="F102" s="212"/>
      <c r="G102" s="212" t="s">
        <v>2173</v>
      </c>
      <c r="H102" s="212"/>
      <c r="I102" s="212"/>
      <c r="J102" s="212"/>
      <c r="K102" s="212"/>
      <c r="L102" s="212" t="s">
        <v>446</v>
      </c>
      <c r="M102" s="212" t="s">
        <v>2043</v>
      </c>
      <c r="N102" s="212"/>
    </row>
    <row r="103" spans="1:14" x14ac:dyDescent="0.25">
      <c r="A103" s="211" t="str">
        <f>IF(DuLieuThamNuoiNgay!$F$4=$L103,MAX(DangKyThamGapThuongXuyen!$A$4:A102)+1,"")</f>
        <v/>
      </c>
      <c r="B103" s="212" t="s">
        <v>1514</v>
      </c>
      <c r="C103" s="212">
        <v>2002</v>
      </c>
      <c r="D103" s="212" t="s">
        <v>1515</v>
      </c>
      <c r="E103" s="212" t="s">
        <v>1293</v>
      </c>
      <c r="F103" s="212"/>
      <c r="G103" s="212" t="s">
        <v>2173</v>
      </c>
      <c r="H103" s="212"/>
      <c r="I103" s="212"/>
      <c r="J103" s="212"/>
      <c r="K103" s="212"/>
      <c r="L103" s="212" t="s">
        <v>446</v>
      </c>
      <c r="M103" s="212" t="s">
        <v>2043</v>
      </c>
      <c r="N103" s="212"/>
    </row>
    <row r="104" spans="1:14" x14ac:dyDescent="0.25">
      <c r="A104" s="211" t="str">
        <f>IF(DuLieuThamNuoiNgay!$F$4=$L104,MAX(DangKyThamGapThuongXuyen!$A$4:A103)+1,"")</f>
        <v/>
      </c>
      <c r="B104" s="212" t="s">
        <v>1516</v>
      </c>
      <c r="C104" s="212">
        <v>1963</v>
      </c>
      <c r="D104" s="212" t="s">
        <v>1517</v>
      </c>
      <c r="E104" s="212" t="s">
        <v>1279</v>
      </c>
      <c r="F104" s="212"/>
      <c r="G104" s="212" t="s">
        <v>2173</v>
      </c>
      <c r="H104" s="212"/>
      <c r="I104" s="212"/>
      <c r="J104" s="212"/>
      <c r="K104" s="212"/>
      <c r="L104" s="212" t="s">
        <v>852</v>
      </c>
      <c r="M104" s="212" t="s">
        <v>2044</v>
      </c>
      <c r="N104" s="212"/>
    </row>
    <row r="105" spans="1:14" x14ac:dyDescent="0.25">
      <c r="A105" s="211" t="str">
        <f>IF(DuLieuThamNuoiNgay!$F$4=$L105,MAX(DangKyThamGapThuongXuyen!$A$4:A104)+1,"")</f>
        <v/>
      </c>
      <c r="B105" s="212" t="s">
        <v>1518</v>
      </c>
      <c r="C105" s="212"/>
      <c r="D105" s="212"/>
      <c r="E105" s="212"/>
      <c r="F105" s="212"/>
      <c r="G105" s="212"/>
      <c r="H105" s="212"/>
      <c r="I105" s="212"/>
      <c r="J105" s="212"/>
      <c r="K105" s="212"/>
      <c r="L105" s="212" t="s">
        <v>852</v>
      </c>
      <c r="M105" s="212" t="s">
        <v>2044</v>
      </c>
      <c r="N105" s="212"/>
    </row>
    <row r="106" spans="1:14" x14ac:dyDescent="0.25">
      <c r="A106" s="211" t="str">
        <f>IF(DuLieuThamNuoiNgay!$F$4=$L106,MAX(DangKyThamGapThuongXuyen!$A$4:A105)+1,"")</f>
        <v/>
      </c>
      <c r="B106" s="212" t="s">
        <v>1519</v>
      </c>
      <c r="C106" s="212">
        <v>1963</v>
      </c>
      <c r="D106" s="212" t="s">
        <v>1520</v>
      </c>
      <c r="E106" s="212" t="s">
        <v>1279</v>
      </c>
      <c r="F106" s="212"/>
      <c r="G106" s="212" t="s">
        <v>2173</v>
      </c>
      <c r="H106" s="212"/>
      <c r="I106" s="212"/>
      <c r="J106" s="212"/>
      <c r="K106" s="212"/>
      <c r="L106" s="212" t="s">
        <v>503</v>
      </c>
      <c r="M106" s="212" t="s">
        <v>597</v>
      </c>
      <c r="N106" s="212"/>
    </row>
    <row r="107" spans="1:14" x14ac:dyDescent="0.25">
      <c r="A107" s="211" t="str">
        <f>IF(DuLieuThamNuoiNgay!$F$4=$L107,MAX(DangKyThamGapThuongXuyen!$A$4:A106)+1,"")</f>
        <v/>
      </c>
      <c r="B107" s="212" t="s">
        <v>1521</v>
      </c>
      <c r="C107" s="212">
        <v>1969</v>
      </c>
      <c r="D107" s="212"/>
      <c r="E107" s="212"/>
      <c r="F107" s="212"/>
      <c r="G107" s="212"/>
      <c r="H107" s="212"/>
      <c r="I107" s="212"/>
      <c r="J107" s="212"/>
      <c r="K107" s="212"/>
      <c r="L107" s="212" t="s">
        <v>871</v>
      </c>
      <c r="M107" s="212" t="s">
        <v>2045</v>
      </c>
      <c r="N107" s="212"/>
    </row>
    <row r="108" spans="1:14" x14ac:dyDescent="0.25">
      <c r="A108" s="211" t="str">
        <f>IF(DuLieuThamNuoiNgay!$F$4=$L108,MAX(DangKyThamGapThuongXuyen!$A$4:A107)+1,"")</f>
        <v/>
      </c>
      <c r="B108" s="212" t="s">
        <v>1522</v>
      </c>
      <c r="C108" s="212">
        <v>1970</v>
      </c>
      <c r="D108" s="212"/>
      <c r="E108" s="212"/>
      <c r="F108" s="212"/>
      <c r="G108" s="212"/>
      <c r="H108" s="212"/>
      <c r="I108" s="212"/>
      <c r="J108" s="212"/>
      <c r="K108" s="212"/>
      <c r="L108" s="212" t="s">
        <v>871</v>
      </c>
      <c r="M108" s="212" t="s">
        <v>2045</v>
      </c>
      <c r="N108" s="212"/>
    </row>
    <row r="109" spans="1:14" x14ac:dyDescent="0.25">
      <c r="A109" s="211" t="str">
        <f>IF(DuLieuThamNuoiNgay!$F$4=$L109,MAX(DangKyThamGapThuongXuyen!$A$4:A108)+1,"")</f>
        <v/>
      </c>
      <c r="B109" s="212" t="s">
        <v>1523</v>
      </c>
      <c r="C109" s="212">
        <v>1990</v>
      </c>
      <c r="D109" s="212" t="s">
        <v>1524</v>
      </c>
      <c r="E109" s="212" t="s">
        <v>568</v>
      </c>
      <c r="F109" s="212"/>
      <c r="G109" s="212" t="s">
        <v>2176</v>
      </c>
      <c r="H109" s="212"/>
      <c r="I109" s="212"/>
      <c r="J109" s="212"/>
      <c r="K109" s="212"/>
      <c r="L109" s="212" t="s">
        <v>1041</v>
      </c>
      <c r="M109" s="212" t="s">
        <v>2046</v>
      </c>
      <c r="N109" s="212"/>
    </row>
    <row r="110" spans="1:14" x14ac:dyDescent="0.25">
      <c r="A110" s="211" t="str">
        <f>IF(DuLieuThamNuoiNgay!$F$4=$L110,MAX(DangKyThamGapThuongXuyen!$A$4:A109)+1,"")</f>
        <v/>
      </c>
      <c r="B110" s="212" t="s">
        <v>1525</v>
      </c>
      <c r="C110" s="212">
        <v>1953</v>
      </c>
      <c r="D110" s="212" t="s">
        <v>1526</v>
      </c>
      <c r="E110" s="212" t="s">
        <v>1279</v>
      </c>
      <c r="F110" s="212"/>
      <c r="G110" s="212" t="s">
        <v>2173</v>
      </c>
      <c r="H110" s="212"/>
      <c r="I110" s="212"/>
      <c r="J110" s="212"/>
      <c r="K110" s="212"/>
      <c r="L110" s="212" t="s">
        <v>508</v>
      </c>
      <c r="M110" s="212" t="s">
        <v>2047</v>
      </c>
      <c r="N110" s="212"/>
    </row>
    <row r="111" spans="1:14" x14ac:dyDescent="0.25">
      <c r="A111" s="211" t="str">
        <f>IF(DuLieuThamNuoiNgay!$F$4=$L111,MAX(DangKyThamGapThuongXuyen!$A$4:A110)+1,"")</f>
        <v/>
      </c>
      <c r="B111" s="212" t="s">
        <v>1527</v>
      </c>
      <c r="C111" s="212">
        <v>1970</v>
      </c>
      <c r="D111" s="212" t="s">
        <v>1528</v>
      </c>
      <c r="E111" s="212" t="s">
        <v>1279</v>
      </c>
      <c r="F111" s="212"/>
      <c r="G111" s="212" t="s">
        <v>2173</v>
      </c>
      <c r="H111" s="212"/>
      <c r="I111" s="212"/>
      <c r="J111" s="212"/>
      <c r="K111" s="212"/>
      <c r="L111" s="212" t="s">
        <v>2048</v>
      </c>
      <c r="M111" s="212" t="s">
        <v>2049</v>
      </c>
      <c r="N111" s="212"/>
    </row>
    <row r="112" spans="1:14" x14ac:dyDescent="0.25">
      <c r="A112" s="211" t="str">
        <f>IF(DuLieuThamNuoiNgay!$F$4=$L112,MAX(DangKyThamGapThuongXuyen!$A$4:A111)+1,"")</f>
        <v/>
      </c>
      <c r="B112" s="212" t="s">
        <v>1527</v>
      </c>
      <c r="C112" s="212">
        <v>1970</v>
      </c>
      <c r="D112" s="212" t="s">
        <v>1528</v>
      </c>
      <c r="E112" s="212" t="s">
        <v>1279</v>
      </c>
      <c r="F112" s="212"/>
      <c r="G112" s="212" t="s">
        <v>2173</v>
      </c>
      <c r="H112" s="212"/>
      <c r="I112" s="212"/>
      <c r="J112" s="212"/>
      <c r="K112" s="212"/>
      <c r="L112" s="212" t="s">
        <v>110</v>
      </c>
      <c r="M112" s="212" t="s">
        <v>2050</v>
      </c>
      <c r="N112" s="212"/>
    </row>
    <row r="113" spans="1:14" x14ac:dyDescent="0.25">
      <c r="A113" s="211" t="str">
        <f>IF(DuLieuThamNuoiNgay!$F$4=$L113,MAX(DangKyThamGapThuongXuyen!$A$4:A112)+1,"")</f>
        <v/>
      </c>
      <c r="B113" s="212" t="s">
        <v>1529</v>
      </c>
      <c r="C113" s="212">
        <v>1991</v>
      </c>
      <c r="D113" s="212" t="s">
        <v>1530</v>
      </c>
      <c r="E113" s="212" t="s">
        <v>1277</v>
      </c>
      <c r="F113" s="212"/>
      <c r="G113" s="212" t="s">
        <v>2173</v>
      </c>
      <c r="H113" s="212"/>
      <c r="I113" s="212"/>
      <c r="J113" s="212"/>
      <c r="K113" s="212"/>
      <c r="L113" s="212" t="s">
        <v>110</v>
      </c>
      <c r="M113" s="212" t="s">
        <v>2050</v>
      </c>
      <c r="N113" s="212"/>
    </row>
    <row r="114" spans="1:14" x14ac:dyDescent="0.25">
      <c r="A114" s="211" t="str">
        <f>IF(DuLieuThamNuoiNgay!$F$4=$L114,MAX(DangKyThamGapThuongXuyen!$A$4:A113)+1,"")</f>
        <v/>
      </c>
      <c r="B114" s="212" t="s">
        <v>1531</v>
      </c>
      <c r="C114" s="212">
        <v>1955</v>
      </c>
      <c r="D114" s="212" t="s">
        <v>1532</v>
      </c>
      <c r="E114" s="212" t="s">
        <v>1279</v>
      </c>
      <c r="F114" s="212"/>
      <c r="G114" s="212" t="s">
        <v>2173</v>
      </c>
      <c r="H114" s="212"/>
      <c r="I114" s="212"/>
      <c r="J114" s="212"/>
      <c r="K114" s="212"/>
      <c r="L114" s="212" t="s">
        <v>2051</v>
      </c>
      <c r="M114" s="212" t="s">
        <v>2052</v>
      </c>
      <c r="N114" s="212"/>
    </row>
    <row r="115" spans="1:14" x14ac:dyDescent="0.25">
      <c r="A115" s="211" t="str">
        <f>IF(DuLieuThamNuoiNgay!$F$4=$L115,MAX(DangKyThamGapThuongXuyen!$A$4:A114)+1,"")</f>
        <v/>
      </c>
      <c r="B115" s="212" t="s">
        <v>1533</v>
      </c>
      <c r="C115" s="212">
        <v>1977</v>
      </c>
      <c r="D115" s="212" t="s">
        <v>1534</v>
      </c>
      <c r="E115" s="212" t="s">
        <v>568</v>
      </c>
      <c r="F115" s="212"/>
      <c r="G115" s="212" t="s">
        <v>2173</v>
      </c>
      <c r="H115" s="212"/>
      <c r="I115" s="212"/>
      <c r="J115" s="212"/>
      <c r="K115" s="212"/>
      <c r="L115" s="212" t="s">
        <v>2051</v>
      </c>
      <c r="M115" s="212" t="s">
        <v>2052</v>
      </c>
      <c r="N115" s="212"/>
    </row>
    <row r="116" spans="1:14" x14ac:dyDescent="0.25">
      <c r="A116" s="211" t="str">
        <f>IF(DuLieuThamNuoiNgay!$F$4=$L116,MAX(DangKyThamGapThuongXuyen!$A$4:A115)+1,"")</f>
        <v/>
      </c>
      <c r="B116" s="212" t="s">
        <v>1283</v>
      </c>
      <c r="C116" s="212">
        <v>1984</v>
      </c>
      <c r="D116" s="212" t="s">
        <v>1535</v>
      </c>
      <c r="E116" s="212" t="s">
        <v>1277</v>
      </c>
      <c r="F116" s="212"/>
      <c r="G116" s="212" t="s">
        <v>2173</v>
      </c>
      <c r="H116" s="212"/>
      <c r="I116" s="212"/>
      <c r="J116" s="212"/>
      <c r="K116" s="212"/>
      <c r="L116" s="212" t="s">
        <v>571</v>
      </c>
      <c r="M116" s="212" t="s">
        <v>2053</v>
      </c>
      <c r="N116" s="212"/>
    </row>
    <row r="117" spans="1:14" x14ac:dyDescent="0.25">
      <c r="A117" s="211" t="str">
        <f>IF(DuLieuThamNuoiNgay!$F$4=$L117,MAX(DangKyThamGapThuongXuyen!$A$4:A116)+1,"")</f>
        <v/>
      </c>
      <c r="B117" s="212" t="s">
        <v>1536</v>
      </c>
      <c r="C117" s="212">
        <v>1957</v>
      </c>
      <c r="D117" s="212" t="s">
        <v>1537</v>
      </c>
      <c r="E117" s="212" t="s">
        <v>1279</v>
      </c>
      <c r="F117" s="212"/>
      <c r="G117" s="212" t="s">
        <v>2173</v>
      </c>
      <c r="H117" s="212"/>
      <c r="I117" s="212"/>
      <c r="J117" s="212"/>
      <c r="K117" s="212"/>
      <c r="L117" s="212" t="s">
        <v>657</v>
      </c>
      <c r="M117" s="212" t="s">
        <v>2054</v>
      </c>
      <c r="N117" s="212"/>
    </row>
    <row r="118" spans="1:14" x14ac:dyDescent="0.25">
      <c r="A118" s="211" t="str">
        <f>IF(DuLieuThamNuoiNgay!$F$4=$L118,MAX(DangKyThamGapThuongXuyen!$A$4:A117)+1,"")</f>
        <v/>
      </c>
      <c r="B118" s="212" t="s">
        <v>1538</v>
      </c>
      <c r="C118" s="212">
        <v>1986</v>
      </c>
      <c r="D118" s="212" t="s">
        <v>1539</v>
      </c>
      <c r="E118" s="212" t="s">
        <v>1277</v>
      </c>
      <c r="F118" s="212"/>
      <c r="G118" s="212" t="s">
        <v>2173</v>
      </c>
      <c r="H118" s="212"/>
      <c r="I118" s="212"/>
      <c r="J118" s="212"/>
      <c r="K118" s="212"/>
      <c r="L118" s="212" t="s">
        <v>657</v>
      </c>
      <c r="M118" s="212" t="s">
        <v>2054</v>
      </c>
      <c r="N118" s="212"/>
    </row>
    <row r="119" spans="1:14" x14ac:dyDescent="0.25">
      <c r="A119" s="211" t="str">
        <f>IF(DuLieuThamNuoiNgay!$F$4=$L119,MAX(DangKyThamGapThuongXuyen!$A$4:A118)+1,"")</f>
        <v/>
      </c>
      <c r="B119" s="212" t="s">
        <v>1540</v>
      </c>
      <c r="C119" s="212">
        <v>1958</v>
      </c>
      <c r="D119" s="212" t="s">
        <v>1541</v>
      </c>
      <c r="E119" s="212" t="s">
        <v>1279</v>
      </c>
      <c r="F119" s="212"/>
      <c r="G119" s="212" t="s">
        <v>2174</v>
      </c>
      <c r="H119" s="212"/>
      <c r="I119" s="212"/>
      <c r="J119" s="212"/>
      <c r="K119" s="212"/>
      <c r="L119" s="212" t="s">
        <v>1015</v>
      </c>
      <c r="M119" s="212" t="s">
        <v>2055</v>
      </c>
      <c r="N119" s="212"/>
    </row>
    <row r="120" spans="1:14" x14ac:dyDescent="0.25">
      <c r="A120" s="211" t="str">
        <f>IF(DuLieuThamNuoiNgay!$F$4=$L120,MAX(DangKyThamGapThuongXuyen!$A$4:A119)+1,"")</f>
        <v/>
      </c>
      <c r="B120" s="212" t="s">
        <v>1542</v>
      </c>
      <c r="C120" s="212">
        <v>1953</v>
      </c>
      <c r="D120" s="212" t="s">
        <v>1543</v>
      </c>
      <c r="E120" s="212" t="s">
        <v>1279</v>
      </c>
      <c r="F120" s="212"/>
      <c r="G120" s="212" t="s">
        <v>2173</v>
      </c>
      <c r="H120" s="212"/>
      <c r="I120" s="212"/>
      <c r="J120" s="212"/>
      <c r="K120" s="212"/>
      <c r="L120" s="212" t="s">
        <v>680</v>
      </c>
      <c r="M120" s="212" t="s">
        <v>2056</v>
      </c>
      <c r="N120" s="212"/>
    </row>
    <row r="121" spans="1:14" x14ac:dyDescent="0.25">
      <c r="A121" s="211" t="str">
        <f>IF(DuLieuThamNuoiNgay!$F$4=$L121,MAX(DangKyThamGapThuongXuyen!$A$4:A120)+1,"")</f>
        <v/>
      </c>
      <c r="B121" s="212" t="s">
        <v>1544</v>
      </c>
      <c r="C121" s="212">
        <v>1983</v>
      </c>
      <c r="D121" s="212" t="s">
        <v>1545</v>
      </c>
      <c r="E121" s="212" t="s">
        <v>1272</v>
      </c>
      <c r="F121" s="212"/>
      <c r="G121" s="212" t="s">
        <v>2173</v>
      </c>
      <c r="H121" s="212"/>
      <c r="I121" s="212"/>
      <c r="J121" s="212"/>
      <c r="K121" s="212"/>
      <c r="L121" s="212" t="s">
        <v>608</v>
      </c>
      <c r="M121" s="212" t="s">
        <v>2057</v>
      </c>
      <c r="N121" s="212"/>
    </row>
    <row r="122" spans="1:14" x14ac:dyDescent="0.25">
      <c r="A122" s="211" t="str">
        <f>IF(DuLieuThamNuoiNgay!$F$4=$L122,MAX(DangKyThamGapThuongXuyen!$A$4:A121)+1,"")</f>
        <v/>
      </c>
      <c r="B122" s="212" t="s">
        <v>1292</v>
      </c>
      <c r="C122" s="212">
        <v>2006</v>
      </c>
      <c r="D122" s="212" t="s">
        <v>1294</v>
      </c>
      <c r="E122" s="212" t="s">
        <v>1293</v>
      </c>
      <c r="F122" s="212"/>
      <c r="G122" s="212" t="s">
        <v>2173</v>
      </c>
      <c r="H122" s="212"/>
      <c r="I122" s="212"/>
      <c r="J122" s="212"/>
      <c r="K122" s="212"/>
      <c r="L122" s="212" t="s">
        <v>608</v>
      </c>
      <c r="M122" s="212" t="s">
        <v>2057</v>
      </c>
      <c r="N122" s="212"/>
    </row>
    <row r="123" spans="1:14" x14ac:dyDescent="0.25">
      <c r="A123" s="211" t="str">
        <f>IF(DuLieuThamNuoiNgay!$F$4=$L123,MAX(DangKyThamGapThuongXuyen!$A$4:A122)+1,"")</f>
        <v/>
      </c>
      <c r="B123" s="212" t="s">
        <v>1546</v>
      </c>
      <c r="C123" s="212">
        <v>1957</v>
      </c>
      <c r="D123" s="212" t="s">
        <v>1547</v>
      </c>
      <c r="E123" s="212" t="s">
        <v>1279</v>
      </c>
      <c r="F123" s="212"/>
      <c r="G123" s="212" t="s">
        <v>2173</v>
      </c>
      <c r="H123" s="212"/>
      <c r="I123" s="212"/>
      <c r="J123" s="212"/>
      <c r="K123" s="212"/>
      <c r="L123" s="212" t="s">
        <v>608</v>
      </c>
      <c r="M123" s="212" t="s">
        <v>2057</v>
      </c>
      <c r="N123" s="212"/>
    </row>
    <row r="124" spans="1:14" x14ac:dyDescent="0.25">
      <c r="A124" s="211" t="str">
        <f>IF(DuLieuThamNuoiNgay!$F$4=$L124,MAX(DangKyThamGapThuongXuyen!$A$4:A123)+1,"")</f>
        <v/>
      </c>
      <c r="B124" s="212" t="s">
        <v>1548</v>
      </c>
      <c r="C124" s="212">
        <v>2009</v>
      </c>
      <c r="D124" s="212" t="s">
        <v>1294</v>
      </c>
      <c r="E124" s="212" t="s">
        <v>1296</v>
      </c>
      <c r="F124" s="212"/>
      <c r="G124" s="212" t="s">
        <v>2173</v>
      </c>
      <c r="H124" s="212"/>
      <c r="I124" s="212"/>
      <c r="J124" s="212"/>
      <c r="K124" s="212"/>
      <c r="L124" s="212" t="s">
        <v>608</v>
      </c>
      <c r="M124" s="212" t="s">
        <v>2057</v>
      </c>
      <c r="N124" s="212"/>
    </row>
    <row r="125" spans="1:14" x14ac:dyDescent="0.25">
      <c r="A125" s="211" t="str">
        <f>IF(DuLieuThamNuoiNgay!$F$4=$L125,MAX(DangKyThamGapThuongXuyen!$A$4:A124)+1,"")</f>
        <v/>
      </c>
      <c r="B125" s="212" t="s">
        <v>1339</v>
      </c>
      <c r="C125" s="212"/>
      <c r="D125" s="212"/>
      <c r="E125" s="212"/>
      <c r="F125" s="212"/>
      <c r="G125" s="212"/>
      <c r="H125" s="212"/>
      <c r="I125" s="212"/>
      <c r="J125" s="212"/>
      <c r="K125" s="212"/>
      <c r="L125" s="212" t="s">
        <v>608</v>
      </c>
      <c r="M125" s="212" t="s">
        <v>2057</v>
      </c>
      <c r="N125" s="212"/>
    </row>
    <row r="126" spans="1:14" x14ac:dyDescent="0.25">
      <c r="A126" s="211" t="str">
        <f>IF(DuLieuThamNuoiNgay!$F$4=$L126,MAX(DangKyThamGapThuongXuyen!$A$4:A125)+1,"")</f>
        <v/>
      </c>
      <c r="B126" s="212" t="s">
        <v>1549</v>
      </c>
      <c r="C126" s="212">
        <v>1953</v>
      </c>
      <c r="D126" s="212" t="s">
        <v>1550</v>
      </c>
      <c r="E126" s="212" t="s">
        <v>1279</v>
      </c>
      <c r="F126" s="212"/>
      <c r="G126" s="212" t="s">
        <v>2173</v>
      </c>
      <c r="H126" s="212"/>
      <c r="I126" s="212"/>
      <c r="J126" s="212"/>
      <c r="K126" s="212"/>
      <c r="L126" s="212" t="s">
        <v>955</v>
      </c>
      <c r="M126" s="212" t="s">
        <v>2058</v>
      </c>
      <c r="N126" s="212"/>
    </row>
    <row r="127" spans="1:14" x14ac:dyDescent="0.25">
      <c r="A127" s="211" t="str">
        <f>IF(DuLieuThamNuoiNgay!$F$4=$L127,MAX(DangKyThamGapThuongXuyen!$A$4:A126)+1,"")</f>
        <v/>
      </c>
      <c r="B127" s="212" t="s">
        <v>1551</v>
      </c>
      <c r="C127" s="212">
        <v>1983</v>
      </c>
      <c r="D127" s="212" t="s">
        <v>1552</v>
      </c>
      <c r="E127" s="212" t="s">
        <v>1841</v>
      </c>
      <c r="F127" s="212"/>
      <c r="G127" s="212" t="s">
        <v>2173</v>
      </c>
      <c r="H127" s="212"/>
      <c r="I127" s="212"/>
      <c r="J127" s="212"/>
      <c r="K127" s="212"/>
      <c r="L127" s="212" t="s">
        <v>955</v>
      </c>
      <c r="M127" s="212" t="s">
        <v>2058</v>
      </c>
      <c r="N127" s="212"/>
    </row>
    <row r="128" spans="1:14" x14ac:dyDescent="0.25">
      <c r="A128" s="211" t="str">
        <f>IF(DuLieuThamNuoiNgay!$F$4=$L128,MAX(DangKyThamGapThuongXuyen!$A$4:A127)+1,"")</f>
        <v/>
      </c>
      <c r="B128" s="212" t="s">
        <v>1553</v>
      </c>
      <c r="C128" s="212">
        <v>1965</v>
      </c>
      <c r="D128" s="212" t="s">
        <v>1554</v>
      </c>
      <c r="E128" s="212" t="s">
        <v>1279</v>
      </c>
      <c r="F128" s="212"/>
      <c r="G128" s="212" t="s">
        <v>2173</v>
      </c>
      <c r="H128" s="212"/>
      <c r="I128" s="212"/>
      <c r="J128" s="212"/>
      <c r="K128" s="212"/>
      <c r="L128" s="212" t="s">
        <v>798</v>
      </c>
      <c r="M128" s="212" t="s">
        <v>2059</v>
      </c>
      <c r="N128" s="212"/>
    </row>
    <row r="129" spans="1:14" x14ac:dyDescent="0.25">
      <c r="A129" s="211" t="str">
        <f>IF(DuLieuThamNuoiNgay!$F$4=$L129,MAX(DangKyThamGapThuongXuyen!$A$4:A128)+1,"")</f>
        <v/>
      </c>
      <c r="B129" s="212" t="s">
        <v>1555</v>
      </c>
      <c r="C129" s="212">
        <v>1965</v>
      </c>
      <c r="D129" s="212" t="s">
        <v>1556</v>
      </c>
      <c r="E129" s="212" t="s">
        <v>1275</v>
      </c>
      <c r="F129" s="212"/>
      <c r="G129" s="212" t="s">
        <v>2173</v>
      </c>
      <c r="H129" s="212"/>
      <c r="I129" s="212"/>
      <c r="J129" s="212"/>
      <c r="K129" s="212"/>
      <c r="L129" s="212" t="s">
        <v>798</v>
      </c>
      <c r="M129" s="212" t="s">
        <v>2059</v>
      </c>
      <c r="N129" s="212"/>
    </row>
    <row r="130" spans="1:14" x14ac:dyDescent="0.25">
      <c r="A130" s="211" t="str">
        <f>IF(DuLieuThamNuoiNgay!$F$4=$L130,MAX(DangKyThamGapThuongXuyen!$A$4:A129)+1,"")</f>
        <v/>
      </c>
      <c r="B130" s="212" t="s">
        <v>1557</v>
      </c>
      <c r="C130" s="212">
        <v>1967</v>
      </c>
      <c r="D130" s="212" t="s">
        <v>1558</v>
      </c>
      <c r="E130" s="212" t="s">
        <v>1279</v>
      </c>
      <c r="F130" s="212"/>
      <c r="G130" s="212" t="s">
        <v>2173</v>
      </c>
      <c r="H130" s="212"/>
      <c r="I130" s="212"/>
      <c r="J130" s="212"/>
      <c r="K130" s="212"/>
      <c r="L130" s="212" t="s">
        <v>708</v>
      </c>
      <c r="M130" s="212" t="s">
        <v>2060</v>
      </c>
      <c r="N130" s="212"/>
    </row>
    <row r="131" spans="1:14" x14ac:dyDescent="0.25">
      <c r="A131" s="211" t="str">
        <f>IF(DuLieuThamNuoiNgay!$F$4=$L131,MAX(DangKyThamGapThuongXuyen!$A$4:A130)+1,"")</f>
        <v/>
      </c>
      <c r="B131" s="212" t="s">
        <v>1559</v>
      </c>
      <c r="C131" s="212">
        <v>1991</v>
      </c>
      <c r="D131" s="212" t="s">
        <v>1560</v>
      </c>
      <c r="E131" s="212" t="s">
        <v>568</v>
      </c>
      <c r="F131" s="212"/>
      <c r="G131" s="212" t="s">
        <v>2173</v>
      </c>
      <c r="H131" s="212"/>
      <c r="I131" s="212"/>
      <c r="J131" s="212"/>
      <c r="K131" s="212"/>
      <c r="L131" s="212" t="s">
        <v>708</v>
      </c>
      <c r="M131" s="212" t="s">
        <v>2060</v>
      </c>
      <c r="N131" s="212"/>
    </row>
    <row r="132" spans="1:14" x14ac:dyDescent="0.25">
      <c r="A132" s="211" t="str">
        <f>IF(DuLieuThamNuoiNgay!$F$4=$L132,MAX(DangKyThamGapThuongXuyen!$A$4:A131)+1,"")</f>
        <v/>
      </c>
      <c r="B132" s="212" t="s">
        <v>1561</v>
      </c>
      <c r="C132" s="212">
        <v>1964</v>
      </c>
      <c r="D132" s="212" t="s">
        <v>1562</v>
      </c>
      <c r="E132" s="212" t="s">
        <v>1275</v>
      </c>
      <c r="F132" s="212"/>
      <c r="G132" s="212" t="s">
        <v>2173</v>
      </c>
      <c r="H132" s="212"/>
      <c r="I132" s="212"/>
      <c r="J132" s="212"/>
      <c r="K132" s="212"/>
      <c r="L132" s="212" t="s">
        <v>708</v>
      </c>
      <c r="M132" s="212" t="s">
        <v>2060</v>
      </c>
      <c r="N132" s="212"/>
    </row>
    <row r="133" spans="1:14" x14ac:dyDescent="0.25">
      <c r="A133" s="211" t="str">
        <f>IF(DuLieuThamNuoiNgay!$F$4=$L133,MAX(DangKyThamGapThuongXuyen!$A$4:A132)+1,"")</f>
        <v/>
      </c>
      <c r="B133" s="212" t="s">
        <v>1563</v>
      </c>
      <c r="C133" s="212">
        <v>1954</v>
      </c>
      <c r="D133" s="212" t="s">
        <v>1564</v>
      </c>
      <c r="E133" s="212" t="s">
        <v>1275</v>
      </c>
      <c r="F133" s="212"/>
      <c r="G133" s="212" t="s">
        <v>2173</v>
      </c>
      <c r="H133" s="212"/>
      <c r="I133" s="212"/>
      <c r="J133" s="212"/>
      <c r="K133" s="212"/>
      <c r="L133" s="212" t="s">
        <v>2061</v>
      </c>
      <c r="M133" s="212" t="s">
        <v>2062</v>
      </c>
      <c r="N133" s="212"/>
    </row>
    <row r="134" spans="1:14" x14ac:dyDescent="0.25">
      <c r="A134" s="211" t="str">
        <f>IF(DuLieuThamNuoiNgay!$F$4=$L134,MAX(DangKyThamGapThuongXuyen!$A$4:A133)+1,"")</f>
        <v/>
      </c>
      <c r="B134" s="212" t="s">
        <v>1565</v>
      </c>
      <c r="C134" s="212">
        <v>1960</v>
      </c>
      <c r="D134" s="212" t="s">
        <v>1566</v>
      </c>
      <c r="E134" s="212" t="s">
        <v>1275</v>
      </c>
      <c r="F134" s="212"/>
      <c r="G134" s="212" t="s">
        <v>2173</v>
      </c>
      <c r="H134" s="212"/>
      <c r="I134" s="212"/>
      <c r="J134" s="212"/>
      <c r="K134" s="212"/>
      <c r="L134" s="212" t="s">
        <v>627</v>
      </c>
      <c r="M134" s="212" t="s">
        <v>2063</v>
      </c>
      <c r="N134" s="212"/>
    </row>
    <row r="135" spans="1:14" x14ac:dyDescent="0.25">
      <c r="A135" s="211" t="str">
        <f>IF(DuLieuThamNuoiNgay!$F$4=$L135,MAX(DangKyThamGapThuongXuyen!$A$4:A134)+1,"")</f>
        <v/>
      </c>
      <c r="B135" s="212" t="s">
        <v>1567</v>
      </c>
      <c r="C135" s="212">
        <v>1960</v>
      </c>
      <c r="D135" s="212" t="s">
        <v>1568</v>
      </c>
      <c r="E135" s="212" t="s">
        <v>1279</v>
      </c>
      <c r="F135" s="212"/>
      <c r="G135" s="212" t="s">
        <v>2173</v>
      </c>
      <c r="H135" s="212"/>
      <c r="I135" s="212"/>
      <c r="J135" s="212"/>
      <c r="K135" s="212"/>
      <c r="L135" s="212" t="s">
        <v>627</v>
      </c>
      <c r="M135" s="212" t="s">
        <v>2063</v>
      </c>
      <c r="N135" s="212"/>
    </row>
    <row r="136" spans="1:14" x14ac:dyDescent="0.25">
      <c r="A136" s="211" t="str">
        <f>IF(DuLieuThamNuoiNgay!$F$4=$L136,MAX(DangKyThamGapThuongXuyen!$A$4:A135)+1,"")</f>
        <v/>
      </c>
      <c r="B136" s="212" t="s">
        <v>1569</v>
      </c>
      <c r="C136" s="212">
        <v>1958</v>
      </c>
      <c r="D136" s="212" t="s">
        <v>1570</v>
      </c>
      <c r="E136" s="212" t="s">
        <v>1297</v>
      </c>
      <c r="F136" s="212"/>
      <c r="G136" s="212" t="s">
        <v>2173</v>
      </c>
      <c r="H136" s="212"/>
      <c r="I136" s="212"/>
      <c r="J136" s="212"/>
      <c r="K136" s="212"/>
      <c r="L136" s="212" t="s">
        <v>627</v>
      </c>
      <c r="M136" s="212" t="s">
        <v>2063</v>
      </c>
      <c r="N136" s="212"/>
    </row>
    <row r="137" spans="1:14" x14ac:dyDescent="0.25">
      <c r="A137" s="211" t="str">
        <f>IF(DuLieuThamNuoiNgay!$F$4=$L137,MAX(DangKyThamGapThuongXuyen!$A$4:A136)+1,"")</f>
        <v/>
      </c>
      <c r="B137" s="212" t="s">
        <v>1571</v>
      </c>
      <c r="C137" s="212">
        <v>1975</v>
      </c>
      <c r="D137" s="212" t="s">
        <v>1572</v>
      </c>
      <c r="E137" s="212" t="s">
        <v>1277</v>
      </c>
      <c r="F137" s="212"/>
      <c r="G137" s="212" t="s">
        <v>2173</v>
      </c>
      <c r="H137" s="212"/>
      <c r="I137" s="212"/>
      <c r="J137" s="212"/>
      <c r="K137" s="212"/>
      <c r="L137" s="212" t="s">
        <v>652</v>
      </c>
      <c r="M137" s="212" t="s">
        <v>2064</v>
      </c>
      <c r="N137" s="212"/>
    </row>
    <row r="138" spans="1:14" x14ac:dyDescent="0.25">
      <c r="A138" s="211" t="str">
        <f>IF(DuLieuThamNuoiNgay!$F$4=$L138,MAX(DangKyThamGapThuongXuyen!$A$4:A137)+1,"")</f>
        <v/>
      </c>
      <c r="B138" s="212" t="s">
        <v>1573</v>
      </c>
      <c r="C138" s="212">
        <v>1949</v>
      </c>
      <c r="D138" s="212" t="s">
        <v>1574</v>
      </c>
      <c r="E138" s="212" t="s">
        <v>1275</v>
      </c>
      <c r="F138" s="212"/>
      <c r="G138" s="212" t="s">
        <v>2173</v>
      </c>
      <c r="H138" s="212"/>
      <c r="I138" s="212"/>
      <c r="J138" s="212"/>
      <c r="K138" s="212"/>
      <c r="L138" s="212" t="s">
        <v>803</v>
      </c>
      <c r="M138" s="212" t="s">
        <v>2065</v>
      </c>
      <c r="N138" s="212"/>
    </row>
    <row r="139" spans="1:14" x14ac:dyDescent="0.25">
      <c r="A139" s="211" t="str">
        <f>IF(DuLieuThamNuoiNgay!$F$4=$L139,MAX(DangKyThamGapThuongXuyen!$A$4:A138)+1,"")</f>
        <v/>
      </c>
      <c r="B139" s="212" t="s">
        <v>1289</v>
      </c>
      <c r="C139" s="212">
        <v>1952</v>
      </c>
      <c r="D139" s="212" t="s">
        <v>1575</v>
      </c>
      <c r="E139" s="212" t="s">
        <v>1279</v>
      </c>
      <c r="F139" s="212"/>
      <c r="G139" s="212" t="s">
        <v>2173</v>
      </c>
      <c r="H139" s="212"/>
      <c r="I139" s="212"/>
      <c r="J139" s="212"/>
      <c r="K139" s="212"/>
      <c r="L139" s="212" t="s">
        <v>803</v>
      </c>
      <c r="M139" s="212" t="s">
        <v>2065</v>
      </c>
      <c r="N139" s="212"/>
    </row>
    <row r="140" spans="1:14" x14ac:dyDescent="0.25">
      <c r="A140" s="211" t="str">
        <f>IF(DuLieuThamNuoiNgay!$F$4=$L140,MAX(DangKyThamGapThuongXuyen!$A$4:A139)+1,"")</f>
        <v/>
      </c>
      <c r="B140" s="212" t="s">
        <v>1576</v>
      </c>
      <c r="C140" s="212">
        <v>1957</v>
      </c>
      <c r="D140" s="212" t="s">
        <v>1577</v>
      </c>
      <c r="E140" s="212" t="s">
        <v>1275</v>
      </c>
      <c r="F140" s="212"/>
      <c r="G140" s="212" t="s">
        <v>2173</v>
      </c>
      <c r="H140" s="212"/>
      <c r="I140" s="212"/>
      <c r="J140" s="212"/>
      <c r="K140" s="212"/>
      <c r="L140" s="212" t="s">
        <v>917</v>
      </c>
      <c r="M140" s="212" t="s">
        <v>2066</v>
      </c>
      <c r="N140" s="212"/>
    </row>
    <row r="141" spans="1:14" x14ac:dyDescent="0.25">
      <c r="A141" s="211" t="str">
        <f>IF(DuLieuThamNuoiNgay!$F$4=$L141,MAX(DangKyThamGapThuongXuyen!$A$4:A140)+1,"")</f>
        <v/>
      </c>
      <c r="B141" s="212" t="s">
        <v>1578</v>
      </c>
      <c r="C141" s="212">
        <v>1959</v>
      </c>
      <c r="D141" s="212" t="s">
        <v>1579</v>
      </c>
      <c r="E141" s="212" t="s">
        <v>1279</v>
      </c>
      <c r="F141" s="212"/>
      <c r="G141" s="212" t="s">
        <v>2173</v>
      </c>
      <c r="H141" s="212"/>
      <c r="I141" s="212"/>
      <c r="J141" s="212"/>
      <c r="K141" s="212"/>
      <c r="L141" s="212" t="s">
        <v>917</v>
      </c>
      <c r="M141" s="212" t="s">
        <v>2066</v>
      </c>
      <c r="N141" s="212"/>
    </row>
    <row r="142" spans="1:14" x14ac:dyDescent="0.25">
      <c r="A142" s="211" t="str">
        <f>IF(DuLieuThamNuoiNgay!$F$4=$L142,MAX(DangKyThamGapThuongXuyen!$A$4:A141)+1,"")</f>
        <v/>
      </c>
      <c r="B142" s="212" t="s">
        <v>1580</v>
      </c>
      <c r="C142" s="212">
        <v>1988</v>
      </c>
      <c r="D142" s="212" t="s">
        <v>1581</v>
      </c>
      <c r="E142" s="212" t="s">
        <v>568</v>
      </c>
      <c r="F142" s="212"/>
      <c r="G142" s="212" t="s">
        <v>2173</v>
      </c>
      <c r="H142" s="212"/>
      <c r="I142" s="212"/>
      <c r="J142" s="212"/>
      <c r="K142" s="212"/>
      <c r="L142" s="212" t="s">
        <v>917</v>
      </c>
      <c r="M142" s="212" t="s">
        <v>2066</v>
      </c>
      <c r="N142" s="212"/>
    </row>
    <row r="143" spans="1:14" x14ac:dyDescent="0.25">
      <c r="A143" s="211" t="str">
        <f>IF(DuLieuThamNuoiNgay!$F$4=$L143,MAX(DangKyThamGapThuongXuyen!$A$4:A142)+1,"")</f>
        <v/>
      </c>
      <c r="B143" s="212" t="s">
        <v>1582</v>
      </c>
      <c r="C143" s="212">
        <v>1973</v>
      </c>
      <c r="D143" s="212" t="s">
        <v>1583</v>
      </c>
      <c r="E143" s="212" t="s">
        <v>1272</v>
      </c>
      <c r="F143" s="212"/>
      <c r="G143" s="212" t="s">
        <v>2173</v>
      </c>
      <c r="H143" s="212"/>
      <c r="I143" s="212"/>
      <c r="J143" s="212"/>
      <c r="K143" s="212"/>
      <c r="L143" s="212" t="s">
        <v>678</v>
      </c>
      <c r="M143" s="212" t="s">
        <v>2033</v>
      </c>
      <c r="N143" s="212"/>
    </row>
    <row r="144" spans="1:14" x14ac:dyDescent="0.25">
      <c r="A144" s="211" t="str">
        <f>IF(DuLieuThamNuoiNgay!$F$4=$L144,MAX(DangKyThamGapThuongXuyen!$A$4:A143)+1,"")</f>
        <v/>
      </c>
      <c r="B144" s="212" t="s">
        <v>1584</v>
      </c>
      <c r="C144" s="212">
        <v>1981</v>
      </c>
      <c r="D144" s="212" t="s">
        <v>1585</v>
      </c>
      <c r="E144" s="212" t="s">
        <v>1272</v>
      </c>
      <c r="F144" s="212"/>
      <c r="G144" s="212" t="s">
        <v>2173</v>
      </c>
      <c r="H144" s="212"/>
      <c r="I144" s="212"/>
      <c r="J144" s="212"/>
      <c r="K144" s="212"/>
      <c r="L144" s="212" t="s">
        <v>678</v>
      </c>
      <c r="M144" s="212" t="s">
        <v>2033</v>
      </c>
      <c r="N144" s="212"/>
    </row>
    <row r="145" spans="1:14" x14ac:dyDescent="0.25">
      <c r="A145" s="211" t="str">
        <f>IF(DuLieuThamNuoiNgay!$F$4=$L145,MAX(DangKyThamGapThuongXuyen!$A$4:A144)+1,"")</f>
        <v/>
      </c>
      <c r="B145" s="212" t="s">
        <v>1586</v>
      </c>
      <c r="C145" s="212">
        <v>1945</v>
      </c>
      <c r="D145" s="212" t="s">
        <v>1587</v>
      </c>
      <c r="E145" s="212" t="s">
        <v>1279</v>
      </c>
      <c r="F145" s="212"/>
      <c r="G145" s="212" t="s">
        <v>2173</v>
      </c>
      <c r="H145" s="212"/>
      <c r="I145" s="212"/>
      <c r="J145" s="212"/>
      <c r="K145" s="212"/>
      <c r="L145" s="212" t="s">
        <v>477</v>
      </c>
      <c r="M145" s="212" t="s">
        <v>2067</v>
      </c>
      <c r="N145" s="212"/>
    </row>
    <row r="146" spans="1:14" x14ac:dyDescent="0.25">
      <c r="A146" s="211" t="str">
        <f>IF(DuLieuThamNuoiNgay!$F$4=$L146,MAX(DangKyThamGapThuongXuyen!$A$4:A145)+1,"")</f>
        <v/>
      </c>
      <c r="B146" s="212" t="s">
        <v>1588</v>
      </c>
      <c r="C146" s="212">
        <v>1959</v>
      </c>
      <c r="D146" s="212" t="s">
        <v>1589</v>
      </c>
      <c r="E146" s="212" t="s">
        <v>1275</v>
      </c>
      <c r="F146" s="212"/>
      <c r="G146" s="212" t="s">
        <v>2173</v>
      </c>
      <c r="H146" s="212"/>
      <c r="I146" s="212"/>
      <c r="J146" s="212"/>
      <c r="K146" s="212"/>
      <c r="L146" s="212" t="s">
        <v>2068</v>
      </c>
      <c r="M146" s="212" t="s">
        <v>2069</v>
      </c>
      <c r="N146" s="212"/>
    </row>
    <row r="147" spans="1:14" x14ac:dyDescent="0.25">
      <c r="A147" s="211" t="str">
        <f>IF(DuLieuThamNuoiNgay!$F$4=$L147,MAX(DangKyThamGapThuongXuyen!$A$4:A146)+1,"")</f>
        <v/>
      </c>
      <c r="B147" s="212" t="s">
        <v>1590</v>
      </c>
      <c r="C147" s="212">
        <v>1961</v>
      </c>
      <c r="D147" s="212" t="s">
        <v>1591</v>
      </c>
      <c r="E147" s="212" t="s">
        <v>1279</v>
      </c>
      <c r="F147" s="212"/>
      <c r="G147" s="212" t="s">
        <v>2173</v>
      </c>
      <c r="H147" s="212"/>
      <c r="I147" s="212"/>
      <c r="J147" s="212"/>
      <c r="K147" s="212"/>
      <c r="L147" s="212" t="s">
        <v>2068</v>
      </c>
      <c r="M147" s="212" t="s">
        <v>2069</v>
      </c>
      <c r="N147" s="212"/>
    </row>
    <row r="148" spans="1:14" x14ac:dyDescent="0.25">
      <c r="A148" s="211" t="str">
        <f>IF(DuLieuThamNuoiNgay!$F$4=$L148,MAX(DangKyThamGapThuongXuyen!$A$4:A147)+1,"")</f>
        <v/>
      </c>
      <c r="B148" s="212" t="s">
        <v>1285</v>
      </c>
      <c r="C148" s="212">
        <v>1967</v>
      </c>
      <c r="D148" s="212" t="s">
        <v>1592</v>
      </c>
      <c r="E148" s="212" t="s">
        <v>1286</v>
      </c>
      <c r="F148" s="212"/>
      <c r="G148" s="212" t="s">
        <v>2173</v>
      </c>
      <c r="H148" s="212"/>
      <c r="I148" s="212"/>
      <c r="J148" s="212"/>
      <c r="K148" s="212"/>
      <c r="L148" s="212" t="s">
        <v>772</v>
      </c>
      <c r="M148" s="212" t="s">
        <v>2070</v>
      </c>
      <c r="N148" s="212"/>
    </row>
    <row r="149" spans="1:14" x14ac:dyDescent="0.25">
      <c r="A149" s="211" t="str">
        <f>IF(DuLieuThamNuoiNgay!$F$4=$L149,MAX(DangKyThamGapThuongXuyen!$A$4:A148)+1,"")</f>
        <v/>
      </c>
      <c r="B149" s="212" t="s">
        <v>1339</v>
      </c>
      <c r="C149" s="212"/>
      <c r="D149" s="212"/>
      <c r="E149" s="212"/>
      <c r="F149" s="212"/>
      <c r="G149" s="212"/>
      <c r="H149" s="212"/>
      <c r="I149" s="212"/>
      <c r="J149" s="212"/>
      <c r="K149" s="212"/>
      <c r="L149" s="212" t="s">
        <v>323</v>
      </c>
      <c r="M149" s="212" t="s">
        <v>2031</v>
      </c>
      <c r="N149" s="212"/>
    </row>
    <row r="150" spans="1:14" x14ac:dyDescent="0.25">
      <c r="A150" s="211" t="str">
        <f>IF(DuLieuThamNuoiNgay!$F$4=$L150,MAX(DangKyThamGapThuongXuyen!$A$4:A149)+1,"")</f>
        <v/>
      </c>
      <c r="B150" s="212" t="s">
        <v>1593</v>
      </c>
      <c r="C150" s="212">
        <v>1984</v>
      </c>
      <c r="D150" s="212" t="s">
        <v>1594</v>
      </c>
      <c r="E150" s="212" t="s">
        <v>1277</v>
      </c>
      <c r="F150" s="212"/>
      <c r="G150" s="212" t="s">
        <v>2177</v>
      </c>
      <c r="H150" s="212"/>
      <c r="I150" s="212"/>
      <c r="J150" s="212"/>
      <c r="K150" s="212"/>
      <c r="L150" s="212" t="s">
        <v>919</v>
      </c>
      <c r="M150" s="212" t="s">
        <v>2071</v>
      </c>
      <c r="N150" s="212"/>
    </row>
    <row r="151" spans="1:14" x14ac:dyDescent="0.25">
      <c r="A151" s="211" t="str">
        <f>IF(DuLieuThamNuoiNgay!$F$4=$L151,MAX(DangKyThamGapThuongXuyen!$A$4:A150)+1,"")</f>
        <v/>
      </c>
      <c r="B151" s="212" t="s">
        <v>1595</v>
      </c>
      <c r="C151" s="212">
        <v>1989</v>
      </c>
      <c r="D151" s="212" t="s">
        <v>1596</v>
      </c>
      <c r="E151" s="212" t="s">
        <v>1293</v>
      </c>
      <c r="F151" s="212"/>
      <c r="G151" s="212" t="s">
        <v>2173</v>
      </c>
      <c r="H151" s="212"/>
      <c r="I151" s="212"/>
      <c r="J151" s="212"/>
      <c r="K151" s="212"/>
      <c r="L151" s="212" t="s">
        <v>834</v>
      </c>
      <c r="M151" s="212" t="s">
        <v>2072</v>
      </c>
      <c r="N151" s="212"/>
    </row>
    <row r="152" spans="1:14" x14ac:dyDescent="0.25">
      <c r="A152" s="211" t="str">
        <f>IF(DuLieuThamNuoiNgay!$F$4=$L152,MAX(DangKyThamGapThuongXuyen!$A$4:A151)+1,"")</f>
        <v/>
      </c>
      <c r="B152" s="212" t="s">
        <v>1597</v>
      </c>
      <c r="C152" s="212">
        <v>1982</v>
      </c>
      <c r="D152" s="212" t="s">
        <v>1598</v>
      </c>
      <c r="E152" s="212" t="s">
        <v>1296</v>
      </c>
      <c r="F152" s="212"/>
      <c r="G152" s="212"/>
      <c r="H152" s="212"/>
      <c r="I152" s="212"/>
      <c r="J152" s="212"/>
      <c r="K152" s="212"/>
      <c r="L152" s="212" t="s">
        <v>834</v>
      </c>
      <c r="M152" s="212" t="s">
        <v>2072</v>
      </c>
      <c r="N152" s="212"/>
    </row>
    <row r="153" spans="1:14" x14ac:dyDescent="0.25">
      <c r="A153" s="211" t="str">
        <f>IF(DuLieuThamNuoiNgay!$F$4=$L153,MAX(DangKyThamGapThuongXuyen!$A$4:A152)+1,"")</f>
        <v/>
      </c>
      <c r="B153" s="212" t="s">
        <v>1599</v>
      </c>
      <c r="C153" s="212">
        <v>1961</v>
      </c>
      <c r="D153" s="212" t="s">
        <v>1600</v>
      </c>
      <c r="E153" s="212" t="s">
        <v>1279</v>
      </c>
      <c r="F153" s="212"/>
      <c r="G153" s="212" t="s">
        <v>2173</v>
      </c>
      <c r="H153" s="212"/>
      <c r="I153" s="212"/>
      <c r="J153" s="212"/>
      <c r="K153" s="212"/>
      <c r="L153" s="212" t="s">
        <v>575</v>
      </c>
      <c r="M153" s="212" t="s">
        <v>2073</v>
      </c>
      <c r="N153" s="212"/>
    </row>
    <row r="154" spans="1:14" x14ac:dyDescent="0.25">
      <c r="A154" s="211" t="str">
        <f>IF(DuLieuThamNuoiNgay!$F$4=$L154,MAX(DangKyThamGapThuongXuyen!$A$4:A153)+1,"")</f>
        <v/>
      </c>
      <c r="B154" s="212" t="s">
        <v>1599</v>
      </c>
      <c r="C154" s="212">
        <v>1952</v>
      </c>
      <c r="D154" s="212" t="s">
        <v>1601</v>
      </c>
      <c r="E154" s="212" t="s">
        <v>1301</v>
      </c>
      <c r="F154" s="212"/>
      <c r="G154" s="212" t="s">
        <v>2173</v>
      </c>
      <c r="H154" s="212"/>
      <c r="I154" s="212"/>
      <c r="J154" s="212"/>
      <c r="K154" s="212"/>
      <c r="L154" s="212" t="s">
        <v>575</v>
      </c>
      <c r="M154" s="212" t="s">
        <v>2073</v>
      </c>
      <c r="N154" s="212"/>
    </row>
    <row r="155" spans="1:14" x14ac:dyDescent="0.25">
      <c r="A155" s="211" t="str">
        <f>IF(DuLieuThamNuoiNgay!$F$4=$L155,MAX(DangKyThamGapThuongXuyen!$A$4:A154)+1,"")</f>
        <v/>
      </c>
      <c r="B155" s="212" t="s">
        <v>1602</v>
      </c>
      <c r="C155" s="212">
        <v>1976</v>
      </c>
      <c r="D155" s="212" t="s">
        <v>1603</v>
      </c>
      <c r="E155" s="212" t="s">
        <v>1272</v>
      </c>
      <c r="F155" s="212"/>
      <c r="G155" s="212" t="s">
        <v>2173</v>
      </c>
      <c r="H155" s="212"/>
      <c r="I155" s="212"/>
      <c r="J155" s="212"/>
      <c r="K155" s="212"/>
      <c r="L155" s="212" t="s">
        <v>744</v>
      </c>
      <c r="M155" s="212" t="s">
        <v>2074</v>
      </c>
      <c r="N155" s="212"/>
    </row>
    <row r="156" spans="1:14" x14ac:dyDescent="0.25">
      <c r="A156" s="211" t="str">
        <f>IF(DuLieuThamNuoiNgay!$F$4=$L156,MAX(DangKyThamGapThuongXuyen!$A$4:A155)+1,"")</f>
        <v/>
      </c>
      <c r="B156" s="212" t="s">
        <v>1604</v>
      </c>
      <c r="C156" s="212">
        <v>2010</v>
      </c>
      <c r="D156" s="212" t="s">
        <v>1294</v>
      </c>
      <c r="E156" s="212" t="s">
        <v>1296</v>
      </c>
      <c r="F156" s="212"/>
      <c r="G156" s="212" t="s">
        <v>2173</v>
      </c>
      <c r="H156" s="212"/>
      <c r="I156" s="212"/>
      <c r="J156" s="212"/>
      <c r="K156" s="212"/>
      <c r="L156" s="212" t="s">
        <v>744</v>
      </c>
      <c r="M156" s="212" t="s">
        <v>2074</v>
      </c>
      <c r="N156" s="212"/>
    </row>
    <row r="157" spans="1:14" x14ac:dyDescent="0.25">
      <c r="A157" s="211" t="str">
        <f>IF(DuLieuThamNuoiNgay!$F$4=$L157,MAX(DangKyThamGapThuongXuyen!$A$4:A156)+1,"")</f>
        <v/>
      </c>
      <c r="B157" s="212" t="s">
        <v>1605</v>
      </c>
      <c r="C157" s="212">
        <v>1968</v>
      </c>
      <c r="D157" s="212" t="s">
        <v>1606</v>
      </c>
      <c r="E157" s="212" t="s">
        <v>1279</v>
      </c>
      <c r="F157" s="212"/>
      <c r="G157" s="212" t="s">
        <v>2173</v>
      </c>
      <c r="H157" s="212"/>
      <c r="I157" s="212"/>
      <c r="J157" s="212"/>
      <c r="K157" s="212"/>
      <c r="L157" s="212" t="s">
        <v>347</v>
      </c>
      <c r="M157" s="212" t="s">
        <v>2075</v>
      </c>
      <c r="N157" s="212"/>
    </row>
    <row r="158" spans="1:14" x14ac:dyDescent="0.25">
      <c r="A158" s="211" t="str">
        <f>IF(DuLieuThamNuoiNgay!$F$4=$L158,MAX(DangKyThamGapThuongXuyen!$A$4:A157)+1,"")</f>
        <v/>
      </c>
      <c r="B158" s="212" t="s">
        <v>1607</v>
      </c>
      <c r="C158" s="212">
        <v>2007</v>
      </c>
      <c r="D158" s="212" t="s">
        <v>1294</v>
      </c>
      <c r="E158" s="212" t="s">
        <v>568</v>
      </c>
      <c r="F158" s="212"/>
      <c r="G158" s="212" t="s">
        <v>2173</v>
      </c>
      <c r="H158" s="212"/>
      <c r="I158" s="212"/>
      <c r="J158" s="212"/>
      <c r="K158" s="212"/>
      <c r="L158" s="212" t="s">
        <v>347</v>
      </c>
      <c r="M158" s="212" t="s">
        <v>2075</v>
      </c>
      <c r="N158" s="212"/>
    </row>
    <row r="159" spans="1:14" x14ac:dyDescent="0.25">
      <c r="A159" s="211" t="str">
        <f>IF(DuLieuThamNuoiNgay!$F$4=$L159,MAX(DangKyThamGapThuongXuyen!$A$4:A158)+1,"")</f>
        <v/>
      </c>
      <c r="B159" s="212" t="s">
        <v>1608</v>
      </c>
      <c r="C159" s="212">
        <v>1979</v>
      </c>
      <c r="D159" s="212" t="s">
        <v>1609</v>
      </c>
      <c r="E159" s="212" t="s">
        <v>35</v>
      </c>
      <c r="F159" s="212"/>
      <c r="G159" s="212" t="s">
        <v>2173</v>
      </c>
      <c r="H159" s="212"/>
      <c r="I159" s="212"/>
      <c r="J159" s="212"/>
      <c r="K159" s="212"/>
      <c r="L159" s="212" t="s">
        <v>627</v>
      </c>
      <c r="M159" s="212" t="s">
        <v>2063</v>
      </c>
      <c r="N159" s="212"/>
    </row>
    <row r="160" spans="1:14" x14ac:dyDescent="0.25">
      <c r="A160" s="211" t="str">
        <f>IF(DuLieuThamNuoiNgay!$F$4=$L160,MAX(DangKyThamGapThuongXuyen!$A$4:A159)+1,"")</f>
        <v/>
      </c>
      <c r="B160" s="212" t="s">
        <v>1610</v>
      </c>
      <c r="C160" s="212">
        <v>1981</v>
      </c>
      <c r="D160" s="212" t="s">
        <v>1611</v>
      </c>
      <c r="E160" s="212" t="s">
        <v>1272</v>
      </c>
      <c r="F160" s="212"/>
      <c r="G160" s="212" t="s">
        <v>2173</v>
      </c>
      <c r="H160" s="212" t="s">
        <v>1901</v>
      </c>
      <c r="I160" s="212"/>
      <c r="J160" s="212"/>
      <c r="K160" s="212"/>
      <c r="L160" s="212" t="s">
        <v>627</v>
      </c>
      <c r="M160" s="212" t="s">
        <v>2063</v>
      </c>
      <c r="N160" s="212"/>
    </row>
    <row r="161" spans="1:14" x14ac:dyDescent="0.25">
      <c r="A161" s="211" t="str">
        <f>IF(DuLieuThamNuoiNgay!$F$4=$L161,MAX(DangKyThamGapThuongXuyen!$A$4:A160)+1,"")</f>
        <v/>
      </c>
      <c r="B161" s="212" t="s">
        <v>1612</v>
      </c>
      <c r="C161" s="212">
        <v>1960</v>
      </c>
      <c r="D161" s="212">
        <v>79160005011</v>
      </c>
      <c r="E161" s="212" t="s">
        <v>1279</v>
      </c>
      <c r="F161" s="212"/>
      <c r="G161" s="212" t="s">
        <v>2173</v>
      </c>
      <c r="H161" s="212"/>
      <c r="I161" s="212"/>
      <c r="J161" s="212"/>
      <c r="K161" s="212"/>
      <c r="L161" s="212" t="s">
        <v>688</v>
      </c>
      <c r="M161" s="212" t="s">
        <v>2076</v>
      </c>
      <c r="N161" s="212"/>
    </row>
    <row r="162" spans="1:14" x14ac:dyDescent="0.25">
      <c r="A162" s="211" t="str">
        <f>IF(DuLieuThamNuoiNgay!$F$4=$L162,MAX(DangKyThamGapThuongXuyen!$A$4:A161)+1,"")</f>
        <v/>
      </c>
      <c r="B162" s="212" t="s">
        <v>1613</v>
      </c>
      <c r="C162" s="212">
        <v>1979</v>
      </c>
      <c r="D162" s="212">
        <v>2311954</v>
      </c>
      <c r="E162" s="212" t="s">
        <v>1277</v>
      </c>
      <c r="F162" s="212"/>
      <c r="G162" s="212" t="s">
        <v>2173</v>
      </c>
      <c r="H162" s="212"/>
      <c r="I162" s="212"/>
      <c r="J162" s="212"/>
      <c r="K162" s="212"/>
      <c r="L162" s="212" t="s">
        <v>688</v>
      </c>
      <c r="M162" s="212" t="s">
        <v>2076</v>
      </c>
      <c r="N162" s="212"/>
    </row>
    <row r="163" spans="1:14" x14ac:dyDescent="0.25">
      <c r="A163" s="211" t="str">
        <f>IF(DuLieuThamNuoiNgay!$F$4=$L163,MAX(DangKyThamGapThuongXuyen!$A$4:A162)+1,"")</f>
        <v/>
      </c>
      <c r="B163" s="212" t="s">
        <v>1614</v>
      </c>
      <c r="C163" s="212">
        <v>1960</v>
      </c>
      <c r="D163" s="212">
        <v>24081437</v>
      </c>
      <c r="E163" s="212" t="s">
        <v>1849</v>
      </c>
      <c r="F163" s="212"/>
      <c r="G163" s="212"/>
      <c r="H163" s="212"/>
      <c r="I163" s="212"/>
      <c r="J163" s="212"/>
      <c r="K163" s="212"/>
      <c r="L163" s="212" t="s">
        <v>1080</v>
      </c>
      <c r="M163" s="212" t="s">
        <v>2077</v>
      </c>
      <c r="N163" s="212"/>
    </row>
    <row r="164" spans="1:14" x14ac:dyDescent="0.25">
      <c r="A164" s="211" t="str">
        <f>IF(DuLieuThamNuoiNgay!$F$4=$L164,MAX(DangKyThamGapThuongXuyen!$A$4:A163)+1,"")</f>
        <v/>
      </c>
      <c r="B164" s="212" t="s">
        <v>1615</v>
      </c>
      <c r="C164" s="212">
        <v>1965</v>
      </c>
      <c r="D164" s="212">
        <v>249259820</v>
      </c>
      <c r="E164" s="212" t="s">
        <v>1275</v>
      </c>
      <c r="F164" s="212"/>
      <c r="G164" s="212" t="s">
        <v>2173</v>
      </c>
      <c r="H164" s="212" t="s">
        <v>1902</v>
      </c>
      <c r="I164" s="212"/>
      <c r="J164" s="212"/>
      <c r="K164" s="212"/>
      <c r="L164" s="212" t="s">
        <v>463</v>
      </c>
      <c r="M164" s="212" t="s">
        <v>2078</v>
      </c>
      <c r="N164" s="212"/>
    </row>
    <row r="165" spans="1:14" x14ac:dyDescent="0.25">
      <c r="A165" s="211" t="str">
        <f>IF(DuLieuThamNuoiNgay!$F$4=$L165,MAX(DangKyThamGapThuongXuyen!$A$4:A164)+1,"")</f>
        <v/>
      </c>
      <c r="B165" s="212" t="s">
        <v>1295</v>
      </c>
      <c r="C165" s="212">
        <v>1965</v>
      </c>
      <c r="D165" s="212">
        <v>21751963</v>
      </c>
      <c r="E165" s="212" t="s">
        <v>1279</v>
      </c>
      <c r="F165" s="212"/>
      <c r="G165" s="212" t="s">
        <v>2173</v>
      </c>
      <c r="H165" s="212" t="s">
        <v>1903</v>
      </c>
      <c r="I165" s="212"/>
      <c r="J165" s="212"/>
      <c r="K165" s="212"/>
      <c r="L165" s="212" t="s">
        <v>463</v>
      </c>
      <c r="M165" s="212" t="s">
        <v>2078</v>
      </c>
      <c r="N165" s="212"/>
    </row>
    <row r="166" spans="1:14" x14ac:dyDescent="0.25">
      <c r="A166" s="211" t="str">
        <f>IF(DuLieuThamNuoiNgay!$F$4=$L166,MAX(DangKyThamGapThuongXuyen!$A$4:A165)+1,"")</f>
        <v/>
      </c>
      <c r="B166" s="212" t="s">
        <v>1616</v>
      </c>
      <c r="C166" s="212">
        <v>1993</v>
      </c>
      <c r="D166" s="212">
        <v>79193001754</v>
      </c>
      <c r="E166" s="212" t="s">
        <v>568</v>
      </c>
      <c r="F166" s="212"/>
      <c r="G166" s="212"/>
      <c r="H166" s="212"/>
      <c r="I166" s="212"/>
      <c r="J166" s="212"/>
      <c r="K166" s="212"/>
      <c r="L166" s="212" t="s">
        <v>463</v>
      </c>
      <c r="M166" s="212" t="s">
        <v>2078</v>
      </c>
      <c r="N166" s="212"/>
    </row>
    <row r="167" spans="1:14" x14ac:dyDescent="0.25">
      <c r="A167" s="211" t="str">
        <f>IF(DuLieuThamNuoiNgay!$F$4=$L167,MAX(DangKyThamGapThuongXuyen!$A$4:A166)+1,"")</f>
        <v/>
      </c>
      <c r="B167" s="212" t="s">
        <v>1617</v>
      </c>
      <c r="C167" s="212">
        <v>1969</v>
      </c>
      <c r="D167" s="212">
        <v>23895719</v>
      </c>
      <c r="E167" s="212" t="s">
        <v>1279</v>
      </c>
      <c r="F167" s="212"/>
      <c r="G167" s="212"/>
      <c r="H167" s="212"/>
      <c r="I167" s="212"/>
      <c r="J167" s="212"/>
      <c r="K167" s="212"/>
      <c r="L167" s="212" t="s">
        <v>621</v>
      </c>
      <c r="M167" s="212" t="s">
        <v>2079</v>
      </c>
      <c r="N167" s="212"/>
    </row>
    <row r="168" spans="1:14" x14ac:dyDescent="0.25">
      <c r="A168" s="211" t="str">
        <f>IF(DuLieuThamNuoiNgay!$F$4=$L168,MAX(DangKyThamGapThuongXuyen!$A$4:A167)+1,"")</f>
        <v/>
      </c>
      <c r="B168" s="212" t="s">
        <v>1618</v>
      </c>
      <c r="C168" s="212">
        <v>1996</v>
      </c>
      <c r="D168" s="212">
        <v>79196005567</v>
      </c>
      <c r="E168" s="212" t="s">
        <v>568</v>
      </c>
      <c r="F168" s="212"/>
      <c r="G168" s="212"/>
      <c r="H168" s="212"/>
      <c r="I168" s="212"/>
      <c r="J168" s="212"/>
      <c r="K168" s="212"/>
      <c r="L168" s="212" t="s">
        <v>621</v>
      </c>
      <c r="M168" s="212" t="s">
        <v>2079</v>
      </c>
      <c r="N168" s="212"/>
    </row>
    <row r="169" spans="1:14" x14ac:dyDescent="0.25">
      <c r="A169" s="211" t="str">
        <f>IF(DuLieuThamNuoiNgay!$F$4=$L169,MAX(DangKyThamGapThuongXuyen!$A$4:A168)+1,"")</f>
        <v/>
      </c>
      <c r="B169" s="212" t="s">
        <v>1619</v>
      </c>
      <c r="C169" s="212">
        <v>1958</v>
      </c>
      <c r="D169" s="212">
        <v>21654580</v>
      </c>
      <c r="E169" s="212" t="s">
        <v>1279</v>
      </c>
      <c r="F169" s="212"/>
      <c r="G169" s="212"/>
      <c r="H169" s="212"/>
      <c r="I169" s="212"/>
      <c r="J169" s="212"/>
      <c r="K169" s="212"/>
      <c r="L169" s="212" t="s">
        <v>339</v>
      </c>
      <c r="M169" s="212" t="s">
        <v>2080</v>
      </c>
      <c r="N169" s="212"/>
    </row>
    <row r="170" spans="1:14" x14ac:dyDescent="0.25">
      <c r="A170" s="211" t="str">
        <f>IF(DuLieuThamNuoiNgay!$F$4=$L170,MAX(DangKyThamGapThuongXuyen!$A$4:A169)+1,"")</f>
        <v/>
      </c>
      <c r="B170" s="212" t="s">
        <v>1620</v>
      </c>
      <c r="C170" s="212">
        <v>1986</v>
      </c>
      <c r="D170" s="212">
        <v>23977925</v>
      </c>
      <c r="E170" s="212" t="s">
        <v>568</v>
      </c>
      <c r="F170" s="212"/>
      <c r="G170" s="212"/>
      <c r="H170" s="212"/>
      <c r="I170" s="212"/>
      <c r="J170" s="212"/>
      <c r="K170" s="212"/>
      <c r="L170" s="212" t="s">
        <v>339</v>
      </c>
      <c r="M170" s="212" t="s">
        <v>2080</v>
      </c>
      <c r="N170" s="212"/>
    </row>
    <row r="171" spans="1:14" x14ac:dyDescent="0.25">
      <c r="A171" s="211" t="str">
        <f>IF(DuLieuThamNuoiNgay!$F$4=$L171,MAX(DangKyThamGapThuongXuyen!$A$4:A170)+1,"")</f>
        <v/>
      </c>
      <c r="B171" s="212" t="s">
        <v>1621</v>
      </c>
      <c r="C171" s="212">
        <v>1984</v>
      </c>
      <c r="D171" s="212">
        <v>79084004680</v>
      </c>
      <c r="E171" s="212" t="s">
        <v>568</v>
      </c>
      <c r="F171" s="212"/>
      <c r="G171" s="212"/>
      <c r="H171" s="212"/>
      <c r="I171" s="212"/>
      <c r="J171" s="212"/>
      <c r="K171" s="212"/>
      <c r="L171" s="212" t="s">
        <v>339</v>
      </c>
      <c r="M171" s="212" t="s">
        <v>2080</v>
      </c>
      <c r="N171" s="212"/>
    </row>
    <row r="172" spans="1:14" x14ac:dyDescent="0.25">
      <c r="A172" s="211" t="str">
        <f>IF(DuLieuThamNuoiNgay!$F$4=$L172,MAX(DangKyThamGapThuongXuyen!$A$4:A171)+1,"")</f>
        <v/>
      </c>
      <c r="B172" s="212" t="s">
        <v>1622</v>
      </c>
      <c r="C172" s="212">
        <v>1981</v>
      </c>
      <c r="D172" s="212">
        <v>23338938</v>
      </c>
      <c r="E172" s="212" t="s">
        <v>1277</v>
      </c>
      <c r="F172" s="212"/>
      <c r="G172" s="212"/>
      <c r="H172" s="212"/>
      <c r="I172" s="212"/>
      <c r="J172" s="212"/>
      <c r="K172" s="212"/>
      <c r="L172" s="212" t="s">
        <v>382</v>
      </c>
      <c r="M172" s="212" t="s">
        <v>2081</v>
      </c>
      <c r="N172" s="212"/>
    </row>
    <row r="173" spans="1:14" x14ac:dyDescent="0.25">
      <c r="A173" s="211" t="str">
        <f>IF(DuLieuThamNuoiNgay!$F$4=$L173,MAX(DangKyThamGapThuongXuyen!$A$4:A172)+1,"")</f>
        <v/>
      </c>
      <c r="B173" s="212" t="s">
        <v>1623</v>
      </c>
      <c r="C173" s="212">
        <v>1986</v>
      </c>
      <c r="D173" s="212"/>
      <c r="E173" s="212" t="s">
        <v>568</v>
      </c>
      <c r="F173" s="212"/>
      <c r="G173" s="212"/>
      <c r="H173" s="212"/>
      <c r="I173" s="212"/>
      <c r="J173" s="212"/>
      <c r="K173" s="212"/>
      <c r="L173" s="212" t="s">
        <v>941</v>
      </c>
      <c r="M173" s="212" t="s">
        <v>2082</v>
      </c>
      <c r="N173" s="212"/>
    </row>
    <row r="174" spans="1:14" x14ac:dyDescent="0.25">
      <c r="A174" s="211" t="str">
        <f>IF(DuLieuThamNuoiNgay!$F$4=$L174,MAX(DangKyThamGapThuongXuyen!$A$4:A173)+1,"")</f>
        <v/>
      </c>
      <c r="B174" s="212" t="s">
        <v>1624</v>
      </c>
      <c r="C174" s="212">
        <v>1957</v>
      </c>
      <c r="D174" s="212">
        <v>79157002656</v>
      </c>
      <c r="E174" s="212" t="s">
        <v>1279</v>
      </c>
      <c r="F174" s="212"/>
      <c r="G174" s="212"/>
      <c r="H174" s="212"/>
      <c r="I174" s="212"/>
      <c r="J174" s="212"/>
      <c r="K174" s="212"/>
      <c r="L174" s="212" t="s">
        <v>988</v>
      </c>
      <c r="M174" s="212" t="s">
        <v>2083</v>
      </c>
      <c r="N174" s="212"/>
    </row>
    <row r="175" spans="1:14" x14ac:dyDescent="0.25">
      <c r="A175" s="211" t="str">
        <f>IF(DuLieuThamNuoiNgay!$F$4=$L175,MAX(DangKyThamGapThuongXuyen!$A$4:A174)+1,"")</f>
        <v/>
      </c>
      <c r="B175" s="212" t="s">
        <v>1625</v>
      </c>
      <c r="C175" s="212">
        <v>1953</v>
      </c>
      <c r="D175" s="212">
        <v>20788217</v>
      </c>
      <c r="E175" s="212" t="s">
        <v>1279</v>
      </c>
      <c r="F175" s="212"/>
      <c r="G175" s="212"/>
      <c r="H175" s="212"/>
      <c r="I175" s="212"/>
      <c r="J175" s="212"/>
      <c r="K175" s="212"/>
      <c r="L175" s="212" t="s">
        <v>475</v>
      </c>
      <c r="M175" s="212" t="s">
        <v>2084</v>
      </c>
      <c r="N175" s="212"/>
    </row>
    <row r="176" spans="1:14" x14ac:dyDescent="0.25">
      <c r="A176" s="211" t="str">
        <f>IF(DuLieuThamNuoiNgay!$F$4=$L176,MAX(DangKyThamGapThuongXuyen!$A$4:A175)+1,"")</f>
        <v/>
      </c>
      <c r="B176" s="212" t="s">
        <v>1626</v>
      </c>
      <c r="C176" s="212">
        <v>1952</v>
      </c>
      <c r="D176" s="212">
        <v>20906246</v>
      </c>
      <c r="E176" s="212" t="s">
        <v>1850</v>
      </c>
      <c r="F176" s="212"/>
      <c r="G176" s="212"/>
      <c r="H176" s="212"/>
      <c r="I176" s="212"/>
      <c r="J176" s="212"/>
      <c r="K176" s="212"/>
      <c r="L176" s="212" t="s">
        <v>403</v>
      </c>
      <c r="M176" s="212" t="s">
        <v>2085</v>
      </c>
      <c r="N176" s="212"/>
    </row>
    <row r="177" spans="1:14" x14ac:dyDescent="0.25">
      <c r="A177" s="211" t="str">
        <f>IF(DuLieuThamNuoiNgay!$F$4=$L177,MAX(DangKyThamGapThuongXuyen!$A$4:A176)+1,"")</f>
        <v/>
      </c>
      <c r="B177" s="212" t="s">
        <v>1620</v>
      </c>
      <c r="C177" s="212">
        <v>1977</v>
      </c>
      <c r="D177" s="212">
        <v>23063579</v>
      </c>
      <c r="E177" s="212" t="s">
        <v>568</v>
      </c>
      <c r="F177" s="212"/>
      <c r="G177" s="212"/>
      <c r="H177" s="212"/>
      <c r="I177" s="212"/>
      <c r="J177" s="212"/>
      <c r="K177" s="212"/>
      <c r="L177" s="212" t="s">
        <v>403</v>
      </c>
      <c r="M177" s="212" t="s">
        <v>2085</v>
      </c>
      <c r="N177" s="212"/>
    </row>
    <row r="178" spans="1:14" x14ac:dyDescent="0.25">
      <c r="A178" s="211" t="str">
        <f>IF(DuLieuThamNuoiNgay!$F$4=$L178,MAX(DangKyThamGapThuongXuyen!$A$4:A177)+1,"")</f>
        <v/>
      </c>
      <c r="B178" s="212" t="s">
        <v>1627</v>
      </c>
      <c r="C178" s="212">
        <v>2001</v>
      </c>
      <c r="D178" s="212" t="s">
        <v>1294</v>
      </c>
      <c r="E178" s="212" t="s">
        <v>1296</v>
      </c>
      <c r="F178" s="212"/>
      <c r="G178" s="212"/>
      <c r="H178" s="212"/>
      <c r="I178" s="212"/>
      <c r="J178" s="212"/>
      <c r="K178" s="212"/>
      <c r="L178" s="212" t="s">
        <v>403</v>
      </c>
      <c r="M178" s="212" t="s">
        <v>2085</v>
      </c>
      <c r="N178" s="212"/>
    </row>
    <row r="179" spans="1:14" x14ac:dyDescent="0.25">
      <c r="A179" s="211" t="str">
        <f>IF(DuLieuThamNuoiNgay!$F$4=$L179,MAX(DangKyThamGapThuongXuyen!$A$4:A178)+1,"")</f>
        <v/>
      </c>
      <c r="B179" s="212" t="s">
        <v>1628</v>
      </c>
      <c r="C179" s="212">
        <v>2004</v>
      </c>
      <c r="D179" s="212" t="s">
        <v>1294</v>
      </c>
      <c r="E179" s="212" t="s">
        <v>1296</v>
      </c>
      <c r="F179" s="212"/>
      <c r="G179" s="212"/>
      <c r="H179" s="212"/>
      <c r="I179" s="212"/>
      <c r="J179" s="212"/>
      <c r="K179" s="212"/>
      <c r="L179" s="212" t="s">
        <v>403</v>
      </c>
      <c r="M179" s="212" t="s">
        <v>2085</v>
      </c>
      <c r="N179" s="212"/>
    </row>
    <row r="180" spans="1:14" x14ac:dyDescent="0.25">
      <c r="A180" s="211" t="str">
        <f>IF(DuLieuThamNuoiNgay!$F$4=$L180,MAX(DangKyThamGapThuongXuyen!$A$4:A179)+1,"")</f>
        <v/>
      </c>
      <c r="B180" s="212" t="s">
        <v>1629</v>
      </c>
      <c r="C180" s="212">
        <v>1988</v>
      </c>
      <c r="D180" s="212">
        <v>24268032</v>
      </c>
      <c r="E180" s="212" t="s">
        <v>1851</v>
      </c>
      <c r="F180" s="212"/>
      <c r="G180" s="212" t="s">
        <v>2173</v>
      </c>
      <c r="H180" s="212"/>
      <c r="I180" s="212"/>
      <c r="J180" s="212"/>
      <c r="K180" s="212"/>
      <c r="L180" s="212" t="s">
        <v>171</v>
      </c>
      <c r="M180" s="212" t="s">
        <v>2086</v>
      </c>
      <c r="N180" s="212"/>
    </row>
    <row r="181" spans="1:14" x14ac:dyDescent="0.25">
      <c r="A181" s="211" t="str">
        <f>IF(DuLieuThamNuoiNgay!$F$4=$L181,MAX(DangKyThamGapThuongXuyen!$A$4:A180)+1,"")</f>
        <v/>
      </c>
      <c r="B181" s="212" t="s">
        <v>1630</v>
      </c>
      <c r="C181" s="212">
        <v>1966</v>
      </c>
      <c r="D181" s="212">
        <v>21954888</v>
      </c>
      <c r="E181" s="212" t="s">
        <v>1272</v>
      </c>
      <c r="F181" s="212"/>
      <c r="G181" s="212" t="s">
        <v>2173</v>
      </c>
      <c r="H181" s="212"/>
      <c r="I181" s="212"/>
      <c r="J181" s="212"/>
      <c r="K181" s="212"/>
      <c r="L181" s="212" t="s">
        <v>194</v>
      </c>
      <c r="M181" s="212" t="s">
        <v>2087</v>
      </c>
      <c r="N181" s="212"/>
    </row>
    <row r="182" spans="1:14" x14ac:dyDescent="0.25">
      <c r="A182" s="211" t="str">
        <f>IF(DuLieuThamNuoiNgay!$F$4=$L182,MAX(DangKyThamGapThuongXuyen!$A$4:A181)+1,"")</f>
        <v/>
      </c>
      <c r="B182" s="212" t="s">
        <v>1631</v>
      </c>
      <c r="C182" s="212">
        <v>1973</v>
      </c>
      <c r="D182" s="212">
        <v>22602118</v>
      </c>
      <c r="E182" s="212" t="s">
        <v>1272</v>
      </c>
      <c r="F182" s="212"/>
      <c r="G182" s="212" t="s">
        <v>2173</v>
      </c>
      <c r="H182" s="212"/>
      <c r="I182" s="212"/>
      <c r="J182" s="212"/>
      <c r="K182" s="212"/>
      <c r="L182" s="212" t="s">
        <v>194</v>
      </c>
      <c r="M182" s="212" t="s">
        <v>2087</v>
      </c>
      <c r="N182" s="212"/>
    </row>
    <row r="183" spans="1:14" x14ac:dyDescent="0.25">
      <c r="A183" s="211" t="str">
        <f>IF(DuLieuThamNuoiNgay!$F$4=$L183,MAX(DangKyThamGapThuongXuyen!$A$4:A182)+1,"")</f>
        <v/>
      </c>
      <c r="B183" s="212" t="s">
        <v>1632</v>
      </c>
      <c r="C183" s="212">
        <v>1948</v>
      </c>
      <c r="D183" s="212">
        <v>2.1494912000000001E-2</v>
      </c>
      <c r="E183" s="212" t="s">
        <v>1279</v>
      </c>
      <c r="F183" s="212"/>
      <c r="G183" s="212" t="s">
        <v>2173</v>
      </c>
      <c r="H183" s="212"/>
      <c r="I183" s="212"/>
      <c r="J183" s="212"/>
      <c r="K183" s="212"/>
      <c r="L183" s="212" t="s">
        <v>194</v>
      </c>
      <c r="M183" s="212" t="s">
        <v>2087</v>
      </c>
      <c r="N183" s="212"/>
    </row>
    <row r="184" spans="1:14" x14ac:dyDescent="0.25">
      <c r="A184" s="211" t="str">
        <f>IF(DuLieuThamNuoiNgay!$F$4=$L184,MAX(DangKyThamGapThuongXuyen!$A$4:A183)+1,"")</f>
        <v/>
      </c>
      <c r="B184" s="212" t="s">
        <v>1633</v>
      </c>
      <c r="C184" s="212">
        <v>1999</v>
      </c>
      <c r="D184" s="212">
        <v>79199009631</v>
      </c>
      <c r="E184" s="212" t="s">
        <v>1841</v>
      </c>
      <c r="F184" s="212"/>
      <c r="G184" s="212" t="s">
        <v>2173</v>
      </c>
      <c r="H184" s="212" t="s">
        <v>1904</v>
      </c>
      <c r="I184" s="212"/>
      <c r="J184" s="212"/>
      <c r="K184" s="212"/>
      <c r="L184" s="212" t="s">
        <v>1015</v>
      </c>
      <c r="M184" s="212" t="s">
        <v>2055</v>
      </c>
      <c r="N184" s="212"/>
    </row>
    <row r="185" spans="1:14" x14ac:dyDescent="0.25">
      <c r="A185" s="211" t="str">
        <f>IF(DuLieuThamNuoiNgay!$F$4=$L185,MAX(DangKyThamGapThuongXuyen!$A$4:A184)+1,"")</f>
        <v/>
      </c>
      <c r="B185" s="212" t="s">
        <v>1634</v>
      </c>
      <c r="C185" s="212">
        <v>1962</v>
      </c>
      <c r="D185" s="212">
        <v>2164028</v>
      </c>
      <c r="E185" s="212" t="s">
        <v>1279</v>
      </c>
      <c r="F185" s="212"/>
      <c r="G185" s="212" t="s">
        <v>2173</v>
      </c>
      <c r="H185" s="212" t="s">
        <v>1905</v>
      </c>
      <c r="I185" s="212"/>
      <c r="J185" s="212"/>
      <c r="K185" s="212"/>
      <c r="L185" s="212" t="s">
        <v>881</v>
      </c>
      <c r="M185" s="212" t="s">
        <v>2088</v>
      </c>
      <c r="N185" s="212"/>
    </row>
    <row r="186" spans="1:14" x14ac:dyDescent="0.25">
      <c r="A186" s="211" t="str">
        <f>IF(DuLieuThamNuoiNgay!$F$4=$L186,MAX(DangKyThamGapThuongXuyen!$A$4:A185)+1,"")</f>
        <v/>
      </c>
      <c r="B186" s="212" t="s">
        <v>1635</v>
      </c>
      <c r="C186" s="212">
        <v>1990</v>
      </c>
      <c r="D186" s="212">
        <v>24452050</v>
      </c>
      <c r="E186" s="212" t="s">
        <v>568</v>
      </c>
      <c r="F186" s="212"/>
      <c r="G186" s="212" t="s">
        <v>2173</v>
      </c>
      <c r="H186" s="212" t="s">
        <v>1906</v>
      </c>
      <c r="I186" s="212"/>
      <c r="J186" s="212"/>
      <c r="K186" s="212"/>
      <c r="L186" s="212" t="s">
        <v>377</v>
      </c>
      <c r="M186" s="212" t="s">
        <v>2025</v>
      </c>
      <c r="N186" s="212"/>
    </row>
    <row r="187" spans="1:14" x14ac:dyDescent="0.25">
      <c r="A187" s="211" t="str">
        <f>IF(DuLieuThamNuoiNgay!$F$4=$L187,MAX(DangKyThamGapThuongXuyen!$A$4:A186)+1,"")</f>
        <v/>
      </c>
      <c r="B187" s="212" t="s">
        <v>1636</v>
      </c>
      <c r="C187" s="212">
        <v>1993</v>
      </c>
      <c r="D187" s="212">
        <v>25203211</v>
      </c>
      <c r="E187" s="212" t="s">
        <v>568</v>
      </c>
      <c r="F187" s="212"/>
      <c r="G187" s="212" t="s">
        <v>2173</v>
      </c>
      <c r="H187" s="212" t="s">
        <v>1906</v>
      </c>
      <c r="I187" s="212"/>
      <c r="J187" s="212"/>
      <c r="K187" s="212"/>
      <c r="L187" s="212" t="s">
        <v>377</v>
      </c>
      <c r="M187" s="212" t="s">
        <v>2025</v>
      </c>
      <c r="N187" s="212"/>
    </row>
    <row r="188" spans="1:14" x14ac:dyDescent="0.25">
      <c r="A188" s="211" t="str">
        <f>IF(DuLieuThamNuoiNgay!$F$4=$L188,MAX(DangKyThamGapThuongXuyen!$A$4:A187)+1,"")</f>
        <v/>
      </c>
      <c r="B188" s="212" t="s">
        <v>1637</v>
      </c>
      <c r="C188" s="212">
        <v>1964</v>
      </c>
      <c r="D188" s="212"/>
      <c r="E188" s="212"/>
      <c r="F188" s="212"/>
      <c r="G188" s="212"/>
      <c r="H188" s="212"/>
      <c r="I188" s="212"/>
      <c r="J188" s="212"/>
      <c r="K188" s="212"/>
      <c r="L188" s="212" t="s">
        <v>750</v>
      </c>
      <c r="M188" s="212" t="s">
        <v>2089</v>
      </c>
      <c r="N188" s="212"/>
    </row>
    <row r="189" spans="1:14" x14ac:dyDescent="0.25">
      <c r="A189" s="211" t="str">
        <f>IF(DuLieuThamNuoiNgay!$F$4=$L189,MAX(DangKyThamGapThuongXuyen!$A$4:A188)+1,"")</f>
        <v/>
      </c>
      <c r="B189" s="212" t="s">
        <v>1638</v>
      </c>
      <c r="C189" s="212"/>
      <c r="D189" s="212">
        <v>1972</v>
      </c>
      <c r="E189" s="212" t="s">
        <v>1277</v>
      </c>
      <c r="F189" s="212"/>
      <c r="G189" s="212" t="s">
        <v>2178</v>
      </c>
      <c r="H189" s="212"/>
      <c r="I189" s="212"/>
      <c r="J189" s="212"/>
      <c r="K189" s="212"/>
      <c r="L189" s="212" t="s">
        <v>763</v>
      </c>
      <c r="M189" s="212" t="s">
        <v>2090</v>
      </c>
      <c r="N189" s="212"/>
    </row>
    <row r="190" spans="1:14" x14ac:dyDescent="0.25">
      <c r="A190" s="211" t="str">
        <f>IF(DuLieuThamNuoiNgay!$F$4=$L190,MAX(DangKyThamGapThuongXuyen!$A$4:A189)+1,"")</f>
        <v/>
      </c>
      <c r="B190" s="212" t="s">
        <v>1639</v>
      </c>
      <c r="C190" s="212">
        <v>1947</v>
      </c>
      <c r="D190" s="212" t="s">
        <v>1640</v>
      </c>
      <c r="E190" s="212" t="s">
        <v>1279</v>
      </c>
      <c r="F190" s="212"/>
      <c r="G190" s="212"/>
      <c r="H190" s="212" t="s">
        <v>1907</v>
      </c>
      <c r="I190" s="212"/>
      <c r="J190" s="212"/>
      <c r="K190" s="212"/>
      <c r="L190" s="212" t="s">
        <v>792</v>
      </c>
      <c r="M190" s="212" t="s">
        <v>2091</v>
      </c>
      <c r="N190" s="212"/>
    </row>
    <row r="191" spans="1:14" x14ac:dyDescent="0.25">
      <c r="A191" s="211" t="str">
        <f>IF(DuLieuThamNuoiNgay!$F$4=$L191,MAX(DangKyThamGapThuongXuyen!$A$4:A190)+1,"")</f>
        <v/>
      </c>
      <c r="B191" s="212" t="s">
        <v>1641</v>
      </c>
      <c r="C191" s="212">
        <v>1945</v>
      </c>
      <c r="D191" s="212">
        <v>21194763</v>
      </c>
      <c r="E191" s="212" t="s">
        <v>1279</v>
      </c>
      <c r="F191" s="212"/>
      <c r="G191" s="212" t="s">
        <v>2174</v>
      </c>
      <c r="H191" s="212" t="s">
        <v>1908</v>
      </c>
      <c r="I191" s="212"/>
      <c r="J191" s="212"/>
      <c r="K191" s="212"/>
      <c r="L191" s="212" t="s">
        <v>981</v>
      </c>
      <c r="M191" s="212" t="s">
        <v>2092</v>
      </c>
      <c r="N191" s="212"/>
    </row>
    <row r="192" spans="1:14" x14ac:dyDescent="0.25">
      <c r="A192" s="211" t="str">
        <f>IF(DuLieuThamNuoiNgay!$F$4=$L192,MAX(DangKyThamGapThuongXuyen!$A$4:A191)+1,"")</f>
        <v/>
      </c>
      <c r="B192" s="212" t="s">
        <v>1642</v>
      </c>
      <c r="C192" s="212"/>
      <c r="D192" s="212">
        <v>2.1046451000000001E-2</v>
      </c>
      <c r="E192" s="212" t="s">
        <v>1277</v>
      </c>
      <c r="F192" s="212"/>
      <c r="G192" s="212" t="s">
        <v>2179</v>
      </c>
      <c r="H192" s="212"/>
      <c r="I192" s="212"/>
      <c r="J192" s="212"/>
      <c r="K192" s="212"/>
      <c r="L192" s="212" t="s">
        <v>953</v>
      </c>
      <c r="M192" s="212" t="s">
        <v>2093</v>
      </c>
      <c r="N192" s="212"/>
    </row>
    <row r="193" spans="1:14" x14ac:dyDescent="0.25">
      <c r="A193" s="211" t="str">
        <f>IF(DuLieuThamNuoiNgay!$F$4=$L193,MAX(DangKyThamGapThuongXuyen!$A$4:A192)+1,"")</f>
        <v/>
      </c>
      <c r="B193" s="212" t="s">
        <v>1643</v>
      </c>
      <c r="C193" s="212">
        <v>1961</v>
      </c>
      <c r="D193" s="212">
        <v>21394155</v>
      </c>
      <c r="E193" s="212" t="s">
        <v>1852</v>
      </c>
      <c r="F193" s="212"/>
      <c r="G193" s="212" t="s">
        <v>2173</v>
      </c>
      <c r="H193" s="212" t="s">
        <v>1909</v>
      </c>
      <c r="I193" s="212"/>
      <c r="J193" s="212"/>
      <c r="K193" s="212"/>
      <c r="L193" s="212" t="s">
        <v>805</v>
      </c>
      <c r="M193" s="212" t="s">
        <v>2094</v>
      </c>
      <c r="N193" s="212"/>
    </row>
    <row r="194" spans="1:14" x14ac:dyDescent="0.25">
      <c r="A194" s="211" t="str">
        <f>IF(DuLieuThamNuoiNgay!$F$4=$L194,MAX(DangKyThamGapThuongXuyen!$A$4:A193)+1,"")</f>
        <v/>
      </c>
      <c r="B194" s="212" t="s">
        <v>1644</v>
      </c>
      <c r="C194" s="212">
        <v>1980</v>
      </c>
      <c r="D194" s="212">
        <v>23666881</v>
      </c>
      <c r="E194" s="212" t="s">
        <v>1853</v>
      </c>
      <c r="F194" s="212"/>
      <c r="G194" s="212" t="s">
        <v>2174</v>
      </c>
      <c r="H194" s="212" t="s">
        <v>1910</v>
      </c>
      <c r="I194" s="212"/>
      <c r="J194" s="212"/>
      <c r="K194" s="212"/>
      <c r="L194" s="212" t="s">
        <v>1090</v>
      </c>
      <c r="M194" s="212" t="s">
        <v>2095</v>
      </c>
      <c r="N194" s="212"/>
    </row>
    <row r="195" spans="1:14" x14ac:dyDescent="0.25">
      <c r="A195" s="211" t="str">
        <f>IF(DuLieuThamNuoiNgay!$F$4=$L195,MAX(DangKyThamGapThuongXuyen!$A$4:A194)+1,"")</f>
        <v/>
      </c>
      <c r="B195" s="212" t="s">
        <v>1480</v>
      </c>
      <c r="C195" s="212">
        <v>2001</v>
      </c>
      <c r="D195" s="212">
        <v>79301021102</v>
      </c>
      <c r="E195" s="212" t="s">
        <v>1854</v>
      </c>
      <c r="F195" s="212"/>
      <c r="G195" s="212" t="s">
        <v>2173</v>
      </c>
      <c r="H195" s="212" t="s">
        <v>1911</v>
      </c>
      <c r="I195" s="212"/>
      <c r="J195" s="212"/>
      <c r="K195" s="212"/>
      <c r="L195" s="212" t="s">
        <v>207</v>
      </c>
      <c r="M195" s="212" t="s">
        <v>2037</v>
      </c>
      <c r="N195" s="212"/>
    </row>
    <row r="196" spans="1:14" x14ac:dyDescent="0.25">
      <c r="A196" s="211" t="str">
        <f>IF(DuLieuThamNuoiNgay!$F$4=$L196,MAX(DangKyThamGapThuongXuyen!$A$4:A195)+1,"")</f>
        <v/>
      </c>
      <c r="B196" s="212" t="s">
        <v>1645</v>
      </c>
      <c r="C196" s="212">
        <v>1981</v>
      </c>
      <c r="D196" s="212">
        <v>23583380</v>
      </c>
      <c r="E196" s="212" t="s">
        <v>568</v>
      </c>
      <c r="F196" s="212"/>
      <c r="G196" s="212" t="s">
        <v>2173</v>
      </c>
      <c r="H196" s="212" t="s">
        <v>1912</v>
      </c>
      <c r="I196" s="212"/>
      <c r="J196" s="212"/>
      <c r="K196" s="212"/>
      <c r="L196" s="212" t="s">
        <v>207</v>
      </c>
      <c r="M196" s="212" t="s">
        <v>2037</v>
      </c>
      <c r="N196" s="212"/>
    </row>
    <row r="197" spans="1:14" x14ac:dyDescent="0.25">
      <c r="A197" s="211" t="str">
        <f>IF(DuLieuThamNuoiNgay!$F$4=$L197,MAX(DangKyThamGapThuongXuyen!$A$4:A196)+1,"")</f>
        <v/>
      </c>
      <c r="B197" s="212" t="s">
        <v>1646</v>
      </c>
      <c r="C197" s="212">
        <v>1962</v>
      </c>
      <c r="D197" s="212">
        <v>79162004941</v>
      </c>
      <c r="E197" s="212" t="s">
        <v>1279</v>
      </c>
      <c r="F197" s="212"/>
      <c r="G197" s="212"/>
      <c r="H197" s="212"/>
      <c r="I197" s="212"/>
      <c r="J197" s="212"/>
      <c r="K197" s="212"/>
      <c r="L197" s="212" t="s">
        <v>254</v>
      </c>
      <c r="M197" s="212" t="s">
        <v>2096</v>
      </c>
      <c r="N197" s="212"/>
    </row>
    <row r="198" spans="1:14" x14ac:dyDescent="0.25">
      <c r="A198" s="211" t="str">
        <f>IF(DuLieuThamNuoiNgay!$F$4=$L198,MAX(DangKyThamGapThuongXuyen!$A$4:A197)+1,"")</f>
        <v/>
      </c>
      <c r="B198" s="212" t="s">
        <v>1647</v>
      </c>
      <c r="C198" s="212">
        <v>1960</v>
      </c>
      <c r="D198" s="212">
        <v>79060002837</v>
      </c>
      <c r="E198" s="212" t="s">
        <v>1275</v>
      </c>
      <c r="F198" s="212"/>
      <c r="G198" s="212"/>
      <c r="H198" s="212"/>
      <c r="I198" s="212"/>
      <c r="J198" s="212"/>
      <c r="K198" s="212"/>
      <c r="L198" s="212" t="s">
        <v>723</v>
      </c>
      <c r="M198" s="212" t="s">
        <v>2097</v>
      </c>
      <c r="N198" s="212"/>
    </row>
    <row r="199" spans="1:14" x14ac:dyDescent="0.25">
      <c r="A199" s="211" t="str">
        <f>IF(DuLieuThamNuoiNgay!$F$4=$L199,MAX(DangKyThamGapThuongXuyen!$A$4:A198)+1,"")</f>
        <v/>
      </c>
      <c r="B199" s="212" t="s">
        <v>1648</v>
      </c>
      <c r="C199" s="212">
        <v>1994</v>
      </c>
      <c r="D199" s="212"/>
      <c r="E199" s="212" t="s">
        <v>568</v>
      </c>
      <c r="F199" s="212"/>
      <c r="G199" s="212"/>
      <c r="H199" s="212"/>
      <c r="I199" s="212"/>
      <c r="J199" s="212"/>
      <c r="K199" s="212"/>
      <c r="L199" s="212" t="s">
        <v>723</v>
      </c>
      <c r="M199" s="212" t="s">
        <v>2097</v>
      </c>
      <c r="N199" s="212"/>
    </row>
    <row r="200" spans="1:14" x14ac:dyDescent="0.25">
      <c r="A200" s="211" t="str">
        <f>IF(DuLieuThamNuoiNgay!$F$4=$L200,MAX(DangKyThamGapThuongXuyen!$A$4:A199)+1,"")</f>
        <v/>
      </c>
      <c r="B200" s="212" t="s">
        <v>1649</v>
      </c>
      <c r="C200" s="212">
        <v>1966</v>
      </c>
      <c r="D200" s="212"/>
      <c r="E200" s="212" t="s">
        <v>1277</v>
      </c>
      <c r="F200" s="212"/>
      <c r="G200" s="212" t="s">
        <v>2180</v>
      </c>
      <c r="H200" s="212"/>
      <c r="I200" s="212"/>
      <c r="J200" s="212"/>
      <c r="K200" s="212"/>
      <c r="L200" s="212" t="s">
        <v>535</v>
      </c>
      <c r="M200" s="212" t="s">
        <v>2098</v>
      </c>
      <c r="N200" s="212"/>
    </row>
    <row r="201" spans="1:14" x14ac:dyDescent="0.25">
      <c r="A201" s="211" t="str">
        <f>IF(DuLieuThamNuoiNgay!$F$4=$L201,MAX(DangKyThamGapThuongXuyen!$A$4:A200)+1,"")</f>
        <v/>
      </c>
      <c r="B201" s="212" t="s">
        <v>1650</v>
      </c>
      <c r="C201" s="212"/>
      <c r="D201" s="212"/>
      <c r="E201" s="212"/>
      <c r="F201" s="212"/>
      <c r="G201" s="212"/>
      <c r="H201" s="212"/>
      <c r="I201" s="212"/>
      <c r="J201" s="212"/>
      <c r="K201" s="212"/>
      <c r="L201" s="212" t="s">
        <v>399</v>
      </c>
      <c r="M201" s="212" t="s">
        <v>2099</v>
      </c>
      <c r="N201" s="212"/>
    </row>
    <row r="202" spans="1:14" x14ac:dyDescent="0.25">
      <c r="A202" s="211" t="str">
        <f>IF(DuLieuThamNuoiNgay!$F$4=$L202,MAX(DangKyThamGapThuongXuyen!$A$4:A201)+1,"")</f>
        <v/>
      </c>
      <c r="B202" s="212" t="s">
        <v>1651</v>
      </c>
      <c r="C202" s="212">
        <v>1972</v>
      </c>
      <c r="D202" s="212">
        <v>79172000396</v>
      </c>
      <c r="E202" s="212" t="s">
        <v>1279</v>
      </c>
      <c r="F202" s="212"/>
      <c r="G202" s="212" t="s">
        <v>2173</v>
      </c>
      <c r="H202" s="212"/>
      <c r="I202" s="212"/>
      <c r="J202" s="212"/>
      <c r="K202" s="212"/>
      <c r="L202" s="212" t="s">
        <v>592</v>
      </c>
      <c r="M202" s="212" t="s">
        <v>2100</v>
      </c>
      <c r="N202" s="212"/>
    </row>
    <row r="203" spans="1:14" x14ac:dyDescent="0.25">
      <c r="A203" s="211" t="str">
        <f>IF(DuLieuThamNuoiNgay!$F$4=$L203,MAX(DangKyThamGapThuongXuyen!$A$4:A202)+1,"")</f>
        <v/>
      </c>
      <c r="B203" s="212" t="s">
        <v>1652</v>
      </c>
      <c r="C203" s="212">
        <v>1989</v>
      </c>
      <c r="D203" s="212">
        <v>7908900461</v>
      </c>
      <c r="E203" s="212" t="s">
        <v>35</v>
      </c>
      <c r="F203" s="212"/>
      <c r="G203" s="212" t="s">
        <v>2181</v>
      </c>
      <c r="H203" s="212" t="s">
        <v>1913</v>
      </c>
      <c r="I203" s="212"/>
      <c r="J203" s="212"/>
      <c r="K203" s="212"/>
      <c r="L203" s="212" t="s">
        <v>592</v>
      </c>
      <c r="M203" s="212" t="s">
        <v>2100</v>
      </c>
      <c r="N203" s="212"/>
    </row>
    <row r="204" spans="1:14" x14ac:dyDescent="0.25">
      <c r="A204" s="211" t="str">
        <f>IF(DuLieuThamNuoiNgay!$F$4=$L204,MAX(DangKyThamGapThuongXuyen!$A$4:A203)+1,"")</f>
        <v/>
      </c>
      <c r="B204" s="212" t="s">
        <v>1653</v>
      </c>
      <c r="C204" s="212">
        <v>1952</v>
      </c>
      <c r="D204" s="212">
        <v>22086385</v>
      </c>
      <c r="E204" s="212" t="s">
        <v>1275</v>
      </c>
      <c r="F204" s="212"/>
      <c r="G204" s="212" t="s">
        <v>2173</v>
      </c>
      <c r="H204" s="212" t="s">
        <v>1914</v>
      </c>
      <c r="I204" s="212"/>
      <c r="J204" s="212"/>
      <c r="K204" s="212"/>
      <c r="L204" s="212" t="s">
        <v>342</v>
      </c>
      <c r="M204" s="212" t="s">
        <v>2038</v>
      </c>
      <c r="N204" s="212"/>
    </row>
    <row r="205" spans="1:14" x14ac:dyDescent="0.25">
      <c r="A205" s="211" t="str">
        <f>IF(DuLieuThamNuoiNgay!$F$4=$L205,MAX(DangKyThamGapThuongXuyen!$A$4:A204)+1,"")</f>
        <v/>
      </c>
      <c r="B205" s="212" t="s">
        <v>1654</v>
      </c>
      <c r="C205" s="212">
        <v>1952</v>
      </c>
      <c r="D205" s="212">
        <v>20091981</v>
      </c>
      <c r="E205" s="212" t="s">
        <v>1279</v>
      </c>
      <c r="F205" s="212"/>
      <c r="G205" s="212" t="s">
        <v>2173</v>
      </c>
      <c r="H205" s="212" t="s">
        <v>1915</v>
      </c>
      <c r="I205" s="212"/>
      <c r="J205" s="212"/>
      <c r="K205" s="212"/>
      <c r="L205" s="212" t="s">
        <v>342</v>
      </c>
      <c r="M205" s="212" t="s">
        <v>2038</v>
      </c>
      <c r="N205" s="212"/>
    </row>
    <row r="206" spans="1:14" x14ac:dyDescent="0.25">
      <c r="A206" s="211" t="str">
        <f>IF(DuLieuThamNuoiNgay!$F$4=$L206,MAX(DangKyThamGapThuongXuyen!$A$4:A205)+1,"")</f>
        <v/>
      </c>
      <c r="B206" s="212" t="s">
        <v>1655</v>
      </c>
      <c r="C206" s="212">
        <v>1962</v>
      </c>
      <c r="D206" s="212">
        <v>24718570</v>
      </c>
      <c r="E206" s="212" t="s">
        <v>1279</v>
      </c>
      <c r="F206" s="212"/>
      <c r="G206" s="212"/>
      <c r="H206" s="212"/>
      <c r="I206" s="212"/>
      <c r="J206" s="212"/>
      <c r="K206" s="212"/>
      <c r="L206" s="212" t="s">
        <v>742</v>
      </c>
      <c r="M206" s="212" t="s">
        <v>2101</v>
      </c>
      <c r="N206" s="212"/>
    </row>
    <row r="207" spans="1:14" x14ac:dyDescent="0.25">
      <c r="A207" s="211" t="str">
        <f>IF(DuLieuThamNuoiNgay!$F$4=$L207,MAX(DangKyThamGapThuongXuyen!$A$4:A206)+1,"")</f>
        <v/>
      </c>
      <c r="B207" s="212" t="s">
        <v>1656</v>
      </c>
      <c r="C207" s="212">
        <v>1962</v>
      </c>
      <c r="D207" s="212">
        <v>48162000069</v>
      </c>
      <c r="E207" s="212" t="s">
        <v>1279</v>
      </c>
      <c r="F207" s="212"/>
      <c r="G207" s="212" t="s">
        <v>2173</v>
      </c>
      <c r="H207" s="212" t="s">
        <v>1916</v>
      </c>
      <c r="I207" s="212"/>
      <c r="J207" s="212"/>
      <c r="K207" s="212"/>
      <c r="L207" s="212" t="s">
        <v>162</v>
      </c>
      <c r="M207" s="212" t="s">
        <v>2102</v>
      </c>
      <c r="N207" s="212"/>
    </row>
    <row r="208" spans="1:14" x14ac:dyDescent="0.25">
      <c r="A208" s="211" t="str">
        <f>IF(DuLieuThamNuoiNgay!$F$4=$L208,MAX(DangKyThamGapThuongXuyen!$A$4:A207)+1,"")</f>
        <v/>
      </c>
      <c r="B208" s="212" t="s">
        <v>1657</v>
      </c>
      <c r="C208" s="212">
        <v>1960</v>
      </c>
      <c r="D208" s="212">
        <v>0.79060000432499999</v>
      </c>
      <c r="E208" s="212" t="s">
        <v>1275</v>
      </c>
      <c r="F208" s="212"/>
      <c r="G208" s="212"/>
      <c r="H208" s="212" t="s">
        <v>1916</v>
      </c>
      <c r="I208" s="212"/>
      <c r="J208" s="212"/>
      <c r="K208" s="212"/>
      <c r="L208" s="212" t="s">
        <v>162</v>
      </c>
      <c r="M208" s="212" t="s">
        <v>2102</v>
      </c>
      <c r="N208" s="212"/>
    </row>
    <row r="209" spans="1:14" x14ac:dyDescent="0.25">
      <c r="A209" s="211" t="str">
        <f>IF(DuLieuThamNuoiNgay!$F$4=$L209,MAX(DangKyThamGapThuongXuyen!$A$4:A208)+1,"")</f>
        <v/>
      </c>
      <c r="B209" s="212" t="s">
        <v>1658</v>
      </c>
      <c r="C209" s="212">
        <v>1959</v>
      </c>
      <c r="D209" s="212">
        <v>2.1282816999999999E-2</v>
      </c>
      <c r="E209" s="212" t="s">
        <v>1279</v>
      </c>
      <c r="F209" s="212"/>
      <c r="G209" s="212" t="s">
        <v>2173</v>
      </c>
      <c r="H209" s="212" t="s">
        <v>1917</v>
      </c>
      <c r="I209" s="212"/>
      <c r="J209" s="212"/>
      <c r="K209" s="212"/>
      <c r="L209" s="212" t="s">
        <v>552</v>
      </c>
      <c r="M209" s="212" t="s">
        <v>2103</v>
      </c>
      <c r="N209" s="212"/>
    </row>
    <row r="210" spans="1:14" x14ac:dyDescent="0.25">
      <c r="A210" s="211" t="str">
        <f>IF(DuLieuThamNuoiNgay!$F$4=$L210,MAX(DangKyThamGapThuongXuyen!$A$4:A209)+1,"")</f>
        <v/>
      </c>
      <c r="B210" s="212" t="s">
        <v>1659</v>
      </c>
      <c r="C210" s="212">
        <v>1956</v>
      </c>
      <c r="D210" s="212">
        <v>4.6156000062999997E-2</v>
      </c>
      <c r="E210" s="212" t="s">
        <v>1279</v>
      </c>
      <c r="F210" s="212"/>
      <c r="G210" s="212" t="s">
        <v>2173</v>
      </c>
      <c r="H210" s="212" t="s">
        <v>1918</v>
      </c>
      <c r="I210" s="212"/>
      <c r="J210" s="212"/>
      <c r="K210" s="212"/>
      <c r="L210" s="212" t="s">
        <v>2104</v>
      </c>
      <c r="M210" s="212" t="s">
        <v>2105</v>
      </c>
      <c r="N210" s="212"/>
    </row>
    <row r="211" spans="1:14" x14ac:dyDescent="0.25">
      <c r="A211" s="211" t="str">
        <f>IF(DuLieuThamNuoiNgay!$F$4=$L211,MAX(DangKyThamGapThuongXuyen!$A$4:A210)+1,"")</f>
        <v/>
      </c>
      <c r="B211" s="212" t="s">
        <v>1660</v>
      </c>
      <c r="C211" s="212">
        <v>1956</v>
      </c>
      <c r="D211" s="212">
        <v>2.1969500999999999E-2</v>
      </c>
      <c r="E211" s="212" t="s">
        <v>1275</v>
      </c>
      <c r="F211" s="212"/>
      <c r="G211" s="212" t="s">
        <v>2173</v>
      </c>
      <c r="H211" s="212" t="s">
        <v>1918</v>
      </c>
      <c r="I211" s="212"/>
      <c r="J211" s="212"/>
      <c r="K211" s="212"/>
      <c r="L211" s="212" t="s">
        <v>2104</v>
      </c>
      <c r="M211" s="212" t="s">
        <v>2105</v>
      </c>
      <c r="N211" s="212"/>
    </row>
    <row r="212" spans="1:14" x14ac:dyDescent="0.25">
      <c r="A212" s="211" t="str">
        <f>IF(DuLieuThamNuoiNgay!$F$4=$L212,MAX(DangKyThamGapThuongXuyen!$A$4:A211)+1,"")</f>
        <v/>
      </c>
      <c r="B212" s="212" t="s">
        <v>1661</v>
      </c>
      <c r="C212" s="212">
        <v>1989</v>
      </c>
      <c r="D212" s="212">
        <v>7.9189005566999995E-2</v>
      </c>
      <c r="E212" s="212" t="s">
        <v>1277</v>
      </c>
      <c r="F212" s="212"/>
      <c r="G212" s="212" t="s">
        <v>2173</v>
      </c>
      <c r="H212" s="212" t="s">
        <v>1919</v>
      </c>
      <c r="I212" s="212"/>
      <c r="J212" s="212"/>
      <c r="K212" s="212"/>
      <c r="L212" s="212" t="s">
        <v>142</v>
      </c>
      <c r="M212" s="212" t="s">
        <v>2106</v>
      </c>
      <c r="N212" s="212"/>
    </row>
    <row r="213" spans="1:14" x14ac:dyDescent="0.25">
      <c r="A213" s="211" t="str">
        <f>IF(DuLieuThamNuoiNgay!$F$4=$L213,MAX(DangKyThamGapThuongXuyen!$A$4:A212)+1,"")</f>
        <v/>
      </c>
      <c r="B213" s="212" t="s">
        <v>1662</v>
      </c>
      <c r="C213" s="212">
        <v>1959</v>
      </c>
      <c r="D213" s="212">
        <v>2.1311175000000002E-2</v>
      </c>
      <c r="E213" s="212" t="s">
        <v>1279</v>
      </c>
      <c r="F213" s="212"/>
      <c r="G213" s="212" t="s">
        <v>2173</v>
      </c>
      <c r="H213" s="212" t="s">
        <v>1919</v>
      </c>
      <c r="I213" s="212"/>
      <c r="J213" s="212"/>
      <c r="K213" s="212"/>
      <c r="L213" s="212" t="s">
        <v>142</v>
      </c>
      <c r="M213" s="212" t="s">
        <v>2106</v>
      </c>
      <c r="N213" s="212"/>
    </row>
    <row r="214" spans="1:14" x14ac:dyDescent="0.25">
      <c r="A214" s="211" t="str">
        <f>IF(DuLieuThamNuoiNgay!$F$4=$L214,MAX(DangKyThamGapThuongXuyen!$A$4:A213)+1,"")</f>
        <v/>
      </c>
      <c r="B214" s="212" t="s">
        <v>1663</v>
      </c>
      <c r="C214" s="212">
        <v>2003</v>
      </c>
      <c r="D214" s="212"/>
      <c r="E214" s="212"/>
      <c r="F214" s="212"/>
      <c r="G214" s="212" t="s">
        <v>2173</v>
      </c>
      <c r="H214" s="212" t="s">
        <v>1919</v>
      </c>
      <c r="I214" s="212"/>
      <c r="J214" s="212"/>
      <c r="K214" s="212"/>
      <c r="L214" s="212" t="s">
        <v>142</v>
      </c>
      <c r="M214" s="212" t="s">
        <v>2106</v>
      </c>
      <c r="N214" s="212"/>
    </row>
    <row r="215" spans="1:14" x14ac:dyDescent="0.25">
      <c r="A215" s="211" t="str">
        <f>IF(DuLieuThamNuoiNgay!$F$4=$L215,MAX(DangKyThamGapThuongXuyen!$A$4:A214)+1,"")</f>
        <v/>
      </c>
      <c r="B215" s="212" t="s">
        <v>1664</v>
      </c>
      <c r="C215" s="212">
        <v>1958</v>
      </c>
      <c r="D215" s="212">
        <v>2.1781722999999999E-2</v>
      </c>
      <c r="E215" s="212" t="s">
        <v>1279</v>
      </c>
      <c r="F215" s="212"/>
      <c r="G215" s="212" t="s">
        <v>2173</v>
      </c>
      <c r="H215" s="212" t="s">
        <v>1920</v>
      </c>
      <c r="I215" s="212"/>
      <c r="J215" s="212"/>
      <c r="K215" s="212"/>
      <c r="L215" s="212" t="s">
        <v>467</v>
      </c>
      <c r="M215" s="212" t="s">
        <v>2107</v>
      </c>
      <c r="N215" s="212"/>
    </row>
    <row r="216" spans="1:14" x14ac:dyDescent="0.25">
      <c r="A216" s="211" t="str">
        <f>IF(DuLieuThamNuoiNgay!$F$4=$L216,MAX(DangKyThamGapThuongXuyen!$A$4:A215)+1,"")</f>
        <v/>
      </c>
      <c r="B216" s="212" t="s">
        <v>1665</v>
      </c>
      <c r="C216" s="212">
        <v>1958</v>
      </c>
      <c r="D216" s="212">
        <v>2.0129859999999999E-2</v>
      </c>
      <c r="E216" s="212" t="s">
        <v>1275</v>
      </c>
      <c r="F216" s="212"/>
      <c r="G216" s="212" t="s">
        <v>2173</v>
      </c>
      <c r="H216" s="212" t="s">
        <v>1920</v>
      </c>
      <c r="I216" s="212"/>
      <c r="J216" s="212"/>
      <c r="K216" s="212"/>
      <c r="L216" s="212" t="s">
        <v>467</v>
      </c>
      <c r="M216" s="212" t="s">
        <v>2107</v>
      </c>
      <c r="N216" s="212"/>
    </row>
    <row r="217" spans="1:14" x14ac:dyDescent="0.25">
      <c r="A217" s="211" t="str">
        <f>IF(DuLieuThamNuoiNgay!$F$4=$L217,MAX(DangKyThamGapThuongXuyen!$A$4:A216)+1,"")</f>
        <v/>
      </c>
      <c r="B217" s="212" t="s">
        <v>1666</v>
      </c>
      <c r="C217" s="212">
        <v>1956</v>
      </c>
      <c r="D217" s="212">
        <v>2.0586666999999999E-2</v>
      </c>
      <c r="E217" s="212" t="s">
        <v>1279</v>
      </c>
      <c r="F217" s="212"/>
      <c r="G217" s="212" t="s">
        <v>2176</v>
      </c>
      <c r="H217" s="212" t="s">
        <v>1921</v>
      </c>
      <c r="I217" s="212"/>
      <c r="J217" s="212"/>
      <c r="K217" s="212"/>
      <c r="L217" s="212" t="s">
        <v>1057</v>
      </c>
      <c r="M217" s="212" t="s">
        <v>2108</v>
      </c>
      <c r="N217" s="212"/>
    </row>
    <row r="218" spans="1:14" x14ac:dyDescent="0.25">
      <c r="A218" s="211" t="str">
        <f>IF(DuLieuThamNuoiNgay!$F$4=$L218,MAX(DangKyThamGapThuongXuyen!$A$4:A217)+1,"")</f>
        <v/>
      </c>
      <c r="B218" s="212" t="s">
        <v>1667</v>
      </c>
      <c r="C218" s="212">
        <v>1995</v>
      </c>
      <c r="D218" s="212">
        <v>2.5567995E-2</v>
      </c>
      <c r="E218" s="212" t="s">
        <v>568</v>
      </c>
      <c r="F218" s="212"/>
      <c r="G218" s="212" t="s">
        <v>2174</v>
      </c>
      <c r="H218" s="212" t="s">
        <v>1922</v>
      </c>
      <c r="I218" s="212"/>
      <c r="J218" s="212"/>
      <c r="K218" s="212"/>
      <c r="L218" s="212" t="s">
        <v>1085</v>
      </c>
      <c r="M218" s="212" t="s">
        <v>2109</v>
      </c>
      <c r="N218" s="212"/>
    </row>
    <row r="219" spans="1:14" x14ac:dyDescent="0.25">
      <c r="A219" s="211" t="str">
        <f>IF(DuLieuThamNuoiNgay!$F$4=$L219,MAX(DangKyThamGapThuongXuyen!$A$4:A218)+1,"")</f>
        <v/>
      </c>
      <c r="B219" s="212" t="s">
        <v>1668</v>
      </c>
      <c r="C219" s="212">
        <v>1999</v>
      </c>
      <c r="D219" s="212">
        <v>72199001324</v>
      </c>
      <c r="E219" s="212" t="s">
        <v>1277</v>
      </c>
      <c r="F219" s="212"/>
      <c r="G219" s="212" t="s">
        <v>2173</v>
      </c>
      <c r="H219" s="212" t="s">
        <v>1923</v>
      </c>
      <c r="I219" s="212"/>
      <c r="J219" s="212"/>
      <c r="K219" s="212"/>
      <c r="L219" s="212" t="s">
        <v>871</v>
      </c>
      <c r="M219" s="212" t="s">
        <v>2045</v>
      </c>
      <c r="N219" s="212"/>
    </row>
    <row r="220" spans="1:14" x14ac:dyDescent="0.25">
      <c r="A220" s="211" t="str">
        <f>IF(DuLieuThamNuoiNgay!$F$4=$L220,MAX(DangKyThamGapThuongXuyen!$A$4:A219)+1,"")</f>
        <v/>
      </c>
      <c r="B220" s="212" t="s">
        <v>1669</v>
      </c>
      <c r="C220" s="212">
        <v>1987</v>
      </c>
      <c r="D220" s="212">
        <v>4.9187000309000001E-2</v>
      </c>
      <c r="E220" s="212" t="s">
        <v>1277</v>
      </c>
      <c r="F220" s="212"/>
      <c r="G220" s="212" t="s">
        <v>2173</v>
      </c>
      <c r="H220" s="212" t="s">
        <v>1924</v>
      </c>
      <c r="I220" s="212"/>
      <c r="J220" s="212"/>
      <c r="K220" s="212"/>
      <c r="L220" s="212" t="s">
        <v>448</v>
      </c>
      <c r="M220" s="212" t="s">
        <v>2110</v>
      </c>
      <c r="N220" s="212"/>
    </row>
    <row r="221" spans="1:14" x14ac:dyDescent="0.25">
      <c r="A221" s="211" t="str">
        <f>IF(DuLieuThamNuoiNgay!$F$4=$L221,MAX(DangKyThamGapThuongXuyen!$A$4:A220)+1,"")</f>
        <v/>
      </c>
      <c r="B221" s="212" t="s">
        <v>1670</v>
      </c>
      <c r="C221" s="212">
        <v>1991</v>
      </c>
      <c r="D221" s="212">
        <v>8.9191000076999996E-2</v>
      </c>
      <c r="E221" s="212" t="s">
        <v>1277</v>
      </c>
      <c r="F221" s="212"/>
      <c r="G221" s="212" t="s">
        <v>2173</v>
      </c>
      <c r="H221" s="212" t="s">
        <v>1925</v>
      </c>
      <c r="I221" s="212"/>
      <c r="J221" s="212"/>
      <c r="K221" s="212"/>
      <c r="L221" s="212" t="s">
        <v>83</v>
      </c>
      <c r="M221" s="212" t="s">
        <v>2111</v>
      </c>
      <c r="N221" s="212"/>
    </row>
    <row r="222" spans="1:14" x14ac:dyDescent="0.25">
      <c r="A222" s="211" t="str">
        <f>IF(DuLieuThamNuoiNgay!$F$4=$L222,MAX(DangKyThamGapThuongXuyen!$A$4:A221)+1,"")</f>
        <v/>
      </c>
      <c r="B222" s="212" t="s">
        <v>1671</v>
      </c>
      <c r="C222" s="212">
        <v>1948</v>
      </c>
      <c r="D222" s="212">
        <v>23187825</v>
      </c>
      <c r="E222" s="212" t="s">
        <v>1275</v>
      </c>
      <c r="F222" s="212"/>
      <c r="G222" s="212" t="s">
        <v>2173</v>
      </c>
      <c r="H222" s="212" t="s">
        <v>1925</v>
      </c>
      <c r="I222" s="212"/>
      <c r="J222" s="212"/>
      <c r="K222" s="212"/>
      <c r="L222" s="212" t="s">
        <v>83</v>
      </c>
      <c r="M222" s="212" t="s">
        <v>2111</v>
      </c>
      <c r="N222" s="212"/>
    </row>
    <row r="223" spans="1:14" x14ac:dyDescent="0.25">
      <c r="A223" s="211" t="str">
        <f>IF(DuLieuThamNuoiNgay!$F$4=$L223,MAX(DangKyThamGapThuongXuyen!$A$4:A222)+1,"")</f>
        <v/>
      </c>
      <c r="B223" s="212" t="s">
        <v>1672</v>
      </c>
      <c r="C223" s="212">
        <v>1976</v>
      </c>
      <c r="D223" s="212">
        <v>2.2764856999999999E-2</v>
      </c>
      <c r="E223" s="212" t="s">
        <v>1272</v>
      </c>
      <c r="F223" s="212"/>
      <c r="G223" s="212" t="s">
        <v>2173</v>
      </c>
      <c r="H223" s="212" t="s">
        <v>1925</v>
      </c>
      <c r="I223" s="212"/>
      <c r="J223" s="212"/>
      <c r="K223" s="212"/>
      <c r="L223" s="212" t="s">
        <v>83</v>
      </c>
      <c r="M223" s="212" t="s">
        <v>2111</v>
      </c>
      <c r="N223" s="212"/>
    </row>
    <row r="224" spans="1:14" x14ac:dyDescent="0.25">
      <c r="A224" s="211" t="str">
        <f>IF(DuLieuThamNuoiNgay!$F$4=$L224,MAX(DangKyThamGapThuongXuyen!$A$4:A223)+1,"")</f>
        <v/>
      </c>
      <c r="B224" s="212" t="s">
        <v>1673</v>
      </c>
      <c r="C224" s="212">
        <v>1956</v>
      </c>
      <c r="D224" s="212">
        <v>2.0109004999999999E-2</v>
      </c>
      <c r="E224" s="212" t="s">
        <v>1279</v>
      </c>
      <c r="F224" s="212"/>
      <c r="G224" s="212" t="s">
        <v>2173</v>
      </c>
      <c r="H224" s="212" t="s">
        <v>1926</v>
      </c>
      <c r="I224" s="212"/>
      <c r="J224" s="212"/>
      <c r="K224" s="212"/>
      <c r="L224" s="212" t="s">
        <v>404</v>
      </c>
      <c r="M224" s="212" t="s">
        <v>2112</v>
      </c>
      <c r="N224" s="212"/>
    </row>
    <row r="225" spans="1:14" x14ac:dyDescent="0.25">
      <c r="A225" s="211" t="str">
        <f>IF(DuLieuThamNuoiNgay!$F$4=$L225,MAX(DangKyThamGapThuongXuyen!$A$4:A224)+1,"")</f>
        <v/>
      </c>
      <c r="B225" s="212" t="s">
        <v>1674</v>
      </c>
      <c r="C225" s="212">
        <v>1985</v>
      </c>
      <c r="D225" s="212">
        <v>2.3927871999999999E-2</v>
      </c>
      <c r="E225" s="212"/>
      <c r="F225" s="212"/>
      <c r="G225" s="212" t="s">
        <v>2173</v>
      </c>
      <c r="H225" s="212" t="s">
        <v>1926</v>
      </c>
      <c r="I225" s="212"/>
      <c r="J225" s="212"/>
      <c r="K225" s="212"/>
      <c r="L225" s="212" t="s">
        <v>404</v>
      </c>
      <c r="M225" s="212" t="s">
        <v>2112</v>
      </c>
      <c r="N225" s="212"/>
    </row>
    <row r="226" spans="1:14" x14ac:dyDescent="0.25">
      <c r="A226" s="211" t="str">
        <f>IF(DuLieuThamNuoiNgay!$F$4=$L226,MAX(DangKyThamGapThuongXuyen!$A$4:A225)+1,"")</f>
        <v/>
      </c>
      <c r="B226" s="212" t="s">
        <v>1675</v>
      </c>
      <c r="C226" s="212">
        <v>1991</v>
      </c>
      <c r="D226" s="212">
        <v>2.5117279999999999E-2</v>
      </c>
      <c r="E226" s="212" t="s">
        <v>568</v>
      </c>
      <c r="F226" s="212"/>
      <c r="G226" s="212" t="s">
        <v>2173</v>
      </c>
      <c r="H226" s="212" t="s">
        <v>1927</v>
      </c>
      <c r="I226" s="212"/>
      <c r="J226" s="212"/>
      <c r="K226" s="212"/>
      <c r="L226" s="212" t="s">
        <v>30</v>
      </c>
      <c r="M226" s="212" t="s">
        <v>2113</v>
      </c>
      <c r="N226" s="212"/>
    </row>
    <row r="227" spans="1:14" x14ac:dyDescent="0.25">
      <c r="A227" s="211" t="str">
        <f>IF(DuLieuThamNuoiNgay!$F$4=$L227,MAX(DangKyThamGapThuongXuyen!$A$4:A226)+1,"")</f>
        <v/>
      </c>
      <c r="B227" s="212" t="s">
        <v>1676</v>
      </c>
      <c r="C227" s="212">
        <v>1983</v>
      </c>
      <c r="D227" s="212">
        <v>2.3676461999999999E-2</v>
      </c>
      <c r="E227" s="212" t="s">
        <v>35</v>
      </c>
      <c r="F227" s="212"/>
      <c r="G227" s="212" t="s">
        <v>2173</v>
      </c>
      <c r="H227" s="212" t="s">
        <v>1927</v>
      </c>
      <c r="I227" s="212"/>
      <c r="J227" s="212"/>
      <c r="K227" s="212"/>
      <c r="L227" s="212" t="s">
        <v>30</v>
      </c>
      <c r="M227" s="212" t="s">
        <v>2113</v>
      </c>
      <c r="N227" s="212"/>
    </row>
    <row r="228" spans="1:14" x14ac:dyDescent="0.25">
      <c r="A228" s="211" t="str">
        <f>IF(DuLieuThamNuoiNgay!$F$4=$L228,MAX(DangKyThamGapThuongXuyen!$A$4:A227)+1,"")</f>
        <v/>
      </c>
      <c r="B228" s="212" t="s">
        <v>1677</v>
      </c>
      <c r="C228" s="212">
        <v>1980</v>
      </c>
      <c r="D228" s="212">
        <v>2.4069606E-2</v>
      </c>
      <c r="E228" s="212" t="s">
        <v>35</v>
      </c>
      <c r="F228" s="212"/>
      <c r="G228" s="212" t="s">
        <v>2173</v>
      </c>
      <c r="H228" s="212" t="s">
        <v>1927</v>
      </c>
      <c r="I228" s="212"/>
      <c r="J228" s="212"/>
      <c r="K228" s="212"/>
      <c r="L228" s="212" t="s">
        <v>30</v>
      </c>
      <c r="M228" s="212" t="s">
        <v>2113</v>
      </c>
      <c r="N228" s="212"/>
    </row>
    <row r="229" spans="1:14" x14ac:dyDescent="0.25">
      <c r="A229" s="211" t="str">
        <f>IF(DuLieuThamNuoiNgay!$F$4=$L229,MAX(DangKyThamGapThuongXuyen!$A$4:A228)+1,"")</f>
        <v/>
      </c>
      <c r="B229" s="212" t="s">
        <v>1678</v>
      </c>
      <c r="C229" s="212">
        <v>1969</v>
      </c>
      <c r="D229" s="212">
        <v>2.2249181999999999E-2</v>
      </c>
      <c r="E229" s="212" t="s">
        <v>1272</v>
      </c>
      <c r="F229" s="212"/>
      <c r="G229" s="212" t="s">
        <v>2173</v>
      </c>
      <c r="H229" s="212" t="s">
        <v>1928</v>
      </c>
      <c r="I229" s="212"/>
      <c r="J229" s="212"/>
      <c r="K229" s="212"/>
      <c r="L229" s="212" t="s">
        <v>600</v>
      </c>
      <c r="M229" s="212" t="s">
        <v>2114</v>
      </c>
      <c r="N229" s="212"/>
    </row>
    <row r="230" spans="1:14" x14ac:dyDescent="0.25">
      <c r="A230" s="211" t="str">
        <f>IF(DuLieuThamNuoiNgay!$F$4=$L230,MAX(DangKyThamGapThuongXuyen!$A$4:A229)+1,"")</f>
        <v/>
      </c>
      <c r="B230" s="212" t="s">
        <v>1679</v>
      </c>
      <c r="C230" s="212">
        <v>1968</v>
      </c>
      <c r="D230" s="212">
        <v>2.2249181E-2</v>
      </c>
      <c r="E230" s="212" t="s">
        <v>35</v>
      </c>
      <c r="F230" s="212"/>
      <c r="G230" s="212" t="s">
        <v>2173</v>
      </c>
      <c r="H230" s="212" t="s">
        <v>1928</v>
      </c>
      <c r="I230" s="212"/>
      <c r="J230" s="212"/>
      <c r="K230" s="212"/>
      <c r="L230" s="212" t="s">
        <v>600</v>
      </c>
      <c r="M230" s="212" t="s">
        <v>2114</v>
      </c>
      <c r="N230" s="212"/>
    </row>
    <row r="231" spans="1:14" x14ac:dyDescent="0.25">
      <c r="A231" s="211" t="str">
        <f>IF(DuLieuThamNuoiNgay!$F$4=$L231,MAX(DangKyThamGapThuongXuyen!$A$4:A230)+1,"")</f>
        <v/>
      </c>
      <c r="B231" s="212" t="s">
        <v>1680</v>
      </c>
      <c r="C231" s="212">
        <v>1982</v>
      </c>
      <c r="D231" s="212">
        <v>7.9182009504000006E-2</v>
      </c>
      <c r="E231" s="212" t="s">
        <v>568</v>
      </c>
      <c r="F231" s="212"/>
      <c r="G231" s="212" t="s">
        <v>2174</v>
      </c>
      <c r="H231" s="212" t="s">
        <v>1929</v>
      </c>
      <c r="I231" s="212"/>
      <c r="J231" s="212"/>
      <c r="K231" s="212"/>
      <c r="L231" s="212" t="s">
        <v>2115</v>
      </c>
      <c r="M231" s="212" t="s">
        <v>2116</v>
      </c>
      <c r="N231" s="212"/>
    </row>
    <row r="232" spans="1:14" x14ac:dyDescent="0.25">
      <c r="A232" s="211" t="str">
        <f>IF(DuLieuThamNuoiNgay!$F$4=$L232,MAX(DangKyThamGapThuongXuyen!$A$4:A231)+1,"")</f>
        <v/>
      </c>
      <c r="B232" s="212" t="s">
        <v>1681</v>
      </c>
      <c r="C232" s="212" t="s">
        <v>1682</v>
      </c>
      <c r="D232" s="212" t="s">
        <v>1683</v>
      </c>
      <c r="E232" s="212" t="s">
        <v>1279</v>
      </c>
      <c r="F232" s="212"/>
      <c r="G232" s="212"/>
      <c r="H232" s="212" t="s">
        <v>1930</v>
      </c>
      <c r="I232" s="212"/>
      <c r="J232" s="212"/>
      <c r="K232" s="212"/>
      <c r="L232" s="212" t="s">
        <v>144</v>
      </c>
      <c r="M232" s="212" t="s">
        <v>2117</v>
      </c>
      <c r="N232" s="212"/>
    </row>
    <row r="233" spans="1:14" x14ac:dyDescent="0.25">
      <c r="A233" s="211" t="str">
        <f>IF(DuLieuThamNuoiNgay!$F$4=$L233,MAX(DangKyThamGapThuongXuyen!$A$4:A232)+1,"")</f>
        <v/>
      </c>
      <c r="B233" s="212" t="s">
        <v>1684</v>
      </c>
      <c r="C233" s="212">
        <v>1960</v>
      </c>
      <c r="D233" s="212">
        <v>23189607</v>
      </c>
      <c r="E233" s="212" t="s">
        <v>1279</v>
      </c>
      <c r="F233" s="212"/>
      <c r="G233" s="212"/>
      <c r="H233" s="212" t="s">
        <v>1931</v>
      </c>
      <c r="I233" s="212"/>
      <c r="J233" s="212"/>
      <c r="K233" s="212"/>
      <c r="L233" s="212" t="s">
        <v>452</v>
      </c>
      <c r="M233" s="212" t="s">
        <v>2118</v>
      </c>
      <c r="N233" s="212"/>
    </row>
    <row r="234" spans="1:14" x14ac:dyDescent="0.25">
      <c r="A234" s="211" t="str">
        <f>IF(DuLieuThamNuoiNgay!$F$4=$L234,MAX(DangKyThamGapThuongXuyen!$A$4:A233)+1,"")</f>
        <v/>
      </c>
      <c r="B234" s="212" t="s">
        <v>1685</v>
      </c>
      <c r="C234" s="212">
        <v>1939</v>
      </c>
      <c r="D234" s="212">
        <v>20957118</v>
      </c>
      <c r="E234" s="212"/>
      <c r="F234" s="212"/>
      <c r="G234" s="212"/>
      <c r="H234" s="212"/>
      <c r="I234" s="212"/>
      <c r="J234" s="212"/>
      <c r="K234" s="212"/>
      <c r="L234" s="212" t="s">
        <v>811</v>
      </c>
      <c r="M234" s="212" t="s">
        <v>2119</v>
      </c>
      <c r="N234" s="212"/>
    </row>
    <row r="235" spans="1:14" x14ac:dyDescent="0.25">
      <c r="A235" s="211" t="str">
        <f>IF(DuLieuThamNuoiNgay!$F$4=$L235,MAX(DangKyThamGapThuongXuyen!$A$4:A234)+1,"")</f>
        <v/>
      </c>
      <c r="B235" s="212" t="s">
        <v>1686</v>
      </c>
      <c r="C235" s="212">
        <v>1991</v>
      </c>
      <c r="D235" s="212" t="s">
        <v>1687</v>
      </c>
      <c r="E235" s="212" t="s">
        <v>568</v>
      </c>
      <c r="F235" s="212"/>
      <c r="G235" s="212"/>
      <c r="H235" s="212"/>
      <c r="I235" s="212"/>
      <c r="J235" s="212"/>
      <c r="K235" s="212"/>
      <c r="L235" s="212" t="s">
        <v>1009</v>
      </c>
      <c r="M235" s="212" t="s">
        <v>2034</v>
      </c>
      <c r="N235" s="212"/>
    </row>
    <row r="236" spans="1:14" x14ac:dyDescent="0.25">
      <c r="A236" s="211" t="str">
        <f>IF(DuLieuThamNuoiNgay!$F$4=$L236,MAX(DangKyThamGapThuongXuyen!$A$4:A235)+1,"")</f>
        <v/>
      </c>
      <c r="B236" s="212" t="s">
        <v>1688</v>
      </c>
      <c r="C236" s="212">
        <v>1962</v>
      </c>
      <c r="D236" s="212"/>
      <c r="E236" s="212" t="s">
        <v>1279</v>
      </c>
      <c r="F236" s="212"/>
      <c r="G236" s="212"/>
      <c r="H236" s="212"/>
      <c r="I236" s="212"/>
      <c r="J236" s="212"/>
      <c r="K236" s="212"/>
      <c r="L236" s="212" t="s">
        <v>309</v>
      </c>
      <c r="M236" s="212" t="s">
        <v>2120</v>
      </c>
      <c r="N236" s="212"/>
    </row>
    <row r="237" spans="1:14" x14ac:dyDescent="0.25">
      <c r="A237" s="211" t="str">
        <f>IF(DuLieuThamNuoiNgay!$F$4=$L237,MAX(DangKyThamGapThuongXuyen!$A$4:A236)+1,"")</f>
        <v/>
      </c>
      <c r="B237" s="212" t="s">
        <v>1689</v>
      </c>
      <c r="C237" s="212">
        <v>2000</v>
      </c>
      <c r="D237" s="212"/>
      <c r="E237" s="212" t="s">
        <v>568</v>
      </c>
      <c r="F237" s="212"/>
      <c r="G237" s="212"/>
      <c r="H237" s="212" t="s">
        <v>1932</v>
      </c>
      <c r="I237" s="212"/>
      <c r="J237" s="212"/>
      <c r="K237" s="212"/>
      <c r="L237" s="212" t="s">
        <v>592</v>
      </c>
      <c r="M237" s="212" t="s">
        <v>2100</v>
      </c>
      <c r="N237" s="212"/>
    </row>
    <row r="238" spans="1:14" x14ac:dyDescent="0.25">
      <c r="A238" s="211" t="str">
        <f>IF(DuLieuThamNuoiNgay!$F$4=$L238,MAX(DangKyThamGapThuongXuyen!$A$4:A237)+1,"")</f>
        <v/>
      </c>
      <c r="B238" s="212" t="s">
        <v>1690</v>
      </c>
      <c r="C238" s="212">
        <v>1968</v>
      </c>
      <c r="D238" s="212" t="s">
        <v>1691</v>
      </c>
      <c r="E238" s="212" t="s">
        <v>1279</v>
      </c>
      <c r="F238" s="212"/>
      <c r="G238" s="212"/>
      <c r="H238" s="212"/>
      <c r="I238" s="212"/>
      <c r="J238" s="212"/>
      <c r="K238" s="212"/>
      <c r="L238" s="212" t="s">
        <v>43</v>
      </c>
      <c r="M238" s="212" t="s">
        <v>2121</v>
      </c>
      <c r="N238" s="212"/>
    </row>
    <row r="239" spans="1:14" x14ac:dyDescent="0.25">
      <c r="A239" s="211" t="str">
        <f>IF(DuLieuThamNuoiNgay!$F$4=$L239,MAX(DangKyThamGapThuongXuyen!$A$4:A238)+1,"")</f>
        <v/>
      </c>
      <c r="B239" s="212" t="s">
        <v>1692</v>
      </c>
      <c r="C239" s="212">
        <v>1956</v>
      </c>
      <c r="D239" s="212"/>
      <c r="E239" s="212" t="s">
        <v>1275</v>
      </c>
      <c r="F239" s="212"/>
      <c r="G239" s="212"/>
      <c r="H239" s="212" t="s">
        <v>1933</v>
      </c>
      <c r="I239" s="212"/>
      <c r="J239" s="212"/>
      <c r="K239" s="212"/>
      <c r="L239" s="212" t="s">
        <v>43</v>
      </c>
      <c r="M239" s="212" t="s">
        <v>2121</v>
      </c>
      <c r="N239" s="212"/>
    </row>
    <row r="240" spans="1:14" x14ac:dyDescent="0.25">
      <c r="A240" s="211" t="str">
        <f>IF(DuLieuThamNuoiNgay!$F$4=$L240,MAX(DangKyThamGapThuongXuyen!$A$4:A239)+1,"")</f>
        <v/>
      </c>
      <c r="B240" s="212" t="s">
        <v>1693</v>
      </c>
      <c r="C240" s="212">
        <v>1959</v>
      </c>
      <c r="D240" s="212" t="s">
        <v>1694</v>
      </c>
      <c r="E240" s="212" t="s">
        <v>1275</v>
      </c>
      <c r="F240" s="212"/>
      <c r="G240" s="212" t="s">
        <v>2182</v>
      </c>
      <c r="H240" s="212" t="s">
        <v>1934</v>
      </c>
      <c r="I240" s="212"/>
      <c r="J240" s="212"/>
      <c r="K240" s="212"/>
      <c r="L240" s="212" t="s">
        <v>33</v>
      </c>
      <c r="M240" s="212" t="s">
        <v>2122</v>
      </c>
      <c r="N240" s="212"/>
    </row>
    <row r="241" spans="1:14" x14ac:dyDescent="0.25">
      <c r="A241" s="211" t="str">
        <f>IF(DuLieuThamNuoiNgay!$F$4=$L241,MAX(DangKyThamGapThuongXuyen!$A$4:A240)+1,"")</f>
        <v/>
      </c>
      <c r="B241" s="212" t="s">
        <v>1695</v>
      </c>
      <c r="C241" s="212">
        <v>1957</v>
      </c>
      <c r="D241" s="212"/>
      <c r="E241" s="212" t="s">
        <v>1279</v>
      </c>
      <c r="F241" s="212"/>
      <c r="G241" s="212" t="s">
        <v>2182</v>
      </c>
      <c r="H241" s="212" t="s">
        <v>1934</v>
      </c>
      <c r="I241" s="212"/>
      <c r="J241" s="212"/>
      <c r="K241" s="212"/>
      <c r="L241" s="212" t="s">
        <v>33</v>
      </c>
      <c r="M241" s="212" t="s">
        <v>2122</v>
      </c>
      <c r="N241" s="212"/>
    </row>
    <row r="242" spans="1:14" x14ac:dyDescent="0.25">
      <c r="A242" s="211" t="str">
        <f>IF(DuLieuThamNuoiNgay!$F$4=$L242,MAX(DangKyThamGapThuongXuyen!$A$4:A241)+1,"")</f>
        <v/>
      </c>
      <c r="B242" s="212" t="s">
        <v>1696</v>
      </c>
      <c r="C242" s="212">
        <v>1991</v>
      </c>
      <c r="D242" s="212" t="s">
        <v>1697</v>
      </c>
      <c r="E242" s="212" t="s">
        <v>568</v>
      </c>
      <c r="F242" s="212"/>
      <c r="G242" s="212" t="s">
        <v>2182</v>
      </c>
      <c r="H242" s="212"/>
      <c r="I242" s="212"/>
      <c r="J242" s="212"/>
      <c r="K242" s="212"/>
      <c r="L242" s="212" t="s">
        <v>33</v>
      </c>
      <c r="M242" s="212" t="s">
        <v>2122</v>
      </c>
      <c r="N242" s="212"/>
    </row>
    <row r="243" spans="1:14" x14ac:dyDescent="0.25">
      <c r="A243" s="211" t="str">
        <f>IF(DuLieuThamNuoiNgay!$F$4=$L243,MAX(DangKyThamGapThuongXuyen!$A$4:A242)+1,"")</f>
        <v/>
      </c>
      <c r="B243" s="212" t="s">
        <v>1525</v>
      </c>
      <c r="C243" s="212">
        <v>1953</v>
      </c>
      <c r="D243" s="212" t="s">
        <v>1526</v>
      </c>
      <c r="E243" s="212" t="s">
        <v>1279</v>
      </c>
      <c r="F243" s="212"/>
      <c r="G243" s="212" t="s">
        <v>2183</v>
      </c>
      <c r="H243" s="212"/>
      <c r="I243" s="212"/>
      <c r="J243" s="212"/>
      <c r="K243" s="212"/>
      <c r="L243" s="212" t="s">
        <v>508</v>
      </c>
      <c r="M243" s="212" t="s">
        <v>2047</v>
      </c>
      <c r="N243" s="212"/>
    </row>
    <row r="244" spans="1:14" x14ac:dyDescent="0.25">
      <c r="A244" s="211" t="str">
        <f>IF(DuLieuThamNuoiNgay!$F$4=$L244,MAX(DangKyThamGapThuongXuyen!$A$4:A243)+1,"")</f>
        <v/>
      </c>
      <c r="B244" s="212" t="s">
        <v>1698</v>
      </c>
      <c r="C244" s="212">
        <v>1946</v>
      </c>
      <c r="D244" s="212"/>
      <c r="E244" s="212" t="s">
        <v>1279</v>
      </c>
      <c r="F244" s="212"/>
      <c r="G244" s="212" t="s">
        <v>2174</v>
      </c>
      <c r="H244" s="212"/>
      <c r="I244" s="212"/>
      <c r="J244" s="212"/>
      <c r="K244" s="212"/>
      <c r="L244" s="212" t="s">
        <v>1037</v>
      </c>
      <c r="M244" s="212" t="s">
        <v>2123</v>
      </c>
      <c r="N244" s="212"/>
    </row>
    <row r="245" spans="1:14" x14ac:dyDescent="0.25">
      <c r="A245" s="211" t="str">
        <f>IF(DuLieuThamNuoiNgay!$F$4=$L245,MAX(DangKyThamGapThuongXuyen!$A$4:A244)+1,"")</f>
        <v/>
      </c>
      <c r="B245" s="212" t="s">
        <v>1614</v>
      </c>
      <c r="C245" s="212">
        <v>1960</v>
      </c>
      <c r="D245" s="212" t="s">
        <v>1699</v>
      </c>
      <c r="E245" s="212" t="s">
        <v>1275</v>
      </c>
      <c r="F245" s="212"/>
      <c r="G245" s="212" t="s">
        <v>2182</v>
      </c>
      <c r="H245" s="212" t="s">
        <v>1935</v>
      </c>
      <c r="I245" s="212"/>
      <c r="J245" s="212"/>
      <c r="K245" s="212"/>
      <c r="L245" s="212" t="s">
        <v>864</v>
      </c>
      <c r="M245" s="212" t="s">
        <v>2124</v>
      </c>
      <c r="N245" s="212"/>
    </row>
    <row r="246" spans="1:14" x14ac:dyDescent="0.25">
      <c r="A246" s="211" t="str">
        <f>IF(DuLieuThamNuoiNgay!$F$4=$L246,MAX(DangKyThamGapThuongXuyen!$A$4:A245)+1,"")</f>
        <v/>
      </c>
      <c r="B246" s="212" t="s">
        <v>1700</v>
      </c>
      <c r="C246" s="212">
        <v>1962</v>
      </c>
      <c r="D246" s="212" t="s">
        <v>1701</v>
      </c>
      <c r="E246" s="212" t="s">
        <v>1279</v>
      </c>
      <c r="F246" s="212"/>
      <c r="G246" s="212" t="s">
        <v>2182</v>
      </c>
      <c r="H246" s="212" t="s">
        <v>1935</v>
      </c>
      <c r="I246" s="212"/>
      <c r="J246" s="212"/>
      <c r="K246" s="212"/>
      <c r="L246" s="212" t="s">
        <v>864</v>
      </c>
      <c r="M246" s="212" t="s">
        <v>2124</v>
      </c>
      <c r="N246" s="212"/>
    </row>
    <row r="247" spans="1:14" x14ac:dyDescent="0.25">
      <c r="A247" s="211" t="str">
        <f>IF(DuLieuThamNuoiNgay!$F$4=$L247,MAX(DangKyThamGapThuongXuyen!$A$4:A246)+1,"")</f>
        <v/>
      </c>
      <c r="B247" s="212" t="s">
        <v>1702</v>
      </c>
      <c r="C247" s="212">
        <v>1999</v>
      </c>
      <c r="D247" s="212">
        <v>79199008297</v>
      </c>
      <c r="E247" s="212" t="s">
        <v>568</v>
      </c>
      <c r="F247" s="212"/>
      <c r="G247" s="212" t="s">
        <v>2182</v>
      </c>
      <c r="H247" s="212" t="s">
        <v>1935</v>
      </c>
      <c r="I247" s="212"/>
      <c r="J247" s="212"/>
      <c r="K247" s="212"/>
      <c r="L247" s="212" t="s">
        <v>864</v>
      </c>
      <c r="M247" s="212" t="s">
        <v>2124</v>
      </c>
      <c r="N247" s="212"/>
    </row>
    <row r="248" spans="1:14" x14ac:dyDescent="0.25">
      <c r="A248" s="211" t="str">
        <f>IF(DuLieuThamNuoiNgay!$F$4=$L248,MAX(DangKyThamGapThuongXuyen!$A$4:A247)+1,"")</f>
        <v/>
      </c>
      <c r="B248" s="212" t="s">
        <v>1283</v>
      </c>
      <c r="C248" s="212">
        <v>1983</v>
      </c>
      <c r="D248" s="212">
        <v>23533569</v>
      </c>
      <c r="E248" s="212" t="s">
        <v>568</v>
      </c>
      <c r="F248" s="212"/>
      <c r="G248" s="212" t="s">
        <v>2174</v>
      </c>
      <c r="H248" s="212" t="s">
        <v>1936</v>
      </c>
      <c r="I248" s="212"/>
      <c r="J248" s="212"/>
      <c r="K248" s="212"/>
      <c r="L248" s="212" t="s">
        <v>1119</v>
      </c>
      <c r="M248" s="212" t="s">
        <v>2125</v>
      </c>
      <c r="N248" s="212"/>
    </row>
    <row r="249" spans="1:14" x14ac:dyDescent="0.25">
      <c r="A249" s="211" t="str">
        <f>IF(DuLieuThamNuoiNgay!$F$4=$L249,MAX(DangKyThamGapThuongXuyen!$A$4:A248)+1,"")</f>
        <v/>
      </c>
      <c r="B249" s="212" t="s">
        <v>1703</v>
      </c>
      <c r="C249" s="212">
        <v>1954</v>
      </c>
      <c r="D249" s="212" t="s">
        <v>1704</v>
      </c>
      <c r="E249" s="212" t="s">
        <v>1279</v>
      </c>
      <c r="F249" s="212"/>
      <c r="G249" s="212" t="s">
        <v>2174</v>
      </c>
      <c r="H249" s="212" t="s">
        <v>1936</v>
      </c>
      <c r="I249" s="212"/>
      <c r="J249" s="212"/>
      <c r="K249" s="212"/>
      <c r="L249" s="212" t="s">
        <v>1119</v>
      </c>
      <c r="M249" s="212" t="s">
        <v>2125</v>
      </c>
      <c r="N249" s="212"/>
    </row>
    <row r="250" spans="1:14" x14ac:dyDescent="0.25">
      <c r="A250" s="211" t="str">
        <f>IF(DuLieuThamNuoiNgay!$F$4=$L250,MAX(DangKyThamGapThuongXuyen!$A$4:A249)+1,"")</f>
        <v/>
      </c>
      <c r="B250" s="212" t="s">
        <v>1705</v>
      </c>
      <c r="C250" s="212">
        <v>1965</v>
      </c>
      <c r="D250" s="212" t="s">
        <v>1706</v>
      </c>
      <c r="E250" s="212" t="s">
        <v>1855</v>
      </c>
      <c r="F250" s="212"/>
      <c r="G250" s="212" t="s">
        <v>2174</v>
      </c>
      <c r="H250" s="212" t="s">
        <v>1937</v>
      </c>
      <c r="I250" s="212"/>
      <c r="J250" s="212"/>
      <c r="K250" s="212"/>
      <c r="L250" s="212" t="s">
        <v>137</v>
      </c>
      <c r="M250" s="212" t="s">
        <v>2126</v>
      </c>
      <c r="N250" s="212"/>
    </row>
    <row r="251" spans="1:14" x14ac:dyDescent="0.25">
      <c r="A251" s="211" t="str">
        <f>IF(DuLieuThamNuoiNgay!$F$4=$L251,MAX(DangKyThamGapThuongXuyen!$A$4:A250)+1,"")</f>
        <v/>
      </c>
      <c r="B251" s="212" t="s">
        <v>1707</v>
      </c>
      <c r="C251" s="212">
        <v>1967</v>
      </c>
      <c r="D251" s="212"/>
      <c r="E251" s="212" t="s">
        <v>1272</v>
      </c>
      <c r="F251" s="212"/>
      <c r="G251" s="212" t="s">
        <v>2174</v>
      </c>
      <c r="H251" s="212" t="s">
        <v>1937</v>
      </c>
      <c r="I251" s="212"/>
      <c r="J251" s="212"/>
      <c r="K251" s="212"/>
      <c r="L251" s="212" t="s">
        <v>137</v>
      </c>
      <c r="M251" s="212" t="s">
        <v>2126</v>
      </c>
      <c r="N251" s="212"/>
    </row>
    <row r="252" spans="1:14" x14ac:dyDescent="0.25">
      <c r="A252" s="211" t="str">
        <f>IF(DuLieuThamNuoiNgay!$F$4=$L252,MAX(DangKyThamGapThuongXuyen!$A$4:A251)+1,"")</f>
        <v/>
      </c>
      <c r="B252" s="212" t="s">
        <v>1708</v>
      </c>
      <c r="C252" s="212">
        <v>1995</v>
      </c>
      <c r="D252" s="212" t="s">
        <v>1709</v>
      </c>
      <c r="E252" s="212" t="s">
        <v>1293</v>
      </c>
      <c r="F252" s="212"/>
      <c r="G252" s="212" t="s">
        <v>2182</v>
      </c>
      <c r="H252" s="212" t="s">
        <v>1938</v>
      </c>
      <c r="I252" s="212"/>
      <c r="J252" s="212"/>
      <c r="K252" s="212"/>
      <c r="L252" s="212" t="s">
        <v>704</v>
      </c>
      <c r="M252" s="212" t="s">
        <v>2127</v>
      </c>
      <c r="N252" s="212"/>
    </row>
    <row r="253" spans="1:14" x14ac:dyDescent="0.25">
      <c r="A253" s="211" t="str">
        <f>IF(DuLieuThamNuoiNgay!$F$4=$L253,MAX(DangKyThamGapThuongXuyen!$A$4:A252)+1,"")</f>
        <v/>
      </c>
      <c r="B253" s="212" t="s">
        <v>1710</v>
      </c>
      <c r="C253" s="212">
        <v>1971</v>
      </c>
      <c r="D253" s="212" t="s">
        <v>1711</v>
      </c>
      <c r="E253" s="212" t="s">
        <v>1277</v>
      </c>
      <c r="F253" s="212"/>
      <c r="G253" s="212" t="s">
        <v>2182</v>
      </c>
      <c r="H253" s="212" t="s">
        <v>1938</v>
      </c>
      <c r="I253" s="212"/>
      <c r="J253" s="212"/>
      <c r="K253" s="212"/>
      <c r="L253" s="212" t="s">
        <v>704</v>
      </c>
      <c r="M253" s="212" t="s">
        <v>2127</v>
      </c>
      <c r="N253" s="212"/>
    </row>
    <row r="254" spans="1:14" x14ac:dyDescent="0.25">
      <c r="A254" s="211" t="str">
        <f>IF(DuLieuThamNuoiNgay!$F$4=$L254,MAX(DangKyThamGapThuongXuyen!$A$4:A253)+1,"")</f>
        <v/>
      </c>
      <c r="B254" s="212" t="s">
        <v>1712</v>
      </c>
      <c r="C254" s="212">
        <v>1981</v>
      </c>
      <c r="D254" s="212">
        <v>2330281</v>
      </c>
      <c r="E254" s="212" t="s">
        <v>568</v>
      </c>
      <c r="F254" s="212"/>
      <c r="G254" s="212" t="s">
        <v>2184</v>
      </c>
      <c r="H254" s="212" t="s">
        <v>1939</v>
      </c>
      <c r="I254" s="212"/>
      <c r="J254" s="212"/>
      <c r="K254" s="212"/>
      <c r="L254" s="212" t="s">
        <v>1118</v>
      </c>
      <c r="M254" s="212" t="s">
        <v>2128</v>
      </c>
      <c r="N254" s="212"/>
    </row>
    <row r="255" spans="1:14" x14ac:dyDescent="0.25">
      <c r="A255" s="211" t="str">
        <f>IF(DuLieuThamNuoiNgay!$F$4=$L255,MAX(DangKyThamGapThuongXuyen!$A$4:A254)+1,"")</f>
        <v/>
      </c>
      <c r="B255" s="212" t="s">
        <v>1713</v>
      </c>
      <c r="C255" s="212">
        <v>1980</v>
      </c>
      <c r="D255" s="212">
        <v>79080006169</v>
      </c>
      <c r="E255" s="212" t="s">
        <v>35</v>
      </c>
      <c r="F255" s="212"/>
      <c r="G255" s="212" t="s">
        <v>2182</v>
      </c>
      <c r="H255" s="212" t="s">
        <v>21</v>
      </c>
      <c r="I255" s="212"/>
      <c r="J255" s="212"/>
      <c r="K255" s="212"/>
      <c r="L255" s="212" t="s">
        <v>711</v>
      </c>
      <c r="M255" s="212" t="s">
        <v>2129</v>
      </c>
      <c r="N255" s="212"/>
    </row>
    <row r="256" spans="1:14" x14ac:dyDescent="0.25">
      <c r="A256" s="211" t="str">
        <f>IF(DuLieuThamNuoiNgay!$F$4=$L256,MAX(DangKyThamGapThuongXuyen!$A$4:A255)+1,"")</f>
        <v/>
      </c>
      <c r="B256" s="212" t="s">
        <v>1714</v>
      </c>
      <c r="C256" s="212">
        <v>2009</v>
      </c>
      <c r="D256" s="212" t="s">
        <v>1294</v>
      </c>
      <c r="E256" s="212" t="s">
        <v>1296</v>
      </c>
      <c r="F256" s="212"/>
      <c r="G256" s="212"/>
      <c r="H256" s="212"/>
      <c r="I256" s="212"/>
      <c r="J256" s="212"/>
      <c r="K256" s="212"/>
      <c r="L256" s="212" t="s">
        <v>711</v>
      </c>
      <c r="M256" s="212" t="s">
        <v>2129</v>
      </c>
      <c r="N256" s="212"/>
    </row>
    <row r="257" spans="1:14" x14ac:dyDescent="0.25">
      <c r="A257" s="211" t="str">
        <f>IF(DuLieuThamNuoiNgay!$F$4=$L257,MAX(DangKyThamGapThuongXuyen!$A$4:A256)+1,"")</f>
        <v/>
      </c>
      <c r="B257" s="212" t="s">
        <v>1715</v>
      </c>
      <c r="C257" s="212">
        <v>1960</v>
      </c>
      <c r="D257" s="212" t="s">
        <v>1716</v>
      </c>
      <c r="E257" s="212" t="s">
        <v>1272</v>
      </c>
      <c r="F257" s="212"/>
      <c r="G257" s="212" t="s">
        <v>2174</v>
      </c>
      <c r="H257" s="212" t="s">
        <v>1940</v>
      </c>
      <c r="I257" s="212"/>
      <c r="J257" s="212"/>
      <c r="K257" s="212"/>
      <c r="L257" s="212" t="s">
        <v>839</v>
      </c>
      <c r="M257" s="212" t="s">
        <v>2130</v>
      </c>
      <c r="N257" s="212"/>
    </row>
    <row r="258" spans="1:14" x14ac:dyDescent="0.25">
      <c r="A258" s="211" t="str">
        <f>IF(DuLieuThamNuoiNgay!$F$4=$L258,MAX(DangKyThamGapThuongXuyen!$A$4:A257)+1,"")</f>
        <v/>
      </c>
      <c r="B258" s="212" t="s">
        <v>1717</v>
      </c>
      <c r="C258" s="212">
        <v>1957</v>
      </c>
      <c r="D258" s="212" t="s">
        <v>1718</v>
      </c>
      <c r="E258" s="212" t="s">
        <v>1856</v>
      </c>
      <c r="F258" s="212"/>
      <c r="G258" s="212" t="s">
        <v>2185</v>
      </c>
      <c r="H258" s="212" t="s">
        <v>1941</v>
      </c>
      <c r="I258" s="212"/>
      <c r="J258" s="212"/>
      <c r="K258" s="212"/>
      <c r="L258" s="212" t="s">
        <v>255</v>
      </c>
      <c r="M258" s="212" t="s">
        <v>2131</v>
      </c>
      <c r="N258" s="212"/>
    </row>
    <row r="259" spans="1:14" x14ac:dyDescent="0.25">
      <c r="A259" s="211" t="str">
        <f>IF(DuLieuThamNuoiNgay!$F$4=$L259,MAX(DangKyThamGapThuongXuyen!$A$4:A258)+1,"")</f>
        <v/>
      </c>
      <c r="B259" s="212" t="s">
        <v>1719</v>
      </c>
      <c r="C259" s="212">
        <v>1960</v>
      </c>
      <c r="D259" s="212" t="s">
        <v>1720</v>
      </c>
      <c r="E259" s="212" t="s">
        <v>1857</v>
      </c>
      <c r="F259" s="212"/>
      <c r="G259" s="212" t="s">
        <v>2185</v>
      </c>
      <c r="H259" s="212" t="s">
        <v>1941</v>
      </c>
      <c r="I259" s="212"/>
      <c r="J259" s="212"/>
      <c r="K259" s="212"/>
      <c r="L259" s="212" t="s">
        <v>255</v>
      </c>
      <c r="M259" s="212" t="s">
        <v>2131</v>
      </c>
      <c r="N259" s="212"/>
    </row>
    <row r="260" spans="1:14" x14ac:dyDescent="0.25">
      <c r="A260" s="211" t="str">
        <f>IF(DuLieuThamNuoiNgay!$F$4=$L260,MAX(DangKyThamGapThuongXuyen!$A$4:A259)+1,"")</f>
        <v/>
      </c>
      <c r="B260" s="212" t="s">
        <v>1721</v>
      </c>
      <c r="C260" s="212">
        <v>1969</v>
      </c>
      <c r="D260" s="212"/>
      <c r="E260" s="212" t="s">
        <v>1858</v>
      </c>
      <c r="F260" s="212"/>
      <c r="G260" s="212" t="s">
        <v>2185</v>
      </c>
      <c r="H260" s="212" t="s">
        <v>1942</v>
      </c>
      <c r="I260" s="212"/>
      <c r="J260" s="212"/>
      <c r="K260" s="212"/>
      <c r="L260" s="212" t="s">
        <v>487</v>
      </c>
      <c r="M260" s="212" t="s">
        <v>2132</v>
      </c>
      <c r="N260" s="212"/>
    </row>
    <row r="261" spans="1:14" x14ac:dyDescent="0.25">
      <c r="A261" s="211" t="str">
        <f>IF(DuLieuThamNuoiNgay!$F$4=$L261,MAX(DangKyThamGapThuongXuyen!$A$4:A260)+1,"")</f>
        <v/>
      </c>
      <c r="B261" s="212" t="s">
        <v>1722</v>
      </c>
      <c r="C261" s="212">
        <v>2003</v>
      </c>
      <c r="D261" s="212"/>
      <c r="E261" s="212" t="s">
        <v>1851</v>
      </c>
      <c r="F261" s="212"/>
      <c r="G261" s="212" t="s">
        <v>2185</v>
      </c>
      <c r="H261" s="212" t="s">
        <v>1943</v>
      </c>
      <c r="I261" s="212"/>
      <c r="J261" s="212"/>
      <c r="K261" s="212"/>
      <c r="L261" s="212" t="s">
        <v>487</v>
      </c>
      <c r="M261" s="212" t="s">
        <v>2132</v>
      </c>
      <c r="N261" s="212"/>
    </row>
    <row r="262" spans="1:14" x14ac:dyDescent="0.25">
      <c r="A262" s="211" t="str">
        <f>IF(DuLieuThamNuoiNgay!$F$4=$L262,MAX(DangKyThamGapThuongXuyen!$A$4:A261)+1,"")</f>
        <v/>
      </c>
      <c r="B262" s="212" t="s">
        <v>1723</v>
      </c>
      <c r="C262" s="212">
        <v>1986</v>
      </c>
      <c r="D262" s="212" t="s">
        <v>1724</v>
      </c>
      <c r="E262" s="212" t="s">
        <v>35</v>
      </c>
      <c r="F262" s="212"/>
      <c r="G262" s="212" t="s">
        <v>2174</v>
      </c>
      <c r="H262" s="212" t="s">
        <v>1944</v>
      </c>
      <c r="I262" s="212"/>
      <c r="J262" s="212"/>
      <c r="K262" s="212"/>
      <c r="L262" s="212" t="s">
        <v>995</v>
      </c>
      <c r="M262" s="212" t="s">
        <v>2133</v>
      </c>
      <c r="N262" s="212"/>
    </row>
    <row r="263" spans="1:14" x14ac:dyDescent="0.25">
      <c r="A263" s="211" t="str">
        <f>IF(DuLieuThamNuoiNgay!$F$4=$L263,MAX(DangKyThamGapThuongXuyen!$A$4:A262)+1,"")</f>
        <v/>
      </c>
      <c r="B263" s="212" t="s">
        <v>1725</v>
      </c>
      <c r="C263" s="212">
        <v>1962</v>
      </c>
      <c r="D263" s="212" t="s">
        <v>1726</v>
      </c>
      <c r="E263" s="212" t="s">
        <v>1279</v>
      </c>
      <c r="F263" s="212"/>
      <c r="G263" s="212" t="s">
        <v>2174</v>
      </c>
      <c r="H263" s="212"/>
      <c r="I263" s="212"/>
      <c r="J263" s="212"/>
      <c r="K263" s="212"/>
      <c r="L263" s="212" t="s">
        <v>1110</v>
      </c>
      <c r="M263" s="212" t="s">
        <v>2134</v>
      </c>
      <c r="N263" s="212"/>
    </row>
    <row r="264" spans="1:14" x14ac:dyDescent="0.25">
      <c r="A264" s="211" t="str">
        <f>IF(DuLieuThamNuoiNgay!$F$4=$L264,MAX(DangKyThamGapThuongXuyen!$A$4:A263)+1,"")</f>
        <v/>
      </c>
      <c r="B264" s="212" t="s">
        <v>1727</v>
      </c>
      <c r="C264" s="212">
        <v>1964</v>
      </c>
      <c r="D264" s="212" t="s">
        <v>1728</v>
      </c>
      <c r="E264" s="212" t="s">
        <v>1279</v>
      </c>
      <c r="F264" s="212"/>
      <c r="G264" s="212" t="s">
        <v>2173</v>
      </c>
      <c r="H264" s="212" t="s">
        <v>1945</v>
      </c>
      <c r="I264" s="212"/>
      <c r="J264" s="212"/>
      <c r="K264" s="212"/>
      <c r="L264" s="212" t="s">
        <v>486</v>
      </c>
      <c r="M264" s="212" t="s">
        <v>2109</v>
      </c>
      <c r="N264" s="212"/>
    </row>
    <row r="265" spans="1:14" x14ac:dyDescent="0.25">
      <c r="A265" s="211" t="str">
        <f>IF(DuLieuThamNuoiNgay!$F$4=$L265,MAX(DangKyThamGapThuongXuyen!$A$4:A264)+1,"")</f>
        <v/>
      </c>
      <c r="B265" s="212" t="s">
        <v>1729</v>
      </c>
      <c r="C265" s="212">
        <v>1962</v>
      </c>
      <c r="D265" s="212" t="s">
        <v>1730</v>
      </c>
      <c r="E265" s="212" t="s">
        <v>1279</v>
      </c>
      <c r="F265" s="212"/>
      <c r="G265" s="212" t="s">
        <v>2173</v>
      </c>
      <c r="H265" s="212" t="s">
        <v>1946</v>
      </c>
      <c r="I265" s="212"/>
      <c r="J265" s="212"/>
      <c r="K265" s="212"/>
      <c r="L265" s="212" t="s">
        <v>867</v>
      </c>
      <c r="M265" s="212" t="s">
        <v>2135</v>
      </c>
      <c r="N265" s="212"/>
    </row>
    <row r="266" spans="1:14" x14ac:dyDescent="0.25">
      <c r="A266" s="211" t="str">
        <f>IF(DuLieuThamNuoiNgay!$F$4=$L266,MAX(DangKyThamGapThuongXuyen!$A$4:A265)+1,"")</f>
        <v/>
      </c>
      <c r="B266" s="212" t="s">
        <v>1731</v>
      </c>
      <c r="C266" s="212">
        <v>1954</v>
      </c>
      <c r="D266" s="212" t="s">
        <v>1732</v>
      </c>
      <c r="E266" s="212" t="s">
        <v>1275</v>
      </c>
      <c r="F266" s="212"/>
      <c r="G266" s="212"/>
      <c r="H266" s="212" t="s">
        <v>1947</v>
      </c>
      <c r="I266" s="212"/>
      <c r="J266" s="212"/>
      <c r="K266" s="212"/>
      <c r="L266" s="212" t="s">
        <v>1020</v>
      </c>
      <c r="M266" s="212" t="s">
        <v>2136</v>
      </c>
      <c r="N266" s="212"/>
    </row>
    <row r="267" spans="1:14" x14ac:dyDescent="0.25">
      <c r="A267" s="211" t="str">
        <f>IF(DuLieuThamNuoiNgay!$F$4=$L267,MAX(DangKyThamGapThuongXuyen!$A$4:A266)+1,"")</f>
        <v/>
      </c>
      <c r="B267" s="212" t="s">
        <v>1733</v>
      </c>
      <c r="C267" s="212">
        <v>1974</v>
      </c>
      <c r="D267" s="212" t="s">
        <v>1734</v>
      </c>
      <c r="E267" s="212" t="s">
        <v>1277</v>
      </c>
      <c r="F267" s="212"/>
      <c r="G267" s="212" t="s">
        <v>2186</v>
      </c>
      <c r="H267" s="212" t="s">
        <v>1948</v>
      </c>
      <c r="I267" s="212"/>
      <c r="J267" s="212"/>
      <c r="K267" s="212"/>
      <c r="L267" s="212" t="s">
        <v>1018</v>
      </c>
      <c r="M267" s="212" t="s">
        <v>2137</v>
      </c>
      <c r="N267" s="212"/>
    </row>
    <row r="268" spans="1:14" x14ac:dyDescent="0.25">
      <c r="A268" s="211" t="str">
        <f>IF(DuLieuThamNuoiNgay!$F$4=$L268,MAX(DangKyThamGapThuongXuyen!$A$4:A267)+1,"")</f>
        <v/>
      </c>
      <c r="B268" s="212" t="s">
        <v>1735</v>
      </c>
      <c r="C268" s="212">
        <v>1999</v>
      </c>
      <c r="D268" s="212" t="s">
        <v>1736</v>
      </c>
      <c r="E268" s="212" t="s">
        <v>1293</v>
      </c>
      <c r="F268" s="212"/>
      <c r="G268" s="212" t="s">
        <v>2183</v>
      </c>
      <c r="H268" s="212" t="s">
        <v>1949</v>
      </c>
      <c r="I268" s="212"/>
      <c r="J268" s="212"/>
      <c r="K268" s="212"/>
      <c r="L268" s="212" t="s">
        <v>1041</v>
      </c>
      <c r="M268" s="212" t="s">
        <v>2046</v>
      </c>
      <c r="N268" s="212"/>
    </row>
    <row r="269" spans="1:14" x14ac:dyDescent="0.25">
      <c r="A269" s="211" t="str">
        <f>IF(DuLieuThamNuoiNgay!$F$4=$L269,MAX(DangKyThamGapThuongXuyen!$A$4:A268)+1,"")</f>
        <v/>
      </c>
      <c r="B269" s="212" t="s">
        <v>1737</v>
      </c>
      <c r="C269" s="212">
        <v>1997</v>
      </c>
      <c r="D269" s="212" t="s">
        <v>1738</v>
      </c>
      <c r="E269" s="212" t="s">
        <v>1293</v>
      </c>
      <c r="F269" s="212"/>
      <c r="G269" s="212" t="s">
        <v>2183</v>
      </c>
      <c r="H269" s="212" t="s">
        <v>1950</v>
      </c>
      <c r="I269" s="212"/>
      <c r="J269" s="212"/>
      <c r="K269" s="212"/>
      <c r="L269" s="212" t="s">
        <v>1018</v>
      </c>
      <c r="M269" s="212" t="s">
        <v>2137</v>
      </c>
      <c r="N269" s="212"/>
    </row>
    <row r="270" spans="1:14" x14ac:dyDescent="0.25">
      <c r="A270" s="211" t="str">
        <f>IF(DuLieuThamNuoiNgay!$F$4=$L270,MAX(DangKyThamGapThuongXuyen!$A$4:A269)+1,"")</f>
        <v/>
      </c>
      <c r="B270" s="212" t="s">
        <v>1278</v>
      </c>
      <c r="C270" s="212">
        <v>1970</v>
      </c>
      <c r="D270" s="212" t="s">
        <v>1280</v>
      </c>
      <c r="E270" s="212" t="s">
        <v>1279</v>
      </c>
      <c r="F270" s="212"/>
      <c r="G270" s="212" t="s">
        <v>2185</v>
      </c>
      <c r="H270" s="212" t="s">
        <v>1951</v>
      </c>
      <c r="I270" s="212"/>
      <c r="J270" s="212"/>
      <c r="K270" s="212"/>
      <c r="L270" s="212" t="s">
        <v>1009</v>
      </c>
      <c r="M270" s="212" t="s">
        <v>2034</v>
      </c>
      <c r="N270" s="212"/>
    </row>
    <row r="271" spans="1:14" x14ac:dyDescent="0.25">
      <c r="A271" s="211" t="str">
        <f>IF(DuLieuThamNuoiNgay!$F$4=$L271,MAX(DangKyThamGapThuongXuyen!$A$4:A270)+1,"")</f>
        <v/>
      </c>
      <c r="B271" s="212" t="s">
        <v>1739</v>
      </c>
      <c r="C271" s="212">
        <v>1993</v>
      </c>
      <c r="D271" s="212" t="s">
        <v>1458</v>
      </c>
      <c r="E271" s="212" t="s">
        <v>1277</v>
      </c>
      <c r="F271" s="212"/>
      <c r="G271" s="212" t="s">
        <v>2173</v>
      </c>
      <c r="H271" s="212" t="s">
        <v>1952</v>
      </c>
      <c r="I271" s="212"/>
      <c r="J271" s="212"/>
      <c r="K271" s="212"/>
      <c r="L271" s="212" t="s">
        <v>1009</v>
      </c>
      <c r="M271" s="212" t="s">
        <v>2034</v>
      </c>
      <c r="N271" s="212"/>
    </row>
    <row r="272" spans="1:14" x14ac:dyDescent="0.25">
      <c r="A272" s="211" t="str">
        <f>IF(DuLieuThamNuoiNgay!$F$4=$L272,MAX(DangKyThamGapThuongXuyen!$A$4:A271)+1,"")</f>
        <v/>
      </c>
      <c r="B272" s="212" t="s">
        <v>1740</v>
      </c>
      <c r="C272" s="212">
        <v>2008</v>
      </c>
      <c r="D272" s="212"/>
      <c r="E272" s="212" t="s">
        <v>1293</v>
      </c>
      <c r="F272" s="212"/>
      <c r="G272" s="212"/>
      <c r="H272" s="212"/>
      <c r="I272" s="212"/>
      <c r="J272" s="212"/>
      <c r="K272" s="212"/>
      <c r="L272" s="212" t="s">
        <v>1020</v>
      </c>
      <c r="M272" s="212" t="s">
        <v>2136</v>
      </c>
      <c r="N272" s="212"/>
    </row>
    <row r="273" spans="1:14" x14ac:dyDescent="0.25">
      <c r="A273" s="211" t="str">
        <f>IF(DuLieuThamNuoiNgay!$F$4=$L273,MAX(DangKyThamGapThuongXuyen!$A$4:A272)+1,"")</f>
        <v/>
      </c>
      <c r="B273" s="212" t="s">
        <v>1741</v>
      </c>
      <c r="C273" s="212">
        <v>1972</v>
      </c>
      <c r="D273" s="212" t="s">
        <v>1742</v>
      </c>
      <c r="E273" s="212" t="s">
        <v>568</v>
      </c>
      <c r="F273" s="212"/>
      <c r="G273" s="212" t="s">
        <v>2173</v>
      </c>
      <c r="H273" s="212" t="s">
        <v>1953</v>
      </c>
      <c r="I273" s="212"/>
      <c r="J273" s="212"/>
      <c r="K273" s="212"/>
      <c r="L273" s="212" t="s">
        <v>1147</v>
      </c>
      <c r="M273" s="212" t="s">
        <v>2138</v>
      </c>
      <c r="N273" s="212"/>
    </row>
    <row r="274" spans="1:14" x14ac:dyDescent="0.25">
      <c r="A274" s="211" t="str">
        <f>IF(DuLieuThamNuoiNgay!$F$4=$L274,MAX(DangKyThamGapThuongXuyen!$A$4:A273)+1,"")</f>
        <v/>
      </c>
      <c r="B274" s="212" t="s">
        <v>1743</v>
      </c>
      <c r="C274" s="212">
        <v>1937</v>
      </c>
      <c r="D274" s="212"/>
      <c r="E274" s="212" t="s">
        <v>1279</v>
      </c>
      <c r="F274" s="212"/>
      <c r="G274" s="212" t="s">
        <v>2173</v>
      </c>
      <c r="H274" s="212" t="s">
        <v>1953</v>
      </c>
      <c r="I274" s="212"/>
      <c r="J274" s="212"/>
      <c r="K274" s="212"/>
      <c r="L274" s="212" t="s">
        <v>1147</v>
      </c>
      <c r="M274" s="212" t="s">
        <v>2138</v>
      </c>
      <c r="N274" s="212"/>
    </row>
    <row r="275" spans="1:14" x14ac:dyDescent="0.25">
      <c r="A275" s="211" t="str">
        <f>IF(DuLieuThamNuoiNgay!$F$4=$L275,MAX(DangKyThamGapThuongXuyen!$A$4:A274)+1,"")</f>
        <v/>
      </c>
      <c r="B275" s="212" t="s">
        <v>1744</v>
      </c>
      <c r="C275" s="212">
        <v>1983</v>
      </c>
      <c r="D275" s="212" t="s">
        <v>1745</v>
      </c>
      <c r="E275" s="212" t="s">
        <v>1277</v>
      </c>
      <c r="F275" s="212"/>
      <c r="G275" s="212" t="s">
        <v>2187</v>
      </c>
      <c r="H275" s="212" t="s">
        <v>1954</v>
      </c>
      <c r="I275" s="212"/>
      <c r="J275" s="212"/>
      <c r="K275" s="212"/>
      <c r="L275" s="212" t="s">
        <v>1138</v>
      </c>
      <c r="M275" s="212" t="s">
        <v>2139</v>
      </c>
      <c r="N275" s="212"/>
    </row>
    <row r="276" spans="1:14" x14ac:dyDescent="0.25">
      <c r="A276" s="211" t="str">
        <f>IF(DuLieuThamNuoiNgay!$F$4=$L276,MAX(DangKyThamGapThuongXuyen!$A$4:A275)+1,"")</f>
        <v/>
      </c>
      <c r="B276" s="212" t="s">
        <v>1645</v>
      </c>
      <c r="C276" s="212">
        <v>1981</v>
      </c>
      <c r="D276" s="212" t="s">
        <v>1746</v>
      </c>
      <c r="E276" s="212" t="s">
        <v>568</v>
      </c>
      <c r="F276" s="212"/>
      <c r="G276" s="212" t="s">
        <v>2173</v>
      </c>
      <c r="H276" s="212" t="s">
        <v>1955</v>
      </c>
      <c r="I276" s="212"/>
      <c r="J276" s="212"/>
      <c r="K276" s="212"/>
      <c r="L276" s="212" t="s">
        <v>207</v>
      </c>
      <c r="M276" s="212" t="s">
        <v>2037</v>
      </c>
      <c r="N276" s="212"/>
    </row>
    <row r="277" spans="1:14" x14ac:dyDescent="0.25">
      <c r="A277" s="211" t="str">
        <f>IF(DuLieuThamNuoiNgay!$F$4=$L277,MAX(DangKyThamGapThuongXuyen!$A$4:A276)+1,"")</f>
        <v/>
      </c>
      <c r="B277" s="212" t="s">
        <v>1747</v>
      </c>
      <c r="C277" s="212">
        <v>1958</v>
      </c>
      <c r="D277" s="212" t="s">
        <v>1748</v>
      </c>
      <c r="E277" s="212" t="s">
        <v>1279</v>
      </c>
      <c r="F277" s="212"/>
      <c r="G277" s="212" t="s">
        <v>2188</v>
      </c>
      <c r="H277" s="212" t="s">
        <v>1956</v>
      </c>
      <c r="I277" s="212"/>
      <c r="J277" s="212"/>
      <c r="K277" s="212"/>
      <c r="L277" s="212" t="s">
        <v>911</v>
      </c>
      <c r="M277" s="212" t="s">
        <v>2140</v>
      </c>
      <c r="N277" s="212"/>
    </row>
    <row r="278" spans="1:14" x14ac:dyDescent="0.25">
      <c r="A278" s="211" t="str">
        <f>IF(DuLieuThamNuoiNgay!$F$4=$L278,MAX(DangKyThamGapThuongXuyen!$A$4:A277)+1,"")</f>
        <v/>
      </c>
      <c r="B278" s="212" t="s">
        <v>1749</v>
      </c>
      <c r="C278" s="212">
        <v>1954</v>
      </c>
      <c r="D278" s="212" t="s">
        <v>1750</v>
      </c>
      <c r="E278" s="212" t="s">
        <v>1275</v>
      </c>
      <c r="F278" s="212"/>
      <c r="G278" s="212" t="s">
        <v>2188</v>
      </c>
      <c r="H278" s="212" t="s">
        <v>1956</v>
      </c>
      <c r="I278" s="212"/>
      <c r="J278" s="212"/>
      <c r="K278" s="212"/>
      <c r="L278" s="212" t="s">
        <v>911</v>
      </c>
      <c r="M278" s="212" t="s">
        <v>2140</v>
      </c>
      <c r="N278" s="212"/>
    </row>
    <row r="279" spans="1:14" x14ac:dyDescent="0.25">
      <c r="A279" s="211" t="str">
        <f>IF(DuLieuThamNuoiNgay!$F$4=$L279,MAX(DangKyThamGapThuongXuyen!$A$4:A278)+1,"")</f>
        <v/>
      </c>
      <c r="B279" s="212" t="s">
        <v>1751</v>
      </c>
      <c r="C279" s="212">
        <v>1996</v>
      </c>
      <c r="D279" s="212" t="s">
        <v>1752</v>
      </c>
      <c r="E279" s="212" t="s">
        <v>1277</v>
      </c>
      <c r="F279" s="212"/>
      <c r="G279" s="212" t="s">
        <v>2173</v>
      </c>
      <c r="H279" s="212" t="s">
        <v>1957</v>
      </c>
      <c r="I279" s="212"/>
      <c r="J279" s="212"/>
      <c r="K279" s="212"/>
      <c r="L279" s="212" t="s">
        <v>790</v>
      </c>
      <c r="M279" s="212" t="s">
        <v>2141</v>
      </c>
      <c r="N279" s="212"/>
    </row>
    <row r="280" spans="1:14" x14ac:dyDescent="0.25">
      <c r="A280" s="211" t="str">
        <f>IF(DuLieuThamNuoiNgay!$F$4=$L280,MAX(DangKyThamGapThuongXuyen!$A$4:A279)+1,"")</f>
        <v/>
      </c>
      <c r="B280" s="212" t="s">
        <v>1753</v>
      </c>
      <c r="C280" s="212">
        <v>1960</v>
      </c>
      <c r="D280" s="212" t="s">
        <v>1754</v>
      </c>
      <c r="E280" s="212" t="s">
        <v>1275</v>
      </c>
      <c r="F280" s="212"/>
      <c r="G280" s="212" t="s">
        <v>2173</v>
      </c>
      <c r="H280" s="212" t="s">
        <v>1958</v>
      </c>
      <c r="I280" s="212"/>
      <c r="J280" s="212"/>
      <c r="K280" s="212"/>
      <c r="L280" s="212" t="s">
        <v>790</v>
      </c>
      <c r="M280" s="212" t="s">
        <v>2141</v>
      </c>
      <c r="N280" s="212"/>
    </row>
    <row r="281" spans="1:14" x14ac:dyDescent="0.25">
      <c r="A281" s="211" t="str">
        <f>IF(DuLieuThamNuoiNgay!$F$4=$L281,MAX(DangKyThamGapThuongXuyen!$A$4:A280)+1,"")</f>
        <v/>
      </c>
      <c r="B281" s="212" t="s">
        <v>1755</v>
      </c>
      <c r="C281" s="212">
        <v>1967</v>
      </c>
      <c r="D281" s="212" t="s">
        <v>1756</v>
      </c>
      <c r="E281" s="212" t="s">
        <v>1279</v>
      </c>
      <c r="F281" s="212"/>
      <c r="G281" s="212" t="s">
        <v>2173</v>
      </c>
      <c r="H281" s="212" t="s">
        <v>1958</v>
      </c>
      <c r="I281" s="212"/>
      <c r="J281" s="212"/>
      <c r="K281" s="212"/>
      <c r="L281" s="212" t="s">
        <v>790</v>
      </c>
      <c r="M281" s="212" t="s">
        <v>2141</v>
      </c>
      <c r="N281" s="212"/>
    </row>
    <row r="282" spans="1:14" x14ac:dyDescent="0.25">
      <c r="A282" s="211" t="str">
        <f>IF(DuLieuThamNuoiNgay!$F$4=$L282,MAX(DangKyThamGapThuongXuyen!$A$4:A281)+1,"")</f>
        <v/>
      </c>
      <c r="B282" s="212" t="s">
        <v>1757</v>
      </c>
      <c r="C282" s="212">
        <v>1960</v>
      </c>
      <c r="D282" s="212" t="s">
        <v>1758</v>
      </c>
      <c r="E282" s="212" t="s">
        <v>1279</v>
      </c>
      <c r="F282" s="212"/>
      <c r="G282" s="212" t="s">
        <v>2173</v>
      </c>
      <c r="H282" s="212" t="s">
        <v>1959</v>
      </c>
      <c r="I282" s="212"/>
      <c r="J282" s="212"/>
      <c r="K282" s="212"/>
      <c r="L282" s="212" t="s">
        <v>895</v>
      </c>
      <c r="M282" s="212" t="s">
        <v>2142</v>
      </c>
      <c r="N282" s="212"/>
    </row>
    <row r="283" spans="1:14" x14ac:dyDescent="0.25">
      <c r="A283" s="211" t="str">
        <f>IF(DuLieuThamNuoiNgay!$F$4=$L283,MAX(DangKyThamGapThuongXuyen!$A$4:A282)+1,"")</f>
        <v/>
      </c>
      <c r="B283" s="212" t="s">
        <v>1759</v>
      </c>
      <c r="C283" s="212">
        <v>1956</v>
      </c>
      <c r="D283" s="212" t="s">
        <v>1760</v>
      </c>
      <c r="E283" s="212" t="s">
        <v>1279</v>
      </c>
      <c r="F283" s="212"/>
      <c r="G283" s="212" t="s">
        <v>2173</v>
      </c>
      <c r="H283" s="212" t="s">
        <v>1960</v>
      </c>
      <c r="I283" s="212"/>
      <c r="J283" s="212"/>
      <c r="K283" s="212"/>
      <c r="L283" s="212" t="s">
        <v>794</v>
      </c>
      <c r="M283" s="212" t="s">
        <v>2143</v>
      </c>
      <c r="N283" s="212"/>
    </row>
    <row r="284" spans="1:14" x14ac:dyDescent="0.25">
      <c r="A284" s="211" t="str">
        <f>IF(DuLieuThamNuoiNgay!$F$4=$L284,MAX(DangKyThamGapThuongXuyen!$A$4:A283)+1,"")</f>
        <v/>
      </c>
      <c r="B284" s="212" t="s">
        <v>1761</v>
      </c>
      <c r="C284" s="212">
        <v>1964</v>
      </c>
      <c r="D284" s="212" t="s">
        <v>1762</v>
      </c>
      <c r="E284" s="212" t="s">
        <v>1279</v>
      </c>
      <c r="F284" s="212"/>
      <c r="G284" s="212" t="s">
        <v>2189</v>
      </c>
      <c r="H284" s="212" t="s">
        <v>1961</v>
      </c>
      <c r="I284" s="212"/>
      <c r="J284" s="212"/>
      <c r="K284" s="212"/>
      <c r="L284" s="212" t="s">
        <v>967</v>
      </c>
      <c r="M284" s="212" t="s">
        <v>2144</v>
      </c>
      <c r="N284" s="212"/>
    </row>
    <row r="285" spans="1:14" x14ac:dyDescent="0.25">
      <c r="A285" s="211" t="str">
        <f>IF(DuLieuThamNuoiNgay!$F$4=$L285,MAX(DangKyThamGapThuongXuyen!$A$4:A284)+1,"")</f>
        <v/>
      </c>
      <c r="B285" s="212" t="s">
        <v>1763</v>
      </c>
      <c r="C285" s="212">
        <v>1949</v>
      </c>
      <c r="D285" s="212" t="s">
        <v>1764</v>
      </c>
      <c r="E285" s="212" t="s">
        <v>1279</v>
      </c>
      <c r="F285" s="212"/>
      <c r="G285" s="212" t="s">
        <v>2188</v>
      </c>
      <c r="H285" s="212" t="s">
        <v>1962</v>
      </c>
      <c r="I285" s="212"/>
      <c r="J285" s="212"/>
      <c r="K285" s="212"/>
      <c r="L285" s="212" t="s">
        <v>1146</v>
      </c>
      <c r="M285" s="212" t="s">
        <v>2145</v>
      </c>
      <c r="N285" s="212"/>
    </row>
    <row r="286" spans="1:14" x14ac:dyDescent="0.25">
      <c r="A286" s="211" t="str">
        <f>IF(DuLieuThamNuoiNgay!$F$4=$L286,MAX(DangKyThamGapThuongXuyen!$A$4:A285)+1,"")</f>
        <v/>
      </c>
      <c r="B286" s="212" t="s">
        <v>1765</v>
      </c>
      <c r="C286" s="212">
        <v>1956</v>
      </c>
      <c r="D286" s="212" t="s">
        <v>1766</v>
      </c>
      <c r="E286" s="212" t="s">
        <v>1275</v>
      </c>
      <c r="F286" s="212"/>
      <c r="G286" s="212" t="s">
        <v>2190</v>
      </c>
      <c r="H286" s="212" t="s">
        <v>1963</v>
      </c>
      <c r="I286" s="212"/>
      <c r="J286" s="212"/>
      <c r="K286" s="212"/>
      <c r="L286" s="212" t="s">
        <v>1144</v>
      </c>
      <c r="M286" s="212" t="s">
        <v>2146</v>
      </c>
      <c r="N286" s="212"/>
    </row>
    <row r="287" spans="1:14" x14ac:dyDescent="0.25">
      <c r="A287" s="211" t="str">
        <f>IF(DuLieuThamNuoiNgay!$F$4=$L287,MAX(DangKyThamGapThuongXuyen!$A$4:A286)+1,"")</f>
        <v/>
      </c>
      <c r="B287" s="212" t="s">
        <v>1767</v>
      </c>
      <c r="C287" s="212">
        <v>1946</v>
      </c>
      <c r="D287" s="212" t="s">
        <v>1768</v>
      </c>
      <c r="E287" s="212"/>
      <c r="F287" s="212"/>
      <c r="G287" s="212" t="s">
        <v>2173</v>
      </c>
      <c r="H287" s="212" t="s">
        <v>1964</v>
      </c>
      <c r="I287" s="212"/>
      <c r="J287" s="212"/>
      <c r="K287" s="212"/>
      <c r="L287" s="212" t="s">
        <v>637</v>
      </c>
      <c r="M287" s="212" t="s">
        <v>2147</v>
      </c>
      <c r="N287" s="212"/>
    </row>
    <row r="288" spans="1:14" x14ac:dyDescent="0.25">
      <c r="A288" s="211" t="str">
        <f>IF(DuLieuThamNuoiNgay!$F$4=$L288,MAX(DangKyThamGapThuongXuyen!$A$4:A287)+1,"")</f>
        <v/>
      </c>
      <c r="B288" s="212" t="s">
        <v>1769</v>
      </c>
      <c r="C288" s="212">
        <v>1957</v>
      </c>
      <c r="D288" s="212" t="s">
        <v>1770</v>
      </c>
      <c r="E288" s="212" t="s">
        <v>1275</v>
      </c>
      <c r="F288" s="212"/>
      <c r="G288" s="212" t="s">
        <v>2173</v>
      </c>
      <c r="H288" s="212" t="s">
        <v>1965</v>
      </c>
      <c r="I288" s="212"/>
      <c r="J288" s="212"/>
      <c r="K288" s="212"/>
      <c r="L288" s="212" t="s">
        <v>919</v>
      </c>
      <c r="M288" s="212" t="s">
        <v>2071</v>
      </c>
      <c r="N288" s="212"/>
    </row>
    <row r="289" spans="1:14" x14ac:dyDescent="0.25">
      <c r="A289" s="211" t="str">
        <f>IF(DuLieuThamNuoiNgay!$F$4=$L289,MAX(DangKyThamGapThuongXuyen!$A$4:A288)+1,"")</f>
        <v/>
      </c>
      <c r="B289" s="212" t="s">
        <v>1771</v>
      </c>
      <c r="C289" s="212">
        <v>1946</v>
      </c>
      <c r="D289" s="212" t="s">
        <v>1772</v>
      </c>
      <c r="E289" s="212" t="s">
        <v>1279</v>
      </c>
      <c r="F289" s="212"/>
      <c r="G289" s="212" t="s">
        <v>2183</v>
      </c>
      <c r="H289" s="212" t="s">
        <v>1966</v>
      </c>
      <c r="I289" s="212"/>
      <c r="J289" s="212"/>
      <c r="K289" s="212"/>
      <c r="L289" s="212" t="s">
        <v>1151</v>
      </c>
      <c r="M289" s="212" t="s">
        <v>2148</v>
      </c>
      <c r="N289" s="212"/>
    </row>
    <row r="290" spans="1:14" x14ac:dyDescent="0.25">
      <c r="A290" s="211" t="str">
        <f>IF(DuLieuThamNuoiNgay!$F$4=$L290,MAX(DangKyThamGapThuongXuyen!$A$4:A289)+1,"")</f>
        <v/>
      </c>
      <c r="B290" s="212" t="s">
        <v>1773</v>
      </c>
      <c r="C290" s="212">
        <v>1963</v>
      </c>
      <c r="D290" s="212" t="s">
        <v>1774</v>
      </c>
      <c r="E290" s="212" t="s">
        <v>1279</v>
      </c>
      <c r="F290" s="212"/>
      <c r="G290" s="212" t="s">
        <v>2173</v>
      </c>
      <c r="H290" s="212" t="s">
        <v>1967</v>
      </c>
      <c r="I290" s="212"/>
      <c r="J290" s="212"/>
      <c r="K290" s="212"/>
      <c r="L290" s="212" t="s">
        <v>863</v>
      </c>
      <c r="M290" s="212" t="s">
        <v>2149</v>
      </c>
      <c r="N290" s="212"/>
    </row>
    <row r="291" spans="1:14" x14ac:dyDescent="0.25">
      <c r="A291" s="211" t="str">
        <f>IF(DuLieuThamNuoiNgay!$F$4=$L291,MAX(DangKyThamGapThuongXuyen!$A$4:A290)+1,"")</f>
        <v/>
      </c>
      <c r="B291" s="212" t="s">
        <v>1775</v>
      </c>
      <c r="C291" s="212">
        <v>1969</v>
      </c>
      <c r="D291" s="212" t="s">
        <v>1776</v>
      </c>
      <c r="E291" s="212" t="s">
        <v>1277</v>
      </c>
      <c r="F291" s="212"/>
      <c r="G291" s="212" t="s">
        <v>2173</v>
      </c>
      <c r="H291" s="212" t="s">
        <v>1968</v>
      </c>
      <c r="I291" s="212"/>
      <c r="J291" s="212"/>
      <c r="K291" s="212"/>
      <c r="L291" s="212" t="s">
        <v>821</v>
      </c>
      <c r="M291" s="212" t="s">
        <v>2150</v>
      </c>
      <c r="N291" s="212"/>
    </row>
    <row r="292" spans="1:14" x14ac:dyDescent="0.25">
      <c r="A292" s="211" t="str">
        <f>IF(DuLieuThamNuoiNgay!$F$4=$L292,MAX(DangKyThamGapThuongXuyen!$A$4:A291)+1,"")</f>
        <v/>
      </c>
      <c r="B292" s="212" t="s">
        <v>1777</v>
      </c>
      <c r="C292" s="212">
        <v>1966</v>
      </c>
      <c r="D292" s="212" t="s">
        <v>1778</v>
      </c>
      <c r="E292" s="212" t="s">
        <v>1279</v>
      </c>
      <c r="F292" s="212"/>
      <c r="G292" s="212"/>
      <c r="H292" s="212" t="s">
        <v>1969</v>
      </c>
      <c r="I292" s="212"/>
      <c r="J292" s="212"/>
      <c r="K292" s="212"/>
      <c r="L292" s="212" t="s">
        <v>1069</v>
      </c>
      <c r="M292" s="212" t="s">
        <v>2151</v>
      </c>
      <c r="N292" s="212"/>
    </row>
    <row r="293" spans="1:14" x14ac:dyDescent="0.25">
      <c r="A293" s="211" t="str">
        <f>IF(DuLieuThamNuoiNgay!$F$4=$L293,MAX(DangKyThamGapThuongXuyen!$A$4:A292)+1,"")</f>
        <v/>
      </c>
      <c r="B293" s="212" t="s">
        <v>1779</v>
      </c>
      <c r="C293" s="212">
        <v>1954</v>
      </c>
      <c r="D293" s="212" t="s">
        <v>1780</v>
      </c>
      <c r="E293" s="212" t="s">
        <v>1275</v>
      </c>
      <c r="F293" s="212"/>
      <c r="G293" s="212" t="s">
        <v>2183</v>
      </c>
      <c r="H293" s="212" t="s">
        <v>1970</v>
      </c>
      <c r="I293" s="212"/>
      <c r="J293" s="212"/>
      <c r="K293" s="212"/>
      <c r="L293" s="212" t="s">
        <v>847</v>
      </c>
      <c r="M293" s="212" t="s">
        <v>2152</v>
      </c>
      <c r="N293" s="212"/>
    </row>
    <row r="294" spans="1:14" x14ac:dyDescent="0.25">
      <c r="A294" s="211" t="str">
        <f>IF(DuLieuThamNuoiNgay!$F$4=$L294,MAX(DangKyThamGapThuongXuyen!$A$4:A293)+1,"")</f>
        <v/>
      </c>
      <c r="B294" s="212" t="s">
        <v>1781</v>
      </c>
      <c r="C294" s="212">
        <v>1959</v>
      </c>
      <c r="D294" s="212" t="s">
        <v>1782</v>
      </c>
      <c r="E294" s="212" t="s">
        <v>1279</v>
      </c>
      <c r="F294" s="212"/>
      <c r="G294" s="212" t="s">
        <v>2183</v>
      </c>
      <c r="H294" s="212" t="s">
        <v>1971</v>
      </c>
      <c r="I294" s="212"/>
      <c r="J294" s="212"/>
      <c r="K294" s="212"/>
      <c r="L294" s="212" t="s">
        <v>847</v>
      </c>
      <c r="M294" s="212" t="s">
        <v>2152</v>
      </c>
      <c r="N294" s="212"/>
    </row>
    <row r="295" spans="1:14" x14ac:dyDescent="0.25">
      <c r="A295" s="211" t="str">
        <f>IF(DuLieuThamNuoiNgay!$F$4=$L295,MAX(DangKyThamGapThuongXuyen!$A$4:A294)+1,"")</f>
        <v/>
      </c>
      <c r="B295" s="212" t="s">
        <v>1783</v>
      </c>
      <c r="C295" s="212">
        <v>1974</v>
      </c>
      <c r="D295" s="212" t="s">
        <v>1784</v>
      </c>
      <c r="E295" s="212" t="s">
        <v>1299</v>
      </c>
      <c r="F295" s="212"/>
      <c r="G295" s="212" t="s">
        <v>2173</v>
      </c>
      <c r="H295" s="212" t="s">
        <v>1972</v>
      </c>
      <c r="I295" s="212"/>
      <c r="J295" s="212"/>
      <c r="K295" s="212"/>
      <c r="L295" s="212" t="s">
        <v>869</v>
      </c>
      <c r="M295" s="212" t="s">
        <v>2013</v>
      </c>
      <c r="N295" s="212"/>
    </row>
    <row r="296" spans="1:14" x14ac:dyDescent="0.25">
      <c r="A296" s="211" t="str">
        <f>IF(DuLieuThamNuoiNgay!$F$4=$L296,MAX(DangKyThamGapThuongXuyen!$A$4:A295)+1,"")</f>
        <v/>
      </c>
      <c r="B296" s="212" t="s">
        <v>1785</v>
      </c>
      <c r="C296" s="212">
        <v>1968</v>
      </c>
      <c r="D296" s="212" t="s">
        <v>1786</v>
      </c>
      <c r="E296" s="212" t="s">
        <v>1853</v>
      </c>
      <c r="F296" s="212"/>
      <c r="G296" s="212" t="s">
        <v>2173</v>
      </c>
      <c r="H296" s="212" t="s">
        <v>1973</v>
      </c>
      <c r="I296" s="212"/>
      <c r="J296" s="212"/>
      <c r="K296" s="212"/>
      <c r="L296" s="212" t="s">
        <v>352</v>
      </c>
      <c r="M296" s="212" t="s">
        <v>2153</v>
      </c>
      <c r="N296" s="212"/>
    </row>
    <row r="297" spans="1:14" x14ac:dyDescent="0.25">
      <c r="A297" s="211" t="str">
        <f>IF(DuLieuThamNuoiNgay!$F$4=$L297,MAX(DangKyThamGapThuongXuyen!$A$4:A296)+1,"")</f>
        <v/>
      </c>
      <c r="B297" s="212" t="s">
        <v>1781</v>
      </c>
      <c r="C297" s="212">
        <v>1967</v>
      </c>
      <c r="D297" s="212" t="s">
        <v>1787</v>
      </c>
      <c r="E297" s="212" t="s">
        <v>1279</v>
      </c>
      <c r="F297" s="212"/>
      <c r="G297" s="212" t="s">
        <v>2174</v>
      </c>
      <c r="H297" s="212" t="s">
        <v>1974</v>
      </c>
      <c r="I297" s="212"/>
      <c r="J297" s="212"/>
      <c r="K297" s="212"/>
      <c r="L297" s="212" t="s">
        <v>1164</v>
      </c>
      <c r="M297" s="212" t="s">
        <v>2154</v>
      </c>
      <c r="N297" s="212"/>
    </row>
    <row r="298" spans="1:14" x14ac:dyDescent="0.25">
      <c r="A298" s="211" t="str">
        <f>IF(DuLieuThamNuoiNgay!$F$4=$L298,MAX(DangKyThamGapThuongXuyen!$A$4:A297)+1,"")</f>
        <v/>
      </c>
      <c r="B298" s="212" t="s">
        <v>1788</v>
      </c>
      <c r="C298" s="212">
        <v>1963</v>
      </c>
      <c r="D298" s="212" t="s">
        <v>1789</v>
      </c>
      <c r="E298" s="212" t="s">
        <v>1857</v>
      </c>
      <c r="F298" s="212"/>
      <c r="G298" s="212" t="s">
        <v>2174</v>
      </c>
      <c r="H298" s="212" t="s">
        <v>1975</v>
      </c>
      <c r="I298" s="212"/>
      <c r="J298" s="212"/>
      <c r="K298" s="212"/>
      <c r="L298" s="212" t="s">
        <v>1170</v>
      </c>
      <c r="M298" s="212" t="s">
        <v>2155</v>
      </c>
      <c r="N298" s="212"/>
    </row>
    <row r="299" spans="1:14" x14ac:dyDescent="0.25">
      <c r="A299" s="211" t="str">
        <f>IF(DuLieuThamNuoiNgay!$F$4=$L299,MAX(DangKyThamGapThuongXuyen!$A$4:A298)+1,"")</f>
        <v/>
      </c>
      <c r="B299" s="212" t="s">
        <v>1790</v>
      </c>
      <c r="C299" s="212">
        <v>1954</v>
      </c>
      <c r="D299" s="212" t="s">
        <v>1791</v>
      </c>
      <c r="E299" s="212" t="s">
        <v>1859</v>
      </c>
      <c r="F299" s="212"/>
      <c r="G299" s="212"/>
      <c r="H299" s="212" t="s">
        <v>1976</v>
      </c>
      <c r="I299" s="212"/>
      <c r="J299" s="212"/>
      <c r="K299" s="212"/>
      <c r="L299" s="212" t="s">
        <v>1170</v>
      </c>
      <c r="M299" s="212" t="s">
        <v>2155</v>
      </c>
      <c r="N299" s="212"/>
    </row>
    <row r="300" spans="1:14" x14ac:dyDescent="0.25">
      <c r="A300" s="211" t="str">
        <f>IF(DuLieuThamNuoiNgay!$F$4=$L300,MAX(DangKyThamGapThuongXuyen!$A$4:A299)+1,"")</f>
        <v/>
      </c>
      <c r="B300" s="212" t="s">
        <v>1792</v>
      </c>
      <c r="C300" s="212">
        <v>1954</v>
      </c>
      <c r="D300" s="212" t="s">
        <v>1793</v>
      </c>
      <c r="E300" s="212" t="s">
        <v>1279</v>
      </c>
      <c r="F300" s="212"/>
      <c r="G300" s="212" t="s">
        <v>2174</v>
      </c>
      <c r="H300" s="212" t="s">
        <v>1977</v>
      </c>
      <c r="I300" s="212"/>
      <c r="J300" s="212"/>
      <c r="K300" s="212"/>
      <c r="L300" s="212" t="s">
        <v>1176</v>
      </c>
      <c r="M300" s="212" t="s">
        <v>2156</v>
      </c>
      <c r="N300" s="212"/>
    </row>
    <row r="301" spans="1:14" x14ac:dyDescent="0.25">
      <c r="A301" s="211" t="str">
        <f>IF(DuLieuThamNuoiNgay!$F$4=$L301,MAX(DangKyThamGapThuongXuyen!$A$4:A300)+1,"")</f>
        <v/>
      </c>
      <c r="B301" s="212" t="s">
        <v>1794</v>
      </c>
      <c r="C301" s="212">
        <v>2003</v>
      </c>
      <c r="D301" s="212" t="s">
        <v>1795</v>
      </c>
      <c r="E301" s="212" t="s">
        <v>1296</v>
      </c>
      <c r="F301" s="212"/>
      <c r="G301" s="212" t="s">
        <v>2191</v>
      </c>
      <c r="H301" s="212" t="s">
        <v>1978</v>
      </c>
      <c r="I301" s="212"/>
      <c r="J301" s="212"/>
      <c r="K301" s="212"/>
      <c r="L301" s="212" t="s">
        <v>1176</v>
      </c>
      <c r="M301" s="212" t="s">
        <v>2156</v>
      </c>
      <c r="N301" s="212"/>
    </row>
    <row r="302" spans="1:14" x14ac:dyDescent="0.25">
      <c r="A302" s="211" t="str">
        <f>IF(DuLieuThamNuoiNgay!$F$4=$L302,MAX(DangKyThamGapThuongXuyen!$A$4:A301)+1,"")</f>
        <v/>
      </c>
      <c r="B302" s="212" t="s">
        <v>1796</v>
      </c>
      <c r="C302" s="212">
        <v>1962</v>
      </c>
      <c r="D302" s="212" t="s">
        <v>1797</v>
      </c>
      <c r="E302" s="212" t="s">
        <v>1852</v>
      </c>
      <c r="F302" s="212"/>
      <c r="G302" s="212" t="s">
        <v>2192</v>
      </c>
      <c r="H302" s="212" t="s">
        <v>1979</v>
      </c>
      <c r="I302" s="212"/>
      <c r="J302" s="212"/>
      <c r="K302" s="212"/>
      <c r="L302" s="212" t="s">
        <v>727</v>
      </c>
      <c r="M302" s="212" t="s">
        <v>2157</v>
      </c>
      <c r="N302" s="212"/>
    </row>
    <row r="303" spans="1:14" x14ac:dyDescent="0.25">
      <c r="A303" s="211" t="str">
        <f>IF(DuLieuThamNuoiNgay!$F$4=$L303,MAX(DangKyThamGapThuongXuyen!$A$4:A302)+1,"")</f>
        <v/>
      </c>
      <c r="B303" s="212" t="s">
        <v>1798</v>
      </c>
      <c r="C303" s="212">
        <v>1996</v>
      </c>
      <c r="D303" s="212" t="s">
        <v>1799</v>
      </c>
      <c r="E303" s="212" t="s">
        <v>1860</v>
      </c>
      <c r="F303" s="212"/>
      <c r="G303" s="212" t="s">
        <v>2192</v>
      </c>
      <c r="H303" s="212" t="s">
        <v>1980</v>
      </c>
      <c r="I303" s="212"/>
      <c r="J303" s="212"/>
      <c r="K303" s="212"/>
      <c r="L303" s="212" t="s">
        <v>727</v>
      </c>
      <c r="M303" s="212" t="s">
        <v>2157</v>
      </c>
      <c r="N303" s="212"/>
    </row>
    <row r="304" spans="1:14" x14ac:dyDescent="0.25">
      <c r="A304" s="211" t="str">
        <f>IF(DuLieuThamNuoiNgay!$F$4=$L304,MAX(DangKyThamGapThuongXuyen!$A$4:A303)+1,"")</f>
        <v/>
      </c>
      <c r="B304" s="212" t="s">
        <v>1800</v>
      </c>
      <c r="C304" s="212">
        <v>1981</v>
      </c>
      <c r="D304" s="212"/>
      <c r="E304" s="212" t="s">
        <v>1861</v>
      </c>
      <c r="F304" s="212"/>
      <c r="G304" s="212"/>
      <c r="H304" s="212" t="s">
        <v>1981</v>
      </c>
      <c r="I304" s="212"/>
      <c r="J304" s="212"/>
      <c r="K304" s="212"/>
      <c r="L304" s="212" t="s">
        <v>1168</v>
      </c>
      <c r="M304" s="212" t="s">
        <v>2158</v>
      </c>
      <c r="N304" s="212"/>
    </row>
    <row r="305" spans="1:14" x14ac:dyDescent="0.25">
      <c r="A305" s="211" t="str">
        <f>IF(DuLieuThamNuoiNgay!$F$4=$L305,MAX(DangKyThamGapThuongXuyen!$A$4:A304)+1,"")</f>
        <v/>
      </c>
      <c r="B305" s="212" t="s">
        <v>1801</v>
      </c>
      <c r="C305" s="212">
        <v>1995</v>
      </c>
      <c r="D305" s="212" t="s">
        <v>1802</v>
      </c>
      <c r="E305" s="212" t="s">
        <v>1860</v>
      </c>
      <c r="F305" s="212"/>
      <c r="G305" s="212"/>
      <c r="H305" s="212" t="s">
        <v>1982</v>
      </c>
      <c r="I305" s="212"/>
      <c r="J305" s="212"/>
      <c r="K305" s="212"/>
      <c r="L305" s="212" t="s">
        <v>1143</v>
      </c>
      <c r="M305" s="212" t="s">
        <v>2159</v>
      </c>
      <c r="N305" s="212"/>
    </row>
    <row r="306" spans="1:14" x14ac:dyDescent="0.25">
      <c r="A306" s="211" t="str">
        <f>IF(DuLieuThamNuoiNgay!$F$4=$L306,MAX(DangKyThamGapThuongXuyen!$A$4:A305)+1,"")</f>
        <v/>
      </c>
      <c r="B306" s="212" t="s">
        <v>1803</v>
      </c>
      <c r="C306" s="212">
        <v>1958</v>
      </c>
      <c r="D306" s="212" t="s">
        <v>1804</v>
      </c>
      <c r="E306" s="212" t="s">
        <v>1856</v>
      </c>
      <c r="F306" s="212"/>
      <c r="G306" s="212" t="s">
        <v>2193</v>
      </c>
      <c r="H306" s="212" t="s">
        <v>1983</v>
      </c>
      <c r="I306" s="212"/>
      <c r="J306" s="212"/>
      <c r="K306" s="212"/>
      <c r="L306" s="212" t="s">
        <v>817</v>
      </c>
      <c r="M306" s="212" t="s">
        <v>2160</v>
      </c>
      <c r="N306" s="212"/>
    </row>
    <row r="307" spans="1:14" x14ac:dyDescent="0.25">
      <c r="A307" s="211" t="str">
        <f>IF(DuLieuThamNuoiNgay!$F$4=$L307,MAX(DangKyThamGapThuongXuyen!$A$4:A306)+1,"")</f>
        <v/>
      </c>
      <c r="B307" s="212" t="s">
        <v>1805</v>
      </c>
      <c r="C307" s="212">
        <v>1964</v>
      </c>
      <c r="D307" s="212" t="s">
        <v>1806</v>
      </c>
      <c r="E307" s="212" t="s">
        <v>1852</v>
      </c>
      <c r="F307" s="212"/>
      <c r="G307" s="212" t="s">
        <v>2191</v>
      </c>
      <c r="H307" s="212" t="s">
        <v>1983</v>
      </c>
      <c r="I307" s="212"/>
      <c r="J307" s="212"/>
      <c r="K307" s="212"/>
      <c r="L307" s="212" t="s">
        <v>817</v>
      </c>
      <c r="M307" s="212" t="s">
        <v>2160</v>
      </c>
      <c r="N307" s="212"/>
    </row>
    <row r="308" spans="1:14" x14ac:dyDescent="0.25">
      <c r="A308" s="211" t="str">
        <f>IF(DuLieuThamNuoiNgay!$F$4=$L308,MAX(DangKyThamGapThuongXuyen!$A$4:A307)+1,"")</f>
        <v/>
      </c>
      <c r="B308" s="212" t="s">
        <v>1807</v>
      </c>
      <c r="C308" s="212">
        <v>1962</v>
      </c>
      <c r="D308" s="212" t="s">
        <v>1808</v>
      </c>
      <c r="E308" s="212" t="s">
        <v>1275</v>
      </c>
      <c r="F308" s="212"/>
      <c r="G308" s="212" t="s">
        <v>2173</v>
      </c>
      <c r="H308" s="212" t="s">
        <v>1984</v>
      </c>
      <c r="I308" s="212"/>
      <c r="J308" s="212"/>
      <c r="K308" s="212"/>
      <c r="L308" s="212" t="s">
        <v>258</v>
      </c>
      <c r="M308" s="212" t="s">
        <v>2161</v>
      </c>
      <c r="N308" s="212"/>
    </row>
    <row r="309" spans="1:14" x14ac:dyDescent="0.25">
      <c r="A309" s="211" t="str">
        <f>IF(DuLieuThamNuoiNgay!$F$4=$L309,MAX(DangKyThamGapThuongXuyen!$A$4:A308)+1,"")</f>
        <v/>
      </c>
      <c r="B309" s="212" t="s">
        <v>1809</v>
      </c>
      <c r="C309" s="212">
        <v>1962</v>
      </c>
      <c r="D309" s="212" t="s">
        <v>1810</v>
      </c>
      <c r="E309" s="212" t="s">
        <v>1279</v>
      </c>
      <c r="F309" s="212"/>
      <c r="G309" s="212" t="s">
        <v>2173</v>
      </c>
      <c r="H309" s="212" t="s">
        <v>1984</v>
      </c>
      <c r="I309" s="212"/>
      <c r="J309" s="212"/>
      <c r="K309" s="212"/>
      <c r="L309" s="212" t="s">
        <v>258</v>
      </c>
      <c r="M309" s="212" t="s">
        <v>2161</v>
      </c>
      <c r="N309" s="212"/>
    </row>
    <row r="310" spans="1:14" x14ac:dyDescent="0.25">
      <c r="A310" s="211" t="str">
        <f>IF(DuLieuThamNuoiNgay!$F$4=$L310,MAX(DangKyThamGapThuongXuyen!$A$4:A309)+1,"")</f>
        <v/>
      </c>
      <c r="B310" s="212" t="s">
        <v>1811</v>
      </c>
      <c r="C310" s="212">
        <v>1959</v>
      </c>
      <c r="D310" s="212" t="s">
        <v>1812</v>
      </c>
      <c r="E310" s="212" t="s">
        <v>1279</v>
      </c>
      <c r="F310" s="212"/>
      <c r="G310" s="212" t="s">
        <v>2173</v>
      </c>
      <c r="H310" s="212" t="s">
        <v>1985</v>
      </c>
      <c r="I310" s="212"/>
      <c r="J310" s="212"/>
      <c r="K310" s="212"/>
      <c r="L310" s="212" t="s">
        <v>1071</v>
      </c>
      <c r="M310" s="212" t="s">
        <v>2162</v>
      </c>
      <c r="N310" s="212"/>
    </row>
    <row r="311" spans="1:14" x14ac:dyDescent="0.25">
      <c r="A311" s="211" t="str">
        <f>IF(DuLieuThamNuoiNgay!$F$4=$L311,MAX(DangKyThamGapThuongXuyen!$A$4:A310)+1,"")</f>
        <v/>
      </c>
      <c r="B311" s="212" t="s">
        <v>1813</v>
      </c>
      <c r="C311" s="212">
        <v>1991</v>
      </c>
      <c r="D311" s="212" t="s">
        <v>1814</v>
      </c>
      <c r="E311" s="212" t="s">
        <v>1293</v>
      </c>
      <c r="F311" s="212"/>
      <c r="G311" s="212" t="s">
        <v>2194</v>
      </c>
      <c r="H311" s="212" t="s">
        <v>1986</v>
      </c>
      <c r="I311" s="212"/>
      <c r="J311" s="212"/>
      <c r="K311" s="212"/>
      <c r="L311" s="212" t="s">
        <v>1184</v>
      </c>
      <c r="M311" s="212" t="s">
        <v>2163</v>
      </c>
      <c r="N311" s="212"/>
    </row>
    <row r="312" spans="1:14" x14ac:dyDescent="0.25">
      <c r="A312" s="211" t="str">
        <f>IF(DuLieuThamNuoiNgay!$F$4=$L312,MAX(DangKyThamGapThuongXuyen!$A$4:A311)+1,"")</f>
        <v/>
      </c>
      <c r="B312" s="212" t="s">
        <v>1815</v>
      </c>
      <c r="C312" s="212">
        <v>1966</v>
      </c>
      <c r="D312" s="212" t="s">
        <v>1816</v>
      </c>
      <c r="E312" s="212" t="s">
        <v>1277</v>
      </c>
      <c r="F312" s="212"/>
      <c r="G312" s="212"/>
      <c r="H312" s="212" t="s">
        <v>1987</v>
      </c>
      <c r="I312" s="212"/>
      <c r="J312" s="212"/>
      <c r="K312" s="212"/>
      <c r="L312" s="212" t="s">
        <v>1184</v>
      </c>
      <c r="M312" s="212" t="s">
        <v>2163</v>
      </c>
      <c r="N312" s="212"/>
    </row>
    <row r="313" spans="1:14" x14ac:dyDescent="0.25">
      <c r="A313" s="211" t="str">
        <f>IF(DuLieuThamNuoiNgay!$F$4=$L313,MAX(DangKyThamGapThuongXuyen!$A$4:A312)+1,"")</f>
        <v/>
      </c>
      <c r="B313" s="212" t="s">
        <v>1817</v>
      </c>
      <c r="C313" s="212">
        <v>1966</v>
      </c>
      <c r="D313" s="212" t="s">
        <v>1818</v>
      </c>
      <c r="E313" s="212" t="s">
        <v>568</v>
      </c>
      <c r="F313" s="212"/>
      <c r="G313" s="212" t="s">
        <v>2174</v>
      </c>
      <c r="H313" s="212" t="s">
        <v>1988</v>
      </c>
      <c r="I313" s="212"/>
      <c r="J313" s="212"/>
      <c r="K313" s="212"/>
      <c r="L313" s="212" t="s">
        <v>1104</v>
      </c>
      <c r="M313" s="212" t="s">
        <v>2164</v>
      </c>
      <c r="N313" s="212"/>
    </row>
    <row r="314" spans="1:14" x14ac:dyDescent="0.25">
      <c r="A314" s="211" t="str">
        <f>IF(DuLieuThamNuoiNgay!$F$4=$L314,MAX(DangKyThamGapThuongXuyen!$A$4:A313)+1,"")</f>
        <v/>
      </c>
      <c r="B314" s="212" t="s">
        <v>1819</v>
      </c>
      <c r="C314" s="212">
        <v>1953</v>
      </c>
      <c r="D314" s="212" t="s">
        <v>1820</v>
      </c>
      <c r="E314" s="212" t="s">
        <v>1275</v>
      </c>
      <c r="F314" s="212"/>
      <c r="G314" s="212" t="s">
        <v>2174</v>
      </c>
      <c r="H314" s="212" t="s">
        <v>1989</v>
      </c>
      <c r="I314" s="212"/>
      <c r="J314" s="212"/>
      <c r="K314" s="212"/>
      <c r="L314" s="212" t="s">
        <v>841</v>
      </c>
      <c r="M314" s="212" t="s">
        <v>2165</v>
      </c>
      <c r="N314" s="212"/>
    </row>
    <row r="315" spans="1:14" x14ac:dyDescent="0.25">
      <c r="A315" s="211" t="str">
        <f>IF(DuLieuThamNuoiNgay!$F$4=$L315,MAX(DangKyThamGapThuongXuyen!$A$4:A314)+1,"")</f>
        <v/>
      </c>
      <c r="B315" s="212" t="s">
        <v>1821</v>
      </c>
      <c r="C315" s="212">
        <v>1980</v>
      </c>
      <c r="D315" s="212" t="s">
        <v>1822</v>
      </c>
      <c r="E315" s="212" t="s">
        <v>1279</v>
      </c>
      <c r="F315" s="212"/>
      <c r="G315" s="212" t="s">
        <v>2174</v>
      </c>
      <c r="H315" s="212" t="s">
        <v>1989</v>
      </c>
      <c r="I315" s="212"/>
      <c r="J315" s="212"/>
      <c r="K315" s="212"/>
      <c r="L315" s="212" t="s">
        <v>841</v>
      </c>
      <c r="M315" s="212" t="s">
        <v>2165</v>
      </c>
      <c r="N315" s="212"/>
    </row>
    <row r="316" spans="1:14" x14ac:dyDescent="0.25">
      <c r="A316" s="211" t="str">
        <f>IF(DuLieuThamNuoiNgay!$F$4=$L316,MAX(DangKyThamGapThuongXuyen!$A$4:A315)+1,"")</f>
        <v/>
      </c>
      <c r="B316" s="212" t="s">
        <v>1823</v>
      </c>
      <c r="C316" s="212">
        <v>1959</v>
      </c>
      <c r="D316" s="212" t="s">
        <v>1824</v>
      </c>
      <c r="E316" s="212" t="s">
        <v>1279</v>
      </c>
      <c r="F316" s="212"/>
      <c r="G316" s="212" t="s">
        <v>2195</v>
      </c>
      <c r="H316" s="212" t="s">
        <v>1990</v>
      </c>
      <c r="I316" s="212"/>
      <c r="J316" s="212"/>
      <c r="K316" s="212"/>
      <c r="L316" s="212" t="s">
        <v>1114</v>
      </c>
      <c r="M316" s="212" t="s">
        <v>2166</v>
      </c>
      <c r="N316" s="212"/>
    </row>
    <row r="317" spans="1:14" x14ac:dyDescent="0.25">
      <c r="A317" s="211" t="str">
        <f>IF(DuLieuThamNuoiNgay!$F$4=$L317,MAX(DangKyThamGapThuongXuyen!$A$4:A316)+1,"")</f>
        <v/>
      </c>
      <c r="B317" s="212" t="s">
        <v>1825</v>
      </c>
      <c r="C317" s="212">
        <v>1995</v>
      </c>
      <c r="D317" s="212" t="s">
        <v>1826</v>
      </c>
      <c r="E317" s="212" t="s">
        <v>1293</v>
      </c>
      <c r="F317" s="212"/>
      <c r="G317" s="212" t="s">
        <v>2196</v>
      </c>
      <c r="H317" s="212" t="s">
        <v>1991</v>
      </c>
      <c r="I317" s="212"/>
      <c r="J317" s="212"/>
      <c r="K317" s="212"/>
      <c r="L317" s="212" t="s">
        <v>359</v>
      </c>
      <c r="M317" s="212" t="s">
        <v>2167</v>
      </c>
      <c r="N317" s="212"/>
    </row>
    <row r="318" spans="1:14" x14ac:dyDescent="0.25">
      <c r="A318" s="211" t="str">
        <f>IF(DuLieuThamNuoiNgay!$F$4=$L318,MAX(DangKyThamGapThuongXuyen!$A$4:A317)+1,"")</f>
        <v/>
      </c>
      <c r="B318" s="212" t="s">
        <v>1827</v>
      </c>
      <c r="C318" s="212">
        <v>1980</v>
      </c>
      <c r="D318" s="212"/>
      <c r="E318" s="212" t="s">
        <v>568</v>
      </c>
      <c r="F318" s="212"/>
      <c r="G318" s="212" t="s">
        <v>2197</v>
      </c>
      <c r="H318" s="212" t="s">
        <v>1992</v>
      </c>
      <c r="I318" s="212"/>
      <c r="J318" s="212"/>
      <c r="K318" s="212"/>
      <c r="L318" s="212" t="s">
        <v>403</v>
      </c>
      <c r="M318" s="212" t="s">
        <v>2085</v>
      </c>
      <c r="N318" s="212"/>
    </row>
    <row r="319" spans="1:14" x14ac:dyDescent="0.25">
      <c r="A319" s="211" t="str">
        <f>IF(DuLieuThamNuoiNgay!$F$4=$L319,MAX(DangKyThamGapThuongXuyen!$A$4:A318)+1,"")</f>
        <v/>
      </c>
      <c r="B319" s="212" t="s">
        <v>1828</v>
      </c>
      <c r="C319" s="212">
        <v>1966</v>
      </c>
      <c r="D319" s="212" t="s">
        <v>1829</v>
      </c>
      <c r="E319" s="212" t="s">
        <v>1272</v>
      </c>
      <c r="F319" s="212"/>
      <c r="G319" s="212" t="s">
        <v>2174</v>
      </c>
      <c r="H319" s="212" t="s">
        <v>1993</v>
      </c>
      <c r="I319" s="212"/>
      <c r="J319" s="212"/>
      <c r="K319" s="212"/>
      <c r="L319" s="212" t="s">
        <v>1090</v>
      </c>
      <c r="M319" s="212" t="s">
        <v>2168</v>
      </c>
      <c r="N319" s="212"/>
    </row>
    <row r="320" spans="1:14" x14ac:dyDescent="0.25">
      <c r="A320" s="211" t="str">
        <f>IF(DuLieuThamNuoiNgay!$F$4=$L320,MAX(DangKyThamGapThuongXuyen!$A$4:A319)+1,"")</f>
        <v/>
      </c>
      <c r="B320" s="212" t="s">
        <v>1830</v>
      </c>
      <c r="C320" s="212">
        <v>2005</v>
      </c>
      <c r="D320" s="212"/>
      <c r="E320" s="212" t="s">
        <v>1293</v>
      </c>
      <c r="F320" s="212"/>
      <c r="G320" s="212" t="s">
        <v>2198</v>
      </c>
      <c r="H320" s="212" t="s">
        <v>1994</v>
      </c>
      <c r="I320" s="212"/>
      <c r="J320" s="212"/>
      <c r="K320" s="212"/>
      <c r="L320" s="212" t="s">
        <v>513</v>
      </c>
      <c r="M320" s="212" t="s">
        <v>2169</v>
      </c>
      <c r="N320" s="212"/>
    </row>
    <row r="321" spans="1:14" x14ac:dyDescent="0.25">
      <c r="A321" s="211" t="str">
        <f>IF(DuLieuThamNuoiNgay!$F$4=$L321,MAX(DangKyThamGapThuongXuyen!$A$4:A320)+1,"")</f>
        <v/>
      </c>
      <c r="B321" s="212" t="s">
        <v>1831</v>
      </c>
      <c r="C321" s="212">
        <v>1974</v>
      </c>
      <c r="D321" s="212" t="s">
        <v>1832</v>
      </c>
      <c r="E321" s="212" t="s">
        <v>1277</v>
      </c>
      <c r="F321" s="212"/>
      <c r="G321" s="212" t="s">
        <v>2199</v>
      </c>
      <c r="H321" s="212" t="s">
        <v>1994</v>
      </c>
      <c r="I321" s="212"/>
      <c r="J321" s="212"/>
      <c r="K321" s="212"/>
      <c r="L321" s="212" t="s">
        <v>513</v>
      </c>
      <c r="M321" s="212" t="s">
        <v>2169</v>
      </c>
      <c r="N321" s="212"/>
    </row>
    <row r="322" spans="1:14" x14ac:dyDescent="0.25">
      <c r="A322" s="211" t="str">
        <f>IF(DuLieuThamNuoiNgay!$F$4=$L322,MAX(DangKyThamGapThuongXuyen!$A$4:A321)+1,"")</f>
        <v/>
      </c>
      <c r="B322" s="212" t="s">
        <v>1833</v>
      </c>
      <c r="C322" s="212">
        <v>1991</v>
      </c>
      <c r="D322" s="212" t="s">
        <v>1834</v>
      </c>
      <c r="E322" s="212" t="s">
        <v>568</v>
      </c>
      <c r="F322" s="212"/>
      <c r="G322" s="212" t="s">
        <v>2200</v>
      </c>
      <c r="H322" s="212" t="s">
        <v>1995</v>
      </c>
      <c r="I322" s="212"/>
      <c r="J322" s="212"/>
      <c r="K322" s="212"/>
      <c r="L322" s="212" t="s">
        <v>1166</v>
      </c>
      <c r="M322" s="212" t="s">
        <v>2170</v>
      </c>
      <c r="N322" s="212"/>
    </row>
    <row r="323" spans="1:14" x14ac:dyDescent="0.25">
      <c r="A323" s="211" t="str">
        <f>IF(DuLieuThamNuoiNgay!$F$4=$L323,MAX(DangKyThamGapThuongXuyen!$A$4:A322)+1,"")</f>
        <v/>
      </c>
      <c r="B323" s="212" t="s">
        <v>1835</v>
      </c>
      <c r="C323" s="212">
        <v>1983</v>
      </c>
      <c r="D323" s="212" t="s">
        <v>1836</v>
      </c>
      <c r="E323" s="212" t="s">
        <v>1277</v>
      </c>
      <c r="F323" s="212"/>
      <c r="G323" s="212" t="s">
        <v>2201</v>
      </c>
      <c r="H323" s="212" t="s">
        <v>1996</v>
      </c>
      <c r="I323" s="212"/>
      <c r="J323" s="212"/>
      <c r="K323" s="212"/>
      <c r="L323" s="212" t="s">
        <v>723</v>
      </c>
      <c r="M323" s="212" t="s">
        <v>2097</v>
      </c>
      <c r="N323" s="212"/>
    </row>
    <row r="324" spans="1:14" x14ac:dyDescent="0.25">
      <c r="A324" s="211" t="str">
        <f>IF(DuLieuThamNuoiNgay!$F$4=$L324,MAX(DangKyThamGapThuongXuyen!$A$4:A323)+1,"")</f>
        <v/>
      </c>
      <c r="B324" s="212" t="s">
        <v>1837</v>
      </c>
      <c r="C324" s="212">
        <v>1987</v>
      </c>
      <c r="D324" s="212" t="s">
        <v>1838</v>
      </c>
      <c r="E324" s="212" t="s">
        <v>568</v>
      </c>
      <c r="F324" s="212"/>
      <c r="G324" s="212" t="s">
        <v>2202</v>
      </c>
      <c r="H324" s="212" t="s">
        <v>1997</v>
      </c>
      <c r="I324" s="212"/>
      <c r="J324" s="212"/>
      <c r="K324" s="212"/>
      <c r="L324" s="212" t="s">
        <v>1182</v>
      </c>
      <c r="M324" s="212" t="s">
        <v>2171</v>
      </c>
      <c r="N324" s="212"/>
    </row>
    <row r="325" spans="1:14" x14ac:dyDescent="0.25">
      <c r="A325" s="211" t="str">
        <f>IF(DuLieuThamNuoiNgay!$F$4=$L325,MAX(DangKyThamGapThuongXuyen!$A$4:A324)+1,"")</f>
        <v/>
      </c>
      <c r="B325" s="212" t="s">
        <v>1839</v>
      </c>
      <c r="C325" s="212">
        <v>1986</v>
      </c>
      <c r="D325" s="212" t="s">
        <v>1840</v>
      </c>
      <c r="E325" s="212" t="s">
        <v>1277</v>
      </c>
      <c r="F325" s="212"/>
      <c r="G325" s="212" t="s">
        <v>2203</v>
      </c>
      <c r="H325" s="212" t="s">
        <v>1998</v>
      </c>
      <c r="I325" s="212"/>
      <c r="J325" s="212"/>
      <c r="K325" s="212"/>
      <c r="L325" s="212" t="s">
        <v>1112</v>
      </c>
      <c r="M325" s="212" t="s">
        <v>2172</v>
      </c>
      <c r="N325" s="212"/>
    </row>
    <row r="326" spans="1:14" x14ac:dyDescent="0.25">
      <c r="A326" s="213" t="str">
        <f>IF(DuLieuThamNuoiNgay!$F$4=$L326,MAX(DangKyThamGapThuongXuyen!$A$4:A325)+1,"")</f>
        <v/>
      </c>
      <c r="B326" s="214" t="s">
        <v>2205</v>
      </c>
      <c r="C326" s="214" t="s">
        <v>2206</v>
      </c>
      <c r="D326" s="215" t="s">
        <v>2207</v>
      </c>
      <c r="E326" s="214" t="s">
        <v>2208</v>
      </c>
      <c r="F326" s="216" t="s">
        <v>2209</v>
      </c>
      <c r="G326" s="214" t="s">
        <v>2207</v>
      </c>
      <c r="H326" s="214" t="s">
        <v>2208</v>
      </c>
      <c r="I326" s="214" t="s">
        <v>2210</v>
      </c>
      <c r="J326" s="214" t="s">
        <v>1338</v>
      </c>
      <c r="K326" s="214" t="s">
        <v>1338</v>
      </c>
      <c r="L326" s="214" t="s">
        <v>1169</v>
      </c>
      <c r="M326" s="214" t="s">
        <v>341</v>
      </c>
      <c r="N326" s="214" t="s">
        <v>313</v>
      </c>
    </row>
    <row r="327" spans="1:14" x14ac:dyDescent="0.25">
      <c r="A327" s="213" t="str">
        <f>IF(DuLieuThamNuoiNgay!$F$4=$L327,MAX(DangKyThamGapThuongXuyen!$A$4:A326)+1,"")</f>
        <v/>
      </c>
      <c r="B327" s="214" t="s">
        <v>2211</v>
      </c>
      <c r="C327" s="214" t="s">
        <v>2212</v>
      </c>
      <c r="D327" s="215" t="s">
        <v>2213</v>
      </c>
      <c r="E327" s="214" t="s">
        <v>2214</v>
      </c>
      <c r="F327" s="216" t="s">
        <v>2215</v>
      </c>
      <c r="G327" s="214" t="s">
        <v>2214</v>
      </c>
      <c r="H327" s="214" t="s">
        <v>2214</v>
      </c>
      <c r="I327" s="214" t="s">
        <v>2208</v>
      </c>
      <c r="J327" s="214" t="s">
        <v>1338</v>
      </c>
      <c r="K327" s="214" t="s">
        <v>1338</v>
      </c>
      <c r="L327" s="214" t="s">
        <v>1158</v>
      </c>
      <c r="M327" s="214" t="s">
        <v>81</v>
      </c>
      <c r="N327" s="214" t="s">
        <v>115</v>
      </c>
    </row>
    <row r="328" spans="1:14" x14ac:dyDescent="0.25">
      <c r="A328" s="213" t="str">
        <f>IF(DuLieuThamNuoiNgay!$F$4=$L328,MAX(DangKyThamGapThuongXuyen!$A$4:A327)+1,"")</f>
        <v/>
      </c>
      <c r="B328" s="214" t="s">
        <v>2216</v>
      </c>
      <c r="C328" s="214" t="s">
        <v>2217</v>
      </c>
      <c r="D328" s="215" t="s">
        <v>2218</v>
      </c>
      <c r="E328" s="214" t="s">
        <v>2219</v>
      </c>
      <c r="F328" s="216" t="s">
        <v>2220</v>
      </c>
      <c r="G328" s="214" t="s">
        <v>1338</v>
      </c>
      <c r="H328" s="214" t="s">
        <v>1338</v>
      </c>
      <c r="I328" s="214" t="s">
        <v>1338</v>
      </c>
      <c r="J328" s="214" t="s">
        <v>1338</v>
      </c>
      <c r="K328" s="214" t="s">
        <v>1338</v>
      </c>
      <c r="L328" s="214" t="s">
        <v>984</v>
      </c>
      <c r="M328" s="214" t="s">
        <v>985</v>
      </c>
      <c r="N328" s="214" t="s">
        <v>87</v>
      </c>
    </row>
    <row r="329" spans="1:14" x14ac:dyDescent="0.25">
      <c r="A329" s="213" t="str">
        <f>IF(DuLieuThamNuoiNgay!$F$4=$L329,MAX(DangKyThamGapThuongXuyen!$A$4:A328)+1,"")</f>
        <v/>
      </c>
      <c r="B329" s="214" t="s">
        <v>2221</v>
      </c>
      <c r="C329" s="214" t="s">
        <v>2222</v>
      </c>
      <c r="D329" s="215" t="s">
        <v>2223</v>
      </c>
      <c r="E329" s="214" t="s">
        <v>2208</v>
      </c>
      <c r="F329" s="216" t="s">
        <v>2214</v>
      </c>
      <c r="G329" s="214" t="s">
        <v>2208</v>
      </c>
      <c r="H329" s="214" t="s">
        <v>2208</v>
      </c>
      <c r="I329" s="214" t="s">
        <v>2214</v>
      </c>
      <c r="J329" s="214" t="s">
        <v>1338</v>
      </c>
      <c r="K329" s="214" t="s">
        <v>1338</v>
      </c>
      <c r="L329" s="214" t="s">
        <v>1154</v>
      </c>
      <c r="M329" s="214" t="s">
        <v>63</v>
      </c>
      <c r="N329" s="214" t="s">
        <v>1155</v>
      </c>
    </row>
    <row r="330" spans="1:14" x14ac:dyDescent="0.25">
      <c r="A330" s="271" t="str">
        <f>IF(DuLieuThamNuoiNgay!$F$4=$L330,MAX(DangKyThamGapThuongXuyen!$A$4:A329)+1,"")</f>
        <v/>
      </c>
      <c r="B330" s="272" t="s">
        <v>2226</v>
      </c>
      <c r="C330" s="272" t="s">
        <v>1338</v>
      </c>
      <c r="D330" s="273" t="s">
        <v>1338</v>
      </c>
      <c r="E330" s="272" t="s">
        <v>1338</v>
      </c>
      <c r="F330" s="274" t="s">
        <v>1338</v>
      </c>
      <c r="G330" s="272" t="s">
        <v>1338</v>
      </c>
      <c r="H330" s="272" t="s">
        <v>1338</v>
      </c>
      <c r="I330" s="272" t="s">
        <v>1338</v>
      </c>
      <c r="J330" s="272" t="s">
        <v>1249</v>
      </c>
      <c r="K330" s="272" t="s">
        <v>2227</v>
      </c>
      <c r="L330" s="272" t="s">
        <v>930</v>
      </c>
      <c r="M330" s="272" t="s">
        <v>931</v>
      </c>
      <c r="N330" s="272" t="s">
        <v>195</v>
      </c>
    </row>
    <row r="331" spans="1:14" x14ac:dyDescent="0.25">
      <c r="A331" s="271" t="str">
        <f>IF(DuLieuThamNuoiNgay!$F$4=$L331,MAX(DangKyThamGapThuongXuyen!$A$4:A330)+1,"")</f>
        <v/>
      </c>
      <c r="B331" s="272" t="s">
        <v>2228</v>
      </c>
      <c r="C331" s="272" t="s">
        <v>1338</v>
      </c>
      <c r="D331" s="273" t="s">
        <v>1338</v>
      </c>
      <c r="E331" s="272" t="s">
        <v>1338</v>
      </c>
      <c r="F331" s="274" t="s">
        <v>1338</v>
      </c>
      <c r="G331" s="272" t="s">
        <v>1338</v>
      </c>
      <c r="H331" s="272" t="s">
        <v>1338</v>
      </c>
      <c r="I331" s="272" t="s">
        <v>1338</v>
      </c>
      <c r="J331" s="272" t="s">
        <v>1249</v>
      </c>
      <c r="K331" s="272" t="s">
        <v>2227</v>
      </c>
      <c r="L331" s="272" t="s">
        <v>930</v>
      </c>
      <c r="M331" s="272" t="s">
        <v>931</v>
      </c>
      <c r="N331" s="272" t="s">
        <v>195</v>
      </c>
    </row>
    <row r="332" spans="1:14" x14ac:dyDescent="0.25">
      <c r="A332" s="271" t="str">
        <f>IF(DuLieuThamNuoiNgay!$F$4=$L332,MAX(DangKyThamGapThuongXuyen!$A$4:A331)+1,"")</f>
        <v/>
      </c>
      <c r="B332" s="272" t="s">
        <v>2229</v>
      </c>
      <c r="C332" s="272" t="s">
        <v>1338</v>
      </c>
      <c r="D332" s="273" t="s">
        <v>1338</v>
      </c>
      <c r="E332" s="272" t="s">
        <v>1338</v>
      </c>
      <c r="F332" s="274" t="s">
        <v>1338</v>
      </c>
      <c r="G332" s="272" t="s">
        <v>1338</v>
      </c>
      <c r="H332" s="272" t="s">
        <v>1338</v>
      </c>
      <c r="I332" s="272" t="s">
        <v>1338</v>
      </c>
      <c r="J332" s="272" t="s">
        <v>1249</v>
      </c>
      <c r="K332" s="272" t="s">
        <v>2227</v>
      </c>
      <c r="L332" s="272" t="s">
        <v>930</v>
      </c>
      <c r="M332" s="272" t="s">
        <v>931</v>
      </c>
      <c r="N332" s="272" t="s">
        <v>195</v>
      </c>
    </row>
    <row r="333" spans="1:14" x14ac:dyDescent="0.25">
      <c r="A333" s="271" t="str">
        <f>IF(DuLieuThamNuoiNgay!$F$4=$L333,MAX(DangKyThamGapThuongXuyen!$A$4:A332)+1,"")</f>
        <v/>
      </c>
      <c r="B333" s="272" t="s">
        <v>2230</v>
      </c>
      <c r="C333" s="272" t="s">
        <v>1338</v>
      </c>
      <c r="D333" s="273" t="s">
        <v>1338</v>
      </c>
      <c r="E333" s="272" t="s">
        <v>1338</v>
      </c>
      <c r="F333" s="274" t="s">
        <v>1338</v>
      </c>
      <c r="G333" s="272" t="s">
        <v>1338</v>
      </c>
      <c r="H333" s="272" t="s">
        <v>1338</v>
      </c>
      <c r="I333" s="272" t="s">
        <v>1338</v>
      </c>
      <c r="J333" s="272" t="s">
        <v>1249</v>
      </c>
      <c r="K333" s="272" t="s">
        <v>2227</v>
      </c>
      <c r="L333" s="272" t="s">
        <v>930</v>
      </c>
      <c r="M333" s="272" t="s">
        <v>931</v>
      </c>
      <c r="N333" s="272" t="s">
        <v>195</v>
      </c>
    </row>
    <row r="334" spans="1:14" x14ac:dyDescent="0.25">
      <c r="A334" s="271" t="str">
        <f>IF(DuLieuThamNuoiNgay!$F$4=$L334,MAX(DangKyThamGapThuongXuyen!$A$4:A333)+1,"")</f>
        <v/>
      </c>
      <c r="B334" s="272" t="s">
        <v>2231</v>
      </c>
      <c r="C334" s="272" t="s">
        <v>1338</v>
      </c>
      <c r="D334" s="273" t="s">
        <v>1338</v>
      </c>
      <c r="E334" s="272" t="s">
        <v>1338</v>
      </c>
      <c r="F334" s="274" t="s">
        <v>1338</v>
      </c>
      <c r="G334" s="272" t="s">
        <v>1338</v>
      </c>
      <c r="H334" s="272" t="s">
        <v>1338</v>
      </c>
      <c r="I334" s="272" t="s">
        <v>1338</v>
      </c>
      <c r="J334" s="272" t="s">
        <v>1249</v>
      </c>
      <c r="K334" s="272" t="s">
        <v>2227</v>
      </c>
      <c r="L334" s="272" t="s">
        <v>930</v>
      </c>
      <c r="M334" s="272" t="s">
        <v>931</v>
      </c>
      <c r="N334" s="272" t="s">
        <v>195</v>
      </c>
    </row>
    <row r="335" spans="1:14" x14ac:dyDescent="0.25">
      <c r="A335" s="271" t="str">
        <f>IF(DuLieuThamNuoiNgay!$F$4=$L335,MAX(DangKyThamGapThuongXuyen!$A$4:A334)+1,"")</f>
        <v/>
      </c>
      <c r="B335" s="272" t="s">
        <v>2232</v>
      </c>
      <c r="C335" s="272" t="s">
        <v>1338</v>
      </c>
      <c r="D335" s="273" t="s">
        <v>1338</v>
      </c>
      <c r="E335" s="272" t="s">
        <v>1338</v>
      </c>
      <c r="F335" s="274" t="s">
        <v>1338</v>
      </c>
      <c r="G335" s="272" t="s">
        <v>1338</v>
      </c>
      <c r="H335" s="272" t="s">
        <v>1338</v>
      </c>
      <c r="I335" s="272" t="s">
        <v>1338</v>
      </c>
      <c r="J335" s="272" t="s">
        <v>1249</v>
      </c>
      <c r="K335" s="272" t="s">
        <v>2227</v>
      </c>
      <c r="L335" s="272" t="s">
        <v>930</v>
      </c>
      <c r="M335" s="272" t="s">
        <v>931</v>
      </c>
      <c r="N335" s="272" t="s">
        <v>195</v>
      </c>
    </row>
    <row r="336" spans="1:14" x14ac:dyDescent="0.25">
      <c r="A336" s="271" t="str">
        <f>IF(DuLieuThamNuoiNgay!$F$4=$L336,MAX(DangKyThamGapThuongXuyen!$A$4:A335)+1,"")</f>
        <v/>
      </c>
      <c r="B336" s="272" t="s">
        <v>2233</v>
      </c>
      <c r="C336" s="272" t="s">
        <v>1338</v>
      </c>
      <c r="D336" s="273" t="s">
        <v>1338</v>
      </c>
      <c r="E336" s="272" t="s">
        <v>1338</v>
      </c>
      <c r="F336" s="274" t="s">
        <v>1338</v>
      </c>
      <c r="G336" s="272" t="s">
        <v>1338</v>
      </c>
      <c r="H336" s="272" t="s">
        <v>1338</v>
      </c>
      <c r="I336" s="272" t="s">
        <v>1338</v>
      </c>
      <c r="J336" s="272" t="s">
        <v>1249</v>
      </c>
      <c r="K336" s="272" t="s">
        <v>2227</v>
      </c>
      <c r="L336" s="272" t="s">
        <v>930</v>
      </c>
      <c r="M336" s="272" t="s">
        <v>931</v>
      </c>
      <c r="N336" s="272" t="s">
        <v>195</v>
      </c>
    </row>
  </sheetData>
  <mergeCells count="3">
    <mergeCell ref="A1:D1"/>
    <mergeCell ref="C2:H2"/>
    <mergeCell ref="K2:N3"/>
  </mergeCells>
  <pageMargins left="0" right="0" top="0.74803149606299213" bottom="0.74803149606299213" header="0.31496062992125984" footer="0.31496062992125984"/>
  <pageSetup paperSize="9" scale="54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4</vt:i4>
      </vt:variant>
    </vt:vector>
  </HeadingPairs>
  <TitlesOfParts>
    <vt:vector size="8" baseType="lpstr">
      <vt:lpstr>Baocao</vt:lpstr>
      <vt:lpstr>DaTa</vt:lpstr>
      <vt:lpstr>DuLieuThamNuoiNgay</vt:lpstr>
      <vt:lpstr>DangKyThamGapThuongXuyen</vt:lpstr>
      <vt:lpstr>CBGQ</vt:lpstr>
      <vt:lpstr>DAC_BIET</vt:lpstr>
      <vt:lpstr>MOIQUANHE</vt:lpstr>
      <vt:lpstr>NGAY_THAM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MERCURY</dc:creator>
  <cp:lastModifiedBy>NGUYEN Tien-duy</cp:lastModifiedBy>
  <cp:lastPrinted>2019-07-04T06:35:17Z</cp:lastPrinted>
  <dcterms:created xsi:type="dcterms:W3CDTF">2019-07-04T02:00:23Z</dcterms:created>
  <dcterms:modified xsi:type="dcterms:W3CDTF">2019-07-27T21:13:09Z</dcterms:modified>
</cp:coreProperties>
</file>