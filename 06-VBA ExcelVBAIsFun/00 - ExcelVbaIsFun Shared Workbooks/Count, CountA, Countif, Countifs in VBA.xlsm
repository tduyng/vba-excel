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2995" windowHeight="9750"/>
  </bookViews>
  <sheets>
    <sheet name="Count" sheetId="1" r:id="rId1"/>
    <sheet name="CountIFS with Date" sheetId="2" r:id="rId2"/>
  </sheets>
  <definedNames>
    <definedName name="DateRng">'CountIFS with Date'!$B$2:$B$1287</definedName>
    <definedName name="energyList">Count!$C$2:$C$51</definedName>
    <definedName name="myList">Count!$A$2:$A$51</definedName>
    <definedName name="percWater">Count!$B$2:$B$51</definedName>
    <definedName name="WhatList">'CountIFS with Date'!$L$2:$L$8</definedName>
    <definedName name="WhatRng">'CountIFS with Date'!$A$2:$A$1287</definedName>
  </definedNames>
  <calcPr calcId="145621"/>
</workbook>
</file>

<file path=xl/calcChain.xml><?xml version="1.0" encoding="utf-8"?>
<calcChain xmlns="http://schemas.openxmlformats.org/spreadsheetml/2006/main">
  <c r="J16" i="1" l="1"/>
  <c r="J10" i="1" l="1"/>
  <c r="J9" i="1"/>
  <c r="J3" i="1" l="1"/>
  <c r="J2" i="1"/>
</calcChain>
</file>

<file path=xl/sharedStrings.xml><?xml version="1.0" encoding="utf-8"?>
<sst xmlns="http://schemas.openxmlformats.org/spreadsheetml/2006/main" count="1413" uniqueCount="101">
  <si>
    <t>Asparagus</t>
  </si>
  <si>
    <t>VEGETABLE CHART</t>
  </si>
  <si>
    <t>Alfalfa Sprouts</t>
  </si>
  <si>
    <t>0.5:1</t>
  </si>
  <si>
    <t>0.4:1</t>
  </si>
  <si>
    <t>Beet Greens*</t>
  </si>
  <si>
    <t>  3:1</t>
  </si>
  <si>
    <t>Beets*</t>
  </si>
  <si>
    <t>Broccoli</t>
  </si>
  <si>
    <t>0.7:1</t>
  </si>
  <si>
    <t>Brussels Sprouts</t>
  </si>
  <si>
    <t>0.6:1</t>
  </si>
  <si>
    <t>Cabbage</t>
  </si>
  <si>
    <t>  2:1</t>
  </si>
  <si>
    <t>Carrots, Baby</t>
  </si>
  <si>
    <t>Carrots</t>
  </si>
  <si>
    <t>Cauliflower</t>
  </si>
  <si>
    <t>1.6:1</t>
  </si>
  <si>
    <t>Chard, Swiss</t>
  </si>
  <si>
    <t>1.1:1</t>
  </si>
  <si>
    <t>Chicory Greens</t>
  </si>
  <si>
    <t>2.1:1</t>
  </si>
  <si>
    <t>2.8:1</t>
  </si>
  <si>
    <t>Cilantro</t>
  </si>
  <si>
    <t>1.4:1</t>
  </si>
  <si>
    <t>Collards</t>
  </si>
  <si>
    <t>14.5:1</t>
  </si>
  <si>
    <t>Corn, White</t>
  </si>
  <si>
    <t>0.02:1</t>
  </si>
  <si>
    <t>Cucumber (with skin)</t>
  </si>
  <si>
    <t>Dandelion Greens</t>
  </si>
  <si>
    <t>Dill Weed</t>
  </si>
  <si>
    <t>3.2:1</t>
  </si>
  <si>
    <t>Endive, Belgian</t>
  </si>
  <si>
    <t>(Witloof Chicory)</t>
  </si>
  <si>
    <t>Endive (Escarole)</t>
  </si>
  <si>
    <t>1.9:1</t>
  </si>
  <si>
    <t>Green Beans</t>
  </si>
  <si>
    <t>  1:1</t>
  </si>
  <si>
    <t>Kale*</t>
  </si>
  <si>
    <t>2.4:1</t>
  </si>
  <si>
    <t>Kohlrabi</t>
  </si>
  <si>
    <t>Lambs quarters</t>
  </si>
  <si>
    <t>4.3:1</t>
  </si>
  <si>
    <t>Lettuce, Butterhead (Boston, Bibb)</t>
  </si>
  <si>
    <t>Lettuce, Loose Leaf</t>
  </si>
  <si>
    <t>2.7:1</t>
  </si>
  <si>
    <t>Lettuce, Romaine</t>
  </si>
  <si>
    <t>0.8:1</t>
  </si>
  <si>
    <t>Mustard Greens</t>
  </si>
  <si>
    <t>Okra</t>
  </si>
  <si>
    <t>1.3:1</t>
  </si>
  <si>
    <t>Parsley</t>
  </si>
  <si>
    <t>Parsnips</t>
  </si>
  <si>
    <t>Peppers*, Green</t>
  </si>
  <si>
    <t>Peppers*, Red</t>
  </si>
  <si>
    <t>Pumpkin</t>
  </si>
  <si>
    <t>Purslane</t>
  </si>
  <si>
    <t>1.5:1</t>
  </si>
  <si>
    <t>Rutabaga</t>
  </si>
  <si>
    <t>Spinach, Mustard</t>
  </si>
  <si>
    <t>7.5:1</t>
  </si>
  <si>
    <t>Spinach</t>
  </si>
  <si>
    <t>Squash (summer, all varieties)</t>
  </si>
  <si>
    <t>Squash (winter, all varieties)</t>
  </si>
  <si>
    <t>Sweet Potato Leaves</t>
  </si>
  <si>
    <t>Sweet Potato</t>
  </si>
  <si>
    <t>Swiss Chard</t>
  </si>
  <si>
    <t>Tomato</t>
  </si>
  <si>
    <t>0.2:1</t>
  </si>
  <si>
    <t>Turnip Greens</t>
  </si>
  <si>
    <t>4.5:1</t>
  </si>
  <si>
    <t>Turnip</t>
  </si>
  <si>
    <t>Watercress</t>
  </si>
  <si>
    <t>Count</t>
  </si>
  <si>
    <t>Counta</t>
  </si>
  <si>
    <t>ONLY numbers</t>
  </si>
  <si>
    <t>ALL non blank cells</t>
  </si>
  <si>
    <t>Percent Water</t>
  </si>
  <si>
    <t>Energy (Kcal)</t>
  </si>
  <si>
    <t>Proteins (g)</t>
  </si>
  <si>
    <t>Asc. Acid (C)</t>
  </si>
  <si>
    <t>Calcium (mg)</t>
  </si>
  <si>
    <t>Phosph. (mg)</t>
  </si>
  <si>
    <t>Ca:P Ratio</t>
  </si>
  <si>
    <t>Countif</t>
  </si>
  <si>
    <t>NUMERICAL (greater than, equal to etc)</t>
  </si>
  <si>
    <t>STRING/TEXT ( aka how many say "Carrots")</t>
  </si>
  <si>
    <t>carrots</t>
  </si>
  <si>
    <t>CountifS</t>
  </si>
  <si>
    <t>How many using multiple criterion</t>
  </si>
  <si>
    <t>What</t>
  </si>
  <si>
    <t>Date</t>
  </si>
  <si>
    <t>Quantity</t>
  </si>
  <si>
    <t>Apples</t>
  </si>
  <si>
    <t>Oranges</t>
  </si>
  <si>
    <t>Pineapples</t>
  </si>
  <si>
    <t>Juice</t>
  </si>
  <si>
    <t>Cake</t>
  </si>
  <si>
    <t>Donuts</t>
  </si>
  <si>
    <t>Billygoats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</si>
</sst>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rgb="FF000000"/>
      <name val="Verdan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3</xdr:row>
      <xdr:rowOff>142875</xdr:rowOff>
    </xdr:from>
    <xdr:to>
      <xdr:col>11</xdr:col>
      <xdr:colOff>180975</xdr:colOff>
      <xdr:row>6</xdr:row>
      <xdr:rowOff>180975</xdr:rowOff>
    </xdr:to>
    <xdr:sp macro="[0]!countform1" textlink="">
      <xdr:nvSpPr>
        <xdr:cNvPr id="2" name="Rounded Rectangle 1"/>
        <xdr:cNvSpPr/>
      </xdr:nvSpPr>
      <xdr:spPr>
        <a:xfrm>
          <a:off x="7048500" y="1476375"/>
          <a:ext cx="1685925" cy="609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</a:t>
          </a:r>
          <a:r>
            <a:rPr lang="en-US" sz="1400" b="1" baseline="0"/>
            <a:t> Count, CountA Form</a:t>
          </a:r>
          <a:endParaRPr lang="en-US" sz="1400" b="1"/>
        </a:p>
      </xdr:txBody>
    </xdr:sp>
    <xdr:clientData/>
  </xdr:twoCellAnchor>
  <xdr:twoCellAnchor>
    <xdr:from>
      <xdr:col>8</xdr:col>
      <xdr:colOff>333375</xdr:colOff>
      <xdr:row>10</xdr:row>
      <xdr:rowOff>180975</xdr:rowOff>
    </xdr:from>
    <xdr:to>
      <xdr:col>11</xdr:col>
      <xdr:colOff>190500</xdr:colOff>
      <xdr:row>14</xdr:row>
      <xdr:rowOff>28575</xdr:rowOff>
    </xdr:to>
    <xdr:sp macro="[0]!countifform" textlink="">
      <xdr:nvSpPr>
        <xdr:cNvPr id="4" name="Rounded Rectangle 3"/>
        <xdr:cNvSpPr/>
      </xdr:nvSpPr>
      <xdr:spPr>
        <a:xfrm>
          <a:off x="7353300" y="2657475"/>
          <a:ext cx="1685925" cy="609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</a:t>
          </a:r>
          <a:r>
            <a:rPr lang="en-US" sz="1400" b="1" baseline="0"/>
            <a:t> Countif Form</a:t>
          </a:r>
          <a:endParaRPr lang="en-US" sz="1400" b="1"/>
        </a:p>
      </xdr:txBody>
    </xdr:sp>
    <xdr:clientData/>
  </xdr:twoCellAnchor>
  <xdr:twoCellAnchor>
    <xdr:from>
      <xdr:col>8</xdr:col>
      <xdr:colOff>333375</xdr:colOff>
      <xdr:row>17</xdr:row>
      <xdr:rowOff>0</xdr:rowOff>
    </xdr:from>
    <xdr:to>
      <xdr:col>11</xdr:col>
      <xdr:colOff>190500</xdr:colOff>
      <xdr:row>19</xdr:row>
      <xdr:rowOff>38100</xdr:rowOff>
    </xdr:to>
    <xdr:sp macro="[0]!countifsform" textlink="">
      <xdr:nvSpPr>
        <xdr:cNvPr id="5" name="Rounded Rectangle 4"/>
        <xdr:cNvSpPr/>
      </xdr:nvSpPr>
      <xdr:spPr>
        <a:xfrm>
          <a:off x="7353300" y="3810000"/>
          <a:ext cx="1685925" cy="609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</a:t>
          </a:r>
          <a:r>
            <a:rPr lang="en-US" sz="1400" b="1" baseline="0"/>
            <a:t> Countifs Form</a:t>
          </a:r>
          <a:endParaRPr lang="en-US" sz="1400" b="1"/>
        </a:p>
      </xdr:txBody>
    </xdr:sp>
    <xdr:clientData/>
  </xdr:twoCellAnchor>
  <xdr:twoCellAnchor>
    <xdr:from>
      <xdr:col>8</xdr:col>
      <xdr:colOff>314325</xdr:colOff>
      <xdr:row>19</xdr:row>
      <xdr:rowOff>333375</xdr:rowOff>
    </xdr:from>
    <xdr:to>
      <xdr:col>10</xdr:col>
      <xdr:colOff>342900</xdr:colOff>
      <xdr:row>23</xdr:row>
      <xdr:rowOff>285750</xdr:rowOff>
    </xdr:to>
    <xdr:sp macro="[0]!sheet2open" textlink="">
      <xdr:nvSpPr>
        <xdr:cNvPr id="3" name="Round Diagonal Corner Rectangle 2"/>
        <xdr:cNvSpPr/>
      </xdr:nvSpPr>
      <xdr:spPr>
        <a:xfrm>
          <a:off x="7334250" y="4714875"/>
          <a:ext cx="1247775" cy="1095375"/>
        </a:xfrm>
        <a:prstGeom prst="round2Diag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Countifs</a:t>
          </a:r>
          <a:r>
            <a:rPr lang="en-US" sz="1600" b="1" baseline="0"/>
            <a:t> WITH DATES!!!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161926</xdr:colOff>
      <xdr:row>4</xdr:row>
      <xdr:rowOff>114301</xdr:rowOff>
    </xdr:from>
    <xdr:to>
      <xdr:col>9</xdr:col>
      <xdr:colOff>457200</xdr:colOff>
      <xdr:row>11</xdr:row>
      <xdr:rowOff>1</xdr:rowOff>
    </xdr:to>
    <xdr:sp macro="[0]!countifsformwdates" textlink="">
      <xdr:nvSpPr>
        <xdr:cNvPr id="2" name="Round Single Corner Rectangle 1"/>
        <xdr:cNvSpPr/>
      </xdr:nvSpPr>
      <xdr:spPr>
        <a:xfrm>
          <a:off x="4333876" y="876301"/>
          <a:ext cx="2124074" cy="1219200"/>
        </a:xfrm>
        <a:prstGeom prst="round1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Open CountIFS</a:t>
          </a:r>
          <a:r>
            <a:rPr lang="en-US" sz="1600" baseline="0"/>
            <a:t> with Dates </a:t>
          </a:r>
          <a:r>
            <a:rPr lang="en-US" sz="1600" b="1" baseline="0"/>
            <a:t>Userform!</a:t>
          </a:r>
          <a:endParaRPr lang="en-US" sz="1600" b="1"/>
        </a:p>
      </xdr:txBody>
    </xdr:sp>
    <xdr:clientData/>
  </xdr:twoCellAnchor>
  <xdr:twoCellAnchor>
    <xdr:from>
      <xdr:col>6</xdr:col>
      <xdr:colOff>171450</xdr:colOff>
      <xdr:row>13</xdr:row>
      <xdr:rowOff>0</xdr:rowOff>
    </xdr:from>
    <xdr:to>
      <xdr:col>9</xdr:col>
      <xdr:colOff>428625</xdr:colOff>
      <xdr:row>17</xdr:row>
      <xdr:rowOff>66675</xdr:rowOff>
    </xdr:to>
    <xdr:sp macro="[0]!sheet1open" textlink="">
      <xdr:nvSpPr>
        <xdr:cNvPr id="3" name="Round Single Corner Rectangle 2"/>
        <xdr:cNvSpPr/>
      </xdr:nvSpPr>
      <xdr:spPr>
        <a:xfrm>
          <a:off x="4343400" y="2476500"/>
          <a:ext cx="2085975" cy="828675"/>
        </a:xfrm>
        <a:prstGeom prst="round1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OTHER</a:t>
          </a:r>
          <a:r>
            <a:rPr lang="en-US" sz="2000" b="1" baseline="0"/>
            <a:t> COUNTIFS!</a:t>
          </a:r>
          <a:endParaRPr lang="en-US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1"/>
  <sheetViews>
    <sheetView tabSelected="1" workbookViewId="0">
      <selection activeCell="M18" sqref="M18"/>
    </sheetView>
  </sheetViews>
  <sheetFormatPr defaultRowHeight="15" x14ac:dyDescent="0.25"/>
  <cols>
    <col min="1" max="1" width="22.140625" customWidth="1"/>
    <col min="2" max="2" width="11" customWidth="1"/>
    <col min="3" max="3" width="10.7109375" customWidth="1"/>
    <col min="4" max="4" width="12" customWidth="1"/>
    <col min="5" max="5" width="13" customWidth="1"/>
    <col min="6" max="6" width="13.5703125" customWidth="1"/>
    <col min="7" max="7" width="13" customWidth="1"/>
    <col min="8" max="8" width="9.85546875" customWidth="1"/>
  </cols>
  <sheetData>
    <row r="1" spans="1:11" ht="45" x14ac:dyDescent="0.25">
      <c r="A1" s="1" t="s">
        <v>1</v>
      </c>
      <c r="B1" s="1" t="s">
        <v>78</v>
      </c>
      <c r="C1" s="1" t="s">
        <v>79</v>
      </c>
      <c r="D1" s="1" t="s">
        <v>80</v>
      </c>
      <c r="E1" s="1" t="s">
        <v>81</v>
      </c>
      <c r="F1" s="1" t="s">
        <v>82</v>
      </c>
      <c r="G1" s="1" t="s">
        <v>83</v>
      </c>
      <c r="H1" s="1" t="s">
        <v>84</v>
      </c>
    </row>
    <row r="2" spans="1:11" x14ac:dyDescent="0.25">
      <c r="A2" s="3" t="s">
        <v>2</v>
      </c>
      <c r="B2" s="2">
        <v>91.14</v>
      </c>
      <c r="C2" s="2">
        <v>29</v>
      </c>
      <c r="D2" s="2">
        <v>4</v>
      </c>
      <c r="E2" s="2">
        <v>8.1999999999999993</v>
      </c>
      <c r="F2" s="2">
        <v>32</v>
      </c>
      <c r="G2" s="2">
        <v>70</v>
      </c>
      <c r="H2" s="2" t="s">
        <v>3</v>
      </c>
      <c r="I2" t="s">
        <v>74</v>
      </c>
      <c r="J2">
        <f>COUNT(myList)</f>
        <v>0</v>
      </c>
      <c r="K2" t="s">
        <v>76</v>
      </c>
    </row>
    <row r="3" spans="1:11" x14ac:dyDescent="0.25">
      <c r="A3" s="3" t="s">
        <v>0</v>
      </c>
      <c r="B3" s="2">
        <v>92.4</v>
      </c>
      <c r="C3" s="2">
        <v>23</v>
      </c>
      <c r="D3" s="2">
        <v>2.2799999999999998</v>
      </c>
      <c r="E3" s="2">
        <v>13.2</v>
      </c>
      <c r="F3" s="2">
        <v>21</v>
      </c>
      <c r="G3" s="2">
        <v>56</v>
      </c>
      <c r="H3" s="2" t="s">
        <v>4</v>
      </c>
      <c r="I3" t="s">
        <v>75</v>
      </c>
      <c r="J3">
        <f>COUNTA(myList)</f>
        <v>50</v>
      </c>
      <c r="K3" t="s">
        <v>77</v>
      </c>
    </row>
    <row r="4" spans="1:11" x14ac:dyDescent="0.25">
      <c r="A4" s="3" t="s">
        <v>5</v>
      </c>
      <c r="B4" s="2">
        <v>92.15</v>
      </c>
      <c r="C4" s="2">
        <v>19</v>
      </c>
      <c r="D4" s="2">
        <v>1.82</v>
      </c>
      <c r="E4" s="2">
        <v>30</v>
      </c>
      <c r="F4" s="2">
        <v>119</v>
      </c>
      <c r="G4" s="2">
        <v>40</v>
      </c>
      <c r="H4" s="2" t="s">
        <v>6</v>
      </c>
    </row>
    <row r="5" spans="1:11" x14ac:dyDescent="0.25">
      <c r="A5" s="3" t="s">
        <v>7</v>
      </c>
      <c r="B5" s="2">
        <v>87.58</v>
      </c>
      <c r="C5" s="2">
        <v>43</v>
      </c>
      <c r="D5" s="2">
        <v>1.61</v>
      </c>
      <c r="E5" s="2">
        <v>4.9000000000000004</v>
      </c>
      <c r="F5" s="2">
        <v>16</v>
      </c>
      <c r="G5" s="2">
        <v>40</v>
      </c>
      <c r="H5" s="2" t="s">
        <v>4</v>
      </c>
    </row>
    <row r="6" spans="1:11" x14ac:dyDescent="0.25">
      <c r="A6" s="3" t="s">
        <v>8</v>
      </c>
      <c r="B6" s="2">
        <v>90.69</v>
      </c>
      <c r="C6" s="2">
        <v>28</v>
      </c>
      <c r="D6" s="2">
        <v>3</v>
      </c>
      <c r="E6" s="2">
        <v>93.2</v>
      </c>
      <c r="F6" s="2">
        <v>48</v>
      </c>
      <c r="G6" s="2">
        <v>66</v>
      </c>
      <c r="H6" s="2" t="s">
        <v>9</v>
      </c>
    </row>
    <row r="7" spans="1:11" ht="30" x14ac:dyDescent="0.25">
      <c r="A7" s="3" t="s">
        <v>10</v>
      </c>
      <c r="B7" s="2">
        <v>86</v>
      </c>
      <c r="C7" s="2">
        <v>43</v>
      </c>
      <c r="D7" s="2">
        <v>3.38</v>
      </c>
      <c r="E7" s="2">
        <v>85</v>
      </c>
      <c r="F7" s="2">
        <v>42</v>
      </c>
      <c r="G7" s="2">
        <v>69</v>
      </c>
      <c r="H7" s="2" t="s">
        <v>11</v>
      </c>
    </row>
    <row r="8" spans="1:11" x14ac:dyDescent="0.25">
      <c r="A8" s="3" t="s">
        <v>12</v>
      </c>
      <c r="B8" s="2">
        <v>92.15</v>
      </c>
      <c r="C8" s="2">
        <v>25</v>
      </c>
      <c r="D8" s="2">
        <v>1.44</v>
      </c>
      <c r="E8" s="2">
        <v>32.200000000000003</v>
      </c>
      <c r="F8" s="2">
        <v>47</v>
      </c>
      <c r="G8" s="2">
        <v>23</v>
      </c>
      <c r="H8" s="2" t="s">
        <v>13</v>
      </c>
    </row>
    <row r="9" spans="1:11" x14ac:dyDescent="0.25">
      <c r="A9" s="3" t="s">
        <v>14</v>
      </c>
      <c r="B9" s="2">
        <v>89.81</v>
      </c>
      <c r="C9" s="2">
        <v>38</v>
      </c>
      <c r="D9" s="2">
        <v>0.84</v>
      </c>
      <c r="E9" s="2">
        <v>8.4</v>
      </c>
      <c r="F9" s="2">
        <v>23</v>
      </c>
      <c r="G9" s="2">
        <v>38</v>
      </c>
      <c r="H9" s="2" t="s">
        <v>11</v>
      </c>
      <c r="I9" t="s">
        <v>85</v>
      </c>
      <c r="J9">
        <f>COUNTIF($C$2:$C$51,"&gt;=30")</f>
        <v>18</v>
      </c>
      <c r="K9" t="s">
        <v>86</v>
      </c>
    </row>
    <row r="10" spans="1:11" x14ac:dyDescent="0.25">
      <c r="A10" s="3" t="s">
        <v>15</v>
      </c>
      <c r="B10" s="2">
        <v>87.79</v>
      </c>
      <c r="C10" s="2">
        <v>43</v>
      </c>
      <c r="D10" s="2">
        <v>1.03</v>
      </c>
      <c r="E10" s="2">
        <v>9.3000000000000007</v>
      </c>
      <c r="F10" s="2">
        <v>27</v>
      </c>
      <c r="G10" s="2">
        <v>44</v>
      </c>
      <c r="H10" s="2" t="s">
        <v>11</v>
      </c>
      <c r="I10" t="s">
        <v>85</v>
      </c>
      <c r="J10">
        <f>COUNTIF(myList,"Carrots")</f>
        <v>3</v>
      </c>
      <c r="K10" t="s">
        <v>87</v>
      </c>
    </row>
    <row r="11" spans="1:11" x14ac:dyDescent="0.25">
      <c r="A11" s="3" t="s">
        <v>16</v>
      </c>
      <c r="B11" s="2">
        <v>91.91</v>
      </c>
      <c r="C11" s="2">
        <v>25</v>
      </c>
      <c r="D11" s="2">
        <v>2</v>
      </c>
      <c r="E11" s="2">
        <v>46.4</v>
      </c>
      <c r="F11" s="2">
        <v>22</v>
      </c>
      <c r="G11" s="2">
        <v>44</v>
      </c>
      <c r="H11" s="2" t="s">
        <v>3</v>
      </c>
    </row>
    <row r="12" spans="1:11" x14ac:dyDescent="0.25">
      <c r="A12" s="3" t="s">
        <v>88</v>
      </c>
      <c r="B12" s="2">
        <v>94.64</v>
      </c>
      <c r="C12" s="2">
        <v>16</v>
      </c>
      <c r="D12" s="2">
        <v>0.75</v>
      </c>
      <c r="E12" s="2">
        <v>7</v>
      </c>
      <c r="F12" s="2">
        <v>40</v>
      </c>
      <c r="G12" s="2">
        <v>25</v>
      </c>
      <c r="H12" s="2" t="s">
        <v>17</v>
      </c>
    </row>
    <row r="13" spans="1:11" x14ac:dyDescent="0.25">
      <c r="A13" s="3" t="s">
        <v>18</v>
      </c>
      <c r="B13" s="2">
        <v>92.66</v>
      </c>
      <c r="C13" s="2">
        <v>19</v>
      </c>
      <c r="D13" s="2">
        <v>1.8</v>
      </c>
      <c r="E13" s="2">
        <v>30</v>
      </c>
      <c r="F13" s="2">
        <v>51</v>
      </c>
      <c r="G13" s="2">
        <v>46</v>
      </c>
      <c r="H13" s="2" t="s">
        <v>19</v>
      </c>
    </row>
    <row r="14" spans="1:11" x14ac:dyDescent="0.25">
      <c r="A14" s="3" t="s">
        <v>20</v>
      </c>
      <c r="B14" s="2">
        <v>92</v>
      </c>
      <c r="C14" s="2">
        <v>23</v>
      </c>
      <c r="D14" s="2">
        <v>1.7</v>
      </c>
      <c r="E14" s="2">
        <v>24</v>
      </c>
      <c r="F14" s="2">
        <v>100</v>
      </c>
      <c r="G14" s="2">
        <v>47</v>
      </c>
      <c r="H14" s="2" t="s">
        <v>21</v>
      </c>
    </row>
    <row r="15" spans="1:11" x14ac:dyDescent="0.25">
      <c r="A15" s="3" t="s">
        <v>88</v>
      </c>
      <c r="B15" s="2">
        <v>95.32</v>
      </c>
      <c r="C15" s="2">
        <v>13</v>
      </c>
      <c r="D15" s="2">
        <v>1.5</v>
      </c>
      <c r="E15" s="2">
        <v>45</v>
      </c>
      <c r="F15" s="2">
        <v>105</v>
      </c>
      <c r="G15" s="2">
        <v>37</v>
      </c>
      <c r="H15" s="2" t="s">
        <v>22</v>
      </c>
    </row>
    <row r="16" spans="1:11" x14ac:dyDescent="0.25">
      <c r="A16" s="3" t="s">
        <v>23</v>
      </c>
      <c r="B16" s="2">
        <v>92.21</v>
      </c>
      <c r="C16" s="2">
        <v>23</v>
      </c>
      <c r="D16" s="2">
        <v>2.13</v>
      </c>
      <c r="E16" s="2">
        <v>27</v>
      </c>
      <c r="F16" s="2">
        <v>67</v>
      </c>
      <c r="G16" s="2">
        <v>48</v>
      </c>
      <c r="H16" s="2" t="s">
        <v>24</v>
      </c>
      <c r="I16" t="s">
        <v>89</v>
      </c>
      <c r="J16">
        <f>COUNTIFS(percWater,"&gt;=90",energyList,"&gt;=20")</f>
        <v>20</v>
      </c>
      <c r="K16" t="s">
        <v>90</v>
      </c>
    </row>
    <row r="17" spans="1:8" x14ac:dyDescent="0.25">
      <c r="A17" s="3" t="s">
        <v>25</v>
      </c>
      <c r="B17" s="2">
        <v>90.55</v>
      </c>
      <c r="C17" s="2">
        <v>30</v>
      </c>
      <c r="D17" s="2">
        <v>2.4500000000000002</v>
      </c>
      <c r="E17" s="2">
        <v>35.299999999999997</v>
      </c>
      <c r="F17" s="2">
        <v>145</v>
      </c>
      <c r="G17" s="2">
        <v>10</v>
      </c>
      <c r="H17" s="2" t="s">
        <v>26</v>
      </c>
    </row>
    <row r="18" spans="1:8" x14ac:dyDescent="0.25">
      <c r="A18" s="3" t="s">
        <v>27</v>
      </c>
      <c r="B18" s="2">
        <v>75.959999999999994</v>
      </c>
      <c r="C18" s="2">
        <v>86</v>
      </c>
      <c r="D18" s="2">
        <v>3.22</v>
      </c>
      <c r="E18" s="2">
        <v>6.8</v>
      </c>
      <c r="F18" s="2">
        <v>2</v>
      </c>
      <c r="G18" s="2">
        <v>89</v>
      </c>
      <c r="H18" s="2" t="s">
        <v>28</v>
      </c>
    </row>
    <row r="19" spans="1:8" ht="30" x14ac:dyDescent="0.25">
      <c r="A19" s="3" t="s">
        <v>29</v>
      </c>
      <c r="B19" s="2">
        <v>96.01</v>
      </c>
      <c r="C19" s="2">
        <v>13</v>
      </c>
      <c r="D19" s="2">
        <v>0.69</v>
      </c>
      <c r="E19" s="2">
        <v>5.3</v>
      </c>
      <c r="F19" s="2">
        <v>14</v>
      </c>
      <c r="G19" s="2">
        <v>20</v>
      </c>
      <c r="H19" s="2" t="s">
        <v>9</v>
      </c>
    </row>
    <row r="20" spans="1:8" ht="30" x14ac:dyDescent="0.25">
      <c r="A20" s="3" t="s">
        <v>30</v>
      </c>
      <c r="B20" s="2">
        <v>85.6</v>
      </c>
      <c r="C20" s="2">
        <v>45</v>
      </c>
      <c r="D20" s="2">
        <v>2.7</v>
      </c>
      <c r="E20" s="2">
        <v>35</v>
      </c>
      <c r="F20" s="2">
        <v>187</v>
      </c>
      <c r="G20" s="2">
        <v>66</v>
      </c>
      <c r="H20" s="2" t="s">
        <v>22</v>
      </c>
    </row>
    <row r="21" spans="1:8" x14ac:dyDescent="0.25">
      <c r="A21" s="3" t="s">
        <v>31</v>
      </c>
      <c r="B21" s="2">
        <v>85.95</v>
      </c>
      <c r="C21" s="2">
        <v>43</v>
      </c>
      <c r="D21" s="2">
        <v>3.46</v>
      </c>
      <c r="E21" s="2">
        <v>85</v>
      </c>
      <c r="F21" s="2">
        <v>208</v>
      </c>
      <c r="G21" s="2">
        <v>66</v>
      </c>
      <c r="H21" s="2" t="s">
        <v>32</v>
      </c>
    </row>
    <row r="22" spans="1:8" x14ac:dyDescent="0.25">
      <c r="A22" s="4" t="s">
        <v>33</v>
      </c>
      <c r="B22" s="6">
        <v>94.52</v>
      </c>
      <c r="C22" s="6">
        <v>17</v>
      </c>
      <c r="D22" s="6">
        <v>0.9</v>
      </c>
      <c r="E22" s="6">
        <v>2.8</v>
      </c>
      <c r="F22" s="6">
        <v>19</v>
      </c>
      <c r="G22" s="6">
        <v>26</v>
      </c>
      <c r="H22" s="6" t="s">
        <v>9</v>
      </c>
    </row>
    <row r="23" spans="1:8" ht="30" x14ac:dyDescent="0.25">
      <c r="A23" s="5" t="s">
        <v>34</v>
      </c>
      <c r="B23" s="7"/>
      <c r="C23" s="7"/>
      <c r="D23" s="7"/>
      <c r="E23" s="7"/>
      <c r="F23" s="7"/>
      <c r="G23" s="7"/>
      <c r="H23" s="7"/>
    </row>
    <row r="24" spans="1:8" ht="30" x14ac:dyDescent="0.25">
      <c r="A24" s="3" t="s">
        <v>35</v>
      </c>
      <c r="B24" s="2">
        <v>93.79</v>
      </c>
      <c r="C24" s="2">
        <v>17</v>
      </c>
      <c r="D24" s="2">
        <v>1.25</v>
      </c>
      <c r="E24" s="2">
        <v>6.5</v>
      </c>
      <c r="F24" s="2">
        <v>52</v>
      </c>
      <c r="G24" s="2">
        <v>28</v>
      </c>
      <c r="H24" s="2" t="s">
        <v>36</v>
      </c>
    </row>
    <row r="25" spans="1:8" x14ac:dyDescent="0.25">
      <c r="A25" s="3" t="s">
        <v>37</v>
      </c>
      <c r="B25" s="2">
        <v>90.27</v>
      </c>
      <c r="C25" s="2">
        <v>31</v>
      </c>
      <c r="D25" s="2">
        <v>1.82</v>
      </c>
      <c r="E25" s="2">
        <v>16.3</v>
      </c>
      <c r="F25" s="2">
        <v>37</v>
      </c>
      <c r="G25" s="2">
        <v>38</v>
      </c>
      <c r="H25" s="2" t="s">
        <v>38</v>
      </c>
    </row>
    <row r="26" spans="1:8" x14ac:dyDescent="0.25">
      <c r="A26" s="3" t="s">
        <v>39</v>
      </c>
      <c r="B26" s="2">
        <v>84.46</v>
      </c>
      <c r="C26" s="2">
        <v>50</v>
      </c>
      <c r="D26" s="2">
        <v>3.3</v>
      </c>
      <c r="E26" s="2">
        <v>120</v>
      </c>
      <c r="F26" s="2">
        <v>135</v>
      </c>
      <c r="G26" s="2">
        <v>56</v>
      </c>
      <c r="H26" s="2" t="s">
        <v>40</v>
      </c>
    </row>
    <row r="27" spans="1:8" x14ac:dyDescent="0.25">
      <c r="A27" s="3" t="s">
        <v>41</v>
      </c>
      <c r="B27" s="2">
        <v>91</v>
      </c>
      <c r="C27" s="2">
        <v>27</v>
      </c>
      <c r="D27" s="2">
        <v>1.7</v>
      </c>
      <c r="E27" s="2">
        <v>62</v>
      </c>
      <c r="F27" s="2">
        <v>24</v>
      </c>
      <c r="G27" s="2">
        <v>46</v>
      </c>
      <c r="H27" s="2" t="s">
        <v>3</v>
      </c>
    </row>
    <row r="28" spans="1:8" x14ac:dyDescent="0.25">
      <c r="A28" s="3" t="s">
        <v>42</v>
      </c>
      <c r="B28" s="2">
        <v>84.3</v>
      </c>
      <c r="C28" s="2">
        <v>43</v>
      </c>
      <c r="D28" s="2">
        <v>4.2</v>
      </c>
      <c r="E28" s="2">
        <v>80</v>
      </c>
      <c r="F28" s="2">
        <v>309</v>
      </c>
      <c r="G28" s="2">
        <v>72</v>
      </c>
      <c r="H28" s="2" t="s">
        <v>43</v>
      </c>
    </row>
    <row r="29" spans="1:8" ht="45" x14ac:dyDescent="0.25">
      <c r="A29" s="3" t="s">
        <v>44</v>
      </c>
      <c r="B29" s="2">
        <v>95.58</v>
      </c>
      <c r="C29" s="2">
        <v>13</v>
      </c>
      <c r="D29" s="2">
        <v>1.29</v>
      </c>
      <c r="E29" s="2">
        <v>8</v>
      </c>
      <c r="F29" s="2">
        <v>32</v>
      </c>
      <c r="G29" s="2">
        <v>23</v>
      </c>
      <c r="H29" s="2" t="s">
        <v>24</v>
      </c>
    </row>
    <row r="30" spans="1:8" ht="30" x14ac:dyDescent="0.25">
      <c r="A30" s="3" t="s">
        <v>45</v>
      </c>
      <c r="B30" s="2">
        <v>94</v>
      </c>
      <c r="C30" s="2">
        <v>18</v>
      </c>
      <c r="D30" s="2">
        <v>1.3</v>
      </c>
      <c r="E30" s="2">
        <v>18</v>
      </c>
      <c r="F30" s="2">
        <v>68</v>
      </c>
      <c r="G30" s="2">
        <v>25</v>
      </c>
      <c r="H30" s="2" t="s">
        <v>46</v>
      </c>
    </row>
    <row r="31" spans="1:8" ht="30" x14ac:dyDescent="0.25">
      <c r="A31" s="3" t="s">
        <v>47</v>
      </c>
      <c r="B31" s="2">
        <v>94.91</v>
      </c>
      <c r="C31" s="2">
        <v>14</v>
      </c>
      <c r="D31" s="2">
        <v>1.62</v>
      </c>
      <c r="E31" s="2">
        <v>24</v>
      </c>
      <c r="F31" s="2">
        <v>36</v>
      </c>
      <c r="G31" s="2">
        <v>45</v>
      </c>
      <c r="H31" s="2" t="s">
        <v>48</v>
      </c>
    </row>
    <row r="32" spans="1:8" x14ac:dyDescent="0.25">
      <c r="A32" s="3" t="s">
        <v>49</v>
      </c>
      <c r="B32" s="2">
        <v>90.8</v>
      </c>
      <c r="C32" s="2">
        <v>26</v>
      </c>
      <c r="D32" s="2">
        <v>2.7</v>
      </c>
      <c r="E32" s="2">
        <v>70</v>
      </c>
      <c r="F32" s="2">
        <v>103</v>
      </c>
      <c r="G32" s="2">
        <v>43</v>
      </c>
      <c r="H32" s="2" t="s">
        <v>40</v>
      </c>
    </row>
    <row r="33" spans="1:8" x14ac:dyDescent="0.25">
      <c r="A33" s="3" t="s">
        <v>50</v>
      </c>
      <c r="B33" s="2">
        <v>89.58</v>
      </c>
      <c r="C33" s="2">
        <v>33</v>
      </c>
      <c r="D33" s="2">
        <v>2</v>
      </c>
      <c r="E33" s="2">
        <v>21.1</v>
      </c>
      <c r="F33" s="2">
        <v>81</v>
      </c>
      <c r="G33" s="2">
        <v>63</v>
      </c>
      <c r="H33" s="2" t="s">
        <v>51</v>
      </c>
    </row>
    <row r="34" spans="1:8" x14ac:dyDescent="0.25">
      <c r="A34" s="3" t="s">
        <v>52</v>
      </c>
      <c r="B34" s="2">
        <v>87.71</v>
      </c>
      <c r="C34" s="2">
        <v>36</v>
      </c>
      <c r="D34" s="2">
        <v>2.97</v>
      </c>
      <c r="E34" s="2">
        <v>133</v>
      </c>
      <c r="F34" s="2">
        <v>138</v>
      </c>
      <c r="G34" s="2">
        <v>58</v>
      </c>
      <c r="H34" s="2" t="s">
        <v>40</v>
      </c>
    </row>
    <row r="35" spans="1:8" x14ac:dyDescent="0.25">
      <c r="A35" s="3" t="s">
        <v>53</v>
      </c>
      <c r="B35" s="2">
        <v>79.53</v>
      </c>
      <c r="C35" s="2">
        <v>75</v>
      </c>
      <c r="D35" s="2">
        <v>1.2</v>
      </c>
      <c r="E35" s="2">
        <v>17</v>
      </c>
      <c r="F35" s="2">
        <v>36</v>
      </c>
      <c r="G35" s="2">
        <v>71</v>
      </c>
      <c r="H35" s="2" t="s">
        <v>3</v>
      </c>
    </row>
    <row r="36" spans="1:8" ht="30" x14ac:dyDescent="0.25">
      <c r="A36" s="3" t="s">
        <v>54</v>
      </c>
      <c r="B36" s="2">
        <v>92.19</v>
      </c>
      <c r="C36" s="2">
        <v>27</v>
      </c>
      <c r="D36" s="2">
        <v>0.89</v>
      </c>
      <c r="E36" s="2">
        <v>89.3</v>
      </c>
      <c r="F36" s="2">
        <v>9</v>
      </c>
      <c r="G36" s="2">
        <v>19</v>
      </c>
      <c r="H36" s="2" t="s">
        <v>3</v>
      </c>
    </row>
    <row r="37" spans="1:8" x14ac:dyDescent="0.25">
      <c r="A37" s="3" t="s">
        <v>55</v>
      </c>
      <c r="B37" s="2">
        <v>92.19</v>
      </c>
      <c r="C37" s="2">
        <v>27</v>
      </c>
      <c r="D37" s="2">
        <v>0.89</v>
      </c>
      <c r="E37" s="2">
        <v>190</v>
      </c>
      <c r="F37" s="2">
        <v>9</v>
      </c>
      <c r="G37" s="2">
        <v>19</v>
      </c>
      <c r="H37" s="2" t="s">
        <v>3</v>
      </c>
    </row>
    <row r="38" spans="1:8" x14ac:dyDescent="0.25">
      <c r="A38" s="3" t="s">
        <v>56</v>
      </c>
      <c r="B38" s="2">
        <v>91.6</v>
      </c>
      <c r="C38" s="2">
        <v>26</v>
      </c>
      <c r="D38" s="2">
        <v>1</v>
      </c>
      <c r="E38" s="2">
        <v>9</v>
      </c>
      <c r="F38" s="2">
        <v>21</v>
      </c>
      <c r="G38" s="2">
        <v>44</v>
      </c>
      <c r="H38" s="2" t="s">
        <v>3</v>
      </c>
    </row>
    <row r="39" spans="1:8" x14ac:dyDescent="0.25">
      <c r="A39" s="3" t="s">
        <v>57</v>
      </c>
      <c r="B39" s="2">
        <v>93.92</v>
      </c>
      <c r="C39" s="2">
        <v>16</v>
      </c>
      <c r="D39" s="2">
        <v>1.3</v>
      </c>
      <c r="E39" s="2">
        <v>21</v>
      </c>
      <c r="F39" s="2">
        <v>65</v>
      </c>
      <c r="G39" s="2">
        <v>44</v>
      </c>
      <c r="H39" s="2" t="s">
        <v>58</v>
      </c>
    </row>
    <row r="40" spans="1:8" x14ac:dyDescent="0.25">
      <c r="A40" s="3" t="s">
        <v>59</v>
      </c>
      <c r="B40" s="2">
        <v>89.66</v>
      </c>
      <c r="C40" s="2">
        <v>36</v>
      </c>
      <c r="D40" s="2">
        <v>1.2</v>
      </c>
      <c r="E40" s="2">
        <v>25</v>
      </c>
      <c r="F40" s="2">
        <v>47</v>
      </c>
      <c r="G40" s="2">
        <v>58</v>
      </c>
      <c r="H40" s="2" t="s">
        <v>48</v>
      </c>
    </row>
    <row r="41" spans="1:8" ht="30" x14ac:dyDescent="0.25">
      <c r="A41" s="3" t="s">
        <v>60</v>
      </c>
      <c r="B41" s="2">
        <v>92.2</v>
      </c>
      <c r="C41" s="2">
        <v>22</v>
      </c>
      <c r="D41" s="2">
        <v>2.2000000000000002</v>
      </c>
      <c r="E41" s="2">
        <v>130</v>
      </c>
      <c r="F41" s="2">
        <v>210</v>
      </c>
      <c r="G41" s="2">
        <v>28</v>
      </c>
      <c r="H41" s="2" t="s">
        <v>61</v>
      </c>
    </row>
    <row r="42" spans="1:8" x14ac:dyDescent="0.25">
      <c r="A42" s="3" t="s">
        <v>62</v>
      </c>
      <c r="B42" s="2">
        <v>91.58</v>
      </c>
      <c r="C42" s="2">
        <v>22</v>
      </c>
      <c r="D42" s="2">
        <v>2.86</v>
      </c>
      <c r="E42" s="2">
        <v>28.1</v>
      </c>
      <c r="F42" s="2">
        <v>99</v>
      </c>
      <c r="G42" s="2">
        <v>49</v>
      </c>
      <c r="H42" s="2" t="s">
        <v>13</v>
      </c>
    </row>
    <row r="43" spans="1:8" ht="45" x14ac:dyDescent="0.25">
      <c r="A43" s="3" t="s">
        <v>63</v>
      </c>
      <c r="B43" s="2">
        <v>93.68</v>
      </c>
      <c r="C43" s="2">
        <v>20</v>
      </c>
      <c r="D43" s="2">
        <v>1.18</v>
      </c>
      <c r="E43" s="2">
        <v>14.8</v>
      </c>
      <c r="F43" s="2">
        <v>20</v>
      </c>
      <c r="G43" s="2">
        <v>35</v>
      </c>
      <c r="H43" s="2" t="s">
        <v>11</v>
      </c>
    </row>
    <row r="44" spans="1:8" ht="30" x14ac:dyDescent="0.25">
      <c r="A44" s="3" t="s">
        <v>64</v>
      </c>
      <c r="B44" s="2">
        <v>88.72</v>
      </c>
      <c r="C44" s="2">
        <v>37</v>
      </c>
      <c r="D44" s="2">
        <v>1.45</v>
      </c>
      <c r="E44" s="2">
        <v>12.3</v>
      </c>
      <c r="F44" s="2">
        <v>31</v>
      </c>
      <c r="G44" s="2">
        <v>32</v>
      </c>
      <c r="H44" s="2" t="s">
        <v>38</v>
      </c>
    </row>
    <row r="45" spans="1:8" ht="30" x14ac:dyDescent="0.25">
      <c r="A45" s="3" t="s">
        <v>65</v>
      </c>
      <c r="B45" s="2">
        <v>87.96</v>
      </c>
      <c r="C45" s="2">
        <v>35</v>
      </c>
      <c r="D45" s="2">
        <v>4</v>
      </c>
      <c r="E45" s="2">
        <v>11</v>
      </c>
      <c r="F45" s="2">
        <v>37</v>
      </c>
      <c r="G45" s="2">
        <v>94</v>
      </c>
      <c r="H45" s="2" t="s">
        <v>4</v>
      </c>
    </row>
    <row r="46" spans="1:8" x14ac:dyDescent="0.25">
      <c r="A46" s="3" t="s">
        <v>66</v>
      </c>
      <c r="B46" s="2">
        <v>72.84</v>
      </c>
      <c r="C46" s="2">
        <v>105</v>
      </c>
      <c r="D46" s="2">
        <v>1.65</v>
      </c>
      <c r="E46" s="2">
        <v>22.7</v>
      </c>
      <c r="F46" s="2">
        <v>22</v>
      </c>
      <c r="G46" s="2">
        <v>28</v>
      </c>
      <c r="H46" s="2" t="s">
        <v>48</v>
      </c>
    </row>
    <row r="47" spans="1:8" x14ac:dyDescent="0.25">
      <c r="A47" s="3" t="s">
        <v>67</v>
      </c>
      <c r="B47" s="2">
        <v>92.66</v>
      </c>
      <c r="C47" s="2">
        <v>19</v>
      </c>
      <c r="D47" s="2">
        <v>1.8</v>
      </c>
      <c r="E47" s="2">
        <v>30</v>
      </c>
      <c r="F47" s="2">
        <v>51</v>
      </c>
      <c r="G47" s="2">
        <v>46</v>
      </c>
      <c r="H47" s="2" t="s">
        <v>19</v>
      </c>
    </row>
    <row r="48" spans="1:8" x14ac:dyDescent="0.25">
      <c r="A48" s="3" t="s">
        <v>68</v>
      </c>
      <c r="B48" s="2">
        <v>93.76</v>
      </c>
      <c r="C48" s="2">
        <v>21</v>
      </c>
      <c r="D48" s="2">
        <v>0.85</v>
      </c>
      <c r="E48" s="2">
        <v>19.100000000000001</v>
      </c>
      <c r="F48" s="2">
        <v>5</v>
      </c>
      <c r="G48" s="2">
        <v>24</v>
      </c>
      <c r="H48" s="2" t="s">
        <v>69</v>
      </c>
    </row>
    <row r="49" spans="1:8" x14ac:dyDescent="0.25">
      <c r="A49" s="3" t="s">
        <v>70</v>
      </c>
      <c r="B49" s="2">
        <v>91.07</v>
      </c>
      <c r="C49" s="2">
        <v>27</v>
      </c>
      <c r="D49" s="2">
        <v>1.5</v>
      </c>
      <c r="E49" s="2">
        <v>60</v>
      </c>
      <c r="F49" s="2">
        <v>190</v>
      </c>
      <c r="G49" s="2">
        <v>42</v>
      </c>
      <c r="H49" s="2" t="s">
        <v>71</v>
      </c>
    </row>
    <row r="50" spans="1:8" x14ac:dyDescent="0.25">
      <c r="A50" s="3" t="s">
        <v>72</v>
      </c>
      <c r="B50" s="2">
        <v>91.87</v>
      </c>
      <c r="C50" s="2">
        <v>27</v>
      </c>
      <c r="D50" s="2">
        <v>0.9</v>
      </c>
      <c r="E50" s="2">
        <v>21</v>
      </c>
      <c r="F50" s="2">
        <v>30</v>
      </c>
      <c r="G50" s="2">
        <v>27</v>
      </c>
      <c r="H50" s="2" t="s">
        <v>19</v>
      </c>
    </row>
    <row r="51" spans="1:8" x14ac:dyDescent="0.25">
      <c r="A51" s="3" t="s">
        <v>73</v>
      </c>
      <c r="B51" s="2">
        <v>95.11</v>
      </c>
      <c r="C51" s="2">
        <v>11</v>
      </c>
      <c r="D51" s="2">
        <v>2.2999999999999998</v>
      </c>
      <c r="E51" s="2">
        <v>43</v>
      </c>
      <c r="F51" s="2">
        <v>120</v>
      </c>
      <c r="G51" s="2">
        <v>60</v>
      </c>
      <c r="H51" s="2" t="s">
        <v>13</v>
      </c>
    </row>
  </sheetData>
  <mergeCells count="7">
    <mergeCell ref="H22:H23"/>
    <mergeCell ref="B22:B23"/>
    <mergeCell ref="C22:C23"/>
    <mergeCell ref="D22:D23"/>
    <mergeCell ref="E22:E23"/>
    <mergeCell ref="F22:F23"/>
    <mergeCell ref="G22:G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87"/>
  <sheetViews>
    <sheetView workbookViewId="0">
      <selection activeCell="M17" sqref="M17"/>
    </sheetView>
  </sheetViews>
  <sheetFormatPr defaultRowHeight="15" x14ac:dyDescent="0.25"/>
  <cols>
    <col min="1" max="1" width="13.5703125" customWidth="1"/>
    <col min="2" max="2" width="12.85546875" customWidth="1"/>
    <col min="3" max="3" width="8.7109375" bestFit="1" customWidth="1"/>
  </cols>
  <sheetData>
    <row r="1" spans="1:12" x14ac:dyDescent="0.25">
      <c r="A1" s="8" t="s">
        <v>91</v>
      </c>
      <c r="B1" s="8" t="s">
        <v>92</v>
      </c>
      <c r="C1" s="8" t="s">
        <v>93</v>
      </c>
    </row>
    <row r="2" spans="1:12" x14ac:dyDescent="0.25">
      <c r="A2" t="s">
        <v>94</v>
      </c>
      <c r="B2" s="9">
        <v>41532</v>
      </c>
      <c r="C2">
        <v>1</v>
      </c>
      <c r="K2">
        <v>1</v>
      </c>
      <c r="L2" t="s">
        <v>94</v>
      </c>
    </row>
    <row r="3" spans="1:12" x14ac:dyDescent="0.25">
      <c r="A3" t="s">
        <v>95</v>
      </c>
      <c r="B3" s="9">
        <v>41380</v>
      </c>
      <c r="C3">
        <v>5</v>
      </c>
      <c r="K3">
        <v>2</v>
      </c>
      <c r="L3" t="s">
        <v>95</v>
      </c>
    </row>
    <row r="4" spans="1:12" x14ac:dyDescent="0.25">
      <c r="A4" t="s">
        <v>96</v>
      </c>
      <c r="B4" s="9">
        <v>41419</v>
      </c>
      <c r="C4">
        <v>6</v>
      </c>
      <c r="K4">
        <v>3</v>
      </c>
      <c r="L4" t="s">
        <v>96</v>
      </c>
    </row>
    <row r="5" spans="1:12" x14ac:dyDescent="0.25">
      <c r="A5" t="s">
        <v>97</v>
      </c>
      <c r="B5" s="9">
        <v>41310</v>
      </c>
      <c r="C5">
        <v>4</v>
      </c>
      <c r="K5">
        <v>4</v>
      </c>
      <c r="L5" t="s">
        <v>97</v>
      </c>
    </row>
    <row r="6" spans="1:12" x14ac:dyDescent="0.25">
      <c r="A6" t="s">
        <v>98</v>
      </c>
      <c r="B6" s="9">
        <v>41617</v>
      </c>
      <c r="C6">
        <v>9</v>
      </c>
      <c r="K6">
        <v>5</v>
      </c>
      <c r="L6" t="s">
        <v>98</v>
      </c>
    </row>
    <row r="7" spans="1:12" x14ac:dyDescent="0.25">
      <c r="A7" t="s">
        <v>99</v>
      </c>
      <c r="B7" s="9">
        <v>41636</v>
      </c>
      <c r="C7">
        <v>2</v>
      </c>
      <c r="K7">
        <v>6</v>
      </c>
      <c r="L7" t="s">
        <v>99</v>
      </c>
    </row>
    <row r="8" spans="1:12" x14ac:dyDescent="0.25">
      <c r="A8" t="s">
        <v>100</v>
      </c>
      <c r="B8" s="9">
        <v>41518</v>
      </c>
      <c r="C8">
        <v>3</v>
      </c>
      <c r="K8">
        <v>7</v>
      </c>
      <c r="L8" t="s">
        <v>100</v>
      </c>
    </row>
    <row r="9" spans="1:12" x14ac:dyDescent="0.25">
      <c r="A9" t="s">
        <v>96</v>
      </c>
      <c r="B9" s="9">
        <v>41605</v>
      </c>
      <c r="C9">
        <v>10</v>
      </c>
    </row>
    <row r="10" spans="1:12" x14ac:dyDescent="0.25">
      <c r="A10" t="s">
        <v>98</v>
      </c>
      <c r="B10" s="9">
        <v>41375</v>
      </c>
      <c r="C10">
        <v>11</v>
      </c>
    </row>
    <row r="11" spans="1:12" x14ac:dyDescent="0.25">
      <c r="A11" t="s">
        <v>97</v>
      </c>
      <c r="B11" s="9">
        <v>41442</v>
      </c>
      <c r="C11">
        <v>2</v>
      </c>
    </row>
    <row r="12" spans="1:12" x14ac:dyDescent="0.25">
      <c r="A12" t="s">
        <v>94</v>
      </c>
      <c r="B12" s="9">
        <v>41608</v>
      </c>
      <c r="C12">
        <v>1</v>
      </c>
    </row>
    <row r="13" spans="1:12" x14ac:dyDescent="0.25">
      <c r="A13" t="s">
        <v>98</v>
      </c>
      <c r="B13" s="9">
        <v>41578</v>
      </c>
      <c r="C13">
        <v>7</v>
      </c>
    </row>
    <row r="14" spans="1:12" x14ac:dyDescent="0.25">
      <c r="A14" t="s">
        <v>98</v>
      </c>
      <c r="B14" s="9">
        <v>41582</v>
      </c>
      <c r="C14">
        <v>16</v>
      </c>
    </row>
    <row r="15" spans="1:12" x14ac:dyDescent="0.25">
      <c r="A15" t="s">
        <v>96</v>
      </c>
      <c r="B15" s="9">
        <v>41372</v>
      </c>
      <c r="C15">
        <v>8</v>
      </c>
    </row>
    <row r="16" spans="1:12" x14ac:dyDescent="0.25">
      <c r="A16" t="s">
        <v>100</v>
      </c>
      <c r="B16" s="9">
        <v>41412</v>
      </c>
      <c r="C16">
        <v>8</v>
      </c>
    </row>
    <row r="17" spans="1:3" x14ac:dyDescent="0.25">
      <c r="A17" t="s">
        <v>96</v>
      </c>
      <c r="B17" s="9">
        <v>41533</v>
      </c>
      <c r="C17">
        <v>8</v>
      </c>
    </row>
    <row r="18" spans="1:3" x14ac:dyDescent="0.25">
      <c r="A18" t="s">
        <v>95</v>
      </c>
      <c r="B18" s="9">
        <v>41592</v>
      </c>
      <c r="C18">
        <v>8</v>
      </c>
    </row>
    <row r="19" spans="1:3" x14ac:dyDescent="0.25">
      <c r="A19" t="s">
        <v>96</v>
      </c>
      <c r="B19" s="9">
        <v>41403</v>
      </c>
      <c r="C19">
        <v>20</v>
      </c>
    </row>
    <row r="20" spans="1:3" x14ac:dyDescent="0.25">
      <c r="A20" t="s">
        <v>95</v>
      </c>
      <c r="B20" s="9">
        <v>41529</v>
      </c>
      <c r="C20">
        <v>7</v>
      </c>
    </row>
    <row r="21" spans="1:3" x14ac:dyDescent="0.25">
      <c r="A21" t="s">
        <v>100</v>
      </c>
      <c r="B21" s="9">
        <v>41505</v>
      </c>
      <c r="C21">
        <v>8</v>
      </c>
    </row>
    <row r="22" spans="1:3" x14ac:dyDescent="0.25">
      <c r="A22" t="s">
        <v>97</v>
      </c>
      <c r="B22" s="9">
        <v>41474</v>
      </c>
      <c r="C22">
        <v>7</v>
      </c>
    </row>
    <row r="23" spans="1:3" x14ac:dyDescent="0.25">
      <c r="A23" t="s">
        <v>100</v>
      </c>
      <c r="B23" s="9">
        <v>41325</v>
      </c>
      <c r="C23">
        <v>18</v>
      </c>
    </row>
    <row r="24" spans="1:3" x14ac:dyDescent="0.25">
      <c r="A24" t="s">
        <v>96</v>
      </c>
      <c r="B24" s="9">
        <v>41537</v>
      </c>
      <c r="C24">
        <v>8</v>
      </c>
    </row>
    <row r="25" spans="1:3" x14ac:dyDescent="0.25">
      <c r="A25" t="s">
        <v>94</v>
      </c>
      <c r="B25" s="9">
        <v>41343</v>
      </c>
      <c r="C25">
        <v>13</v>
      </c>
    </row>
    <row r="26" spans="1:3" x14ac:dyDescent="0.25">
      <c r="A26" t="s">
        <v>97</v>
      </c>
      <c r="B26" s="9">
        <v>41280</v>
      </c>
      <c r="C26">
        <v>2</v>
      </c>
    </row>
    <row r="27" spans="1:3" x14ac:dyDescent="0.25">
      <c r="A27" t="s">
        <v>98</v>
      </c>
      <c r="B27" s="9">
        <v>41313</v>
      </c>
      <c r="C27">
        <v>15</v>
      </c>
    </row>
    <row r="28" spans="1:3" x14ac:dyDescent="0.25">
      <c r="A28" t="s">
        <v>99</v>
      </c>
      <c r="B28" s="9">
        <v>41509</v>
      </c>
      <c r="C28">
        <v>16</v>
      </c>
    </row>
    <row r="29" spans="1:3" x14ac:dyDescent="0.25">
      <c r="A29" t="s">
        <v>97</v>
      </c>
      <c r="B29" s="9">
        <v>41395</v>
      </c>
      <c r="C29">
        <v>18</v>
      </c>
    </row>
    <row r="30" spans="1:3" x14ac:dyDescent="0.25">
      <c r="A30" t="s">
        <v>100</v>
      </c>
      <c r="B30" s="9">
        <v>41313</v>
      </c>
      <c r="C30">
        <v>15</v>
      </c>
    </row>
    <row r="31" spans="1:3" x14ac:dyDescent="0.25">
      <c r="A31" t="s">
        <v>97</v>
      </c>
      <c r="B31" s="9">
        <v>41535</v>
      </c>
      <c r="C31">
        <v>12</v>
      </c>
    </row>
    <row r="32" spans="1:3" x14ac:dyDescent="0.25">
      <c r="A32" t="s">
        <v>94</v>
      </c>
      <c r="B32" s="9">
        <v>41507</v>
      </c>
      <c r="C32">
        <v>13</v>
      </c>
    </row>
    <row r="33" spans="1:3" x14ac:dyDescent="0.25">
      <c r="A33" t="s">
        <v>100</v>
      </c>
      <c r="B33" s="9">
        <v>41308</v>
      </c>
      <c r="C33">
        <v>16</v>
      </c>
    </row>
    <row r="34" spans="1:3" x14ac:dyDescent="0.25">
      <c r="A34" t="s">
        <v>97</v>
      </c>
      <c r="B34" s="9">
        <v>41492</v>
      </c>
      <c r="C34">
        <v>19</v>
      </c>
    </row>
    <row r="35" spans="1:3" x14ac:dyDescent="0.25">
      <c r="A35" t="s">
        <v>94</v>
      </c>
      <c r="B35" s="9">
        <v>41318</v>
      </c>
      <c r="C35">
        <v>11</v>
      </c>
    </row>
    <row r="36" spans="1:3" x14ac:dyDescent="0.25">
      <c r="A36" t="s">
        <v>99</v>
      </c>
      <c r="B36" s="9">
        <v>41577</v>
      </c>
      <c r="C36">
        <v>15</v>
      </c>
    </row>
    <row r="37" spans="1:3" x14ac:dyDescent="0.25">
      <c r="A37" t="s">
        <v>98</v>
      </c>
      <c r="B37" s="9">
        <v>41465</v>
      </c>
      <c r="C37">
        <v>20</v>
      </c>
    </row>
    <row r="38" spans="1:3" x14ac:dyDescent="0.25">
      <c r="A38" t="s">
        <v>95</v>
      </c>
      <c r="B38" s="9">
        <v>41594</v>
      </c>
      <c r="C38">
        <v>6</v>
      </c>
    </row>
    <row r="39" spans="1:3" x14ac:dyDescent="0.25">
      <c r="A39" t="s">
        <v>98</v>
      </c>
      <c r="B39" s="9">
        <v>41600</v>
      </c>
      <c r="C39">
        <v>20</v>
      </c>
    </row>
    <row r="40" spans="1:3" x14ac:dyDescent="0.25">
      <c r="A40" t="s">
        <v>95</v>
      </c>
      <c r="B40" s="9">
        <v>41299</v>
      </c>
      <c r="C40">
        <v>3</v>
      </c>
    </row>
    <row r="41" spans="1:3" x14ac:dyDescent="0.25">
      <c r="A41" t="s">
        <v>94</v>
      </c>
      <c r="B41" s="9">
        <v>41573</v>
      </c>
      <c r="C41">
        <v>6</v>
      </c>
    </row>
    <row r="42" spans="1:3" x14ac:dyDescent="0.25">
      <c r="A42" t="s">
        <v>95</v>
      </c>
      <c r="B42" s="9">
        <v>41601</v>
      </c>
      <c r="C42">
        <v>20</v>
      </c>
    </row>
    <row r="43" spans="1:3" x14ac:dyDescent="0.25">
      <c r="A43" t="s">
        <v>99</v>
      </c>
      <c r="B43" s="9">
        <v>41380</v>
      </c>
      <c r="C43">
        <v>5</v>
      </c>
    </row>
    <row r="44" spans="1:3" x14ac:dyDescent="0.25">
      <c r="A44" t="s">
        <v>100</v>
      </c>
      <c r="B44" s="9">
        <v>41369</v>
      </c>
      <c r="C44">
        <v>12</v>
      </c>
    </row>
    <row r="45" spans="1:3" x14ac:dyDescent="0.25">
      <c r="A45" t="s">
        <v>99</v>
      </c>
      <c r="B45" s="9">
        <v>41377</v>
      </c>
      <c r="C45">
        <v>5</v>
      </c>
    </row>
    <row r="46" spans="1:3" x14ac:dyDescent="0.25">
      <c r="A46" t="s">
        <v>98</v>
      </c>
      <c r="B46" s="9">
        <v>41445</v>
      </c>
      <c r="C46">
        <v>9</v>
      </c>
    </row>
    <row r="47" spans="1:3" x14ac:dyDescent="0.25">
      <c r="A47" t="s">
        <v>97</v>
      </c>
      <c r="B47" s="9">
        <v>41510</v>
      </c>
      <c r="C47">
        <v>3</v>
      </c>
    </row>
    <row r="48" spans="1:3" x14ac:dyDescent="0.25">
      <c r="A48" t="s">
        <v>94</v>
      </c>
      <c r="B48" s="9">
        <v>41430</v>
      </c>
      <c r="C48">
        <v>16</v>
      </c>
    </row>
    <row r="49" spans="1:3" x14ac:dyDescent="0.25">
      <c r="A49" t="s">
        <v>100</v>
      </c>
      <c r="B49" s="9">
        <v>41309</v>
      </c>
      <c r="C49">
        <v>19</v>
      </c>
    </row>
    <row r="50" spans="1:3" x14ac:dyDescent="0.25">
      <c r="A50" t="s">
        <v>94</v>
      </c>
      <c r="B50" s="9">
        <v>41288</v>
      </c>
      <c r="C50">
        <v>16</v>
      </c>
    </row>
    <row r="51" spans="1:3" x14ac:dyDescent="0.25">
      <c r="A51" t="s">
        <v>100</v>
      </c>
      <c r="B51" s="9">
        <v>41613</v>
      </c>
      <c r="C51">
        <v>8</v>
      </c>
    </row>
    <row r="52" spans="1:3" x14ac:dyDescent="0.25">
      <c r="A52" t="s">
        <v>98</v>
      </c>
      <c r="B52" s="9">
        <v>41548</v>
      </c>
      <c r="C52">
        <v>2</v>
      </c>
    </row>
    <row r="53" spans="1:3" x14ac:dyDescent="0.25">
      <c r="A53" t="s">
        <v>97</v>
      </c>
      <c r="B53" s="9">
        <v>41425</v>
      </c>
      <c r="C53">
        <v>2</v>
      </c>
    </row>
    <row r="54" spans="1:3" x14ac:dyDescent="0.25">
      <c r="A54" t="s">
        <v>94</v>
      </c>
      <c r="B54" s="9">
        <v>41423</v>
      </c>
      <c r="C54">
        <v>11</v>
      </c>
    </row>
    <row r="55" spans="1:3" x14ac:dyDescent="0.25">
      <c r="A55" t="s">
        <v>98</v>
      </c>
      <c r="B55" s="9">
        <v>41578</v>
      </c>
      <c r="C55">
        <v>5</v>
      </c>
    </row>
    <row r="56" spans="1:3" x14ac:dyDescent="0.25">
      <c r="A56" t="s">
        <v>96</v>
      </c>
      <c r="B56" s="9">
        <v>41551</v>
      </c>
      <c r="C56">
        <v>4</v>
      </c>
    </row>
    <row r="57" spans="1:3" x14ac:dyDescent="0.25">
      <c r="A57" t="s">
        <v>97</v>
      </c>
      <c r="B57" s="9">
        <v>41275</v>
      </c>
      <c r="C57">
        <v>11</v>
      </c>
    </row>
    <row r="58" spans="1:3" x14ac:dyDescent="0.25">
      <c r="A58" t="s">
        <v>99</v>
      </c>
      <c r="B58" s="9">
        <v>41378</v>
      </c>
      <c r="C58">
        <v>3</v>
      </c>
    </row>
    <row r="59" spans="1:3" x14ac:dyDescent="0.25">
      <c r="A59" t="s">
        <v>99</v>
      </c>
      <c r="B59" s="9">
        <v>41549</v>
      </c>
      <c r="C59">
        <v>15</v>
      </c>
    </row>
    <row r="60" spans="1:3" x14ac:dyDescent="0.25">
      <c r="A60" t="s">
        <v>95</v>
      </c>
      <c r="B60" s="9">
        <v>41387</v>
      </c>
      <c r="C60">
        <v>10</v>
      </c>
    </row>
    <row r="61" spans="1:3" x14ac:dyDescent="0.25">
      <c r="A61" t="s">
        <v>100</v>
      </c>
      <c r="B61" s="9">
        <v>41638</v>
      </c>
      <c r="C61">
        <v>6</v>
      </c>
    </row>
    <row r="62" spans="1:3" x14ac:dyDescent="0.25">
      <c r="A62" t="s">
        <v>97</v>
      </c>
      <c r="B62" s="9">
        <v>41353</v>
      </c>
      <c r="C62">
        <v>18</v>
      </c>
    </row>
    <row r="63" spans="1:3" x14ac:dyDescent="0.25">
      <c r="A63" t="s">
        <v>98</v>
      </c>
      <c r="B63" s="9">
        <v>41499</v>
      </c>
      <c r="C63">
        <v>15</v>
      </c>
    </row>
    <row r="64" spans="1:3" x14ac:dyDescent="0.25">
      <c r="A64" t="s">
        <v>98</v>
      </c>
      <c r="B64" s="9">
        <v>41605</v>
      </c>
      <c r="C64">
        <v>6</v>
      </c>
    </row>
    <row r="65" spans="1:3" x14ac:dyDescent="0.25">
      <c r="A65" t="s">
        <v>98</v>
      </c>
      <c r="B65" s="9">
        <v>41306</v>
      </c>
      <c r="C65">
        <v>14</v>
      </c>
    </row>
    <row r="66" spans="1:3" x14ac:dyDescent="0.25">
      <c r="A66" t="s">
        <v>98</v>
      </c>
      <c r="B66" s="9">
        <v>41280</v>
      </c>
      <c r="C66">
        <v>18</v>
      </c>
    </row>
    <row r="67" spans="1:3" x14ac:dyDescent="0.25">
      <c r="A67" t="s">
        <v>94</v>
      </c>
      <c r="B67" s="9">
        <v>41616</v>
      </c>
      <c r="C67">
        <v>12</v>
      </c>
    </row>
    <row r="68" spans="1:3" x14ac:dyDescent="0.25">
      <c r="A68" t="s">
        <v>99</v>
      </c>
      <c r="B68" s="9">
        <v>41593</v>
      </c>
      <c r="C68">
        <v>17</v>
      </c>
    </row>
    <row r="69" spans="1:3" x14ac:dyDescent="0.25">
      <c r="A69" t="s">
        <v>95</v>
      </c>
      <c r="B69" s="9">
        <v>41283</v>
      </c>
      <c r="C69">
        <v>17</v>
      </c>
    </row>
    <row r="70" spans="1:3" x14ac:dyDescent="0.25">
      <c r="A70" t="s">
        <v>98</v>
      </c>
      <c r="B70" s="9">
        <v>41444</v>
      </c>
      <c r="C70">
        <v>3</v>
      </c>
    </row>
    <row r="71" spans="1:3" x14ac:dyDescent="0.25">
      <c r="A71" t="s">
        <v>98</v>
      </c>
      <c r="B71" s="9">
        <v>41338</v>
      </c>
      <c r="C71">
        <v>17</v>
      </c>
    </row>
    <row r="72" spans="1:3" x14ac:dyDescent="0.25">
      <c r="A72" t="s">
        <v>99</v>
      </c>
      <c r="B72" s="9">
        <v>41504</v>
      </c>
      <c r="C72">
        <v>16</v>
      </c>
    </row>
    <row r="73" spans="1:3" x14ac:dyDescent="0.25">
      <c r="A73" t="s">
        <v>100</v>
      </c>
      <c r="B73" s="9">
        <v>41596</v>
      </c>
      <c r="C73">
        <v>1</v>
      </c>
    </row>
    <row r="74" spans="1:3" x14ac:dyDescent="0.25">
      <c r="A74" t="s">
        <v>94</v>
      </c>
      <c r="B74" s="9">
        <v>41493</v>
      </c>
      <c r="C74">
        <v>10</v>
      </c>
    </row>
    <row r="75" spans="1:3" x14ac:dyDescent="0.25">
      <c r="A75" t="s">
        <v>96</v>
      </c>
      <c r="B75" s="9">
        <v>41302</v>
      </c>
      <c r="C75">
        <v>7</v>
      </c>
    </row>
    <row r="76" spans="1:3" x14ac:dyDescent="0.25">
      <c r="A76" t="s">
        <v>95</v>
      </c>
      <c r="B76" s="9">
        <v>41406</v>
      </c>
      <c r="C76">
        <v>17</v>
      </c>
    </row>
    <row r="77" spans="1:3" x14ac:dyDescent="0.25">
      <c r="A77" t="s">
        <v>97</v>
      </c>
      <c r="B77" s="9">
        <v>41615</v>
      </c>
      <c r="C77">
        <v>19</v>
      </c>
    </row>
    <row r="78" spans="1:3" x14ac:dyDescent="0.25">
      <c r="A78" t="s">
        <v>94</v>
      </c>
      <c r="B78" s="9">
        <v>41576</v>
      </c>
      <c r="C78">
        <v>2</v>
      </c>
    </row>
    <row r="79" spans="1:3" x14ac:dyDescent="0.25">
      <c r="A79" t="s">
        <v>96</v>
      </c>
      <c r="B79" s="9">
        <v>41615</v>
      </c>
      <c r="C79">
        <v>1</v>
      </c>
    </row>
    <row r="80" spans="1:3" x14ac:dyDescent="0.25">
      <c r="A80" t="s">
        <v>94</v>
      </c>
      <c r="B80" s="9">
        <v>41540</v>
      </c>
      <c r="C80">
        <v>2</v>
      </c>
    </row>
    <row r="81" spans="1:3" x14ac:dyDescent="0.25">
      <c r="A81" t="s">
        <v>100</v>
      </c>
      <c r="B81" s="9">
        <v>41504</v>
      </c>
      <c r="C81">
        <v>13</v>
      </c>
    </row>
    <row r="82" spans="1:3" x14ac:dyDescent="0.25">
      <c r="A82" t="s">
        <v>100</v>
      </c>
      <c r="B82" s="9">
        <v>41398</v>
      </c>
      <c r="C82">
        <v>12</v>
      </c>
    </row>
    <row r="83" spans="1:3" x14ac:dyDescent="0.25">
      <c r="A83" t="s">
        <v>98</v>
      </c>
      <c r="B83" s="9">
        <v>41529</v>
      </c>
      <c r="C83">
        <v>7</v>
      </c>
    </row>
    <row r="84" spans="1:3" x14ac:dyDescent="0.25">
      <c r="A84" t="s">
        <v>95</v>
      </c>
      <c r="B84" s="9">
        <v>41280</v>
      </c>
      <c r="C84">
        <v>20</v>
      </c>
    </row>
    <row r="85" spans="1:3" x14ac:dyDescent="0.25">
      <c r="A85" t="s">
        <v>97</v>
      </c>
      <c r="B85" s="9">
        <v>41288</v>
      </c>
      <c r="C85">
        <v>8</v>
      </c>
    </row>
    <row r="86" spans="1:3" x14ac:dyDescent="0.25">
      <c r="A86" t="s">
        <v>99</v>
      </c>
      <c r="B86" s="9">
        <v>41304</v>
      </c>
      <c r="C86">
        <v>5</v>
      </c>
    </row>
    <row r="87" spans="1:3" x14ac:dyDescent="0.25">
      <c r="A87" t="s">
        <v>94</v>
      </c>
      <c r="B87" s="9">
        <v>41320</v>
      </c>
      <c r="C87">
        <v>5</v>
      </c>
    </row>
    <row r="88" spans="1:3" x14ac:dyDescent="0.25">
      <c r="A88" t="s">
        <v>97</v>
      </c>
      <c r="B88" s="9">
        <v>41566</v>
      </c>
      <c r="C88">
        <v>20</v>
      </c>
    </row>
    <row r="89" spans="1:3" x14ac:dyDescent="0.25">
      <c r="A89" t="s">
        <v>96</v>
      </c>
      <c r="B89" s="9">
        <v>41364</v>
      </c>
      <c r="C89">
        <v>10</v>
      </c>
    </row>
    <row r="90" spans="1:3" x14ac:dyDescent="0.25">
      <c r="A90" t="s">
        <v>95</v>
      </c>
      <c r="B90" s="9">
        <v>41547</v>
      </c>
      <c r="C90">
        <v>8</v>
      </c>
    </row>
    <row r="91" spans="1:3" x14ac:dyDescent="0.25">
      <c r="A91" t="s">
        <v>95</v>
      </c>
      <c r="B91" s="9">
        <v>41639</v>
      </c>
      <c r="C91">
        <v>5</v>
      </c>
    </row>
    <row r="92" spans="1:3" x14ac:dyDescent="0.25">
      <c r="A92" t="s">
        <v>98</v>
      </c>
      <c r="B92" s="9">
        <v>41621</v>
      </c>
      <c r="C92">
        <v>17</v>
      </c>
    </row>
    <row r="93" spans="1:3" x14ac:dyDescent="0.25">
      <c r="A93" t="s">
        <v>98</v>
      </c>
      <c r="B93" s="9">
        <v>41570</v>
      </c>
      <c r="C93">
        <v>5</v>
      </c>
    </row>
    <row r="94" spans="1:3" x14ac:dyDescent="0.25">
      <c r="A94" t="s">
        <v>95</v>
      </c>
      <c r="B94" s="9">
        <v>41392</v>
      </c>
      <c r="C94">
        <v>18</v>
      </c>
    </row>
    <row r="95" spans="1:3" x14ac:dyDescent="0.25">
      <c r="A95" t="s">
        <v>99</v>
      </c>
      <c r="B95" s="9">
        <v>41495</v>
      </c>
      <c r="C95">
        <v>10</v>
      </c>
    </row>
    <row r="96" spans="1:3" x14ac:dyDescent="0.25">
      <c r="A96" t="s">
        <v>94</v>
      </c>
      <c r="B96" s="9">
        <v>41510</v>
      </c>
      <c r="C96">
        <v>13</v>
      </c>
    </row>
    <row r="97" spans="1:3" x14ac:dyDescent="0.25">
      <c r="A97" t="s">
        <v>98</v>
      </c>
      <c r="B97" s="9">
        <v>41397</v>
      </c>
      <c r="C97">
        <v>3</v>
      </c>
    </row>
    <row r="98" spans="1:3" x14ac:dyDescent="0.25">
      <c r="A98" t="s">
        <v>99</v>
      </c>
      <c r="B98" s="9">
        <v>41284</v>
      </c>
      <c r="C98">
        <v>8</v>
      </c>
    </row>
    <row r="99" spans="1:3" x14ac:dyDescent="0.25">
      <c r="A99" t="s">
        <v>99</v>
      </c>
      <c r="B99" s="9">
        <v>41538</v>
      </c>
      <c r="C99">
        <v>9</v>
      </c>
    </row>
    <row r="100" spans="1:3" x14ac:dyDescent="0.25">
      <c r="A100" t="s">
        <v>96</v>
      </c>
      <c r="B100" s="9">
        <v>41293</v>
      </c>
      <c r="C100">
        <v>10</v>
      </c>
    </row>
    <row r="101" spans="1:3" x14ac:dyDescent="0.25">
      <c r="A101" t="s">
        <v>100</v>
      </c>
      <c r="B101" s="9">
        <v>41440</v>
      </c>
      <c r="C101">
        <v>7</v>
      </c>
    </row>
    <row r="102" spans="1:3" x14ac:dyDescent="0.25">
      <c r="A102" t="s">
        <v>99</v>
      </c>
      <c r="B102" s="9">
        <v>41609</v>
      </c>
      <c r="C102">
        <v>19</v>
      </c>
    </row>
    <row r="103" spans="1:3" x14ac:dyDescent="0.25">
      <c r="A103" t="s">
        <v>97</v>
      </c>
      <c r="B103" s="9">
        <v>41474</v>
      </c>
      <c r="C103">
        <v>11</v>
      </c>
    </row>
    <row r="104" spans="1:3" x14ac:dyDescent="0.25">
      <c r="A104" t="s">
        <v>99</v>
      </c>
      <c r="B104" s="9">
        <v>41445</v>
      </c>
      <c r="C104">
        <v>8</v>
      </c>
    </row>
    <row r="105" spans="1:3" x14ac:dyDescent="0.25">
      <c r="A105" t="s">
        <v>97</v>
      </c>
      <c r="B105" s="9">
        <v>41622</v>
      </c>
      <c r="C105">
        <v>16</v>
      </c>
    </row>
    <row r="106" spans="1:3" x14ac:dyDescent="0.25">
      <c r="A106" t="s">
        <v>98</v>
      </c>
      <c r="B106" s="9">
        <v>41533</v>
      </c>
      <c r="C106">
        <v>9</v>
      </c>
    </row>
    <row r="107" spans="1:3" x14ac:dyDescent="0.25">
      <c r="A107" t="s">
        <v>100</v>
      </c>
      <c r="B107" s="9">
        <v>41470</v>
      </c>
      <c r="C107">
        <v>4</v>
      </c>
    </row>
    <row r="108" spans="1:3" x14ac:dyDescent="0.25">
      <c r="A108" t="s">
        <v>94</v>
      </c>
      <c r="B108" s="9">
        <v>41578</v>
      </c>
      <c r="C108">
        <v>16</v>
      </c>
    </row>
    <row r="109" spans="1:3" x14ac:dyDescent="0.25">
      <c r="A109" t="s">
        <v>98</v>
      </c>
      <c r="B109" s="9">
        <v>41508</v>
      </c>
      <c r="C109">
        <v>7</v>
      </c>
    </row>
    <row r="110" spans="1:3" x14ac:dyDescent="0.25">
      <c r="A110" t="s">
        <v>100</v>
      </c>
      <c r="B110" s="9">
        <v>41469</v>
      </c>
      <c r="C110">
        <v>17</v>
      </c>
    </row>
    <row r="111" spans="1:3" x14ac:dyDescent="0.25">
      <c r="A111" t="s">
        <v>94</v>
      </c>
      <c r="B111" s="9">
        <v>41534</v>
      </c>
      <c r="C111">
        <v>11</v>
      </c>
    </row>
    <row r="112" spans="1:3" x14ac:dyDescent="0.25">
      <c r="A112" t="s">
        <v>95</v>
      </c>
      <c r="B112" s="9">
        <v>41362</v>
      </c>
      <c r="C112">
        <v>11</v>
      </c>
    </row>
    <row r="113" spans="1:3" x14ac:dyDescent="0.25">
      <c r="A113" t="s">
        <v>100</v>
      </c>
      <c r="B113" s="9">
        <v>41542</v>
      </c>
      <c r="C113">
        <v>4</v>
      </c>
    </row>
    <row r="114" spans="1:3" x14ac:dyDescent="0.25">
      <c r="A114" t="s">
        <v>100</v>
      </c>
      <c r="B114" s="9">
        <v>41391</v>
      </c>
      <c r="C114">
        <v>14</v>
      </c>
    </row>
    <row r="115" spans="1:3" x14ac:dyDescent="0.25">
      <c r="A115" t="s">
        <v>100</v>
      </c>
      <c r="B115" s="9">
        <v>41449</v>
      </c>
      <c r="C115">
        <v>19</v>
      </c>
    </row>
    <row r="116" spans="1:3" x14ac:dyDescent="0.25">
      <c r="A116" t="s">
        <v>99</v>
      </c>
      <c r="B116" s="9">
        <v>41619</v>
      </c>
      <c r="C116">
        <v>14</v>
      </c>
    </row>
    <row r="117" spans="1:3" x14ac:dyDescent="0.25">
      <c r="A117" t="s">
        <v>95</v>
      </c>
      <c r="B117" s="9">
        <v>41354</v>
      </c>
      <c r="C117">
        <v>15</v>
      </c>
    </row>
    <row r="118" spans="1:3" x14ac:dyDescent="0.25">
      <c r="A118" t="s">
        <v>97</v>
      </c>
      <c r="B118" s="9">
        <v>41323</v>
      </c>
      <c r="C118">
        <v>19</v>
      </c>
    </row>
    <row r="119" spans="1:3" x14ac:dyDescent="0.25">
      <c r="A119" t="s">
        <v>99</v>
      </c>
      <c r="B119" s="9">
        <v>41524</v>
      </c>
      <c r="C119">
        <v>20</v>
      </c>
    </row>
    <row r="120" spans="1:3" x14ac:dyDescent="0.25">
      <c r="A120" t="s">
        <v>97</v>
      </c>
      <c r="B120" s="9">
        <v>41500</v>
      </c>
      <c r="C120">
        <v>9</v>
      </c>
    </row>
    <row r="121" spans="1:3" x14ac:dyDescent="0.25">
      <c r="A121" t="s">
        <v>96</v>
      </c>
      <c r="B121" s="9">
        <v>41556</v>
      </c>
      <c r="C121">
        <v>8</v>
      </c>
    </row>
    <row r="122" spans="1:3" x14ac:dyDescent="0.25">
      <c r="A122" t="s">
        <v>97</v>
      </c>
      <c r="B122" s="9">
        <v>41525</v>
      </c>
      <c r="C122">
        <v>6</v>
      </c>
    </row>
    <row r="123" spans="1:3" x14ac:dyDescent="0.25">
      <c r="A123" t="s">
        <v>96</v>
      </c>
      <c r="B123" s="9">
        <v>41468</v>
      </c>
      <c r="C123">
        <v>10</v>
      </c>
    </row>
    <row r="124" spans="1:3" x14ac:dyDescent="0.25">
      <c r="A124" t="s">
        <v>95</v>
      </c>
      <c r="B124" s="9">
        <v>41429</v>
      </c>
      <c r="C124">
        <v>19</v>
      </c>
    </row>
    <row r="125" spans="1:3" x14ac:dyDescent="0.25">
      <c r="A125" t="s">
        <v>96</v>
      </c>
      <c r="B125" s="9">
        <v>41609</v>
      </c>
      <c r="C125">
        <v>11</v>
      </c>
    </row>
    <row r="126" spans="1:3" x14ac:dyDescent="0.25">
      <c r="A126" t="s">
        <v>99</v>
      </c>
      <c r="B126" s="9">
        <v>41409</v>
      </c>
      <c r="C126">
        <v>6</v>
      </c>
    </row>
    <row r="127" spans="1:3" x14ac:dyDescent="0.25">
      <c r="A127" t="s">
        <v>97</v>
      </c>
      <c r="B127" s="9">
        <v>41290</v>
      </c>
      <c r="C127">
        <v>4</v>
      </c>
    </row>
    <row r="128" spans="1:3" x14ac:dyDescent="0.25">
      <c r="A128" t="s">
        <v>96</v>
      </c>
      <c r="B128" s="9">
        <v>41542</v>
      </c>
      <c r="C128">
        <v>3</v>
      </c>
    </row>
    <row r="129" spans="1:3" x14ac:dyDescent="0.25">
      <c r="A129" t="s">
        <v>98</v>
      </c>
      <c r="B129" s="9">
        <v>41278</v>
      </c>
      <c r="C129">
        <v>4</v>
      </c>
    </row>
    <row r="130" spans="1:3" x14ac:dyDescent="0.25">
      <c r="A130" t="s">
        <v>94</v>
      </c>
      <c r="B130" s="9">
        <v>41407</v>
      </c>
      <c r="C130">
        <v>4</v>
      </c>
    </row>
    <row r="131" spans="1:3" x14ac:dyDescent="0.25">
      <c r="A131" t="s">
        <v>96</v>
      </c>
      <c r="B131" s="9">
        <v>41296</v>
      </c>
      <c r="C131">
        <v>4</v>
      </c>
    </row>
    <row r="132" spans="1:3" x14ac:dyDescent="0.25">
      <c r="A132" t="s">
        <v>98</v>
      </c>
      <c r="B132" s="9">
        <v>41468</v>
      </c>
      <c r="C132">
        <v>20</v>
      </c>
    </row>
    <row r="133" spans="1:3" x14ac:dyDescent="0.25">
      <c r="A133" t="s">
        <v>99</v>
      </c>
      <c r="B133" s="9">
        <v>41510</v>
      </c>
      <c r="C133">
        <v>11</v>
      </c>
    </row>
    <row r="134" spans="1:3" x14ac:dyDescent="0.25">
      <c r="A134" t="s">
        <v>99</v>
      </c>
      <c r="B134" s="9">
        <v>41345</v>
      </c>
      <c r="C134">
        <v>13</v>
      </c>
    </row>
    <row r="135" spans="1:3" x14ac:dyDescent="0.25">
      <c r="A135" t="s">
        <v>98</v>
      </c>
      <c r="B135" s="9">
        <v>41570</v>
      </c>
      <c r="C135">
        <v>16</v>
      </c>
    </row>
    <row r="136" spans="1:3" x14ac:dyDescent="0.25">
      <c r="A136" t="s">
        <v>94</v>
      </c>
      <c r="B136" s="9">
        <v>41424</v>
      </c>
      <c r="C136">
        <v>15</v>
      </c>
    </row>
    <row r="137" spans="1:3" x14ac:dyDescent="0.25">
      <c r="A137" t="s">
        <v>94</v>
      </c>
      <c r="B137" s="9">
        <v>41376</v>
      </c>
      <c r="C137">
        <v>4</v>
      </c>
    </row>
    <row r="138" spans="1:3" x14ac:dyDescent="0.25">
      <c r="A138" t="s">
        <v>99</v>
      </c>
      <c r="B138" s="9">
        <v>41332</v>
      </c>
      <c r="C138">
        <v>2</v>
      </c>
    </row>
    <row r="139" spans="1:3" x14ac:dyDescent="0.25">
      <c r="A139" t="s">
        <v>99</v>
      </c>
      <c r="B139" s="9">
        <v>41614</v>
      </c>
      <c r="C139">
        <v>5</v>
      </c>
    </row>
    <row r="140" spans="1:3" x14ac:dyDescent="0.25">
      <c r="A140" t="s">
        <v>94</v>
      </c>
      <c r="B140" s="9">
        <v>41552</v>
      </c>
      <c r="C140">
        <v>17</v>
      </c>
    </row>
    <row r="141" spans="1:3" x14ac:dyDescent="0.25">
      <c r="A141" t="s">
        <v>98</v>
      </c>
      <c r="B141" s="9">
        <v>41389</v>
      </c>
      <c r="C141">
        <v>14</v>
      </c>
    </row>
    <row r="142" spans="1:3" x14ac:dyDescent="0.25">
      <c r="A142" t="s">
        <v>94</v>
      </c>
      <c r="B142" s="9">
        <v>41425</v>
      </c>
      <c r="C142">
        <v>2</v>
      </c>
    </row>
    <row r="143" spans="1:3" x14ac:dyDescent="0.25">
      <c r="A143" t="s">
        <v>99</v>
      </c>
      <c r="B143" s="9">
        <v>41639</v>
      </c>
      <c r="C143">
        <v>20</v>
      </c>
    </row>
    <row r="144" spans="1:3" x14ac:dyDescent="0.25">
      <c r="A144" t="s">
        <v>97</v>
      </c>
      <c r="B144" s="9">
        <v>41396</v>
      </c>
      <c r="C144">
        <v>9</v>
      </c>
    </row>
    <row r="145" spans="1:3" x14ac:dyDescent="0.25">
      <c r="A145" t="s">
        <v>95</v>
      </c>
      <c r="B145" s="9">
        <v>41636</v>
      </c>
      <c r="C145">
        <v>15</v>
      </c>
    </row>
    <row r="146" spans="1:3" x14ac:dyDescent="0.25">
      <c r="A146" t="s">
        <v>97</v>
      </c>
      <c r="B146" s="9">
        <v>41481</v>
      </c>
      <c r="C146">
        <v>4</v>
      </c>
    </row>
    <row r="147" spans="1:3" x14ac:dyDescent="0.25">
      <c r="A147" t="s">
        <v>99</v>
      </c>
      <c r="B147" s="9">
        <v>41285</v>
      </c>
      <c r="C147">
        <v>19</v>
      </c>
    </row>
    <row r="148" spans="1:3" x14ac:dyDescent="0.25">
      <c r="A148" t="s">
        <v>95</v>
      </c>
      <c r="B148" s="9">
        <v>41568</v>
      </c>
      <c r="C148">
        <v>20</v>
      </c>
    </row>
    <row r="149" spans="1:3" x14ac:dyDescent="0.25">
      <c r="A149" t="s">
        <v>96</v>
      </c>
      <c r="B149" s="9">
        <v>41484</v>
      </c>
      <c r="C149">
        <v>17</v>
      </c>
    </row>
    <row r="150" spans="1:3" x14ac:dyDescent="0.25">
      <c r="A150" t="s">
        <v>94</v>
      </c>
      <c r="B150" s="9">
        <v>41298</v>
      </c>
      <c r="C150">
        <v>1</v>
      </c>
    </row>
    <row r="151" spans="1:3" x14ac:dyDescent="0.25">
      <c r="A151" t="s">
        <v>94</v>
      </c>
      <c r="B151" s="9">
        <v>41462</v>
      </c>
      <c r="C151">
        <v>16</v>
      </c>
    </row>
    <row r="152" spans="1:3" x14ac:dyDescent="0.25">
      <c r="A152" t="s">
        <v>94</v>
      </c>
      <c r="B152" s="9">
        <v>41518</v>
      </c>
      <c r="C152">
        <v>19</v>
      </c>
    </row>
    <row r="153" spans="1:3" x14ac:dyDescent="0.25">
      <c r="A153" t="s">
        <v>99</v>
      </c>
      <c r="B153" s="9">
        <v>41579</v>
      </c>
      <c r="C153">
        <v>15</v>
      </c>
    </row>
    <row r="154" spans="1:3" x14ac:dyDescent="0.25">
      <c r="A154" t="s">
        <v>97</v>
      </c>
      <c r="B154" s="9">
        <v>41478</v>
      </c>
      <c r="C154">
        <v>5</v>
      </c>
    </row>
    <row r="155" spans="1:3" x14ac:dyDescent="0.25">
      <c r="A155" t="s">
        <v>96</v>
      </c>
      <c r="B155" s="9">
        <v>41516</v>
      </c>
      <c r="C155">
        <v>18</v>
      </c>
    </row>
    <row r="156" spans="1:3" x14ac:dyDescent="0.25">
      <c r="A156" t="s">
        <v>99</v>
      </c>
      <c r="B156" s="9">
        <v>41430</v>
      </c>
      <c r="C156">
        <v>20</v>
      </c>
    </row>
    <row r="157" spans="1:3" x14ac:dyDescent="0.25">
      <c r="A157" t="s">
        <v>97</v>
      </c>
      <c r="B157" s="9">
        <v>41285</v>
      </c>
      <c r="C157">
        <v>8</v>
      </c>
    </row>
    <row r="158" spans="1:3" x14ac:dyDescent="0.25">
      <c r="A158" t="s">
        <v>98</v>
      </c>
      <c r="B158" s="9">
        <v>41281</v>
      </c>
      <c r="C158">
        <v>5</v>
      </c>
    </row>
    <row r="159" spans="1:3" x14ac:dyDescent="0.25">
      <c r="A159" t="s">
        <v>96</v>
      </c>
      <c r="B159" s="9">
        <v>41367</v>
      </c>
      <c r="C159">
        <v>3</v>
      </c>
    </row>
    <row r="160" spans="1:3" x14ac:dyDescent="0.25">
      <c r="A160" t="s">
        <v>99</v>
      </c>
      <c r="B160" s="9">
        <v>41354</v>
      </c>
      <c r="C160">
        <v>14</v>
      </c>
    </row>
    <row r="161" spans="1:3" x14ac:dyDescent="0.25">
      <c r="A161" t="s">
        <v>94</v>
      </c>
      <c r="B161" s="9">
        <v>41308</v>
      </c>
      <c r="C161">
        <v>18</v>
      </c>
    </row>
    <row r="162" spans="1:3" x14ac:dyDescent="0.25">
      <c r="A162" t="s">
        <v>96</v>
      </c>
      <c r="B162" s="9">
        <v>41377</v>
      </c>
      <c r="C162">
        <v>8</v>
      </c>
    </row>
    <row r="163" spans="1:3" x14ac:dyDescent="0.25">
      <c r="A163" t="s">
        <v>95</v>
      </c>
      <c r="B163" s="9">
        <v>41350</v>
      </c>
      <c r="C163">
        <v>8</v>
      </c>
    </row>
    <row r="164" spans="1:3" x14ac:dyDescent="0.25">
      <c r="A164" t="s">
        <v>96</v>
      </c>
      <c r="B164" s="9">
        <v>41414</v>
      </c>
      <c r="C164">
        <v>10</v>
      </c>
    </row>
    <row r="165" spans="1:3" x14ac:dyDescent="0.25">
      <c r="A165" t="s">
        <v>96</v>
      </c>
      <c r="B165" s="9">
        <v>41383</v>
      </c>
      <c r="C165">
        <v>13</v>
      </c>
    </row>
    <row r="166" spans="1:3" x14ac:dyDescent="0.25">
      <c r="A166" t="s">
        <v>98</v>
      </c>
      <c r="B166" s="9">
        <v>41500</v>
      </c>
      <c r="C166">
        <v>20</v>
      </c>
    </row>
    <row r="167" spans="1:3" x14ac:dyDescent="0.25">
      <c r="A167" t="s">
        <v>98</v>
      </c>
      <c r="B167" s="9">
        <v>41327</v>
      </c>
      <c r="C167">
        <v>2</v>
      </c>
    </row>
    <row r="168" spans="1:3" x14ac:dyDescent="0.25">
      <c r="A168" t="s">
        <v>99</v>
      </c>
      <c r="B168" s="9">
        <v>41554</v>
      </c>
      <c r="C168">
        <v>7</v>
      </c>
    </row>
    <row r="169" spans="1:3" x14ac:dyDescent="0.25">
      <c r="A169" t="s">
        <v>100</v>
      </c>
      <c r="B169" s="9">
        <v>41598</v>
      </c>
      <c r="C169">
        <v>7</v>
      </c>
    </row>
    <row r="170" spans="1:3" x14ac:dyDescent="0.25">
      <c r="A170" t="s">
        <v>96</v>
      </c>
      <c r="B170" s="9">
        <v>41631</v>
      </c>
      <c r="C170">
        <v>19</v>
      </c>
    </row>
    <row r="171" spans="1:3" x14ac:dyDescent="0.25">
      <c r="A171" t="s">
        <v>96</v>
      </c>
      <c r="B171" s="9">
        <v>41556</v>
      </c>
      <c r="C171">
        <v>20</v>
      </c>
    </row>
    <row r="172" spans="1:3" x14ac:dyDescent="0.25">
      <c r="A172" t="s">
        <v>95</v>
      </c>
      <c r="B172" s="9">
        <v>41505</v>
      </c>
      <c r="C172">
        <v>1</v>
      </c>
    </row>
    <row r="173" spans="1:3" x14ac:dyDescent="0.25">
      <c r="A173" t="s">
        <v>98</v>
      </c>
      <c r="B173" s="9">
        <v>41397</v>
      </c>
      <c r="C173">
        <v>8</v>
      </c>
    </row>
    <row r="174" spans="1:3" x14ac:dyDescent="0.25">
      <c r="A174" t="s">
        <v>94</v>
      </c>
      <c r="B174" s="9">
        <v>41553</v>
      </c>
      <c r="C174">
        <v>14</v>
      </c>
    </row>
    <row r="175" spans="1:3" x14ac:dyDescent="0.25">
      <c r="A175" t="s">
        <v>94</v>
      </c>
      <c r="B175" s="9">
        <v>41454</v>
      </c>
      <c r="C175">
        <v>20</v>
      </c>
    </row>
    <row r="176" spans="1:3" x14ac:dyDescent="0.25">
      <c r="A176" t="s">
        <v>94</v>
      </c>
      <c r="B176" s="9">
        <v>41275</v>
      </c>
      <c r="C176">
        <v>5</v>
      </c>
    </row>
    <row r="177" spans="1:3" x14ac:dyDescent="0.25">
      <c r="A177" t="s">
        <v>100</v>
      </c>
      <c r="B177" s="9">
        <v>41593</v>
      </c>
      <c r="C177">
        <v>20</v>
      </c>
    </row>
    <row r="178" spans="1:3" x14ac:dyDescent="0.25">
      <c r="A178" t="s">
        <v>94</v>
      </c>
      <c r="B178" s="9">
        <v>41639</v>
      </c>
      <c r="C178">
        <v>8</v>
      </c>
    </row>
    <row r="179" spans="1:3" x14ac:dyDescent="0.25">
      <c r="A179" t="s">
        <v>97</v>
      </c>
      <c r="B179" s="9">
        <v>41374</v>
      </c>
      <c r="C179">
        <v>9</v>
      </c>
    </row>
    <row r="180" spans="1:3" x14ac:dyDescent="0.25">
      <c r="A180" t="s">
        <v>97</v>
      </c>
      <c r="B180" s="9">
        <v>41521</v>
      </c>
      <c r="C180">
        <v>17</v>
      </c>
    </row>
    <row r="181" spans="1:3" x14ac:dyDescent="0.25">
      <c r="A181" t="s">
        <v>95</v>
      </c>
      <c r="B181" s="9">
        <v>41331</v>
      </c>
      <c r="C181">
        <v>7</v>
      </c>
    </row>
    <row r="182" spans="1:3" x14ac:dyDescent="0.25">
      <c r="A182" t="s">
        <v>94</v>
      </c>
      <c r="B182" s="9">
        <v>41285</v>
      </c>
      <c r="C182">
        <v>9</v>
      </c>
    </row>
    <row r="183" spans="1:3" x14ac:dyDescent="0.25">
      <c r="A183" t="s">
        <v>100</v>
      </c>
      <c r="B183" s="9">
        <v>41286</v>
      </c>
      <c r="C183">
        <v>3</v>
      </c>
    </row>
    <row r="184" spans="1:3" x14ac:dyDescent="0.25">
      <c r="A184" t="s">
        <v>98</v>
      </c>
      <c r="B184" s="9">
        <v>41463</v>
      </c>
      <c r="C184">
        <v>6</v>
      </c>
    </row>
    <row r="185" spans="1:3" x14ac:dyDescent="0.25">
      <c r="A185" t="s">
        <v>100</v>
      </c>
      <c r="B185" s="9">
        <v>41591</v>
      </c>
      <c r="C185">
        <v>15</v>
      </c>
    </row>
    <row r="186" spans="1:3" x14ac:dyDescent="0.25">
      <c r="A186" t="s">
        <v>97</v>
      </c>
      <c r="B186" s="9">
        <v>41534</v>
      </c>
      <c r="C186">
        <v>9</v>
      </c>
    </row>
    <row r="187" spans="1:3" x14ac:dyDescent="0.25">
      <c r="A187" t="s">
        <v>94</v>
      </c>
      <c r="B187" s="9">
        <v>41637</v>
      </c>
      <c r="C187">
        <v>8</v>
      </c>
    </row>
    <row r="188" spans="1:3" x14ac:dyDescent="0.25">
      <c r="A188" t="s">
        <v>97</v>
      </c>
      <c r="B188" s="9">
        <v>41610</v>
      </c>
      <c r="C188">
        <v>15</v>
      </c>
    </row>
    <row r="189" spans="1:3" x14ac:dyDescent="0.25">
      <c r="A189" t="s">
        <v>97</v>
      </c>
      <c r="B189" s="9">
        <v>41598</v>
      </c>
      <c r="C189">
        <v>11</v>
      </c>
    </row>
    <row r="190" spans="1:3" x14ac:dyDescent="0.25">
      <c r="A190" t="s">
        <v>96</v>
      </c>
      <c r="B190" s="9">
        <v>41321</v>
      </c>
      <c r="C190">
        <v>9</v>
      </c>
    </row>
    <row r="191" spans="1:3" x14ac:dyDescent="0.25">
      <c r="A191" t="s">
        <v>97</v>
      </c>
      <c r="B191" s="9">
        <v>41544</v>
      </c>
      <c r="C191">
        <v>11</v>
      </c>
    </row>
    <row r="192" spans="1:3" x14ac:dyDescent="0.25">
      <c r="A192" t="s">
        <v>99</v>
      </c>
      <c r="B192" s="9">
        <v>41401</v>
      </c>
      <c r="C192">
        <v>16</v>
      </c>
    </row>
    <row r="193" spans="1:3" x14ac:dyDescent="0.25">
      <c r="A193" t="s">
        <v>95</v>
      </c>
      <c r="B193" s="9">
        <v>41607</v>
      </c>
      <c r="C193">
        <v>19</v>
      </c>
    </row>
    <row r="194" spans="1:3" x14ac:dyDescent="0.25">
      <c r="A194" t="s">
        <v>100</v>
      </c>
      <c r="B194" s="9">
        <v>41280</v>
      </c>
      <c r="C194">
        <v>16</v>
      </c>
    </row>
    <row r="195" spans="1:3" x14ac:dyDescent="0.25">
      <c r="A195" t="s">
        <v>98</v>
      </c>
      <c r="B195" s="9">
        <v>41361</v>
      </c>
      <c r="C195">
        <v>13</v>
      </c>
    </row>
    <row r="196" spans="1:3" x14ac:dyDescent="0.25">
      <c r="A196" t="s">
        <v>100</v>
      </c>
      <c r="B196" s="9">
        <v>41554</v>
      </c>
      <c r="C196">
        <v>3</v>
      </c>
    </row>
    <row r="197" spans="1:3" x14ac:dyDescent="0.25">
      <c r="A197" t="s">
        <v>98</v>
      </c>
      <c r="B197" s="9">
        <v>41345</v>
      </c>
      <c r="C197">
        <v>5</v>
      </c>
    </row>
    <row r="198" spans="1:3" x14ac:dyDescent="0.25">
      <c r="A198" t="s">
        <v>99</v>
      </c>
      <c r="B198" s="9">
        <v>41476</v>
      </c>
      <c r="C198">
        <v>16</v>
      </c>
    </row>
    <row r="199" spans="1:3" x14ac:dyDescent="0.25">
      <c r="A199" t="s">
        <v>94</v>
      </c>
      <c r="B199" s="9">
        <v>41505</v>
      </c>
      <c r="C199">
        <v>1</v>
      </c>
    </row>
    <row r="200" spans="1:3" x14ac:dyDescent="0.25">
      <c r="A200" t="s">
        <v>95</v>
      </c>
      <c r="B200" s="9">
        <v>41418</v>
      </c>
      <c r="C200">
        <v>9</v>
      </c>
    </row>
    <row r="201" spans="1:3" x14ac:dyDescent="0.25">
      <c r="A201" t="s">
        <v>97</v>
      </c>
      <c r="B201" s="9">
        <v>41295</v>
      </c>
      <c r="C201">
        <v>12</v>
      </c>
    </row>
    <row r="202" spans="1:3" x14ac:dyDescent="0.25">
      <c r="A202" t="s">
        <v>95</v>
      </c>
      <c r="B202" s="9">
        <v>41585</v>
      </c>
      <c r="C202">
        <v>5</v>
      </c>
    </row>
    <row r="203" spans="1:3" x14ac:dyDescent="0.25">
      <c r="A203" t="s">
        <v>95</v>
      </c>
      <c r="B203" s="9">
        <v>41490</v>
      </c>
      <c r="C203">
        <v>4</v>
      </c>
    </row>
    <row r="204" spans="1:3" x14ac:dyDescent="0.25">
      <c r="A204" t="s">
        <v>100</v>
      </c>
      <c r="B204" s="9">
        <v>41359</v>
      </c>
      <c r="C204">
        <v>20</v>
      </c>
    </row>
    <row r="205" spans="1:3" x14ac:dyDescent="0.25">
      <c r="A205" t="s">
        <v>97</v>
      </c>
      <c r="B205" s="9">
        <v>41322</v>
      </c>
      <c r="C205">
        <v>4</v>
      </c>
    </row>
    <row r="206" spans="1:3" x14ac:dyDescent="0.25">
      <c r="A206" t="s">
        <v>94</v>
      </c>
      <c r="B206" s="9">
        <v>41638</v>
      </c>
      <c r="C206">
        <v>20</v>
      </c>
    </row>
    <row r="207" spans="1:3" x14ac:dyDescent="0.25">
      <c r="A207" t="s">
        <v>94</v>
      </c>
      <c r="B207" s="9">
        <v>41600</v>
      </c>
      <c r="C207">
        <v>8</v>
      </c>
    </row>
    <row r="208" spans="1:3" x14ac:dyDescent="0.25">
      <c r="A208" t="s">
        <v>98</v>
      </c>
      <c r="B208" s="9">
        <v>41344</v>
      </c>
      <c r="C208">
        <v>14</v>
      </c>
    </row>
    <row r="209" spans="1:3" x14ac:dyDescent="0.25">
      <c r="A209" t="s">
        <v>96</v>
      </c>
      <c r="B209" s="9">
        <v>41596</v>
      </c>
      <c r="C209">
        <v>2</v>
      </c>
    </row>
    <row r="210" spans="1:3" x14ac:dyDescent="0.25">
      <c r="A210" t="s">
        <v>97</v>
      </c>
      <c r="B210" s="9">
        <v>41555</v>
      </c>
      <c r="C210">
        <v>20</v>
      </c>
    </row>
    <row r="211" spans="1:3" x14ac:dyDescent="0.25">
      <c r="A211" t="s">
        <v>97</v>
      </c>
      <c r="B211" s="9">
        <v>41453</v>
      </c>
      <c r="C211">
        <v>18</v>
      </c>
    </row>
    <row r="212" spans="1:3" x14ac:dyDescent="0.25">
      <c r="A212" t="s">
        <v>94</v>
      </c>
      <c r="B212" s="9">
        <v>41423</v>
      </c>
      <c r="C212">
        <v>2</v>
      </c>
    </row>
    <row r="213" spans="1:3" x14ac:dyDescent="0.25">
      <c r="A213" t="s">
        <v>99</v>
      </c>
      <c r="B213" s="9">
        <v>41556</v>
      </c>
      <c r="C213">
        <v>7</v>
      </c>
    </row>
    <row r="214" spans="1:3" x14ac:dyDescent="0.25">
      <c r="A214" t="s">
        <v>97</v>
      </c>
      <c r="B214" s="9">
        <v>41476</v>
      </c>
      <c r="C214">
        <v>4</v>
      </c>
    </row>
    <row r="215" spans="1:3" x14ac:dyDescent="0.25">
      <c r="A215" t="s">
        <v>95</v>
      </c>
      <c r="B215" s="9">
        <v>41332</v>
      </c>
      <c r="C215">
        <v>12</v>
      </c>
    </row>
    <row r="216" spans="1:3" x14ac:dyDescent="0.25">
      <c r="A216" t="s">
        <v>95</v>
      </c>
      <c r="B216" s="9">
        <v>41554</v>
      </c>
      <c r="C216">
        <v>4</v>
      </c>
    </row>
    <row r="217" spans="1:3" x14ac:dyDescent="0.25">
      <c r="A217" t="s">
        <v>100</v>
      </c>
      <c r="B217" s="9">
        <v>41312</v>
      </c>
      <c r="C217">
        <v>19</v>
      </c>
    </row>
    <row r="218" spans="1:3" x14ac:dyDescent="0.25">
      <c r="A218" t="s">
        <v>96</v>
      </c>
      <c r="B218" s="9">
        <v>41312</v>
      </c>
      <c r="C218">
        <v>12</v>
      </c>
    </row>
    <row r="219" spans="1:3" x14ac:dyDescent="0.25">
      <c r="A219" t="s">
        <v>97</v>
      </c>
      <c r="B219" s="9">
        <v>41438</v>
      </c>
      <c r="C219">
        <v>20</v>
      </c>
    </row>
    <row r="220" spans="1:3" x14ac:dyDescent="0.25">
      <c r="A220" t="s">
        <v>97</v>
      </c>
      <c r="B220" s="9">
        <v>41533</v>
      </c>
      <c r="C220">
        <v>4</v>
      </c>
    </row>
    <row r="221" spans="1:3" x14ac:dyDescent="0.25">
      <c r="A221" t="s">
        <v>100</v>
      </c>
      <c r="B221" s="9">
        <v>41511</v>
      </c>
      <c r="C221">
        <v>16</v>
      </c>
    </row>
    <row r="222" spans="1:3" x14ac:dyDescent="0.25">
      <c r="A222" t="s">
        <v>99</v>
      </c>
      <c r="B222" s="9">
        <v>41286</v>
      </c>
      <c r="C222">
        <v>20</v>
      </c>
    </row>
    <row r="223" spans="1:3" x14ac:dyDescent="0.25">
      <c r="A223" t="s">
        <v>97</v>
      </c>
      <c r="B223" s="9">
        <v>41414</v>
      </c>
      <c r="C223">
        <v>5</v>
      </c>
    </row>
    <row r="224" spans="1:3" x14ac:dyDescent="0.25">
      <c r="A224" t="s">
        <v>95</v>
      </c>
      <c r="B224" s="9">
        <v>41542</v>
      </c>
      <c r="C224">
        <v>17</v>
      </c>
    </row>
    <row r="225" spans="1:3" x14ac:dyDescent="0.25">
      <c r="A225" t="s">
        <v>100</v>
      </c>
      <c r="B225" s="9">
        <v>41406</v>
      </c>
      <c r="C225">
        <v>6</v>
      </c>
    </row>
    <row r="226" spans="1:3" x14ac:dyDescent="0.25">
      <c r="A226" t="s">
        <v>94</v>
      </c>
      <c r="B226" s="9">
        <v>41443</v>
      </c>
      <c r="C226">
        <v>3</v>
      </c>
    </row>
    <row r="227" spans="1:3" x14ac:dyDescent="0.25">
      <c r="A227" t="s">
        <v>96</v>
      </c>
      <c r="B227" s="9">
        <v>41275</v>
      </c>
      <c r="C227">
        <v>14</v>
      </c>
    </row>
    <row r="228" spans="1:3" x14ac:dyDescent="0.25">
      <c r="A228" t="s">
        <v>94</v>
      </c>
      <c r="B228" s="9">
        <v>41582</v>
      </c>
      <c r="C228">
        <v>7</v>
      </c>
    </row>
    <row r="229" spans="1:3" x14ac:dyDescent="0.25">
      <c r="A229" t="s">
        <v>98</v>
      </c>
      <c r="B229" s="9">
        <v>41382</v>
      </c>
      <c r="C229">
        <v>17</v>
      </c>
    </row>
    <row r="230" spans="1:3" x14ac:dyDescent="0.25">
      <c r="A230" t="s">
        <v>97</v>
      </c>
      <c r="B230" s="9">
        <v>41376</v>
      </c>
      <c r="C230">
        <v>16</v>
      </c>
    </row>
    <row r="231" spans="1:3" x14ac:dyDescent="0.25">
      <c r="A231" t="s">
        <v>100</v>
      </c>
      <c r="B231" s="9">
        <v>41618</v>
      </c>
      <c r="C231">
        <v>9</v>
      </c>
    </row>
    <row r="232" spans="1:3" x14ac:dyDescent="0.25">
      <c r="A232" t="s">
        <v>95</v>
      </c>
      <c r="B232" s="9">
        <v>41571</v>
      </c>
      <c r="C232">
        <v>9</v>
      </c>
    </row>
    <row r="233" spans="1:3" x14ac:dyDescent="0.25">
      <c r="A233" t="s">
        <v>97</v>
      </c>
      <c r="B233" s="9">
        <v>41546</v>
      </c>
      <c r="C233">
        <v>12</v>
      </c>
    </row>
    <row r="234" spans="1:3" x14ac:dyDescent="0.25">
      <c r="A234" t="s">
        <v>95</v>
      </c>
      <c r="B234" s="9">
        <v>41421</v>
      </c>
      <c r="C234">
        <v>1</v>
      </c>
    </row>
    <row r="235" spans="1:3" x14ac:dyDescent="0.25">
      <c r="A235" t="s">
        <v>96</v>
      </c>
      <c r="B235" s="9">
        <v>41625</v>
      </c>
      <c r="C235">
        <v>10</v>
      </c>
    </row>
    <row r="236" spans="1:3" x14ac:dyDescent="0.25">
      <c r="A236" t="s">
        <v>94</v>
      </c>
      <c r="B236" s="9">
        <v>41311</v>
      </c>
      <c r="C236">
        <v>9</v>
      </c>
    </row>
    <row r="237" spans="1:3" x14ac:dyDescent="0.25">
      <c r="A237" t="s">
        <v>94</v>
      </c>
      <c r="B237" s="9">
        <v>41369</v>
      </c>
      <c r="C237">
        <v>8</v>
      </c>
    </row>
    <row r="238" spans="1:3" x14ac:dyDescent="0.25">
      <c r="A238" t="s">
        <v>94</v>
      </c>
      <c r="B238" s="9">
        <v>41342</v>
      </c>
      <c r="C238">
        <v>13</v>
      </c>
    </row>
    <row r="239" spans="1:3" x14ac:dyDescent="0.25">
      <c r="A239" t="s">
        <v>97</v>
      </c>
      <c r="B239" s="9">
        <v>41586</v>
      </c>
      <c r="C239">
        <v>3</v>
      </c>
    </row>
    <row r="240" spans="1:3" x14ac:dyDescent="0.25">
      <c r="A240" t="s">
        <v>94</v>
      </c>
      <c r="B240" s="9">
        <v>41562</v>
      </c>
      <c r="C240">
        <v>10</v>
      </c>
    </row>
    <row r="241" spans="1:3" x14ac:dyDescent="0.25">
      <c r="A241" t="s">
        <v>100</v>
      </c>
      <c r="B241" s="9">
        <v>41288</v>
      </c>
      <c r="C241">
        <v>19</v>
      </c>
    </row>
    <row r="242" spans="1:3" x14ac:dyDescent="0.25">
      <c r="A242" t="s">
        <v>96</v>
      </c>
      <c r="B242" s="9">
        <v>41634</v>
      </c>
      <c r="C242">
        <v>8</v>
      </c>
    </row>
    <row r="243" spans="1:3" x14ac:dyDescent="0.25">
      <c r="A243" t="s">
        <v>94</v>
      </c>
      <c r="B243" s="9">
        <v>41576</v>
      </c>
      <c r="C243">
        <v>3</v>
      </c>
    </row>
    <row r="244" spans="1:3" x14ac:dyDescent="0.25">
      <c r="A244" t="s">
        <v>95</v>
      </c>
      <c r="B244" s="9">
        <v>41400</v>
      </c>
      <c r="C244">
        <v>1</v>
      </c>
    </row>
    <row r="245" spans="1:3" x14ac:dyDescent="0.25">
      <c r="A245" t="s">
        <v>98</v>
      </c>
      <c r="B245" s="9">
        <v>41524</v>
      </c>
      <c r="C245">
        <v>10</v>
      </c>
    </row>
    <row r="246" spans="1:3" x14ac:dyDescent="0.25">
      <c r="A246" t="s">
        <v>99</v>
      </c>
      <c r="B246" s="9">
        <v>41430</v>
      </c>
      <c r="C246">
        <v>11</v>
      </c>
    </row>
    <row r="247" spans="1:3" x14ac:dyDescent="0.25">
      <c r="A247" t="s">
        <v>98</v>
      </c>
      <c r="B247" s="9">
        <v>41428</v>
      </c>
      <c r="C247">
        <v>11</v>
      </c>
    </row>
    <row r="248" spans="1:3" x14ac:dyDescent="0.25">
      <c r="A248" t="s">
        <v>95</v>
      </c>
      <c r="B248" s="9">
        <v>41519</v>
      </c>
      <c r="C248">
        <v>6</v>
      </c>
    </row>
    <row r="249" spans="1:3" x14ac:dyDescent="0.25">
      <c r="A249" t="s">
        <v>100</v>
      </c>
      <c r="B249" s="9">
        <v>41503</v>
      </c>
      <c r="C249">
        <v>9</v>
      </c>
    </row>
    <row r="250" spans="1:3" x14ac:dyDescent="0.25">
      <c r="A250" t="s">
        <v>96</v>
      </c>
      <c r="B250" s="9">
        <v>41356</v>
      </c>
      <c r="C250">
        <v>16</v>
      </c>
    </row>
    <row r="251" spans="1:3" x14ac:dyDescent="0.25">
      <c r="A251" t="s">
        <v>96</v>
      </c>
      <c r="B251" s="9">
        <v>41551</v>
      </c>
      <c r="C251">
        <v>19</v>
      </c>
    </row>
    <row r="252" spans="1:3" x14ac:dyDescent="0.25">
      <c r="A252" t="s">
        <v>98</v>
      </c>
      <c r="B252" s="9">
        <v>41581</v>
      </c>
      <c r="C252">
        <v>5</v>
      </c>
    </row>
    <row r="253" spans="1:3" x14ac:dyDescent="0.25">
      <c r="A253" t="s">
        <v>95</v>
      </c>
      <c r="B253" s="9">
        <v>41466</v>
      </c>
      <c r="C253">
        <v>20</v>
      </c>
    </row>
    <row r="254" spans="1:3" x14ac:dyDescent="0.25">
      <c r="A254" t="s">
        <v>96</v>
      </c>
      <c r="B254" s="9">
        <v>41421</v>
      </c>
      <c r="C254">
        <v>19</v>
      </c>
    </row>
    <row r="255" spans="1:3" x14ac:dyDescent="0.25">
      <c r="A255" t="s">
        <v>99</v>
      </c>
      <c r="B255" s="9">
        <v>41540</v>
      </c>
      <c r="C255">
        <v>11</v>
      </c>
    </row>
    <row r="256" spans="1:3" x14ac:dyDescent="0.25">
      <c r="A256" t="s">
        <v>98</v>
      </c>
      <c r="B256" s="9">
        <v>41393</v>
      </c>
      <c r="C256">
        <v>4</v>
      </c>
    </row>
    <row r="257" spans="1:3" x14ac:dyDescent="0.25">
      <c r="A257" t="s">
        <v>99</v>
      </c>
      <c r="B257" s="9">
        <v>41439</v>
      </c>
      <c r="C257">
        <v>7</v>
      </c>
    </row>
    <row r="258" spans="1:3" x14ac:dyDescent="0.25">
      <c r="A258" t="s">
        <v>98</v>
      </c>
      <c r="B258" s="9">
        <v>41482</v>
      </c>
      <c r="C258">
        <v>18</v>
      </c>
    </row>
    <row r="259" spans="1:3" x14ac:dyDescent="0.25">
      <c r="A259" t="s">
        <v>94</v>
      </c>
      <c r="B259" s="9">
        <v>41494</v>
      </c>
      <c r="C259">
        <v>17</v>
      </c>
    </row>
    <row r="260" spans="1:3" x14ac:dyDescent="0.25">
      <c r="A260" t="s">
        <v>100</v>
      </c>
      <c r="B260" s="9">
        <v>41390</v>
      </c>
      <c r="C260">
        <v>16</v>
      </c>
    </row>
    <row r="261" spans="1:3" x14ac:dyDescent="0.25">
      <c r="A261" t="s">
        <v>100</v>
      </c>
      <c r="B261" s="9">
        <v>41438</v>
      </c>
      <c r="C261">
        <v>4</v>
      </c>
    </row>
    <row r="262" spans="1:3" x14ac:dyDescent="0.25">
      <c r="A262" t="s">
        <v>100</v>
      </c>
      <c r="B262" s="9">
        <v>41366</v>
      </c>
      <c r="C262">
        <v>11</v>
      </c>
    </row>
    <row r="263" spans="1:3" x14ac:dyDescent="0.25">
      <c r="A263" t="s">
        <v>94</v>
      </c>
      <c r="B263" s="9">
        <v>41431</v>
      </c>
      <c r="C263">
        <v>10</v>
      </c>
    </row>
    <row r="264" spans="1:3" x14ac:dyDescent="0.25">
      <c r="A264" t="s">
        <v>98</v>
      </c>
      <c r="B264" s="9">
        <v>41347</v>
      </c>
      <c r="C264">
        <v>1</v>
      </c>
    </row>
    <row r="265" spans="1:3" x14ac:dyDescent="0.25">
      <c r="A265" t="s">
        <v>99</v>
      </c>
      <c r="B265" s="9">
        <v>41473</v>
      </c>
      <c r="C265">
        <v>2</v>
      </c>
    </row>
    <row r="266" spans="1:3" x14ac:dyDescent="0.25">
      <c r="A266" t="s">
        <v>96</v>
      </c>
      <c r="B266" s="9">
        <v>41627</v>
      </c>
      <c r="C266">
        <v>10</v>
      </c>
    </row>
    <row r="267" spans="1:3" x14ac:dyDescent="0.25">
      <c r="A267" t="s">
        <v>95</v>
      </c>
      <c r="B267" s="9">
        <v>41397</v>
      </c>
      <c r="C267">
        <v>11</v>
      </c>
    </row>
    <row r="268" spans="1:3" x14ac:dyDescent="0.25">
      <c r="A268" t="s">
        <v>98</v>
      </c>
      <c r="B268" s="9">
        <v>41538</v>
      </c>
      <c r="C268">
        <v>10</v>
      </c>
    </row>
    <row r="269" spans="1:3" x14ac:dyDescent="0.25">
      <c r="A269" t="s">
        <v>94</v>
      </c>
      <c r="B269" s="9">
        <v>41438</v>
      </c>
      <c r="C269">
        <v>14</v>
      </c>
    </row>
    <row r="270" spans="1:3" x14ac:dyDescent="0.25">
      <c r="A270" t="s">
        <v>98</v>
      </c>
      <c r="B270" s="9">
        <v>41431</v>
      </c>
      <c r="C270">
        <v>14</v>
      </c>
    </row>
    <row r="271" spans="1:3" x14ac:dyDescent="0.25">
      <c r="A271" t="s">
        <v>94</v>
      </c>
      <c r="B271" s="9">
        <v>41444</v>
      </c>
      <c r="C271">
        <v>12</v>
      </c>
    </row>
    <row r="272" spans="1:3" x14ac:dyDescent="0.25">
      <c r="A272" t="s">
        <v>100</v>
      </c>
      <c r="B272" s="9">
        <v>41353</v>
      </c>
      <c r="C272">
        <v>19</v>
      </c>
    </row>
    <row r="273" spans="1:3" x14ac:dyDescent="0.25">
      <c r="A273" t="s">
        <v>100</v>
      </c>
      <c r="B273" s="9">
        <v>41427</v>
      </c>
      <c r="C273">
        <v>14</v>
      </c>
    </row>
    <row r="274" spans="1:3" x14ac:dyDescent="0.25">
      <c r="A274" t="s">
        <v>97</v>
      </c>
      <c r="B274" s="9">
        <v>41545</v>
      </c>
      <c r="C274">
        <v>15</v>
      </c>
    </row>
    <row r="275" spans="1:3" x14ac:dyDescent="0.25">
      <c r="A275" t="s">
        <v>99</v>
      </c>
      <c r="B275" s="9">
        <v>41447</v>
      </c>
      <c r="C275">
        <v>12</v>
      </c>
    </row>
    <row r="276" spans="1:3" x14ac:dyDescent="0.25">
      <c r="A276" t="s">
        <v>100</v>
      </c>
      <c r="B276" s="9">
        <v>41529</v>
      </c>
      <c r="C276">
        <v>11</v>
      </c>
    </row>
    <row r="277" spans="1:3" x14ac:dyDescent="0.25">
      <c r="A277" t="s">
        <v>96</v>
      </c>
      <c r="B277" s="9">
        <v>41382</v>
      </c>
      <c r="C277">
        <v>10</v>
      </c>
    </row>
    <row r="278" spans="1:3" x14ac:dyDescent="0.25">
      <c r="A278" t="s">
        <v>95</v>
      </c>
      <c r="B278" s="9">
        <v>41607</v>
      </c>
      <c r="C278">
        <v>8</v>
      </c>
    </row>
    <row r="279" spans="1:3" x14ac:dyDescent="0.25">
      <c r="A279" t="s">
        <v>99</v>
      </c>
      <c r="B279" s="9">
        <v>41545</v>
      </c>
      <c r="C279">
        <v>17</v>
      </c>
    </row>
    <row r="280" spans="1:3" x14ac:dyDescent="0.25">
      <c r="A280" t="s">
        <v>94</v>
      </c>
      <c r="B280" s="9">
        <v>41481</v>
      </c>
      <c r="C280">
        <v>5</v>
      </c>
    </row>
    <row r="281" spans="1:3" x14ac:dyDescent="0.25">
      <c r="A281" t="s">
        <v>95</v>
      </c>
      <c r="B281" s="9">
        <v>41429</v>
      </c>
      <c r="C281">
        <v>2</v>
      </c>
    </row>
    <row r="282" spans="1:3" x14ac:dyDescent="0.25">
      <c r="A282" t="s">
        <v>100</v>
      </c>
      <c r="B282" s="9">
        <v>41438</v>
      </c>
      <c r="C282">
        <v>4</v>
      </c>
    </row>
    <row r="283" spans="1:3" x14ac:dyDescent="0.25">
      <c r="A283" t="s">
        <v>98</v>
      </c>
      <c r="B283" s="9">
        <v>41591</v>
      </c>
      <c r="C283">
        <v>8</v>
      </c>
    </row>
    <row r="284" spans="1:3" x14ac:dyDescent="0.25">
      <c r="A284" t="s">
        <v>96</v>
      </c>
      <c r="B284" s="9">
        <v>41544</v>
      </c>
      <c r="C284">
        <v>17</v>
      </c>
    </row>
    <row r="285" spans="1:3" x14ac:dyDescent="0.25">
      <c r="A285" t="s">
        <v>94</v>
      </c>
      <c r="B285" s="9">
        <v>41488</v>
      </c>
      <c r="C285">
        <v>8</v>
      </c>
    </row>
    <row r="286" spans="1:3" x14ac:dyDescent="0.25">
      <c r="A286" t="s">
        <v>94</v>
      </c>
      <c r="B286" s="9">
        <v>41461</v>
      </c>
      <c r="C286">
        <v>10</v>
      </c>
    </row>
    <row r="287" spans="1:3" x14ac:dyDescent="0.25">
      <c r="A287" t="s">
        <v>96</v>
      </c>
      <c r="B287" s="9">
        <v>41578</v>
      </c>
      <c r="C287">
        <v>20</v>
      </c>
    </row>
    <row r="288" spans="1:3" x14ac:dyDescent="0.25">
      <c r="A288" t="s">
        <v>94</v>
      </c>
      <c r="B288" s="9">
        <v>41439</v>
      </c>
      <c r="C288">
        <v>9</v>
      </c>
    </row>
    <row r="289" spans="1:3" x14ac:dyDescent="0.25">
      <c r="A289" t="s">
        <v>100</v>
      </c>
      <c r="B289" s="9">
        <v>41453</v>
      </c>
      <c r="C289">
        <v>20</v>
      </c>
    </row>
    <row r="290" spans="1:3" x14ac:dyDescent="0.25">
      <c r="A290" t="s">
        <v>95</v>
      </c>
      <c r="B290" s="9">
        <v>41413</v>
      </c>
      <c r="C290">
        <v>2</v>
      </c>
    </row>
    <row r="291" spans="1:3" x14ac:dyDescent="0.25">
      <c r="A291" t="s">
        <v>94</v>
      </c>
      <c r="B291" s="9">
        <v>41276</v>
      </c>
      <c r="C291">
        <v>14</v>
      </c>
    </row>
    <row r="292" spans="1:3" x14ac:dyDescent="0.25">
      <c r="A292" t="s">
        <v>99</v>
      </c>
      <c r="B292" s="9">
        <v>41534</v>
      </c>
      <c r="C292">
        <v>20</v>
      </c>
    </row>
    <row r="293" spans="1:3" x14ac:dyDescent="0.25">
      <c r="A293" t="s">
        <v>96</v>
      </c>
      <c r="B293" s="9">
        <v>41354</v>
      </c>
      <c r="C293">
        <v>11</v>
      </c>
    </row>
    <row r="294" spans="1:3" x14ac:dyDescent="0.25">
      <c r="A294" t="s">
        <v>98</v>
      </c>
      <c r="B294" s="9">
        <v>41537</v>
      </c>
      <c r="C294">
        <v>8</v>
      </c>
    </row>
    <row r="295" spans="1:3" x14ac:dyDescent="0.25">
      <c r="A295" t="s">
        <v>97</v>
      </c>
      <c r="B295" s="9">
        <v>41401</v>
      </c>
      <c r="C295">
        <v>20</v>
      </c>
    </row>
    <row r="296" spans="1:3" x14ac:dyDescent="0.25">
      <c r="A296" t="s">
        <v>100</v>
      </c>
      <c r="B296" s="9">
        <v>41587</v>
      </c>
      <c r="C296">
        <v>2</v>
      </c>
    </row>
    <row r="297" spans="1:3" x14ac:dyDescent="0.25">
      <c r="A297" t="s">
        <v>100</v>
      </c>
      <c r="B297" s="9">
        <v>41396</v>
      </c>
      <c r="C297">
        <v>19</v>
      </c>
    </row>
    <row r="298" spans="1:3" x14ac:dyDescent="0.25">
      <c r="A298" t="s">
        <v>96</v>
      </c>
      <c r="B298" s="9">
        <v>41472</v>
      </c>
      <c r="C298">
        <v>6</v>
      </c>
    </row>
    <row r="299" spans="1:3" x14ac:dyDescent="0.25">
      <c r="A299" t="s">
        <v>95</v>
      </c>
      <c r="B299" s="9">
        <v>41336</v>
      </c>
      <c r="C299">
        <v>7</v>
      </c>
    </row>
    <row r="300" spans="1:3" x14ac:dyDescent="0.25">
      <c r="A300" t="s">
        <v>100</v>
      </c>
      <c r="B300" s="9">
        <v>41307</v>
      </c>
      <c r="C300">
        <v>16</v>
      </c>
    </row>
    <row r="301" spans="1:3" x14ac:dyDescent="0.25">
      <c r="A301" t="s">
        <v>95</v>
      </c>
      <c r="B301" s="9">
        <v>41547</v>
      </c>
      <c r="C301">
        <v>8</v>
      </c>
    </row>
    <row r="302" spans="1:3" x14ac:dyDescent="0.25">
      <c r="A302" t="s">
        <v>100</v>
      </c>
      <c r="B302" s="9">
        <v>41278</v>
      </c>
      <c r="C302">
        <v>19</v>
      </c>
    </row>
    <row r="303" spans="1:3" x14ac:dyDescent="0.25">
      <c r="A303" t="s">
        <v>99</v>
      </c>
      <c r="B303" s="9">
        <v>41315</v>
      </c>
      <c r="C303">
        <v>1</v>
      </c>
    </row>
    <row r="304" spans="1:3" x14ac:dyDescent="0.25">
      <c r="A304" t="s">
        <v>99</v>
      </c>
      <c r="B304" s="9">
        <v>41455</v>
      </c>
      <c r="C304">
        <v>12</v>
      </c>
    </row>
    <row r="305" spans="1:3" x14ac:dyDescent="0.25">
      <c r="A305" t="s">
        <v>97</v>
      </c>
      <c r="B305" s="9">
        <v>41376</v>
      </c>
      <c r="C305">
        <v>6</v>
      </c>
    </row>
    <row r="306" spans="1:3" x14ac:dyDescent="0.25">
      <c r="A306" t="s">
        <v>98</v>
      </c>
      <c r="B306" s="9">
        <v>41336</v>
      </c>
      <c r="C306">
        <v>4</v>
      </c>
    </row>
    <row r="307" spans="1:3" x14ac:dyDescent="0.25">
      <c r="A307" t="s">
        <v>100</v>
      </c>
      <c r="B307" s="9">
        <v>41329</v>
      </c>
      <c r="C307">
        <v>4</v>
      </c>
    </row>
    <row r="308" spans="1:3" x14ac:dyDescent="0.25">
      <c r="A308" t="s">
        <v>96</v>
      </c>
      <c r="B308" s="9">
        <v>41455</v>
      </c>
      <c r="C308">
        <v>14</v>
      </c>
    </row>
    <row r="309" spans="1:3" x14ac:dyDescent="0.25">
      <c r="A309" t="s">
        <v>95</v>
      </c>
      <c r="B309" s="9">
        <v>41369</v>
      </c>
      <c r="C309">
        <v>2</v>
      </c>
    </row>
    <row r="310" spans="1:3" x14ac:dyDescent="0.25">
      <c r="A310" t="s">
        <v>95</v>
      </c>
      <c r="B310" s="9">
        <v>41479</v>
      </c>
      <c r="C310">
        <v>1</v>
      </c>
    </row>
    <row r="311" spans="1:3" x14ac:dyDescent="0.25">
      <c r="A311" t="s">
        <v>99</v>
      </c>
      <c r="B311" s="9">
        <v>41505</v>
      </c>
      <c r="C311">
        <v>11</v>
      </c>
    </row>
    <row r="312" spans="1:3" x14ac:dyDescent="0.25">
      <c r="A312" t="s">
        <v>97</v>
      </c>
      <c r="B312" s="9">
        <v>41628</v>
      </c>
      <c r="C312">
        <v>10</v>
      </c>
    </row>
    <row r="313" spans="1:3" x14ac:dyDescent="0.25">
      <c r="A313" t="s">
        <v>94</v>
      </c>
      <c r="B313" s="9">
        <v>41545</v>
      </c>
      <c r="C313">
        <v>9</v>
      </c>
    </row>
    <row r="314" spans="1:3" x14ac:dyDescent="0.25">
      <c r="A314" t="s">
        <v>98</v>
      </c>
      <c r="B314" s="9">
        <v>41637</v>
      </c>
      <c r="C314">
        <v>4</v>
      </c>
    </row>
    <row r="315" spans="1:3" x14ac:dyDescent="0.25">
      <c r="A315" t="s">
        <v>96</v>
      </c>
      <c r="B315" s="9">
        <v>41287</v>
      </c>
      <c r="C315">
        <v>3</v>
      </c>
    </row>
    <row r="316" spans="1:3" x14ac:dyDescent="0.25">
      <c r="A316" t="s">
        <v>94</v>
      </c>
      <c r="B316" s="9">
        <v>41546</v>
      </c>
      <c r="C316">
        <v>3</v>
      </c>
    </row>
    <row r="317" spans="1:3" x14ac:dyDescent="0.25">
      <c r="A317" t="s">
        <v>100</v>
      </c>
      <c r="B317" s="9">
        <v>41514</v>
      </c>
      <c r="C317">
        <v>10</v>
      </c>
    </row>
    <row r="318" spans="1:3" x14ac:dyDescent="0.25">
      <c r="A318" t="s">
        <v>97</v>
      </c>
      <c r="B318" s="9">
        <v>41376</v>
      </c>
      <c r="C318">
        <v>17</v>
      </c>
    </row>
    <row r="319" spans="1:3" x14ac:dyDescent="0.25">
      <c r="A319" t="s">
        <v>95</v>
      </c>
      <c r="B319" s="9">
        <v>41507</v>
      </c>
      <c r="C319">
        <v>10</v>
      </c>
    </row>
    <row r="320" spans="1:3" x14ac:dyDescent="0.25">
      <c r="A320" t="s">
        <v>99</v>
      </c>
      <c r="B320" s="9">
        <v>41355</v>
      </c>
      <c r="C320">
        <v>17</v>
      </c>
    </row>
    <row r="321" spans="1:3" x14ac:dyDescent="0.25">
      <c r="A321" t="s">
        <v>94</v>
      </c>
      <c r="B321" s="9">
        <v>41617</v>
      </c>
      <c r="C321">
        <v>10</v>
      </c>
    </row>
    <row r="322" spans="1:3" x14ac:dyDescent="0.25">
      <c r="A322" t="s">
        <v>99</v>
      </c>
      <c r="B322" s="9">
        <v>41526</v>
      </c>
      <c r="C322">
        <v>16</v>
      </c>
    </row>
    <row r="323" spans="1:3" x14ac:dyDescent="0.25">
      <c r="A323" t="s">
        <v>98</v>
      </c>
      <c r="B323" s="9">
        <v>41575</v>
      </c>
      <c r="C323">
        <v>3</v>
      </c>
    </row>
    <row r="324" spans="1:3" x14ac:dyDescent="0.25">
      <c r="A324" t="s">
        <v>98</v>
      </c>
      <c r="B324" s="9">
        <v>41336</v>
      </c>
      <c r="C324">
        <v>17</v>
      </c>
    </row>
    <row r="325" spans="1:3" x14ac:dyDescent="0.25">
      <c r="A325" t="s">
        <v>96</v>
      </c>
      <c r="B325" s="9">
        <v>41384</v>
      </c>
      <c r="C325">
        <v>12</v>
      </c>
    </row>
    <row r="326" spans="1:3" x14ac:dyDescent="0.25">
      <c r="A326" t="s">
        <v>100</v>
      </c>
      <c r="B326" s="9">
        <v>41596</v>
      </c>
      <c r="C326">
        <v>20</v>
      </c>
    </row>
    <row r="327" spans="1:3" x14ac:dyDescent="0.25">
      <c r="A327" t="s">
        <v>100</v>
      </c>
      <c r="B327" s="9">
        <v>41531</v>
      </c>
      <c r="C327">
        <v>16</v>
      </c>
    </row>
    <row r="328" spans="1:3" x14ac:dyDescent="0.25">
      <c r="A328" t="s">
        <v>97</v>
      </c>
      <c r="B328" s="9">
        <v>41426</v>
      </c>
      <c r="C328">
        <v>9</v>
      </c>
    </row>
    <row r="329" spans="1:3" x14ac:dyDescent="0.25">
      <c r="A329" t="s">
        <v>100</v>
      </c>
      <c r="B329" s="9">
        <v>41421</v>
      </c>
      <c r="C329">
        <v>6</v>
      </c>
    </row>
    <row r="330" spans="1:3" x14ac:dyDescent="0.25">
      <c r="A330" t="s">
        <v>100</v>
      </c>
      <c r="B330" s="9">
        <v>41481</v>
      </c>
      <c r="C330">
        <v>8</v>
      </c>
    </row>
    <row r="331" spans="1:3" x14ac:dyDescent="0.25">
      <c r="A331" t="s">
        <v>96</v>
      </c>
      <c r="B331" s="9">
        <v>41435</v>
      </c>
      <c r="C331">
        <v>11</v>
      </c>
    </row>
    <row r="332" spans="1:3" x14ac:dyDescent="0.25">
      <c r="A332" t="s">
        <v>100</v>
      </c>
      <c r="B332" s="9">
        <v>41455</v>
      </c>
      <c r="C332">
        <v>16</v>
      </c>
    </row>
    <row r="333" spans="1:3" x14ac:dyDescent="0.25">
      <c r="A333" t="s">
        <v>97</v>
      </c>
      <c r="B333" s="9">
        <v>41336</v>
      </c>
      <c r="C333">
        <v>20</v>
      </c>
    </row>
    <row r="334" spans="1:3" x14ac:dyDescent="0.25">
      <c r="A334" t="s">
        <v>95</v>
      </c>
      <c r="B334" s="9">
        <v>41436</v>
      </c>
      <c r="C334">
        <v>5</v>
      </c>
    </row>
    <row r="335" spans="1:3" x14ac:dyDescent="0.25">
      <c r="A335" t="s">
        <v>98</v>
      </c>
      <c r="B335" s="9">
        <v>41554</v>
      </c>
      <c r="C335">
        <v>6</v>
      </c>
    </row>
    <row r="336" spans="1:3" x14ac:dyDescent="0.25">
      <c r="A336" t="s">
        <v>98</v>
      </c>
      <c r="B336" s="9">
        <v>41508</v>
      </c>
      <c r="C336">
        <v>14</v>
      </c>
    </row>
    <row r="337" spans="1:3" x14ac:dyDescent="0.25">
      <c r="A337" t="s">
        <v>96</v>
      </c>
      <c r="B337" s="9">
        <v>41346</v>
      </c>
      <c r="C337">
        <v>8</v>
      </c>
    </row>
    <row r="338" spans="1:3" x14ac:dyDescent="0.25">
      <c r="A338" t="s">
        <v>97</v>
      </c>
      <c r="B338" s="9">
        <v>41468</v>
      </c>
      <c r="C338">
        <v>10</v>
      </c>
    </row>
    <row r="339" spans="1:3" x14ac:dyDescent="0.25">
      <c r="A339" t="s">
        <v>98</v>
      </c>
      <c r="B339" s="9">
        <v>41524</v>
      </c>
      <c r="C339">
        <v>7</v>
      </c>
    </row>
    <row r="340" spans="1:3" x14ac:dyDescent="0.25">
      <c r="A340" t="s">
        <v>99</v>
      </c>
      <c r="B340" s="9">
        <v>41463</v>
      </c>
      <c r="C340">
        <v>10</v>
      </c>
    </row>
    <row r="341" spans="1:3" x14ac:dyDescent="0.25">
      <c r="A341" t="s">
        <v>95</v>
      </c>
      <c r="B341" s="9">
        <v>41486</v>
      </c>
      <c r="C341">
        <v>7</v>
      </c>
    </row>
    <row r="342" spans="1:3" x14ac:dyDescent="0.25">
      <c r="A342" t="s">
        <v>94</v>
      </c>
      <c r="B342" s="9">
        <v>41601</v>
      </c>
      <c r="C342">
        <v>16</v>
      </c>
    </row>
    <row r="343" spans="1:3" x14ac:dyDescent="0.25">
      <c r="A343" t="s">
        <v>99</v>
      </c>
      <c r="B343" s="9">
        <v>41553</v>
      </c>
      <c r="C343">
        <v>20</v>
      </c>
    </row>
    <row r="344" spans="1:3" x14ac:dyDescent="0.25">
      <c r="A344" t="s">
        <v>100</v>
      </c>
      <c r="B344" s="9">
        <v>41280</v>
      </c>
      <c r="C344">
        <v>4</v>
      </c>
    </row>
    <row r="345" spans="1:3" x14ac:dyDescent="0.25">
      <c r="A345" t="s">
        <v>95</v>
      </c>
      <c r="B345" s="9">
        <v>41638</v>
      </c>
      <c r="C345">
        <v>12</v>
      </c>
    </row>
    <row r="346" spans="1:3" x14ac:dyDescent="0.25">
      <c r="A346" t="s">
        <v>96</v>
      </c>
      <c r="B346" s="9">
        <v>41387</v>
      </c>
      <c r="C346">
        <v>8</v>
      </c>
    </row>
    <row r="347" spans="1:3" x14ac:dyDescent="0.25">
      <c r="A347" t="s">
        <v>97</v>
      </c>
      <c r="B347" s="9">
        <v>41277</v>
      </c>
      <c r="C347">
        <v>7</v>
      </c>
    </row>
    <row r="348" spans="1:3" x14ac:dyDescent="0.25">
      <c r="A348" t="s">
        <v>98</v>
      </c>
      <c r="B348" s="9">
        <v>41600</v>
      </c>
      <c r="C348">
        <v>12</v>
      </c>
    </row>
    <row r="349" spans="1:3" x14ac:dyDescent="0.25">
      <c r="A349" t="s">
        <v>96</v>
      </c>
      <c r="B349" s="9">
        <v>41584</v>
      </c>
      <c r="C349">
        <v>8</v>
      </c>
    </row>
    <row r="350" spans="1:3" x14ac:dyDescent="0.25">
      <c r="A350" t="s">
        <v>97</v>
      </c>
      <c r="B350" s="9">
        <v>41515</v>
      </c>
      <c r="C350">
        <v>8</v>
      </c>
    </row>
    <row r="351" spans="1:3" x14ac:dyDescent="0.25">
      <c r="A351" t="s">
        <v>95</v>
      </c>
      <c r="B351" s="9">
        <v>41462</v>
      </c>
      <c r="C351">
        <v>2</v>
      </c>
    </row>
    <row r="352" spans="1:3" x14ac:dyDescent="0.25">
      <c r="A352" t="s">
        <v>99</v>
      </c>
      <c r="B352" s="9">
        <v>41534</v>
      </c>
      <c r="C352">
        <v>16</v>
      </c>
    </row>
    <row r="353" spans="1:3" x14ac:dyDescent="0.25">
      <c r="A353" t="s">
        <v>99</v>
      </c>
      <c r="B353" s="9">
        <v>41550</v>
      </c>
      <c r="C353">
        <v>9</v>
      </c>
    </row>
    <row r="354" spans="1:3" x14ac:dyDescent="0.25">
      <c r="A354" t="s">
        <v>95</v>
      </c>
      <c r="B354" s="9">
        <v>41387</v>
      </c>
      <c r="C354">
        <v>15</v>
      </c>
    </row>
    <row r="355" spans="1:3" x14ac:dyDescent="0.25">
      <c r="A355" t="s">
        <v>97</v>
      </c>
      <c r="B355" s="9">
        <v>41417</v>
      </c>
      <c r="C355">
        <v>1</v>
      </c>
    </row>
    <row r="356" spans="1:3" x14ac:dyDescent="0.25">
      <c r="A356" t="s">
        <v>94</v>
      </c>
      <c r="B356" s="9">
        <v>41441</v>
      </c>
      <c r="C356">
        <v>6</v>
      </c>
    </row>
    <row r="357" spans="1:3" x14ac:dyDescent="0.25">
      <c r="A357" t="s">
        <v>100</v>
      </c>
      <c r="B357" s="9">
        <v>41484</v>
      </c>
      <c r="C357">
        <v>11</v>
      </c>
    </row>
    <row r="358" spans="1:3" x14ac:dyDescent="0.25">
      <c r="A358" t="s">
        <v>98</v>
      </c>
      <c r="B358" s="9">
        <v>41476</v>
      </c>
      <c r="C358">
        <v>12</v>
      </c>
    </row>
    <row r="359" spans="1:3" x14ac:dyDescent="0.25">
      <c r="A359" t="s">
        <v>99</v>
      </c>
      <c r="B359" s="9">
        <v>41626</v>
      </c>
      <c r="C359">
        <v>10</v>
      </c>
    </row>
    <row r="360" spans="1:3" x14ac:dyDescent="0.25">
      <c r="A360" t="s">
        <v>100</v>
      </c>
      <c r="B360" s="9">
        <v>41601</v>
      </c>
      <c r="C360">
        <v>17</v>
      </c>
    </row>
    <row r="361" spans="1:3" x14ac:dyDescent="0.25">
      <c r="A361" t="s">
        <v>94</v>
      </c>
      <c r="B361" s="9">
        <v>41424</v>
      </c>
      <c r="C361">
        <v>13</v>
      </c>
    </row>
    <row r="362" spans="1:3" x14ac:dyDescent="0.25">
      <c r="A362" t="s">
        <v>99</v>
      </c>
      <c r="B362" s="9">
        <v>41458</v>
      </c>
      <c r="C362">
        <v>5</v>
      </c>
    </row>
    <row r="363" spans="1:3" x14ac:dyDescent="0.25">
      <c r="A363" t="s">
        <v>94</v>
      </c>
      <c r="B363" s="9">
        <v>41355</v>
      </c>
      <c r="C363">
        <v>17</v>
      </c>
    </row>
    <row r="364" spans="1:3" x14ac:dyDescent="0.25">
      <c r="A364" t="s">
        <v>97</v>
      </c>
      <c r="B364" s="9">
        <v>41329</v>
      </c>
      <c r="C364">
        <v>15</v>
      </c>
    </row>
    <row r="365" spans="1:3" x14ac:dyDescent="0.25">
      <c r="A365" t="s">
        <v>94</v>
      </c>
      <c r="B365" s="9">
        <v>41454</v>
      </c>
      <c r="C365">
        <v>14</v>
      </c>
    </row>
    <row r="366" spans="1:3" x14ac:dyDescent="0.25">
      <c r="A366" t="s">
        <v>100</v>
      </c>
      <c r="B366" s="9">
        <v>41513</v>
      </c>
      <c r="C366">
        <v>12</v>
      </c>
    </row>
    <row r="367" spans="1:3" x14ac:dyDescent="0.25">
      <c r="A367" t="s">
        <v>94</v>
      </c>
      <c r="B367" s="9">
        <v>41499</v>
      </c>
      <c r="C367">
        <v>13</v>
      </c>
    </row>
    <row r="368" spans="1:3" x14ac:dyDescent="0.25">
      <c r="A368" t="s">
        <v>94</v>
      </c>
      <c r="B368" s="9">
        <v>41600</v>
      </c>
      <c r="C368">
        <v>1</v>
      </c>
    </row>
    <row r="369" spans="1:3" x14ac:dyDescent="0.25">
      <c r="A369" t="s">
        <v>98</v>
      </c>
      <c r="B369" s="9">
        <v>41590</v>
      </c>
      <c r="C369">
        <v>18</v>
      </c>
    </row>
    <row r="370" spans="1:3" x14ac:dyDescent="0.25">
      <c r="A370" t="s">
        <v>95</v>
      </c>
      <c r="B370" s="9">
        <v>41282</v>
      </c>
      <c r="C370">
        <v>17</v>
      </c>
    </row>
    <row r="371" spans="1:3" x14ac:dyDescent="0.25">
      <c r="A371" t="s">
        <v>98</v>
      </c>
      <c r="B371" s="9">
        <v>41317</v>
      </c>
      <c r="C371">
        <v>12</v>
      </c>
    </row>
    <row r="372" spans="1:3" x14ac:dyDescent="0.25">
      <c r="A372" t="s">
        <v>100</v>
      </c>
      <c r="B372" s="9">
        <v>41356</v>
      </c>
      <c r="C372">
        <v>16</v>
      </c>
    </row>
    <row r="373" spans="1:3" x14ac:dyDescent="0.25">
      <c r="A373" t="s">
        <v>97</v>
      </c>
      <c r="B373" s="9">
        <v>41288</v>
      </c>
      <c r="C373">
        <v>8</v>
      </c>
    </row>
    <row r="374" spans="1:3" x14ac:dyDescent="0.25">
      <c r="A374" t="s">
        <v>98</v>
      </c>
      <c r="B374" s="9">
        <v>41386</v>
      </c>
      <c r="C374">
        <v>2</v>
      </c>
    </row>
    <row r="375" spans="1:3" x14ac:dyDescent="0.25">
      <c r="A375" t="s">
        <v>98</v>
      </c>
      <c r="B375" s="9">
        <v>41412</v>
      </c>
      <c r="C375">
        <v>6</v>
      </c>
    </row>
    <row r="376" spans="1:3" x14ac:dyDescent="0.25">
      <c r="A376" t="s">
        <v>100</v>
      </c>
      <c r="B376" s="9">
        <v>41307</v>
      </c>
      <c r="C376">
        <v>16</v>
      </c>
    </row>
    <row r="377" spans="1:3" x14ac:dyDescent="0.25">
      <c r="A377" t="s">
        <v>94</v>
      </c>
      <c r="B377" s="9">
        <v>41335</v>
      </c>
      <c r="C377">
        <v>6</v>
      </c>
    </row>
    <row r="378" spans="1:3" x14ac:dyDescent="0.25">
      <c r="A378" t="s">
        <v>96</v>
      </c>
      <c r="B378" s="9">
        <v>41598</v>
      </c>
      <c r="C378">
        <v>6</v>
      </c>
    </row>
    <row r="379" spans="1:3" x14ac:dyDescent="0.25">
      <c r="A379" t="s">
        <v>97</v>
      </c>
      <c r="B379" s="9">
        <v>41339</v>
      </c>
      <c r="C379">
        <v>17</v>
      </c>
    </row>
    <row r="380" spans="1:3" x14ac:dyDescent="0.25">
      <c r="A380" t="s">
        <v>95</v>
      </c>
      <c r="B380" s="9">
        <v>41334</v>
      </c>
      <c r="C380">
        <v>1</v>
      </c>
    </row>
    <row r="381" spans="1:3" x14ac:dyDescent="0.25">
      <c r="A381" t="s">
        <v>96</v>
      </c>
      <c r="B381" s="9">
        <v>41461</v>
      </c>
      <c r="C381">
        <v>16</v>
      </c>
    </row>
    <row r="382" spans="1:3" x14ac:dyDescent="0.25">
      <c r="A382" t="s">
        <v>98</v>
      </c>
      <c r="B382" s="9">
        <v>41596</v>
      </c>
      <c r="C382">
        <v>11</v>
      </c>
    </row>
    <row r="383" spans="1:3" x14ac:dyDescent="0.25">
      <c r="A383" t="s">
        <v>99</v>
      </c>
      <c r="B383" s="9">
        <v>41528</v>
      </c>
      <c r="C383">
        <v>18</v>
      </c>
    </row>
    <row r="384" spans="1:3" x14ac:dyDescent="0.25">
      <c r="A384" t="s">
        <v>100</v>
      </c>
      <c r="B384" s="9">
        <v>41414</v>
      </c>
      <c r="C384">
        <v>4</v>
      </c>
    </row>
    <row r="385" spans="1:3" x14ac:dyDescent="0.25">
      <c r="A385" t="s">
        <v>98</v>
      </c>
      <c r="B385" s="9">
        <v>41504</v>
      </c>
      <c r="C385">
        <v>13</v>
      </c>
    </row>
    <row r="386" spans="1:3" x14ac:dyDescent="0.25">
      <c r="A386" t="s">
        <v>94</v>
      </c>
      <c r="B386" s="9">
        <v>41605</v>
      </c>
      <c r="C386">
        <v>11</v>
      </c>
    </row>
    <row r="387" spans="1:3" x14ac:dyDescent="0.25">
      <c r="A387" t="s">
        <v>97</v>
      </c>
      <c r="B387" s="9">
        <v>41454</v>
      </c>
      <c r="C387">
        <v>10</v>
      </c>
    </row>
    <row r="388" spans="1:3" x14ac:dyDescent="0.25">
      <c r="A388" t="s">
        <v>95</v>
      </c>
      <c r="B388" s="9">
        <v>41290</v>
      </c>
      <c r="C388">
        <v>4</v>
      </c>
    </row>
    <row r="389" spans="1:3" x14ac:dyDescent="0.25">
      <c r="A389" t="s">
        <v>100</v>
      </c>
      <c r="B389" s="9">
        <v>41429</v>
      </c>
      <c r="C389">
        <v>2</v>
      </c>
    </row>
    <row r="390" spans="1:3" x14ac:dyDescent="0.25">
      <c r="A390" t="s">
        <v>100</v>
      </c>
      <c r="B390" s="9">
        <v>41614</v>
      </c>
      <c r="C390">
        <v>20</v>
      </c>
    </row>
    <row r="391" spans="1:3" x14ac:dyDescent="0.25">
      <c r="A391" t="s">
        <v>96</v>
      </c>
      <c r="B391" s="9">
        <v>41357</v>
      </c>
      <c r="C391">
        <v>4</v>
      </c>
    </row>
    <row r="392" spans="1:3" x14ac:dyDescent="0.25">
      <c r="A392" t="s">
        <v>98</v>
      </c>
      <c r="B392" s="9">
        <v>41375</v>
      </c>
      <c r="C392">
        <v>11</v>
      </c>
    </row>
    <row r="393" spans="1:3" x14ac:dyDescent="0.25">
      <c r="A393" t="s">
        <v>98</v>
      </c>
      <c r="B393" s="9">
        <v>41359</v>
      </c>
      <c r="C393">
        <v>14</v>
      </c>
    </row>
    <row r="394" spans="1:3" x14ac:dyDescent="0.25">
      <c r="A394" t="s">
        <v>98</v>
      </c>
      <c r="B394" s="9">
        <v>41576</v>
      </c>
      <c r="C394">
        <v>14</v>
      </c>
    </row>
    <row r="395" spans="1:3" x14ac:dyDescent="0.25">
      <c r="A395" t="s">
        <v>100</v>
      </c>
      <c r="B395" s="9">
        <v>41416</v>
      </c>
      <c r="C395">
        <v>6</v>
      </c>
    </row>
    <row r="396" spans="1:3" x14ac:dyDescent="0.25">
      <c r="A396" t="s">
        <v>99</v>
      </c>
      <c r="B396" s="9">
        <v>41354</v>
      </c>
      <c r="C396">
        <v>7</v>
      </c>
    </row>
    <row r="397" spans="1:3" x14ac:dyDescent="0.25">
      <c r="A397" t="s">
        <v>96</v>
      </c>
      <c r="B397" s="9">
        <v>41393</v>
      </c>
      <c r="C397">
        <v>4</v>
      </c>
    </row>
    <row r="398" spans="1:3" x14ac:dyDescent="0.25">
      <c r="A398" t="s">
        <v>100</v>
      </c>
      <c r="B398" s="9">
        <v>41583</v>
      </c>
      <c r="C398">
        <v>16</v>
      </c>
    </row>
    <row r="399" spans="1:3" x14ac:dyDescent="0.25">
      <c r="A399" t="s">
        <v>99</v>
      </c>
      <c r="B399" s="9">
        <v>41413</v>
      </c>
      <c r="C399">
        <v>18</v>
      </c>
    </row>
    <row r="400" spans="1:3" x14ac:dyDescent="0.25">
      <c r="A400" t="s">
        <v>96</v>
      </c>
      <c r="B400" s="9">
        <v>41382</v>
      </c>
      <c r="C400">
        <v>14</v>
      </c>
    </row>
    <row r="401" spans="1:3" x14ac:dyDescent="0.25">
      <c r="A401" t="s">
        <v>100</v>
      </c>
      <c r="B401" s="9">
        <v>41431</v>
      </c>
      <c r="C401">
        <v>16</v>
      </c>
    </row>
    <row r="402" spans="1:3" x14ac:dyDescent="0.25">
      <c r="A402" t="s">
        <v>98</v>
      </c>
      <c r="B402" s="9">
        <v>41306</v>
      </c>
      <c r="C402">
        <v>6</v>
      </c>
    </row>
    <row r="403" spans="1:3" x14ac:dyDescent="0.25">
      <c r="A403" t="s">
        <v>97</v>
      </c>
      <c r="B403" s="9">
        <v>41461</v>
      </c>
      <c r="C403">
        <v>2</v>
      </c>
    </row>
    <row r="404" spans="1:3" x14ac:dyDescent="0.25">
      <c r="A404" t="s">
        <v>100</v>
      </c>
      <c r="B404" s="9">
        <v>41455</v>
      </c>
      <c r="C404">
        <v>14</v>
      </c>
    </row>
    <row r="405" spans="1:3" x14ac:dyDescent="0.25">
      <c r="A405" t="s">
        <v>100</v>
      </c>
      <c r="B405" s="9">
        <v>41501</v>
      </c>
      <c r="C405">
        <v>15</v>
      </c>
    </row>
    <row r="406" spans="1:3" x14ac:dyDescent="0.25">
      <c r="A406" t="s">
        <v>100</v>
      </c>
      <c r="B406" s="9">
        <v>41290</v>
      </c>
      <c r="C406">
        <v>12</v>
      </c>
    </row>
    <row r="407" spans="1:3" x14ac:dyDescent="0.25">
      <c r="A407" t="s">
        <v>95</v>
      </c>
      <c r="B407" s="9">
        <v>41310</v>
      </c>
      <c r="C407">
        <v>5</v>
      </c>
    </row>
    <row r="408" spans="1:3" x14ac:dyDescent="0.25">
      <c r="A408" t="s">
        <v>100</v>
      </c>
      <c r="B408" s="9">
        <v>41282</v>
      </c>
      <c r="C408">
        <v>5</v>
      </c>
    </row>
    <row r="409" spans="1:3" x14ac:dyDescent="0.25">
      <c r="A409" t="s">
        <v>98</v>
      </c>
      <c r="B409" s="9">
        <v>41456</v>
      </c>
      <c r="C409">
        <v>19</v>
      </c>
    </row>
    <row r="410" spans="1:3" x14ac:dyDescent="0.25">
      <c r="A410" t="s">
        <v>100</v>
      </c>
      <c r="B410" s="9">
        <v>41624</v>
      </c>
      <c r="C410">
        <v>14</v>
      </c>
    </row>
    <row r="411" spans="1:3" x14ac:dyDescent="0.25">
      <c r="A411" t="s">
        <v>100</v>
      </c>
      <c r="B411" s="9">
        <v>41280</v>
      </c>
      <c r="C411">
        <v>7</v>
      </c>
    </row>
    <row r="412" spans="1:3" x14ac:dyDescent="0.25">
      <c r="A412" t="s">
        <v>94</v>
      </c>
      <c r="B412" s="9">
        <v>41511</v>
      </c>
      <c r="C412">
        <v>2</v>
      </c>
    </row>
    <row r="413" spans="1:3" x14ac:dyDescent="0.25">
      <c r="A413" t="s">
        <v>97</v>
      </c>
      <c r="B413" s="9">
        <v>41434</v>
      </c>
      <c r="C413">
        <v>4</v>
      </c>
    </row>
    <row r="414" spans="1:3" x14ac:dyDescent="0.25">
      <c r="A414" t="s">
        <v>97</v>
      </c>
      <c r="B414" s="9">
        <v>41377</v>
      </c>
      <c r="C414">
        <v>4</v>
      </c>
    </row>
    <row r="415" spans="1:3" x14ac:dyDescent="0.25">
      <c r="A415" t="s">
        <v>95</v>
      </c>
      <c r="B415" s="9">
        <v>41499</v>
      </c>
      <c r="C415">
        <v>8</v>
      </c>
    </row>
    <row r="416" spans="1:3" x14ac:dyDescent="0.25">
      <c r="A416" t="s">
        <v>99</v>
      </c>
      <c r="B416" s="9">
        <v>41569</v>
      </c>
      <c r="C416">
        <v>16</v>
      </c>
    </row>
    <row r="417" spans="1:3" x14ac:dyDescent="0.25">
      <c r="A417" t="s">
        <v>95</v>
      </c>
      <c r="B417" s="9">
        <v>41504</v>
      </c>
      <c r="C417">
        <v>15</v>
      </c>
    </row>
    <row r="418" spans="1:3" x14ac:dyDescent="0.25">
      <c r="A418" t="s">
        <v>94</v>
      </c>
      <c r="B418" s="9">
        <v>41467</v>
      </c>
      <c r="C418">
        <v>14</v>
      </c>
    </row>
    <row r="419" spans="1:3" x14ac:dyDescent="0.25">
      <c r="A419" t="s">
        <v>95</v>
      </c>
      <c r="B419" s="9">
        <v>41350</v>
      </c>
      <c r="C419">
        <v>10</v>
      </c>
    </row>
    <row r="420" spans="1:3" x14ac:dyDescent="0.25">
      <c r="A420" t="s">
        <v>95</v>
      </c>
      <c r="B420" s="9">
        <v>41363</v>
      </c>
      <c r="C420">
        <v>7</v>
      </c>
    </row>
    <row r="421" spans="1:3" x14ac:dyDescent="0.25">
      <c r="A421" t="s">
        <v>94</v>
      </c>
      <c r="B421" s="9">
        <v>41606</v>
      </c>
      <c r="C421">
        <v>17</v>
      </c>
    </row>
    <row r="422" spans="1:3" x14ac:dyDescent="0.25">
      <c r="A422" t="s">
        <v>98</v>
      </c>
      <c r="B422" s="9">
        <v>41614</v>
      </c>
      <c r="C422">
        <v>16</v>
      </c>
    </row>
    <row r="423" spans="1:3" x14ac:dyDescent="0.25">
      <c r="A423" t="s">
        <v>95</v>
      </c>
      <c r="B423" s="9">
        <v>41345</v>
      </c>
      <c r="C423">
        <v>5</v>
      </c>
    </row>
    <row r="424" spans="1:3" x14ac:dyDescent="0.25">
      <c r="A424" t="s">
        <v>95</v>
      </c>
      <c r="B424" s="9">
        <v>41357</v>
      </c>
      <c r="C424">
        <v>16</v>
      </c>
    </row>
    <row r="425" spans="1:3" x14ac:dyDescent="0.25">
      <c r="A425" t="s">
        <v>96</v>
      </c>
      <c r="B425" s="9">
        <v>41323</v>
      </c>
      <c r="C425">
        <v>13</v>
      </c>
    </row>
    <row r="426" spans="1:3" x14ac:dyDescent="0.25">
      <c r="A426" t="s">
        <v>97</v>
      </c>
      <c r="B426" s="9">
        <v>41538</v>
      </c>
      <c r="C426">
        <v>10</v>
      </c>
    </row>
    <row r="427" spans="1:3" x14ac:dyDescent="0.25">
      <c r="A427" t="s">
        <v>100</v>
      </c>
      <c r="B427" s="9">
        <v>41421</v>
      </c>
      <c r="C427">
        <v>5</v>
      </c>
    </row>
    <row r="428" spans="1:3" x14ac:dyDescent="0.25">
      <c r="A428" t="s">
        <v>99</v>
      </c>
      <c r="B428" s="9">
        <v>41538</v>
      </c>
      <c r="C428">
        <v>2</v>
      </c>
    </row>
    <row r="429" spans="1:3" x14ac:dyDescent="0.25">
      <c r="A429" t="s">
        <v>98</v>
      </c>
      <c r="B429" s="9">
        <v>41405</v>
      </c>
      <c r="C429">
        <v>3</v>
      </c>
    </row>
    <row r="430" spans="1:3" x14ac:dyDescent="0.25">
      <c r="A430" t="s">
        <v>98</v>
      </c>
      <c r="B430" s="9">
        <v>41412</v>
      </c>
      <c r="C430">
        <v>2</v>
      </c>
    </row>
    <row r="431" spans="1:3" x14ac:dyDescent="0.25">
      <c r="A431" t="s">
        <v>98</v>
      </c>
      <c r="B431" s="9">
        <v>41361</v>
      </c>
      <c r="C431">
        <v>14</v>
      </c>
    </row>
    <row r="432" spans="1:3" x14ac:dyDescent="0.25">
      <c r="A432" t="s">
        <v>100</v>
      </c>
      <c r="B432" s="9">
        <v>41501</v>
      </c>
      <c r="C432">
        <v>9</v>
      </c>
    </row>
    <row r="433" spans="1:3" x14ac:dyDescent="0.25">
      <c r="A433" t="s">
        <v>100</v>
      </c>
      <c r="B433" s="9">
        <v>41410</v>
      </c>
      <c r="C433">
        <v>5</v>
      </c>
    </row>
    <row r="434" spans="1:3" x14ac:dyDescent="0.25">
      <c r="A434" t="s">
        <v>97</v>
      </c>
      <c r="B434" s="9">
        <v>41534</v>
      </c>
      <c r="C434">
        <v>7</v>
      </c>
    </row>
    <row r="435" spans="1:3" x14ac:dyDescent="0.25">
      <c r="A435" t="s">
        <v>99</v>
      </c>
      <c r="B435" s="9">
        <v>41436</v>
      </c>
      <c r="C435">
        <v>20</v>
      </c>
    </row>
    <row r="436" spans="1:3" x14ac:dyDescent="0.25">
      <c r="A436" t="s">
        <v>95</v>
      </c>
      <c r="B436" s="9">
        <v>41540</v>
      </c>
      <c r="C436">
        <v>15</v>
      </c>
    </row>
    <row r="437" spans="1:3" x14ac:dyDescent="0.25">
      <c r="A437" t="s">
        <v>98</v>
      </c>
      <c r="B437" s="9">
        <v>41333</v>
      </c>
      <c r="C437">
        <v>15</v>
      </c>
    </row>
    <row r="438" spans="1:3" x14ac:dyDescent="0.25">
      <c r="A438" t="s">
        <v>98</v>
      </c>
      <c r="B438" s="9">
        <v>41470</v>
      </c>
      <c r="C438">
        <v>10</v>
      </c>
    </row>
    <row r="439" spans="1:3" x14ac:dyDescent="0.25">
      <c r="A439" t="s">
        <v>98</v>
      </c>
      <c r="B439" s="9">
        <v>41346</v>
      </c>
      <c r="C439">
        <v>15</v>
      </c>
    </row>
    <row r="440" spans="1:3" x14ac:dyDescent="0.25">
      <c r="A440" t="s">
        <v>100</v>
      </c>
      <c r="B440" s="9">
        <v>41598</v>
      </c>
      <c r="C440">
        <v>16</v>
      </c>
    </row>
    <row r="441" spans="1:3" x14ac:dyDescent="0.25">
      <c r="A441" t="s">
        <v>95</v>
      </c>
      <c r="B441" s="9">
        <v>41420</v>
      </c>
      <c r="C441">
        <v>4</v>
      </c>
    </row>
    <row r="442" spans="1:3" x14ac:dyDescent="0.25">
      <c r="A442" t="s">
        <v>99</v>
      </c>
      <c r="B442" s="9">
        <v>41634</v>
      </c>
      <c r="C442">
        <v>12</v>
      </c>
    </row>
    <row r="443" spans="1:3" x14ac:dyDescent="0.25">
      <c r="A443" t="s">
        <v>95</v>
      </c>
      <c r="B443" s="9">
        <v>41422</v>
      </c>
      <c r="C443">
        <v>4</v>
      </c>
    </row>
    <row r="444" spans="1:3" x14ac:dyDescent="0.25">
      <c r="A444" t="s">
        <v>95</v>
      </c>
      <c r="B444" s="9">
        <v>41336</v>
      </c>
      <c r="C444">
        <v>6</v>
      </c>
    </row>
    <row r="445" spans="1:3" x14ac:dyDescent="0.25">
      <c r="A445" t="s">
        <v>100</v>
      </c>
      <c r="B445" s="9">
        <v>41434</v>
      </c>
      <c r="C445">
        <v>17</v>
      </c>
    </row>
    <row r="446" spans="1:3" x14ac:dyDescent="0.25">
      <c r="A446" t="s">
        <v>94</v>
      </c>
      <c r="B446" s="9">
        <v>41359</v>
      </c>
      <c r="C446">
        <v>4</v>
      </c>
    </row>
    <row r="447" spans="1:3" x14ac:dyDescent="0.25">
      <c r="A447" t="s">
        <v>94</v>
      </c>
      <c r="B447" s="9">
        <v>41381</v>
      </c>
      <c r="C447">
        <v>12</v>
      </c>
    </row>
    <row r="448" spans="1:3" x14ac:dyDescent="0.25">
      <c r="A448" t="s">
        <v>98</v>
      </c>
      <c r="B448" s="9">
        <v>41444</v>
      </c>
      <c r="C448">
        <v>15</v>
      </c>
    </row>
    <row r="449" spans="1:3" x14ac:dyDescent="0.25">
      <c r="A449" t="s">
        <v>95</v>
      </c>
      <c r="B449" s="9">
        <v>41318</v>
      </c>
      <c r="C449">
        <v>11</v>
      </c>
    </row>
    <row r="450" spans="1:3" x14ac:dyDescent="0.25">
      <c r="A450" t="s">
        <v>95</v>
      </c>
      <c r="B450" s="9">
        <v>41408</v>
      </c>
      <c r="C450">
        <v>5</v>
      </c>
    </row>
    <row r="451" spans="1:3" x14ac:dyDescent="0.25">
      <c r="A451" t="s">
        <v>97</v>
      </c>
      <c r="B451" s="9">
        <v>41425</v>
      </c>
      <c r="C451">
        <v>4</v>
      </c>
    </row>
    <row r="452" spans="1:3" x14ac:dyDescent="0.25">
      <c r="A452" t="s">
        <v>100</v>
      </c>
      <c r="B452" s="9">
        <v>41607</v>
      </c>
      <c r="C452">
        <v>11</v>
      </c>
    </row>
    <row r="453" spans="1:3" x14ac:dyDescent="0.25">
      <c r="A453" t="s">
        <v>99</v>
      </c>
      <c r="B453" s="9">
        <v>41485</v>
      </c>
      <c r="C453">
        <v>11</v>
      </c>
    </row>
    <row r="454" spans="1:3" x14ac:dyDescent="0.25">
      <c r="A454" t="s">
        <v>97</v>
      </c>
      <c r="B454" s="9">
        <v>41512</v>
      </c>
      <c r="C454">
        <v>13</v>
      </c>
    </row>
    <row r="455" spans="1:3" x14ac:dyDescent="0.25">
      <c r="A455" t="s">
        <v>96</v>
      </c>
      <c r="B455" s="9">
        <v>41575</v>
      </c>
      <c r="C455">
        <v>10</v>
      </c>
    </row>
    <row r="456" spans="1:3" x14ac:dyDescent="0.25">
      <c r="A456" t="s">
        <v>98</v>
      </c>
      <c r="B456" s="9">
        <v>41639</v>
      </c>
      <c r="C456">
        <v>7</v>
      </c>
    </row>
    <row r="457" spans="1:3" x14ac:dyDescent="0.25">
      <c r="A457" t="s">
        <v>95</v>
      </c>
      <c r="B457" s="9">
        <v>41461</v>
      </c>
      <c r="C457">
        <v>2</v>
      </c>
    </row>
    <row r="458" spans="1:3" x14ac:dyDescent="0.25">
      <c r="A458" t="s">
        <v>95</v>
      </c>
      <c r="B458" s="9">
        <v>41343</v>
      </c>
      <c r="C458">
        <v>5</v>
      </c>
    </row>
    <row r="459" spans="1:3" x14ac:dyDescent="0.25">
      <c r="A459" t="s">
        <v>97</v>
      </c>
      <c r="B459" s="9">
        <v>41280</v>
      </c>
      <c r="C459">
        <v>19</v>
      </c>
    </row>
    <row r="460" spans="1:3" x14ac:dyDescent="0.25">
      <c r="A460" t="s">
        <v>100</v>
      </c>
      <c r="B460" s="9">
        <v>41558</v>
      </c>
      <c r="C460">
        <v>4</v>
      </c>
    </row>
    <row r="461" spans="1:3" x14ac:dyDescent="0.25">
      <c r="A461" t="s">
        <v>96</v>
      </c>
      <c r="B461" s="9">
        <v>41540</v>
      </c>
      <c r="C461">
        <v>18</v>
      </c>
    </row>
    <row r="462" spans="1:3" x14ac:dyDescent="0.25">
      <c r="A462" t="s">
        <v>100</v>
      </c>
      <c r="B462" s="9">
        <v>41499</v>
      </c>
      <c r="C462">
        <v>4</v>
      </c>
    </row>
    <row r="463" spans="1:3" x14ac:dyDescent="0.25">
      <c r="A463" t="s">
        <v>96</v>
      </c>
      <c r="B463" s="9">
        <v>41406</v>
      </c>
      <c r="C463">
        <v>15</v>
      </c>
    </row>
    <row r="464" spans="1:3" x14ac:dyDescent="0.25">
      <c r="A464" t="s">
        <v>95</v>
      </c>
      <c r="B464" s="9">
        <v>41365</v>
      </c>
      <c r="C464">
        <v>10</v>
      </c>
    </row>
    <row r="465" spans="1:3" x14ac:dyDescent="0.25">
      <c r="A465" t="s">
        <v>96</v>
      </c>
      <c r="B465" s="9">
        <v>41389</v>
      </c>
      <c r="C465">
        <v>14</v>
      </c>
    </row>
    <row r="466" spans="1:3" x14ac:dyDescent="0.25">
      <c r="A466" t="s">
        <v>100</v>
      </c>
      <c r="B466" s="9">
        <v>41381</v>
      </c>
      <c r="C466">
        <v>1</v>
      </c>
    </row>
    <row r="467" spans="1:3" x14ac:dyDescent="0.25">
      <c r="A467" t="s">
        <v>95</v>
      </c>
      <c r="B467" s="9">
        <v>41635</v>
      </c>
      <c r="C467">
        <v>8</v>
      </c>
    </row>
    <row r="468" spans="1:3" x14ac:dyDescent="0.25">
      <c r="A468" t="s">
        <v>100</v>
      </c>
      <c r="B468" s="9">
        <v>41570</v>
      </c>
      <c r="C468">
        <v>18</v>
      </c>
    </row>
    <row r="469" spans="1:3" x14ac:dyDescent="0.25">
      <c r="A469" t="s">
        <v>95</v>
      </c>
      <c r="B469" s="9">
        <v>41372</v>
      </c>
      <c r="C469">
        <v>10</v>
      </c>
    </row>
    <row r="470" spans="1:3" x14ac:dyDescent="0.25">
      <c r="A470" t="s">
        <v>100</v>
      </c>
      <c r="B470" s="9">
        <v>41518</v>
      </c>
      <c r="C470">
        <v>6</v>
      </c>
    </row>
    <row r="471" spans="1:3" x14ac:dyDescent="0.25">
      <c r="A471" t="s">
        <v>94</v>
      </c>
      <c r="B471" s="9">
        <v>41499</v>
      </c>
      <c r="C471">
        <v>17</v>
      </c>
    </row>
    <row r="472" spans="1:3" x14ac:dyDescent="0.25">
      <c r="A472" t="s">
        <v>99</v>
      </c>
      <c r="B472" s="9">
        <v>41507</v>
      </c>
      <c r="C472">
        <v>3</v>
      </c>
    </row>
    <row r="473" spans="1:3" x14ac:dyDescent="0.25">
      <c r="A473" t="s">
        <v>95</v>
      </c>
      <c r="B473" s="9">
        <v>41472</v>
      </c>
      <c r="C473">
        <v>2</v>
      </c>
    </row>
    <row r="474" spans="1:3" x14ac:dyDescent="0.25">
      <c r="A474" t="s">
        <v>100</v>
      </c>
      <c r="B474" s="9">
        <v>41426</v>
      </c>
      <c r="C474">
        <v>2</v>
      </c>
    </row>
    <row r="475" spans="1:3" x14ac:dyDescent="0.25">
      <c r="A475" t="s">
        <v>94</v>
      </c>
      <c r="B475" s="9">
        <v>41371</v>
      </c>
      <c r="C475">
        <v>20</v>
      </c>
    </row>
    <row r="476" spans="1:3" x14ac:dyDescent="0.25">
      <c r="A476" t="s">
        <v>97</v>
      </c>
      <c r="B476" s="9">
        <v>41547</v>
      </c>
      <c r="C476">
        <v>16</v>
      </c>
    </row>
    <row r="477" spans="1:3" x14ac:dyDescent="0.25">
      <c r="A477" t="s">
        <v>94</v>
      </c>
      <c r="B477" s="9">
        <v>41277</v>
      </c>
      <c r="C477">
        <v>17</v>
      </c>
    </row>
    <row r="478" spans="1:3" x14ac:dyDescent="0.25">
      <c r="A478" t="s">
        <v>98</v>
      </c>
      <c r="B478" s="9">
        <v>41450</v>
      </c>
      <c r="C478">
        <v>2</v>
      </c>
    </row>
    <row r="479" spans="1:3" x14ac:dyDescent="0.25">
      <c r="A479" t="s">
        <v>100</v>
      </c>
      <c r="B479" s="9">
        <v>41442</v>
      </c>
      <c r="C479">
        <v>15</v>
      </c>
    </row>
    <row r="480" spans="1:3" x14ac:dyDescent="0.25">
      <c r="A480" t="s">
        <v>95</v>
      </c>
      <c r="B480" s="9">
        <v>41332</v>
      </c>
      <c r="C480">
        <v>8</v>
      </c>
    </row>
    <row r="481" spans="1:3" x14ac:dyDescent="0.25">
      <c r="A481" t="s">
        <v>99</v>
      </c>
      <c r="B481" s="9">
        <v>41367</v>
      </c>
      <c r="C481">
        <v>1</v>
      </c>
    </row>
    <row r="482" spans="1:3" x14ac:dyDescent="0.25">
      <c r="A482" t="s">
        <v>100</v>
      </c>
      <c r="B482" s="9">
        <v>41468</v>
      </c>
      <c r="C482">
        <v>14</v>
      </c>
    </row>
    <row r="483" spans="1:3" x14ac:dyDescent="0.25">
      <c r="A483" t="s">
        <v>100</v>
      </c>
      <c r="B483" s="9">
        <v>41439</v>
      </c>
      <c r="C483">
        <v>20</v>
      </c>
    </row>
    <row r="484" spans="1:3" x14ac:dyDescent="0.25">
      <c r="A484" t="s">
        <v>95</v>
      </c>
      <c r="B484" s="9">
        <v>41420</v>
      </c>
      <c r="C484">
        <v>8</v>
      </c>
    </row>
    <row r="485" spans="1:3" x14ac:dyDescent="0.25">
      <c r="A485" t="s">
        <v>99</v>
      </c>
      <c r="B485" s="9">
        <v>41593</v>
      </c>
      <c r="C485">
        <v>6</v>
      </c>
    </row>
    <row r="486" spans="1:3" x14ac:dyDescent="0.25">
      <c r="A486" t="s">
        <v>96</v>
      </c>
      <c r="B486" s="9">
        <v>41380</v>
      </c>
      <c r="C486">
        <v>9</v>
      </c>
    </row>
    <row r="487" spans="1:3" x14ac:dyDescent="0.25">
      <c r="A487" t="s">
        <v>97</v>
      </c>
      <c r="B487" s="9">
        <v>41558</v>
      </c>
      <c r="C487">
        <v>13</v>
      </c>
    </row>
    <row r="488" spans="1:3" x14ac:dyDescent="0.25">
      <c r="A488" t="s">
        <v>96</v>
      </c>
      <c r="B488" s="9">
        <v>41434</v>
      </c>
      <c r="C488">
        <v>7</v>
      </c>
    </row>
    <row r="489" spans="1:3" x14ac:dyDescent="0.25">
      <c r="A489" t="s">
        <v>97</v>
      </c>
      <c r="B489" s="9">
        <v>41611</v>
      </c>
      <c r="C489">
        <v>3</v>
      </c>
    </row>
    <row r="490" spans="1:3" x14ac:dyDescent="0.25">
      <c r="A490" t="s">
        <v>99</v>
      </c>
      <c r="B490" s="9">
        <v>41532</v>
      </c>
      <c r="C490">
        <v>17</v>
      </c>
    </row>
    <row r="491" spans="1:3" x14ac:dyDescent="0.25">
      <c r="A491" t="s">
        <v>100</v>
      </c>
      <c r="B491" s="9">
        <v>41335</v>
      </c>
      <c r="C491">
        <v>20</v>
      </c>
    </row>
    <row r="492" spans="1:3" x14ac:dyDescent="0.25">
      <c r="A492" t="s">
        <v>100</v>
      </c>
      <c r="B492" s="9">
        <v>41395</v>
      </c>
      <c r="C492">
        <v>15</v>
      </c>
    </row>
    <row r="493" spans="1:3" x14ac:dyDescent="0.25">
      <c r="A493" t="s">
        <v>100</v>
      </c>
      <c r="B493" s="9">
        <v>41410</v>
      </c>
      <c r="C493">
        <v>11</v>
      </c>
    </row>
    <row r="494" spans="1:3" x14ac:dyDescent="0.25">
      <c r="A494" t="s">
        <v>99</v>
      </c>
      <c r="B494" s="9">
        <v>41489</v>
      </c>
      <c r="C494">
        <v>6</v>
      </c>
    </row>
    <row r="495" spans="1:3" x14ac:dyDescent="0.25">
      <c r="A495" t="s">
        <v>98</v>
      </c>
      <c r="B495" s="9">
        <v>41498</v>
      </c>
      <c r="C495">
        <v>15</v>
      </c>
    </row>
    <row r="496" spans="1:3" x14ac:dyDescent="0.25">
      <c r="A496" t="s">
        <v>94</v>
      </c>
      <c r="B496" s="9">
        <v>41538</v>
      </c>
      <c r="C496">
        <v>14</v>
      </c>
    </row>
    <row r="497" spans="1:3" x14ac:dyDescent="0.25">
      <c r="A497" t="s">
        <v>99</v>
      </c>
      <c r="B497" s="9">
        <v>41354</v>
      </c>
      <c r="C497">
        <v>18</v>
      </c>
    </row>
    <row r="498" spans="1:3" x14ac:dyDescent="0.25">
      <c r="A498" t="s">
        <v>94</v>
      </c>
      <c r="B498" s="9">
        <v>41278</v>
      </c>
      <c r="C498">
        <v>7</v>
      </c>
    </row>
    <row r="499" spans="1:3" x14ac:dyDescent="0.25">
      <c r="A499" t="s">
        <v>98</v>
      </c>
      <c r="B499" s="9">
        <v>41512</v>
      </c>
      <c r="C499">
        <v>14</v>
      </c>
    </row>
    <row r="500" spans="1:3" x14ac:dyDescent="0.25">
      <c r="A500" t="s">
        <v>96</v>
      </c>
      <c r="B500" s="9">
        <v>41535</v>
      </c>
      <c r="C500">
        <v>7</v>
      </c>
    </row>
    <row r="501" spans="1:3" x14ac:dyDescent="0.25">
      <c r="A501" t="s">
        <v>98</v>
      </c>
      <c r="B501" s="9">
        <v>41303</v>
      </c>
      <c r="C501">
        <v>4</v>
      </c>
    </row>
    <row r="502" spans="1:3" x14ac:dyDescent="0.25">
      <c r="A502" t="s">
        <v>94</v>
      </c>
      <c r="B502" s="9">
        <v>41547</v>
      </c>
      <c r="C502">
        <v>12</v>
      </c>
    </row>
    <row r="503" spans="1:3" x14ac:dyDescent="0.25">
      <c r="A503" t="s">
        <v>96</v>
      </c>
      <c r="B503" s="9">
        <v>41590</v>
      </c>
      <c r="C503">
        <v>9</v>
      </c>
    </row>
    <row r="504" spans="1:3" x14ac:dyDescent="0.25">
      <c r="A504" t="s">
        <v>94</v>
      </c>
      <c r="B504" s="9">
        <v>41415</v>
      </c>
      <c r="C504">
        <v>10</v>
      </c>
    </row>
    <row r="505" spans="1:3" x14ac:dyDescent="0.25">
      <c r="A505" t="s">
        <v>100</v>
      </c>
      <c r="B505" s="9">
        <v>41584</v>
      </c>
      <c r="C505">
        <v>10</v>
      </c>
    </row>
    <row r="506" spans="1:3" x14ac:dyDescent="0.25">
      <c r="A506" t="s">
        <v>96</v>
      </c>
      <c r="B506" s="9">
        <v>41498</v>
      </c>
      <c r="C506">
        <v>2</v>
      </c>
    </row>
    <row r="507" spans="1:3" x14ac:dyDescent="0.25">
      <c r="A507" t="s">
        <v>95</v>
      </c>
      <c r="B507" s="9">
        <v>41596</v>
      </c>
      <c r="C507">
        <v>17</v>
      </c>
    </row>
    <row r="508" spans="1:3" x14ac:dyDescent="0.25">
      <c r="A508" t="s">
        <v>96</v>
      </c>
      <c r="B508" s="9">
        <v>41458</v>
      </c>
      <c r="C508">
        <v>18</v>
      </c>
    </row>
    <row r="509" spans="1:3" x14ac:dyDescent="0.25">
      <c r="A509" t="s">
        <v>100</v>
      </c>
      <c r="B509" s="9">
        <v>41504</v>
      </c>
      <c r="C509">
        <v>8</v>
      </c>
    </row>
    <row r="510" spans="1:3" x14ac:dyDescent="0.25">
      <c r="A510" t="s">
        <v>96</v>
      </c>
      <c r="B510" s="9">
        <v>41358</v>
      </c>
      <c r="C510">
        <v>6</v>
      </c>
    </row>
    <row r="511" spans="1:3" x14ac:dyDescent="0.25">
      <c r="A511" t="s">
        <v>95</v>
      </c>
      <c r="B511" s="9">
        <v>41386</v>
      </c>
      <c r="C511">
        <v>8</v>
      </c>
    </row>
    <row r="512" spans="1:3" x14ac:dyDescent="0.25">
      <c r="A512" t="s">
        <v>100</v>
      </c>
      <c r="B512" s="9">
        <v>41335</v>
      </c>
      <c r="C512">
        <v>20</v>
      </c>
    </row>
    <row r="513" spans="1:3" x14ac:dyDescent="0.25">
      <c r="A513" t="s">
        <v>100</v>
      </c>
      <c r="B513" s="9">
        <v>41518</v>
      </c>
      <c r="C513">
        <v>8</v>
      </c>
    </row>
    <row r="514" spans="1:3" x14ac:dyDescent="0.25">
      <c r="A514" t="s">
        <v>95</v>
      </c>
      <c r="B514" s="9">
        <v>41623</v>
      </c>
      <c r="C514">
        <v>20</v>
      </c>
    </row>
    <row r="515" spans="1:3" x14ac:dyDescent="0.25">
      <c r="A515" t="s">
        <v>98</v>
      </c>
      <c r="B515" s="9">
        <v>41435</v>
      </c>
      <c r="C515">
        <v>15</v>
      </c>
    </row>
    <row r="516" spans="1:3" x14ac:dyDescent="0.25">
      <c r="A516" t="s">
        <v>95</v>
      </c>
      <c r="B516" s="9">
        <v>41539</v>
      </c>
      <c r="C516">
        <v>3</v>
      </c>
    </row>
    <row r="517" spans="1:3" x14ac:dyDescent="0.25">
      <c r="A517" t="s">
        <v>95</v>
      </c>
      <c r="B517" s="9">
        <v>41610</v>
      </c>
      <c r="C517">
        <v>3</v>
      </c>
    </row>
    <row r="518" spans="1:3" x14ac:dyDescent="0.25">
      <c r="A518" t="s">
        <v>98</v>
      </c>
      <c r="B518" s="9">
        <v>41485</v>
      </c>
      <c r="C518">
        <v>13</v>
      </c>
    </row>
    <row r="519" spans="1:3" x14ac:dyDescent="0.25">
      <c r="A519" t="s">
        <v>98</v>
      </c>
      <c r="B519" s="9">
        <v>41286</v>
      </c>
      <c r="C519">
        <v>12</v>
      </c>
    </row>
    <row r="520" spans="1:3" x14ac:dyDescent="0.25">
      <c r="A520" t="s">
        <v>94</v>
      </c>
      <c r="B520" s="9">
        <v>41623</v>
      </c>
      <c r="C520">
        <v>17</v>
      </c>
    </row>
    <row r="521" spans="1:3" x14ac:dyDescent="0.25">
      <c r="A521" t="s">
        <v>96</v>
      </c>
      <c r="B521" s="9">
        <v>41403</v>
      </c>
      <c r="C521">
        <v>12</v>
      </c>
    </row>
    <row r="522" spans="1:3" x14ac:dyDescent="0.25">
      <c r="A522" t="s">
        <v>94</v>
      </c>
      <c r="B522" s="9">
        <v>41322</v>
      </c>
      <c r="C522">
        <v>11</v>
      </c>
    </row>
    <row r="523" spans="1:3" x14ac:dyDescent="0.25">
      <c r="A523" t="s">
        <v>95</v>
      </c>
      <c r="B523" s="9">
        <v>41628</v>
      </c>
      <c r="C523">
        <v>11</v>
      </c>
    </row>
    <row r="524" spans="1:3" x14ac:dyDescent="0.25">
      <c r="A524" t="s">
        <v>97</v>
      </c>
      <c r="B524" s="9">
        <v>41336</v>
      </c>
      <c r="C524">
        <v>15</v>
      </c>
    </row>
    <row r="525" spans="1:3" x14ac:dyDescent="0.25">
      <c r="A525" t="s">
        <v>99</v>
      </c>
      <c r="B525" s="9">
        <v>41551</v>
      </c>
      <c r="C525">
        <v>11</v>
      </c>
    </row>
    <row r="526" spans="1:3" x14ac:dyDescent="0.25">
      <c r="A526" t="s">
        <v>98</v>
      </c>
      <c r="B526" s="9">
        <v>41558</v>
      </c>
      <c r="C526">
        <v>3</v>
      </c>
    </row>
    <row r="527" spans="1:3" x14ac:dyDescent="0.25">
      <c r="A527" t="s">
        <v>96</v>
      </c>
      <c r="B527" s="9">
        <v>41400</v>
      </c>
      <c r="C527">
        <v>14</v>
      </c>
    </row>
    <row r="528" spans="1:3" x14ac:dyDescent="0.25">
      <c r="A528" t="s">
        <v>94</v>
      </c>
      <c r="B528" s="9">
        <v>41602</v>
      </c>
      <c r="C528">
        <v>17</v>
      </c>
    </row>
    <row r="529" spans="1:3" x14ac:dyDescent="0.25">
      <c r="A529" t="s">
        <v>96</v>
      </c>
      <c r="B529" s="9">
        <v>41358</v>
      </c>
      <c r="C529">
        <v>10</v>
      </c>
    </row>
    <row r="530" spans="1:3" x14ac:dyDescent="0.25">
      <c r="A530" t="s">
        <v>94</v>
      </c>
      <c r="B530" s="9">
        <v>41356</v>
      </c>
      <c r="C530">
        <v>8</v>
      </c>
    </row>
    <row r="531" spans="1:3" x14ac:dyDescent="0.25">
      <c r="A531" t="s">
        <v>100</v>
      </c>
      <c r="B531" s="9">
        <v>41545</v>
      </c>
      <c r="C531">
        <v>15</v>
      </c>
    </row>
    <row r="532" spans="1:3" x14ac:dyDescent="0.25">
      <c r="A532" t="s">
        <v>100</v>
      </c>
      <c r="B532" s="9">
        <v>41458</v>
      </c>
      <c r="C532">
        <v>10</v>
      </c>
    </row>
    <row r="533" spans="1:3" x14ac:dyDescent="0.25">
      <c r="A533" t="s">
        <v>95</v>
      </c>
      <c r="B533" s="9">
        <v>41545</v>
      </c>
      <c r="C533">
        <v>11</v>
      </c>
    </row>
    <row r="534" spans="1:3" x14ac:dyDescent="0.25">
      <c r="A534" t="s">
        <v>94</v>
      </c>
      <c r="B534" s="9">
        <v>41363</v>
      </c>
      <c r="C534">
        <v>5</v>
      </c>
    </row>
    <row r="535" spans="1:3" x14ac:dyDescent="0.25">
      <c r="A535" t="s">
        <v>94</v>
      </c>
      <c r="B535" s="9">
        <v>41293</v>
      </c>
      <c r="C535">
        <v>14</v>
      </c>
    </row>
    <row r="536" spans="1:3" x14ac:dyDescent="0.25">
      <c r="A536" t="s">
        <v>98</v>
      </c>
      <c r="B536" s="9">
        <v>41530</v>
      </c>
      <c r="C536">
        <v>6</v>
      </c>
    </row>
    <row r="537" spans="1:3" x14ac:dyDescent="0.25">
      <c r="A537" t="s">
        <v>97</v>
      </c>
      <c r="B537" s="9">
        <v>41589</v>
      </c>
      <c r="C537">
        <v>18</v>
      </c>
    </row>
    <row r="538" spans="1:3" x14ac:dyDescent="0.25">
      <c r="A538" t="s">
        <v>98</v>
      </c>
      <c r="B538" s="9">
        <v>41605</v>
      </c>
      <c r="C538">
        <v>5</v>
      </c>
    </row>
    <row r="539" spans="1:3" x14ac:dyDescent="0.25">
      <c r="A539" t="s">
        <v>100</v>
      </c>
      <c r="B539" s="9">
        <v>41477</v>
      </c>
      <c r="C539">
        <v>11</v>
      </c>
    </row>
    <row r="540" spans="1:3" x14ac:dyDescent="0.25">
      <c r="A540" t="s">
        <v>95</v>
      </c>
      <c r="B540" s="9">
        <v>41370</v>
      </c>
      <c r="C540">
        <v>9</v>
      </c>
    </row>
    <row r="541" spans="1:3" x14ac:dyDescent="0.25">
      <c r="A541" t="s">
        <v>100</v>
      </c>
      <c r="B541" s="9">
        <v>41434</v>
      </c>
      <c r="C541">
        <v>3</v>
      </c>
    </row>
    <row r="542" spans="1:3" x14ac:dyDescent="0.25">
      <c r="A542" t="s">
        <v>97</v>
      </c>
      <c r="B542" s="9">
        <v>41443</v>
      </c>
      <c r="C542">
        <v>16</v>
      </c>
    </row>
    <row r="543" spans="1:3" x14ac:dyDescent="0.25">
      <c r="A543" t="s">
        <v>94</v>
      </c>
      <c r="B543" s="9">
        <v>41501</v>
      </c>
      <c r="C543">
        <v>7</v>
      </c>
    </row>
    <row r="544" spans="1:3" x14ac:dyDescent="0.25">
      <c r="A544" t="s">
        <v>95</v>
      </c>
      <c r="B544" s="9">
        <v>41350</v>
      </c>
      <c r="C544">
        <v>3</v>
      </c>
    </row>
    <row r="545" spans="1:3" x14ac:dyDescent="0.25">
      <c r="A545" t="s">
        <v>100</v>
      </c>
      <c r="B545" s="9">
        <v>41493</v>
      </c>
      <c r="C545">
        <v>16</v>
      </c>
    </row>
    <row r="546" spans="1:3" x14ac:dyDescent="0.25">
      <c r="A546" t="s">
        <v>94</v>
      </c>
      <c r="B546" s="9">
        <v>41345</v>
      </c>
      <c r="C546">
        <v>5</v>
      </c>
    </row>
    <row r="547" spans="1:3" x14ac:dyDescent="0.25">
      <c r="A547" t="s">
        <v>96</v>
      </c>
      <c r="B547" s="9">
        <v>41523</v>
      </c>
      <c r="C547">
        <v>8</v>
      </c>
    </row>
    <row r="548" spans="1:3" x14ac:dyDescent="0.25">
      <c r="A548" t="s">
        <v>99</v>
      </c>
      <c r="B548" s="9">
        <v>41529</v>
      </c>
      <c r="C548">
        <v>10</v>
      </c>
    </row>
    <row r="549" spans="1:3" x14ac:dyDescent="0.25">
      <c r="A549" t="s">
        <v>95</v>
      </c>
      <c r="B549" s="9">
        <v>41445</v>
      </c>
      <c r="C549">
        <v>19</v>
      </c>
    </row>
    <row r="550" spans="1:3" x14ac:dyDescent="0.25">
      <c r="A550" t="s">
        <v>98</v>
      </c>
      <c r="B550" s="9">
        <v>41422</v>
      </c>
      <c r="C550">
        <v>14</v>
      </c>
    </row>
    <row r="551" spans="1:3" x14ac:dyDescent="0.25">
      <c r="A551" t="s">
        <v>95</v>
      </c>
      <c r="B551" s="9">
        <v>41346</v>
      </c>
      <c r="C551">
        <v>17</v>
      </c>
    </row>
    <row r="552" spans="1:3" x14ac:dyDescent="0.25">
      <c r="A552" t="s">
        <v>95</v>
      </c>
      <c r="B552" s="9">
        <v>41434</v>
      </c>
      <c r="C552">
        <v>6</v>
      </c>
    </row>
    <row r="553" spans="1:3" x14ac:dyDescent="0.25">
      <c r="A553" t="s">
        <v>98</v>
      </c>
      <c r="B553" s="9">
        <v>41293</v>
      </c>
      <c r="C553">
        <v>16</v>
      </c>
    </row>
    <row r="554" spans="1:3" x14ac:dyDescent="0.25">
      <c r="A554" t="s">
        <v>95</v>
      </c>
      <c r="B554" s="9">
        <v>41548</v>
      </c>
      <c r="C554">
        <v>19</v>
      </c>
    </row>
    <row r="555" spans="1:3" x14ac:dyDescent="0.25">
      <c r="A555" t="s">
        <v>100</v>
      </c>
      <c r="B555" s="9">
        <v>41321</v>
      </c>
      <c r="C555">
        <v>9</v>
      </c>
    </row>
    <row r="556" spans="1:3" x14ac:dyDescent="0.25">
      <c r="A556" t="s">
        <v>97</v>
      </c>
      <c r="B556" s="9">
        <v>41286</v>
      </c>
      <c r="C556">
        <v>1</v>
      </c>
    </row>
    <row r="557" spans="1:3" x14ac:dyDescent="0.25">
      <c r="A557" t="s">
        <v>94</v>
      </c>
      <c r="B557" s="9">
        <v>41428</v>
      </c>
      <c r="C557">
        <v>14</v>
      </c>
    </row>
    <row r="558" spans="1:3" x14ac:dyDescent="0.25">
      <c r="A558" t="s">
        <v>98</v>
      </c>
      <c r="B558" s="9">
        <v>41432</v>
      </c>
      <c r="C558">
        <v>8</v>
      </c>
    </row>
    <row r="559" spans="1:3" x14ac:dyDescent="0.25">
      <c r="A559" t="s">
        <v>98</v>
      </c>
      <c r="B559" s="9">
        <v>41280</v>
      </c>
      <c r="C559">
        <v>11</v>
      </c>
    </row>
    <row r="560" spans="1:3" x14ac:dyDescent="0.25">
      <c r="A560" t="s">
        <v>97</v>
      </c>
      <c r="B560" s="9">
        <v>41626</v>
      </c>
      <c r="C560">
        <v>6</v>
      </c>
    </row>
    <row r="561" spans="1:3" x14ac:dyDescent="0.25">
      <c r="A561" t="s">
        <v>99</v>
      </c>
      <c r="B561" s="9">
        <v>41587</v>
      </c>
      <c r="C561">
        <v>13</v>
      </c>
    </row>
    <row r="562" spans="1:3" x14ac:dyDescent="0.25">
      <c r="A562" t="s">
        <v>99</v>
      </c>
      <c r="B562" s="9">
        <v>41396</v>
      </c>
      <c r="C562">
        <v>15</v>
      </c>
    </row>
    <row r="563" spans="1:3" x14ac:dyDescent="0.25">
      <c r="A563" t="s">
        <v>94</v>
      </c>
      <c r="B563" s="9">
        <v>41316</v>
      </c>
      <c r="C563">
        <v>10</v>
      </c>
    </row>
    <row r="564" spans="1:3" x14ac:dyDescent="0.25">
      <c r="A564" t="s">
        <v>95</v>
      </c>
      <c r="B564" s="9">
        <v>41442</v>
      </c>
      <c r="C564">
        <v>11</v>
      </c>
    </row>
    <row r="565" spans="1:3" x14ac:dyDescent="0.25">
      <c r="A565" t="s">
        <v>98</v>
      </c>
      <c r="B565" s="9">
        <v>41489</v>
      </c>
      <c r="C565">
        <v>6</v>
      </c>
    </row>
    <row r="566" spans="1:3" x14ac:dyDescent="0.25">
      <c r="A566" t="s">
        <v>97</v>
      </c>
      <c r="B566" s="9">
        <v>41278</v>
      </c>
      <c r="C566">
        <v>7</v>
      </c>
    </row>
    <row r="567" spans="1:3" x14ac:dyDescent="0.25">
      <c r="A567" t="s">
        <v>97</v>
      </c>
      <c r="B567" s="9">
        <v>41477</v>
      </c>
      <c r="C567">
        <v>3</v>
      </c>
    </row>
    <row r="568" spans="1:3" x14ac:dyDescent="0.25">
      <c r="A568" t="s">
        <v>99</v>
      </c>
      <c r="B568" s="9">
        <v>41318</v>
      </c>
      <c r="C568">
        <v>18</v>
      </c>
    </row>
    <row r="569" spans="1:3" x14ac:dyDescent="0.25">
      <c r="A569" t="s">
        <v>96</v>
      </c>
      <c r="B569" s="9">
        <v>41303</v>
      </c>
      <c r="C569">
        <v>1</v>
      </c>
    </row>
    <row r="570" spans="1:3" x14ac:dyDescent="0.25">
      <c r="A570" t="s">
        <v>95</v>
      </c>
      <c r="B570" s="9">
        <v>41424</v>
      </c>
      <c r="C570">
        <v>9</v>
      </c>
    </row>
    <row r="571" spans="1:3" x14ac:dyDescent="0.25">
      <c r="A571" t="s">
        <v>99</v>
      </c>
      <c r="B571" s="9">
        <v>41290</v>
      </c>
      <c r="C571">
        <v>4</v>
      </c>
    </row>
    <row r="572" spans="1:3" x14ac:dyDescent="0.25">
      <c r="A572" t="s">
        <v>97</v>
      </c>
      <c r="B572" s="9">
        <v>41416</v>
      </c>
      <c r="C572">
        <v>9</v>
      </c>
    </row>
    <row r="573" spans="1:3" x14ac:dyDescent="0.25">
      <c r="A573" t="s">
        <v>94</v>
      </c>
      <c r="B573" s="9">
        <v>41442</v>
      </c>
      <c r="C573">
        <v>18</v>
      </c>
    </row>
    <row r="574" spans="1:3" x14ac:dyDescent="0.25">
      <c r="A574" t="s">
        <v>95</v>
      </c>
      <c r="B574" s="9">
        <v>41438</v>
      </c>
      <c r="C574">
        <v>17</v>
      </c>
    </row>
    <row r="575" spans="1:3" x14ac:dyDescent="0.25">
      <c r="A575" t="s">
        <v>98</v>
      </c>
      <c r="B575" s="9">
        <v>41296</v>
      </c>
      <c r="C575">
        <v>17</v>
      </c>
    </row>
    <row r="576" spans="1:3" x14ac:dyDescent="0.25">
      <c r="A576" t="s">
        <v>95</v>
      </c>
      <c r="B576" s="9">
        <v>41488</v>
      </c>
      <c r="C576">
        <v>7</v>
      </c>
    </row>
    <row r="577" spans="1:3" x14ac:dyDescent="0.25">
      <c r="A577" t="s">
        <v>95</v>
      </c>
      <c r="B577" s="9">
        <v>41580</v>
      </c>
      <c r="C577">
        <v>5</v>
      </c>
    </row>
    <row r="578" spans="1:3" x14ac:dyDescent="0.25">
      <c r="A578" t="s">
        <v>99</v>
      </c>
      <c r="B578" s="9">
        <v>41398</v>
      </c>
      <c r="C578">
        <v>3</v>
      </c>
    </row>
    <row r="579" spans="1:3" x14ac:dyDescent="0.25">
      <c r="A579" t="s">
        <v>98</v>
      </c>
      <c r="B579" s="9">
        <v>41403</v>
      </c>
      <c r="C579">
        <v>2</v>
      </c>
    </row>
    <row r="580" spans="1:3" x14ac:dyDescent="0.25">
      <c r="A580" t="s">
        <v>96</v>
      </c>
      <c r="B580" s="9">
        <v>41430</v>
      </c>
      <c r="C580">
        <v>1</v>
      </c>
    </row>
    <row r="581" spans="1:3" x14ac:dyDescent="0.25">
      <c r="A581" t="s">
        <v>98</v>
      </c>
      <c r="B581" s="9">
        <v>41454</v>
      </c>
      <c r="C581">
        <v>5</v>
      </c>
    </row>
    <row r="582" spans="1:3" x14ac:dyDescent="0.25">
      <c r="A582" t="s">
        <v>97</v>
      </c>
      <c r="B582" s="9">
        <v>41533</v>
      </c>
      <c r="C582">
        <v>4</v>
      </c>
    </row>
    <row r="583" spans="1:3" x14ac:dyDescent="0.25">
      <c r="A583" t="s">
        <v>100</v>
      </c>
      <c r="B583" s="9">
        <v>41342</v>
      </c>
      <c r="C583">
        <v>1</v>
      </c>
    </row>
    <row r="584" spans="1:3" x14ac:dyDescent="0.25">
      <c r="A584" t="s">
        <v>99</v>
      </c>
      <c r="B584" s="9">
        <v>41427</v>
      </c>
      <c r="C584">
        <v>16</v>
      </c>
    </row>
    <row r="585" spans="1:3" x14ac:dyDescent="0.25">
      <c r="A585" t="s">
        <v>97</v>
      </c>
      <c r="B585" s="9">
        <v>41550</v>
      </c>
      <c r="C585">
        <v>20</v>
      </c>
    </row>
    <row r="586" spans="1:3" x14ac:dyDescent="0.25">
      <c r="A586" t="s">
        <v>97</v>
      </c>
      <c r="B586" s="9">
        <v>41423</v>
      </c>
      <c r="C586">
        <v>16</v>
      </c>
    </row>
    <row r="587" spans="1:3" x14ac:dyDescent="0.25">
      <c r="A587" t="s">
        <v>95</v>
      </c>
      <c r="B587" s="9">
        <v>41463</v>
      </c>
      <c r="C587">
        <v>7</v>
      </c>
    </row>
    <row r="588" spans="1:3" x14ac:dyDescent="0.25">
      <c r="A588" t="s">
        <v>94</v>
      </c>
      <c r="B588" s="9">
        <v>41445</v>
      </c>
      <c r="C588">
        <v>4</v>
      </c>
    </row>
    <row r="589" spans="1:3" x14ac:dyDescent="0.25">
      <c r="A589" t="s">
        <v>95</v>
      </c>
      <c r="B589" s="9">
        <v>41615</v>
      </c>
      <c r="C589">
        <v>11</v>
      </c>
    </row>
    <row r="590" spans="1:3" x14ac:dyDescent="0.25">
      <c r="A590" t="s">
        <v>94</v>
      </c>
      <c r="B590" s="9">
        <v>41299</v>
      </c>
      <c r="C590">
        <v>11</v>
      </c>
    </row>
    <row r="591" spans="1:3" x14ac:dyDescent="0.25">
      <c r="A591" t="s">
        <v>94</v>
      </c>
      <c r="B591" s="9">
        <v>41448</v>
      </c>
      <c r="C591">
        <v>4</v>
      </c>
    </row>
    <row r="592" spans="1:3" x14ac:dyDescent="0.25">
      <c r="A592" t="s">
        <v>98</v>
      </c>
      <c r="B592" s="9">
        <v>41578</v>
      </c>
      <c r="C592">
        <v>11</v>
      </c>
    </row>
    <row r="593" spans="1:3" x14ac:dyDescent="0.25">
      <c r="A593" t="s">
        <v>100</v>
      </c>
      <c r="B593" s="9">
        <v>41360</v>
      </c>
      <c r="C593">
        <v>5</v>
      </c>
    </row>
    <row r="594" spans="1:3" x14ac:dyDescent="0.25">
      <c r="A594" t="s">
        <v>100</v>
      </c>
      <c r="B594" s="9">
        <v>41417</v>
      </c>
      <c r="C594">
        <v>20</v>
      </c>
    </row>
    <row r="595" spans="1:3" x14ac:dyDescent="0.25">
      <c r="A595" t="s">
        <v>98</v>
      </c>
      <c r="B595" s="9">
        <v>41373</v>
      </c>
      <c r="C595">
        <v>6</v>
      </c>
    </row>
    <row r="596" spans="1:3" x14ac:dyDescent="0.25">
      <c r="A596" t="s">
        <v>97</v>
      </c>
      <c r="B596" s="9">
        <v>41578</v>
      </c>
      <c r="C596">
        <v>5</v>
      </c>
    </row>
    <row r="597" spans="1:3" x14ac:dyDescent="0.25">
      <c r="A597" t="s">
        <v>99</v>
      </c>
      <c r="B597" s="9">
        <v>41625</v>
      </c>
      <c r="C597">
        <v>14</v>
      </c>
    </row>
    <row r="598" spans="1:3" x14ac:dyDescent="0.25">
      <c r="A598" t="s">
        <v>99</v>
      </c>
      <c r="B598" s="9">
        <v>41606</v>
      </c>
      <c r="C598">
        <v>15</v>
      </c>
    </row>
    <row r="599" spans="1:3" x14ac:dyDescent="0.25">
      <c r="A599" t="s">
        <v>94</v>
      </c>
      <c r="B599" s="9">
        <v>41550</v>
      </c>
      <c r="C599">
        <v>2</v>
      </c>
    </row>
    <row r="600" spans="1:3" x14ac:dyDescent="0.25">
      <c r="A600" t="s">
        <v>100</v>
      </c>
      <c r="B600" s="9">
        <v>41349</v>
      </c>
      <c r="C600">
        <v>10</v>
      </c>
    </row>
    <row r="601" spans="1:3" x14ac:dyDescent="0.25">
      <c r="A601" t="s">
        <v>99</v>
      </c>
      <c r="B601" s="9">
        <v>41508</v>
      </c>
      <c r="C601">
        <v>8</v>
      </c>
    </row>
    <row r="602" spans="1:3" x14ac:dyDescent="0.25">
      <c r="A602" t="s">
        <v>99</v>
      </c>
      <c r="B602" s="9">
        <v>41628</v>
      </c>
      <c r="C602">
        <v>20</v>
      </c>
    </row>
    <row r="603" spans="1:3" x14ac:dyDescent="0.25">
      <c r="A603" t="s">
        <v>98</v>
      </c>
      <c r="B603" s="9">
        <v>41513</v>
      </c>
      <c r="C603">
        <v>7</v>
      </c>
    </row>
    <row r="604" spans="1:3" x14ac:dyDescent="0.25">
      <c r="A604" t="s">
        <v>94</v>
      </c>
      <c r="B604" s="9">
        <v>41605</v>
      </c>
      <c r="C604">
        <v>20</v>
      </c>
    </row>
    <row r="605" spans="1:3" x14ac:dyDescent="0.25">
      <c r="A605" t="s">
        <v>94</v>
      </c>
      <c r="B605" s="9">
        <v>41356</v>
      </c>
      <c r="C605">
        <v>17</v>
      </c>
    </row>
    <row r="606" spans="1:3" x14ac:dyDescent="0.25">
      <c r="A606" t="s">
        <v>94</v>
      </c>
      <c r="B606" s="9">
        <v>41291</v>
      </c>
      <c r="C606">
        <v>9</v>
      </c>
    </row>
    <row r="607" spans="1:3" x14ac:dyDescent="0.25">
      <c r="A607" t="s">
        <v>100</v>
      </c>
      <c r="B607" s="9">
        <v>41484</v>
      </c>
      <c r="C607">
        <v>2</v>
      </c>
    </row>
    <row r="608" spans="1:3" x14ac:dyDescent="0.25">
      <c r="A608" t="s">
        <v>100</v>
      </c>
      <c r="B608" s="9">
        <v>41593</v>
      </c>
      <c r="C608">
        <v>17</v>
      </c>
    </row>
    <row r="609" spans="1:3" x14ac:dyDescent="0.25">
      <c r="A609" t="s">
        <v>100</v>
      </c>
      <c r="B609" s="9">
        <v>41429</v>
      </c>
      <c r="C609">
        <v>8</v>
      </c>
    </row>
    <row r="610" spans="1:3" x14ac:dyDescent="0.25">
      <c r="A610" t="s">
        <v>100</v>
      </c>
      <c r="B610" s="9">
        <v>41329</v>
      </c>
      <c r="C610">
        <v>6</v>
      </c>
    </row>
    <row r="611" spans="1:3" x14ac:dyDescent="0.25">
      <c r="A611" t="s">
        <v>98</v>
      </c>
      <c r="B611" s="9">
        <v>41518</v>
      </c>
      <c r="C611">
        <v>5</v>
      </c>
    </row>
    <row r="612" spans="1:3" x14ac:dyDescent="0.25">
      <c r="A612" t="s">
        <v>97</v>
      </c>
      <c r="B612" s="9">
        <v>41442</v>
      </c>
      <c r="C612">
        <v>14</v>
      </c>
    </row>
    <row r="613" spans="1:3" x14ac:dyDescent="0.25">
      <c r="A613" t="s">
        <v>95</v>
      </c>
      <c r="B613" s="9">
        <v>41623</v>
      </c>
      <c r="C613">
        <v>1</v>
      </c>
    </row>
    <row r="614" spans="1:3" x14ac:dyDescent="0.25">
      <c r="A614" t="s">
        <v>97</v>
      </c>
      <c r="B614" s="9">
        <v>41292</v>
      </c>
      <c r="C614">
        <v>14</v>
      </c>
    </row>
    <row r="615" spans="1:3" x14ac:dyDescent="0.25">
      <c r="A615" t="s">
        <v>98</v>
      </c>
      <c r="B615" s="9">
        <v>41370</v>
      </c>
      <c r="C615">
        <v>20</v>
      </c>
    </row>
    <row r="616" spans="1:3" x14ac:dyDescent="0.25">
      <c r="A616" t="s">
        <v>95</v>
      </c>
      <c r="B616" s="9">
        <v>41573</v>
      </c>
      <c r="C616">
        <v>18</v>
      </c>
    </row>
    <row r="617" spans="1:3" x14ac:dyDescent="0.25">
      <c r="A617" t="s">
        <v>97</v>
      </c>
      <c r="B617" s="9">
        <v>41471</v>
      </c>
      <c r="C617">
        <v>1</v>
      </c>
    </row>
    <row r="618" spans="1:3" x14ac:dyDescent="0.25">
      <c r="A618" t="s">
        <v>97</v>
      </c>
      <c r="B618" s="9">
        <v>41539</v>
      </c>
      <c r="C618">
        <v>19</v>
      </c>
    </row>
    <row r="619" spans="1:3" x14ac:dyDescent="0.25">
      <c r="A619" t="s">
        <v>94</v>
      </c>
      <c r="B619" s="9">
        <v>41482</v>
      </c>
      <c r="C619">
        <v>4</v>
      </c>
    </row>
    <row r="620" spans="1:3" x14ac:dyDescent="0.25">
      <c r="A620" t="s">
        <v>100</v>
      </c>
      <c r="B620" s="9">
        <v>41461</v>
      </c>
      <c r="C620">
        <v>8</v>
      </c>
    </row>
    <row r="621" spans="1:3" x14ac:dyDescent="0.25">
      <c r="A621" t="s">
        <v>100</v>
      </c>
      <c r="B621" s="9">
        <v>41363</v>
      </c>
      <c r="C621">
        <v>1</v>
      </c>
    </row>
    <row r="622" spans="1:3" x14ac:dyDescent="0.25">
      <c r="A622" t="s">
        <v>95</v>
      </c>
      <c r="B622" s="9">
        <v>41392</v>
      </c>
      <c r="C622">
        <v>13</v>
      </c>
    </row>
    <row r="623" spans="1:3" x14ac:dyDescent="0.25">
      <c r="A623" t="s">
        <v>96</v>
      </c>
      <c r="B623" s="9">
        <v>41589</v>
      </c>
      <c r="C623">
        <v>6</v>
      </c>
    </row>
    <row r="624" spans="1:3" x14ac:dyDescent="0.25">
      <c r="A624" t="s">
        <v>97</v>
      </c>
      <c r="B624" s="9">
        <v>41318</v>
      </c>
      <c r="C624">
        <v>6</v>
      </c>
    </row>
    <row r="625" spans="1:3" x14ac:dyDescent="0.25">
      <c r="A625" t="s">
        <v>95</v>
      </c>
      <c r="B625" s="9">
        <v>41446</v>
      </c>
      <c r="C625">
        <v>11</v>
      </c>
    </row>
    <row r="626" spans="1:3" x14ac:dyDescent="0.25">
      <c r="A626" t="s">
        <v>97</v>
      </c>
      <c r="B626" s="9">
        <v>41419</v>
      </c>
      <c r="C626">
        <v>10</v>
      </c>
    </row>
    <row r="627" spans="1:3" x14ac:dyDescent="0.25">
      <c r="A627" t="s">
        <v>94</v>
      </c>
      <c r="B627" s="9">
        <v>41529</v>
      </c>
      <c r="C627">
        <v>13</v>
      </c>
    </row>
    <row r="628" spans="1:3" x14ac:dyDescent="0.25">
      <c r="A628" t="s">
        <v>98</v>
      </c>
      <c r="B628" s="9">
        <v>41420</v>
      </c>
      <c r="C628">
        <v>4</v>
      </c>
    </row>
    <row r="629" spans="1:3" x14ac:dyDescent="0.25">
      <c r="A629" t="s">
        <v>98</v>
      </c>
      <c r="B629" s="9">
        <v>41491</v>
      </c>
      <c r="C629">
        <v>6</v>
      </c>
    </row>
    <row r="630" spans="1:3" x14ac:dyDescent="0.25">
      <c r="A630" t="s">
        <v>98</v>
      </c>
      <c r="B630" s="9">
        <v>41385</v>
      </c>
      <c r="C630">
        <v>5</v>
      </c>
    </row>
    <row r="631" spans="1:3" x14ac:dyDescent="0.25">
      <c r="A631" t="s">
        <v>99</v>
      </c>
      <c r="B631" s="9">
        <v>41561</v>
      </c>
      <c r="C631">
        <v>2</v>
      </c>
    </row>
    <row r="632" spans="1:3" x14ac:dyDescent="0.25">
      <c r="A632" t="s">
        <v>98</v>
      </c>
      <c r="B632" s="9">
        <v>41366</v>
      </c>
      <c r="C632">
        <v>18</v>
      </c>
    </row>
    <row r="633" spans="1:3" x14ac:dyDescent="0.25">
      <c r="A633" t="s">
        <v>100</v>
      </c>
      <c r="B633" s="9">
        <v>41600</v>
      </c>
      <c r="C633">
        <v>18</v>
      </c>
    </row>
    <row r="634" spans="1:3" x14ac:dyDescent="0.25">
      <c r="A634" t="s">
        <v>98</v>
      </c>
      <c r="B634" s="9">
        <v>41292</v>
      </c>
      <c r="C634">
        <v>13</v>
      </c>
    </row>
    <row r="635" spans="1:3" x14ac:dyDescent="0.25">
      <c r="A635" t="s">
        <v>98</v>
      </c>
      <c r="B635" s="9">
        <v>41531</v>
      </c>
      <c r="C635">
        <v>4</v>
      </c>
    </row>
    <row r="636" spans="1:3" x14ac:dyDescent="0.25">
      <c r="A636" t="s">
        <v>98</v>
      </c>
      <c r="B636" s="9">
        <v>41573</v>
      </c>
      <c r="C636">
        <v>15</v>
      </c>
    </row>
    <row r="637" spans="1:3" x14ac:dyDescent="0.25">
      <c r="A637" t="s">
        <v>94</v>
      </c>
      <c r="B637" s="9">
        <v>41467</v>
      </c>
      <c r="C637">
        <v>5</v>
      </c>
    </row>
    <row r="638" spans="1:3" x14ac:dyDescent="0.25">
      <c r="A638" t="s">
        <v>96</v>
      </c>
      <c r="B638" s="9">
        <v>41460</v>
      </c>
      <c r="C638">
        <v>7</v>
      </c>
    </row>
    <row r="639" spans="1:3" x14ac:dyDescent="0.25">
      <c r="A639" t="s">
        <v>99</v>
      </c>
      <c r="B639" s="9">
        <v>41620</v>
      </c>
      <c r="C639">
        <v>13</v>
      </c>
    </row>
    <row r="640" spans="1:3" x14ac:dyDescent="0.25">
      <c r="A640" t="s">
        <v>94</v>
      </c>
      <c r="B640" s="9">
        <v>41531</v>
      </c>
      <c r="C640">
        <v>8</v>
      </c>
    </row>
    <row r="641" spans="1:3" x14ac:dyDescent="0.25">
      <c r="A641" t="s">
        <v>99</v>
      </c>
      <c r="B641" s="9">
        <v>41496</v>
      </c>
      <c r="C641">
        <v>2</v>
      </c>
    </row>
    <row r="642" spans="1:3" x14ac:dyDescent="0.25">
      <c r="A642" t="s">
        <v>97</v>
      </c>
      <c r="B642" s="9">
        <v>41318</v>
      </c>
      <c r="C642">
        <v>3</v>
      </c>
    </row>
    <row r="643" spans="1:3" x14ac:dyDescent="0.25">
      <c r="A643" t="s">
        <v>96</v>
      </c>
      <c r="B643" s="9">
        <v>41604</v>
      </c>
      <c r="C643">
        <v>12</v>
      </c>
    </row>
    <row r="644" spans="1:3" x14ac:dyDescent="0.25">
      <c r="A644" t="s">
        <v>98</v>
      </c>
      <c r="B644" s="9">
        <v>41414</v>
      </c>
      <c r="C644">
        <v>18</v>
      </c>
    </row>
    <row r="645" spans="1:3" x14ac:dyDescent="0.25">
      <c r="A645" t="s">
        <v>97</v>
      </c>
      <c r="B645" s="9">
        <v>41392</v>
      </c>
      <c r="C645">
        <v>20</v>
      </c>
    </row>
    <row r="646" spans="1:3" x14ac:dyDescent="0.25">
      <c r="A646" t="s">
        <v>95</v>
      </c>
      <c r="B646" s="9">
        <v>41347</v>
      </c>
      <c r="C646">
        <v>14</v>
      </c>
    </row>
    <row r="647" spans="1:3" x14ac:dyDescent="0.25">
      <c r="A647" t="s">
        <v>99</v>
      </c>
      <c r="B647" s="9">
        <v>41635</v>
      </c>
      <c r="C647">
        <v>20</v>
      </c>
    </row>
    <row r="648" spans="1:3" x14ac:dyDescent="0.25">
      <c r="A648" t="s">
        <v>100</v>
      </c>
      <c r="B648" s="9">
        <v>41293</v>
      </c>
      <c r="C648">
        <v>12</v>
      </c>
    </row>
    <row r="649" spans="1:3" x14ac:dyDescent="0.25">
      <c r="A649" t="s">
        <v>99</v>
      </c>
      <c r="B649" s="9">
        <v>41358</v>
      </c>
      <c r="C649">
        <v>10</v>
      </c>
    </row>
    <row r="650" spans="1:3" x14ac:dyDescent="0.25">
      <c r="A650" t="s">
        <v>99</v>
      </c>
      <c r="B650" s="9">
        <v>41556</v>
      </c>
      <c r="C650">
        <v>11</v>
      </c>
    </row>
    <row r="651" spans="1:3" x14ac:dyDescent="0.25">
      <c r="A651" t="s">
        <v>97</v>
      </c>
      <c r="B651" s="9">
        <v>41408</v>
      </c>
      <c r="C651">
        <v>6</v>
      </c>
    </row>
    <row r="652" spans="1:3" x14ac:dyDescent="0.25">
      <c r="A652" t="s">
        <v>97</v>
      </c>
      <c r="B652" s="9">
        <v>41612</v>
      </c>
      <c r="C652">
        <v>11</v>
      </c>
    </row>
    <row r="653" spans="1:3" x14ac:dyDescent="0.25">
      <c r="A653" t="s">
        <v>94</v>
      </c>
      <c r="B653" s="9">
        <v>41606</v>
      </c>
      <c r="C653">
        <v>19</v>
      </c>
    </row>
    <row r="654" spans="1:3" x14ac:dyDescent="0.25">
      <c r="A654" t="s">
        <v>95</v>
      </c>
      <c r="B654" s="9">
        <v>41521</v>
      </c>
      <c r="C654">
        <v>15</v>
      </c>
    </row>
    <row r="655" spans="1:3" x14ac:dyDescent="0.25">
      <c r="A655" t="s">
        <v>98</v>
      </c>
      <c r="B655" s="9">
        <v>41356</v>
      </c>
      <c r="C655">
        <v>5</v>
      </c>
    </row>
    <row r="656" spans="1:3" x14ac:dyDescent="0.25">
      <c r="A656" t="s">
        <v>98</v>
      </c>
      <c r="B656" s="9">
        <v>41415</v>
      </c>
      <c r="C656">
        <v>10</v>
      </c>
    </row>
    <row r="657" spans="1:3" x14ac:dyDescent="0.25">
      <c r="A657" t="s">
        <v>95</v>
      </c>
      <c r="B657" s="9">
        <v>41454</v>
      </c>
      <c r="C657">
        <v>14</v>
      </c>
    </row>
    <row r="658" spans="1:3" x14ac:dyDescent="0.25">
      <c r="A658" t="s">
        <v>98</v>
      </c>
      <c r="B658" s="9">
        <v>41581</v>
      </c>
      <c r="C658">
        <v>5</v>
      </c>
    </row>
    <row r="659" spans="1:3" x14ac:dyDescent="0.25">
      <c r="A659" t="s">
        <v>100</v>
      </c>
      <c r="B659" s="9">
        <v>41349</v>
      </c>
      <c r="C659">
        <v>20</v>
      </c>
    </row>
    <row r="660" spans="1:3" x14ac:dyDescent="0.25">
      <c r="A660" t="s">
        <v>95</v>
      </c>
      <c r="B660" s="9">
        <v>41542</v>
      </c>
      <c r="C660">
        <v>8</v>
      </c>
    </row>
    <row r="661" spans="1:3" x14ac:dyDescent="0.25">
      <c r="A661" t="s">
        <v>97</v>
      </c>
      <c r="B661" s="9">
        <v>41596</v>
      </c>
      <c r="C661">
        <v>9</v>
      </c>
    </row>
    <row r="662" spans="1:3" x14ac:dyDescent="0.25">
      <c r="A662" t="s">
        <v>99</v>
      </c>
      <c r="B662" s="9">
        <v>41522</v>
      </c>
      <c r="C662">
        <v>18</v>
      </c>
    </row>
    <row r="663" spans="1:3" x14ac:dyDescent="0.25">
      <c r="A663" t="s">
        <v>99</v>
      </c>
      <c r="B663" s="9">
        <v>41531</v>
      </c>
      <c r="C663">
        <v>12</v>
      </c>
    </row>
    <row r="664" spans="1:3" x14ac:dyDescent="0.25">
      <c r="A664" t="s">
        <v>95</v>
      </c>
      <c r="B664" s="9">
        <v>41560</v>
      </c>
      <c r="C664">
        <v>3</v>
      </c>
    </row>
    <row r="665" spans="1:3" x14ac:dyDescent="0.25">
      <c r="A665" t="s">
        <v>96</v>
      </c>
      <c r="B665" s="9">
        <v>41488</v>
      </c>
      <c r="C665">
        <v>9</v>
      </c>
    </row>
    <row r="666" spans="1:3" x14ac:dyDescent="0.25">
      <c r="A666" t="s">
        <v>95</v>
      </c>
      <c r="B666" s="9">
        <v>41298</v>
      </c>
      <c r="C666">
        <v>2</v>
      </c>
    </row>
    <row r="667" spans="1:3" x14ac:dyDescent="0.25">
      <c r="A667" t="s">
        <v>99</v>
      </c>
      <c r="B667" s="9">
        <v>41300</v>
      </c>
      <c r="C667">
        <v>1</v>
      </c>
    </row>
    <row r="668" spans="1:3" x14ac:dyDescent="0.25">
      <c r="A668" t="s">
        <v>94</v>
      </c>
      <c r="B668" s="9">
        <v>41400</v>
      </c>
      <c r="C668">
        <v>10</v>
      </c>
    </row>
    <row r="669" spans="1:3" x14ac:dyDescent="0.25">
      <c r="A669" t="s">
        <v>98</v>
      </c>
      <c r="B669" s="9">
        <v>41312</v>
      </c>
      <c r="C669">
        <v>13</v>
      </c>
    </row>
    <row r="670" spans="1:3" x14ac:dyDescent="0.25">
      <c r="A670" t="s">
        <v>95</v>
      </c>
      <c r="B670" s="9">
        <v>41318</v>
      </c>
      <c r="C670">
        <v>7</v>
      </c>
    </row>
    <row r="671" spans="1:3" x14ac:dyDescent="0.25">
      <c r="A671" t="s">
        <v>96</v>
      </c>
      <c r="B671" s="9">
        <v>41605</v>
      </c>
      <c r="C671">
        <v>16</v>
      </c>
    </row>
    <row r="672" spans="1:3" x14ac:dyDescent="0.25">
      <c r="A672" t="s">
        <v>99</v>
      </c>
      <c r="B672" s="9">
        <v>41463</v>
      </c>
      <c r="C672">
        <v>3</v>
      </c>
    </row>
    <row r="673" spans="1:3" x14ac:dyDescent="0.25">
      <c r="A673" t="s">
        <v>99</v>
      </c>
      <c r="B673" s="9">
        <v>41498</v>
      </c>
      <c r="C673">
        <v>17</v>
      </c>
    </row>
    <row r="674" spans="1:3" x14ac:dyDescent="0.25">
      <c r="A674" t="s">
        <v>100</v>
      </c>
      <c r="B674" s="9">
        <v>41354</v>
      </c>
      <c r="C674">
        <v>1</v>
      </c>
    </row>
    <row r="675" spans="1:3" x14ac:dyDescent="0.25">
      <c r="A675" t="s">
        <v>96</v>
      </c>
      <c r="B675" s="9">
        <v>41388</v>
      </c>
      <c r="C675">
        <v>10</v>
      </c>
    </row>
    <row r="676" spans="1:3" x14ac:dyDescent="0.25">
      <c r="A676" t="s">
        <v>98</v>
      </c>
      <c r="B676" s="9">
        <v>41331</v>
      </c>
      <c r="C676">
        <v>18</v>
      </c>
    </row>
    <row r="677" spans="1:3" x14ac:dyDescent="0.25">
      <c r="A677" t="s">
        <v>99</v>
      </c>
      <c r="B677" s="9">
        <v>41434</v>
      </c>
      <c r="C677">
        <v>15</v>
      </c>
    </row>
    <row r="678" spans="1:3" x14ac:dyDescent="0.25">
      <c r="A678" t="s">
        <v>94</v>
      </c>
      <c r="B678" s="9">
        <v>41623</v>
      </c>
      <c r="C678">
        <v>16</v>
      </c>
    </row>
    <row r="679" spans="1:3" x14ac:dyDescent="0.25">
      <c r="A679" t="s">
        <v>99</v>
      </c>
      <c r="B679" s="9">
        <v>41309</v>
      </c>
      <c r="C679">
        <v>14</v>
      </c>
    </row>
    <row r="680" spans="1:3" x14ac:dyDescent="0.25">
      <c r="A680" t="s">
        <v>96</v>
      </c>
      <c r="B680" s="9">
        <v>41627</v>
      </c>
      <c r="C680">
        <v>8</v>
      </c>
    </row>
    <row r="681" spans="1:3" x14ac:dyDescent="0.25">
      <c r="A681" t="s">
        <v>100</v>
      </c>
      <c r="B681" s="9">
        <v>41484</v>
      </c>
      <c r="C681">
        <v>4</v>
      </c>
    </row>
    <row r="682" spans="1:3" x14ac:dyDescent="0.25">
      <c r="A682" t="s">
        <v>100</v>
      </c>
      <c r="B682" s="9">
        <v>41378</v>
      </c>
      <c r="C682">
        <v>7</v>
      </c>
    </row>
    <row r="683" spans="1:3" x14ac:dyDescent="0.25">
      <c r="A683" t="s">
        <v>95</v>
      </c>
      <c r="B683" s="9">
        <v>41450</v>
      </c>
      <c r="C683">
        <v>5</v>
      </c>
    </row>
    <row r="684" spans="1:3" x14ac:dyDescent="0.25">
      <c r="A684" t="s">
        <v>94</v>
      </c>
      <c r="B684" s="9">
        <v>41508</v>
      </c>
      <c r="C684">
        <v>3</v>
      </c>
    </row>
    <row r="685" spans="1:3" x14ac:dyDescent="0.25">
      <c r="A685" t="s">
        <v>100</v>
      </c>
      <c r="B685" s="9">
        <v>41373</v>
      </c>
      <c r="C685">
        <v>1</v>
      </c>
    </row>
    <row r="686" spans="1:3" x14ac:dyDescent="0.25">
      <c r="A686" t="s">
        <v>99</v>
      </c>
      <c r="B686" s="9">
        <v>41282</v>
      </c>
      <c r="C686">
        <v>7</v>
      </c>
    </row>
    <row r="687" spans="1:3" x14ac:dyDescent="0.25">
      <c r="A687" t="s">
        <v>94</v>
      </c>
      <c r="B687" s="9">
        <v>41589</v>
      </c>
      <c r="C687">
        <v>11</v>
      </c>
    </row>
    <row r="688" spans="1:3" x14ac:dyDescent="0.25">
      <c r="A688" t="s">
        <v>94</v>
      </c>
      <c r="B688" s="9">
        <v>41597</v>
      </c>
      <c r="C688">
        <v>17</v>
      </c>
    </row>
    <row r="689" spans="1:3" x14ac:dyDescent="0.25">
      <c r="A689" t="s">
        <v>98</v>
      </c>
      <c r="B689" s="9">
        <v>41594</v>
      </c>
      <c r="C689">
        <v>8</v>
      </c>
    </row>
    <row r="690" spans="1:3" x14ac:dyDescent="0.25">
      <c r="A690" t="s">
        <v>98</v>
      </c>
      <c r="B690" s="9">
        <v>41461</v>
      </c>
      <c r="C690">
        <v>11</v>
      </c>
    </row>
    <row r="691" spans="1:3" x14ac:dyDescent="0.25">
      <c r="A691" t="s">
        <v>95</v>
      </c>
      <c r="B691" s="9">
        <v>41354</v>
      </c>
      <c r="C691">
        <v>12</v>
      </c>
    </row>
    <row r="692" spans="1:3" x14ac:dyDescent="0.25">
      <c r="A692" t="s">
        <v>96</v>
      </c>
      <c r="B692" s="9">
        <v>41446</v>
      </c>
      <c r="C692">
        <v>4</v>
      </c>
    </row>
    <row r="693" spans="1:3" x14ac:dyDescent="0.25">
      <c r="A693" t="s">
        <v>98</v>
      </c>
      <c r="B693" s="9">
        <v>41586</v>
      </c>
      <c r="C693">
        <v>2</v>
      </c>
    </row>
    <row r="694" spans="1:3" x14ac:dyDescent="0.25">
      <c r="A694" t="s">
        <v>99</v>
      </c>
      <c r="B694" s="9">
        <v>41347</v>
      </c>
      <c r="C694">
        <v>7</v>
      </c>
    </row>
    <row r="695" spans="1:3" x14ac:dyDescent="0.25">
      <c r="A695" t="s">
        <v>98</v>
      </c>
      <c r="B695" s="9">
        <v>41386</v>
      </c>
      <c r="C695">
        <v>7</v>
      </c>
    </row>
    <row r="696" spans="1:3" x14ac:dyDescent="0.25">
      <c r="A696" t="s">
        <v>100</v>
      </c>
      <c r="B696" s="9">
        <v>41327</v>
      </c>
      <c r="C696">
        <v>4</v>
      </c>
    </row>
    <row r="697" spans="1:3" x14ac:dyDescent="0.25">
      <c r="A697" t="s">
        <v>95</v>
      </c>
      <c r="B697" s="9">
        <v>41426</v>
      </c>
      <c r="C697">
        <v>6</v>
      </c>
    </row>
    <row r="698" spans="1:3" x14ac:dyDescent="0.25">
      <c r="A698" t="s">
        <v>96</v>
      </c>
      <c r="B698" s="9">
        <v>41631</v>
      </c>
      <c r="C698">
        <v>10</v>
      </c>
    </row>
    <row r="699" spans="1:3" x14ac:dyDescent="0.25">
      <c r="A699" t="s">
        <v>97</v>
      </c>
      <c r="B699" s="9">
        <v>41610</v>
      </c>
      <c r="C699">
        <v>9</v>
      </c>
    </row>
    <row r="700" spans="1:3" x14ac:dyDescent="0.25">
      <c r="A700" t="s">
        <v>94</v>
      </c>
      <c r="B700" s="9">
        <v>41464</v>
      </c>
      <c r="C700">
        <v>17</v>
      </c>
    </row>
    <row r="701" spans="1:3" x14ac:dyDescent="0.25">
      <c r="A701" t="s">
        <v>100</v>
      </c>
      <c r="B701" s="9">
        <v>41587</v>
      </c>
      <c r="C701">
        <v>6</v>
      </c>
    </row>
    <row r="702" spans="1:3" x14ac:dyDescent="0.25">
      <c r="A702" t="s">
        <v>98</v>
      </c>
      <c r="B702" s="9">
        <v>41533</v>
      </c>
      <c r="C702">
        <v>5</v>
      </c>
    </row>
    <row r="703" spans="1:3" x14ac:dyDescent="0.25">
      <c r="A703" t="s">
        <v>98</v>
      </c>
      <c r="B703" s="9">
        <v>41433</v>
      </c>
      <c r="C703">
        <v>13</v>
      </c>
    </row>
    <row r="704" spans="1:3" x14ac:dyDescent="0.25">
      <c r="A704" t="s">
        <v>97</v>
      </c>
      <c r="B704" s="9">
        <v>41503</v>
      </c>
      <c r="C704">
        <v>2</v>
      </c>
    </row>
    <row r="705" spans="1:3" x14ac:dyDescent="0.25">
      <c r="A705" t="s">
        <v>99</v>
      </c>
      <c r="B705" s="9">
        <v>41578</v>
      </c>
      <c r="C705">
        <v>8</v>
      </c>
    </row>
    <row r="706" spans="1:3" x14ac:dyDescent="0.25">
      <c r="A706" t="s">
        <v>96</v>
      </c>
      <c r="B706" s="9">
        <v>41465</v>
      </c>
      <c r="C706">
        <v>8</v>
      </c>
    </row>
    <row r="707" spans="1:3" x14ac:dyDescent="0.25">
      <c r="A707" t="s">
        <v>100</v>
      </c>
      <c r="B707" s="9">
        <v>41402</v>
      </c>
      <c r="C707">
        <v>8</v>
      </c>
    </row>
    <row r="708" spans="1:3" x14ac:dyDescent="0.25">
      <c r="A708" t="s">
        <v>98</v>
      </c>
      <c r="B708" s="9">
        <v>41389</v>
      </c>
      <c r="C708">
        <v>15</v>
      </c>
    </row>
    <row r="709" spans="1:3" x14ac:dyDescent="0.25">
      <c r="A709" t="s">
        <v>97</v>
      </c>
      <c r="B709" s="9">
        <v>41420</v>
      </c>
      <c r="C709">
        <v>14</v>
      </c>
    </row>
    <row r="710" spans="1:3" x14ac:dyDescent="0.25">
      <c r="A710" t="s">
        <v>95</v>
      </c>
      <c r="B710" s="9">
        <v>41462</v>
      </c>
      <c r="C710">
        <v>2</v>
      </c>
    </row>
    <row r="711" spans="1:3" x14ac:dyDescent="0.25">
      <c r="A711" t="s">
        <v>99</v>
      </c>
      <c r="B711" s="9">
        <v>41434</v>
      </c>
      <c r="C711">
        <v>10</v>
      </c>
    </row>
    <row r="712" spans="1:3" x14ac:dyDescent="0.25">
      <c r="A712" t="s">
        <v>95</v>
      </c>
      <c r="B712" s="9">
        <v>41485</v>
      </c>
      <c r="C712">
        <v>1</v>
      </c>
    </row>
    <row r="713" spans="1:3" x14ac:dyDescent="0.25">
      <c r="A713" t="s">
        <v>94</v>
      </c>
      <c r="B713" s="9">
        <v>41403</v>
      </c>
      <c r="C713">
        <v>17</v>
      </c>
    </row>
    <row r="714" spans="1:3" x14ac:dyDescent="0.25">
      <c r="A714" t="s">
        <v>98</v>
      </c>
      <c r="B714" s="9">
        <v>41523</v>
      </c>
      <c r="C714">
        <v>4</v>
      </c>
    </row>
    <row r="715" spans="1:3" x14ac:dyDescent="0.25">
      <c r="A715" t="s">
        <v>100</v>
      </c>
      <c r="B715" s="9">
        <v>41279</v>
      </c>
      <c r="C715">
        <v>11</v>
      </c>
    </row>
    <row r="716" spans="1:3" x14ac:dyDescent="0.25">
      <c r="A716" t="s">
        <v>95</v>
      </c>
      <c r="B716" s="9">
        <v>41382</v>
      </c>
      <c r="C716">
        <v>13</v>
      </c>
    </row>
    <row r="717" spans="1:3" x14ac:dyDescent="0.25">
      <c r="A717" t="s">
        <v>100</v>
      </c>
      <c r="B717" s="9">
        <v>41582</v>
      </c>
      <c r="C717">
        <v>13</v>
      </c>
    </row>
    <row r="718" spans="1:3" x14ac:dyDescent="0.25">
      <c r="A718" t="s">
        <v>94</v>
      </c>
      <c r="B718" s="9">
        <v>41508</v>
      </c>
      <c r="C718">
        <v>20</v>
      </c>
    </row>
    <row r="719" spans="1:3" x14ac:dyDescent="0.25">
      <c r="A719" t="s">
        <v>99</v>
      </c>
      <c r="B719" s="9">
        <v>41299</v>
      </c>
      <c r="C719">
        <v>2</v>
      </c>
    </row>
    <row r="720" spans="1:3" x14ac:dyDescent="0.25">
      <c r="A720" t="s">
        <v>94</v>
      </c>
      <c r="B720" s="9">
        <v>41564</v>
      </c>
      <c r="C720">
        <v>11</v>
      </c>
    </row>
    <row r="721" spans="1:3" x14ac:dyDescent="0.25">
      <c r="A721" t="s">
        <v>98</v>
      </c>
      <c r="B721" s="9">
        <v>41618</v>
      </c>
      <c r="C721">
        <v>2</v>
      </c>
    </row>
    <row r="722" spans="1:3" x14ac:dyDescent="0.25">
      <c r="A722" t="s">
        <v>97</v>
      </c>
      <c r="B722" s="9">
        <v>41598</v>
      </c>
      <c r="C722">
        <v>12</v>
      </c>
    </row>
    <row r="723" spans="1:3" x14ac:dyDescent="0.25">
      <c r="A723" t="s">
        <v>98</v>
      </c>
      <c r="B723" s="9">
        <v>41628</v>
      </c>
      <c r="C723">
        <v>1</v>
      </c>
    </row>
    <row r="724" spans="1:3" x14ac:dyDescent="0.25">
      <c r="A724" t="s">
        <v>94</v>
      </c>
      <c r="B724" s="9">
        <v>41402</v>
      </c>
      <c r="C724">
        <v>8</v>
      </c>
    </row>
    <row r="725" spans="1:3" x14ac:dyDescent="0.25">
      <c r="A725" t="s">
        <v>97</v>
      </c>
      <c r="B725" s="9">
        <v>41514</v>
      </c>
      <c r="C725">
        <v>8</v>
      </c>
    </row>
    <row r="726" spans="1:3" x14ac:dyDescent="0.25">
      <c r="A726" t="s">
        <v>94</v>
      </c>
      <c r="B726" s="9">
        <v>41563</v>
      </c>
      <c r="C726">
        <v>13</v>
      </c>
    </row>
    <row r="727" spans="1:3" x14ac:dyDescent="0.25">
      <c r="A727" t="s">
        <v>95</v>
      </c>
      <c r="B727" s="9">
        <v>41328</v>
      </c>
      <c r="C727">
        <v>20</v>
      </c>
    </row>
    <row r="728" spans="1:3" x14ac:dyDescent="0.25">
      <c r="A728" t="s">
        <v>97</v>
      </c>
      <c r="B728" s="9">
        <v>41299</v>
      </c>
      <c r="C728">
        <v>16</v>
      </c>
    </row>
    <row r="729" spans="1:3" x14ac:dyDescent="0.25">
      <c r="A729" t="s">
        <v>98</v>
      </c>
      <c r="B729" s="9">
        <v>41493</v>
      </c>
      <c r="C729">
        <v>2</v>
      </c>
    </row>
    <row r="730" spans="1:3" x14ac:dyDescent="0.25">
      <c r="A730" t="s">
        <v>99</v>
      </c>
      <c r="B730" s="9">
        <v>41504</v>
      </c>
      <c r="C730">
        <v>18</v>
      </c>
    </row>
    <row r="731" spans="1:3" x14ac:dyDescent="0.25">
      <c r="A731" t="s">
        <v>99</v>
      </c>
      <c r="B731" s="9">
        <v>41478</v>
      </c>
      <c r="C731">
        <v>4</v>
      </c>
    </row>
    <row r="732" spans="1:3" x14ac:dyDescent="0.25">
      <c r="A732" t="s">
        <v>100</v>
      </c>
      <c r="B732" s="9">
        <v>41419</v>
      </c>
      <c r="C732">
        <v>8</v>
      </c>
    </row>
    <row r="733" spans="1:3" x14ac:dyDescent="0.25">
      <c r="A733" t="s">
        <v>95</v>
      </c>
      <c r="B733" s="9">
        <v>41308</v>
      </c>
      <c r="C733">
        <v>15</v>
      </c>
    </row>
    <row r="734" spans="1:3" x14ac:dyDescent="0.25">
      <c r="A734" t="s">
        <v>94</v>
      </c>
      <c r="B734" s="9">
        <v>41357</v>
      </c>
      <c r="C734">
        <v>16</v>
      </c>
    </row>
    <row r="735" spans="1:3" x14ac:dyDescent="0.25">
      <c r="A735" t="s">
        <v>94</v>
      </c>
      <c r="B735" s="9">
        <v>41387</v>
      </c>
      <c r="C735">
        <v>16</v>
      </c>
    </row>
    <row r="736" spans="1:3" x14ac:dyDescent="0.25">
      <c r="A736" t="s">
        <v>96</v>
      </c>
      <c r="B736" s="9">
        <v>41284</v>
      </c>
      <c r="C736">
        <v>6</v>
      </c>
    </row>
    <row r="737" spans="1:3" x14ac:dyDescent="0.25">
      <c r="A737" t="s">
        <v>98</v>
      </c>
      <c r="B737" s="9">
        <v>41331</v>
      </c>
      <c r="C737">
        <v>11</v>
      </c>
    </row>
    <row r="738" spans="1:3" x14ac:dyDescent="0.25">
      <c r="A738" t="s">
        <v>100</v>
      </c>
      <c r="B738" s="9">
        <v>41415</v>
      </c>
      <c r="C738">
        <v>10</v>
      </c>
    </row>
    <row r="739" spans="1:3" x14ac:dyDescent="0.25">
      <c r="A739" t="s">
        <v>99</v>
      </c>
      <c r="B739" s="9">
        <v>41349</v>
      </c>
      <c r="C739">
        <v>14</v>
      </c>
    </row>
    <row r="740" spans="1:3" x14ac:dyDescent="0.25">
      <c r="A740" t="s">
        <v>94</v>
      </c>
      <c r="B740" s="9">
        <v>41595</v>
      </c>
      <c r="C740">
        <v>13</v>
      </c>
    </row>
    <row r="741" spans="1:3" x14ac:dyDescent="0.25">
      <c r="A741" t="s">
        <v>98</v>
      </c>
      <c r="B741" s="9">
        <v>41603</v>
      </c>
      <c r="C741">
        <v>18</v>
      </c>
    </row>
    <row r="742" spans="1:3" x14ac:dyDescent="0.25">
      <c r="A742" t="s">
        <v>98</v>
      </c>
      <c r="B742" s="9">
        <v>41559</v>
      </c>
      <c r="C742">
        <v>10</v>
      </c>
    </row>
    <row r="743" spans="1:3" x14ac:dyDescent="0.25">
      <c r="A743" t="s">
        <v>98</v>
      </c>
      <c r="B743" s="9">
        <v>41602</v>
      </c>
      <c r="C743">
        <v>15</v>
      </c>
    </row>
    <row r="744" spans="1:3" x14ac:dyDescent="0.25">
      <c r="A744" t="s">
        <v>95</v>
      </c>
      <c r="B744" s="9">
        <v>41556</v>
      </c>
      <c r="C744">
        <v>12</v>
      </c>
    </row>
    <row r="745" spans="1:3" x14ac:dyDescent="0.25">
      <c r="A745" t="s">
        <v>100</v>
      </c>
      <c r="B745" s="9">
        <v>41428</v>
      </c>
      <c r="C745">
        <v>9</v>
      </c>
    </row>
    <row r="746" spans="1:3" x14ac:dyDescent="0.25">
      <c r="A746" t="s">
        <v>100</v>
      </c>
      <c r="B746" s="9">
        <v>41308</v>
      </c>
      <c r="C746">
        <v>1</v>
      </c>
    </row>
    <row r="747" spans="1:3" x14ac:dyDescent="0.25">
      <c r="A747" t="s">
        <v>96</v>
      </c>
      <c r="B747" s="9">
        <v>41417</v>
      </c>
      <c r="C747">
        <v>8</v>
      </c>
    </row>
    <row r="748" spans="1:3" x14ac:dyDescent="0.25">
      <c r="A748" t="s">
        <v>99</v>
      </c>
      <c r="B748" s="9">
        <v>41341</v>
      </c>
      <c r="C748">
        <v>6</v>
      </c>
    </row>
    <row r="749" spans="1:3" x14ac:dyDescent="0.25">
      <c r="A749" t="s">
        <v>96</v>
      </c>
      <c r="B749" s="9">
        <v>41414</v>
      </c>
      <c r="C749">
        <v>14</v>
      </c>
    </row>
    <row r="750" spans="1:3" x14ac:dyDescent="0.25">
      <c r="A750" t="s">
        <v>99</v>
      </c>
      <c r="B750" s="9">
        <v>41380</v>
      </c>
      <c r="C750">
        <v>14</v>
      </c>
    </row>
    <row r="751" spans="1:3" x14ac:dyDescent="0.25">
      <c r="A751" t="s">
        <v>97</v>
      </c>
      <c r="B751" s="9">
        <v>41583</v>
      </c>
      <c r="C751">
        <v>12</v>
      </c>
    </row>
    <row r="752" spans="1:3" x14ac:dyDescent="0.25">
      <c r="A752" t="s">
        <v>99</v>
      </c>
      <c r="B752" s="9">
        <v>41302</v>
      </c>
      <c r="C752">
        <v>2</v>
      </c>
    </row>
    <row r="753" spans="1:3" x14ac:dyDescent="0.25">
      <c r="A753" t="s">
        <v>100</v>
      </c>
      <c r="B753" s="9">
        <v>41371</v>
      </c>
      <c r="C753">
        <v>10</v>
      </c>
    </row>
    <row r="754" spans="1:3" x14ac:dyDescent="0.25">
      <c r="A754" t="s">
        <v>95</v>
      </c>
      <c r="B754" s="9">
        <v>41625</v>
      </c>
      <c r="C754">
        <v>7</v>
      </c>
    </row>
    <row r="755" spans="1:3" x14ac:dyDescent="0.25">
      <c r="A755" t="s">
        <v>94</v>
      </c>
      <c r="B755" s="9">
        <v>41544</v>
      </c>
      <c r="C755">
        <v>14</v>
      </c>
    </row>
    <row r="756" spans="1:3" x14ac:dyDescent="0.25">
      <c r="A756" t="s">
        <v>94</v>
      </c>
      <c r="B756" s="9">
        <v>41367</v>
      </c>
      <c r="C756">
        <v>17</v>
      </c>
    </row>
    <row r="757" spans="1:3" x14ac:dyDescent="0.25">
      <c r="A757" t="s">
        <v>100</v>
      </c>
      <c r="B757" s="9">
        <v>41441</v>
      </c>
      <c r="C757">
        <v>5</v>
      </c>
    </row>
    <row r="758" spans="1:3" x14ac:dyDescent="0.25">
      <c r="A758" t="s">
        <v>96</v>
      </c>
      <c r="B758" s="9">
        <v>41278</v>
      </c>
      <c r="C758">
        <v>16</v>
      </c>
    </row>
    <row r="759" spans="1:3" x14ac:dyDescent="0.25">
      <c r="A759" t="s">
        <v>96</v>
      </c>
      <c r="B759" s="9">
        <v>41414</v>
      </c>
      <c r="C759">
        <v>13</v>
      </c>
    </row>
    <row r="760" spans="1:3" x14ac:dyDescent="0.25">
      <c r="A760" t="s">
        <v>99</v>
      </c>
      <c r="B760" s="9">
        <v>41431</v>
      </c>
      <c r="C760">
        <v>2</v>
      </c>
    </row>
    <row r="761" spans="1:3" x14ac:dyDescent="0.25">
      <c r="A761" t="s">
        <v>96</v>
      </c>
      <c r="B761" s="9">
        <v>41500</v>
      </c>
      <c r="C761">
        <v>14</v>
      </c>
    </row>
    <row r="762" spans="1:3" x14ac:dyDescent="0.25">
      <c r="A762" t="s">
        <v>100</v>
      </c>
      <c r="B762" s="9">
        <v>41584</v>
      </c>
      <c r="C762">
        <v>4</v>
      </c>
    </row>
    <row r="763" spans="1:3" x14ac:dyDescent="0.25">
      <c r="A763" t="s">
        <v>94</v>
      </c>
      <c r="B763" s="9">
        <v>41393</v>
      </c>
      <c r="C763">
        <v>5</v>
      </c>
    </row>
    <row r="764" spans="1:3" x14ac:dyDescent="0.25">
      <c r="A764" t="s">
        <v>98</v>
      </c>
      <c r="B764" s="9">
        <v>41303</v>
      </c>
      <c r="C764">
        <v>8</v>
      </c>
    </row>
    <row r="765" spans="1:3" x14ac:dyDescent="0.25">
      <c r="A765" t="s">
        <v>96</v>
      </c>
      <c r="B765" s="9">
        <v>41566</v>
      </c>
      <c r="C765">
        <v>14</v>
      </c>
    </row>
    <row r="766" spans="1:3" x14ac:dyDescent="0.25">
      <c r="A766" t="s">
        <v>98</v>
      </c>
      <c r="B766" s="9">
        <v>41569</v>
      </c>
      <c r="C766">
        <v>1</v>
      </c>
    </row>
    <row r="767" spans="1:3" x14ac:dyDescent="0.25">
      <c r="A767" t="s">
        <v>99</v>
      </c>
      <c r="B767" s="9">
        <v>41571</v>
      </c>
      <c r="C767">
        <v>14</v>
      </c>
    </row>
    <row r="768" spans="1:3" x14ac:dyDescent="0.25">
      <c r="A768" t="s">
        <v>97</v>
      </c>
      <c r="B768" s="9">
        <v>41419</v>
      </c>
      <c r="C768">
        <v>4</v>
      </c>
    </row>
    <row r="769" spans="1:3" x14ac:dyDescent="0.25">
      <c r="A769" t="s">
        <v>97</v>
      </c>
      <c r="B769" s="9">
        <v>41639</v>
      </c>
      <c r="C769">
        <v>8</v>
      </c>
    </row>
    <row r="770" spans="1:3" x14ac:dyDescent="0.25">
      <c r="A770" t="s">
        <v>99</v>
      </c>
      <c r="B770" s="9">
        <v>41417</v>
      </c>
      <c r="C770">
        <v>6</v>
      </c>
    </row>
    <row r="771" spans="1:3" x14ac:dyDescent="0.25">
      <c r="A771" t="s">
        <v>100</v>
      </c>
      <c r="B771" s="9">
        <v>41591</v>
      </c>
      <c r="C771">
        <v>5</v>
      </c>
    </row>
    <row r="772" spans="1:3" x14ac:dyDescent="0.25">
      <c r="A772" t="s">
        <v>99</v>
      </c>
      <c r="B772" s="9">
        <v>41305</v>
      </c>
      <c r="C772">
        <v>10</v>
      </c>
    </row>
    <row r="773" spans="1:3" x14ac:dyDescent="0.25">
      <c r="A773" t="s">
        <v>99</v>
      </c>
      <c r="B773" s="9">
        <v>41278</v>
      </c>
      <c r="C773">
        <v>8</v>
      </c>
    </row>
    <row r="774" spans="1:3" x14ac:dyDescent="0.25">
      <c r="A774" t="s">
        <v>98</v>
      </c>
      <c r="B774" s="9">
        <v>41405</v>
      </c>
      <c r="C774">
        <v>9</v>
      </c>
    </row>
    <row r="775" spans="1:3" x14ac:dyDescent="0.25">
      <c r="A775" t="s">
        <v>99</v>
      </c>
      <c r="B775" s="9">
        <v>41627</v>
      </c>
      <c r="C775">
        <v>5</v>
      </c>
    </row>
    <row r="776" spans="1:3" x14ac:dyDescent="0.25">
      <c r="A776" t="s">
        <v>99</v>
      </c>
      <c r="B776" s="9">
        <v>41598</v>
      </c>
      <c r="C776">
        <v>7</v>
      </c>
    </row>
    <row r="777" spans="1:3" x14ac:dyDescent="0.25">
      <c r="A777" t="s">
        <v>94</v>
      </c>
      <c r="B777" s="9">
        <v>41329</v>
      </c>
      <c r="C777">
        <v>14</v>
      </c>
    </row>
    <row r="778" spans="1:3" x14ac:dyDescent="0.25">
      <c r="A778" t="s">
        <v>94</v>
      </c>
      <c r="B778" s="9">
        <v>41567</v>
      </c>
      <c r="C778">
        <v>11</v>
      </c>
    </row>
    <row r="779" spans="1:3" x14ac:dyDescent="0.25">
      <c r="A779" t="s">
        <v>96</v>
      </c>
      <c r="B779" s="9">
        <v>41630</v>
      </c>
      <c r="C779">
        <v>16</v>
      </c>
    </row>
    <row r="780" spans="1:3" x14ac:dyDescent="0.25">
      <c r="A780" t="s">
        <v>97</v>
      </c>
      <c r="B780" s="9">
        <v>41403</v>
      </c>
      <c r="C780">
        <v>8</v>
      </c>
    </row>
    <row r="781" spans="1:3" x14ac:dyDescent="0.25">
      <c r="A781" t="s">
        <v>95</v>
      </c>
      <c r="B781" s="9">
        <v>41564</v>
      </c>
      <c r="C781">
        <v>5</v>
      </c>
    </row>
    <row r="782" spans="1:3" x14ac:dyDescent="0.25">
      <c r="A782" t="s">
        <v>97</v>
      </c>
      <c r="B782" s="9">
        <v>41611</v>
      </c>
      <c r="C782">
        <v>17</v>
      </c>
    </row>
    <row r="783" spans="1:3" x14ac:dyDescent="0.25">
      <c r="A783" t="s">
        <v>94</v>
      </c>
      <c r="B783" s="9">
        <v>41561</v>
      </c>
      <c r="C783">
        <v>12</v>
      </c>
    </row>
    <row r="784" spans="1:3" x14ac:dyDescent="0.25">
      <c r="A784" t="s">
        <v>95</v>
      </c>
      <c r="B784" s="9">
        <v>41295</v>
      </c>
      <c r="C784">
        <v>16</v>
      </c>
    </row>
    <row r="785" spans="1:3" x14ac:dyDescent="0.25">
      <c r="A785" t="s">
        <v>99</v>
      </c>
      <c r="B785" s="9">
        <v>41436</v>
      </c>
      <c r="C785">
        <v>3</v>
      </c>
    </row>
    <row r="786" spans="1:3" x14ac:dyDescent="0.25">
      <c r="A786" t="s">
        <v>96</v>
      </c>
      <c r="B786" s="9">
        <v>41557</v>
      </c>
      <c r="C786">
        <v>8</v>
      </c>
    </row>
    <row r="787" spans="1:3" x14ac:dyDescent="0.25">
      <c r="A787" t="s">
        <v>100</v>
      </c>
      <c r="B787" s="9">
        <v>41608</v>
      </c>
      <c r="C787">
        <v>12</v>
      </c>
    </row>
    <row r="788" spans="1:3" x14ac:dyDescent="0.25">
      <c r="A788" t="s">
        <v>98</v>
      </c>
      <c r="B788" s="9">
        <v>41599</v>
      </c>
      <c r="C788">
        <v>7</v>
      </c>
    </row>
    <row r="789" spans="1:3" x14ac:dyDescent="0.25">
      <c r="A789" t="s">
        <v>94</v>
      </c>
      <c r="B789" s="9">
        <v>41541</v>
      </c>
      <c r="C789">
        <v>5</v>
      </c>
    </row>
    <row r="790" spans="1:3" x14ac:dyDescent="0.25">
      <c r="A790" t="s">
        <v>94</v>
      </c>
      <c r="B790" s="9">
        <v>41616</v>
      </c>
      <c r="C790">
        <v>4</v>
      </c>
    </row>
    <row r="791" spans="1:3" x14ac:dyDescent="0.25">
      <c r="A791" t="s">
        <v>95</v>
      </c>
      <c r="B791" s="9">
        <v>41625</v>
      </c>
      <c r="C791">
        <v>4</v>
      </c>
    </row>
    <row r="792" spans="1:3" x14ac:dyDescent="0.25">
      <c r="A792" t="s">
        <v>95</v>
      </c>
      <c r="B792" s="9">
        <v>41526</v>
      </c>
      <c r="C792">
        <v>9</v>
      </c>
    </row>
    <row r="793" spans="1:3" x14ac:dyDescent="0.25">
      <c r="A793" t="s">
        <v>97</v>
      </c>
      <c r="B793" s="9">
        <v>41616</v>
      </c>
      <c r="C793">
        <v>16</v>
      </c>
    </row>
    <row r="794" spans="1:3" x14ac:dyDescent="0.25">
      <c r="A794" t="s">
        <v>96</v>
      </c>
      <c r="B794" s="9">
        <v>41612</v>
      </c>
      <c r="C794">
        <v>12</v>
      </c>
    </row>
    <row r="795" spans="1:3" x14ac:dyDescent="0.25">
      <c r="A795" t="s">
        <v>97</v>
      </c>
      <c r="B795" s="9">
        <v>41379</v>
      </c>
      <c r="C795">
        <v>14</v>
      </c>
    </row>
    <row r="796" spans="1:3" x14ac:dyDescent="0.25">
      <c r="A796" t="s">
        <v>96</v>
      </c>
      <c r="B796" s="9">
        <v>41315</v>
      </c>
      <c r="C796">
        <v>9</v>
      </c>
    </row>
    <row r="797" spans="1:3" x14ac:dyDescent="0.25">
      <c r="A797" t="s">
        <v>95</v>
      </c>
      <c r="B797" s="9">
        <v>41382</v>
      </c>
      <c r="C797">
        <v>13</v>
      </c>
    </row>
    <row r="798" spans="1:3" x14ac:dyDescent="0.25">
      <c r="A798" t="s">
        <v>98</v>
      </c>
      <c r="B798" s="9">
        <v>41533</v>
      </c>
      <c r="C798">
        <v>6</v>
      </c>
    </row>
    <row r="799" spans="1:3" x14ac:dyDescent="0.25">
      <c r="A799" t="s">
        <v>96</v>
      </c>
      <c r="B799" s="9">
        <v>41451</v>
      </c>
      <c r="C799">
        <v>15</v>
      </c>
    </row>
    <row r="800" spans="1:3" x14ac:dyDescent="0.25">
      <c r="A800" t="s">
        <v>95</v>
      </c>
      <c r="B800" s="9">
        <v>41295</v>
      </c>
      <c r="C800">
        <v>5</v>
      </c>
    </row>
    <row r="801" spans="1:3" x14ac:dyDescent="0.25">
      <c r="A801" t="s">
        <v>99</v>
      </c>
      <c r="B801" s="9">
        <v>41467</v>
      </c>
      <c r="C801">
        <v>17</v>
      </c>
    </row>
    <row r="802" spans="1:3" x14ac:dyDescent="0.25">
      <c r="A802" t="s">
        <v>94</v>
      </c>
      <c r="B802" s="9">
        <v>41538</v>
      </c>
      <c r="C802">
        <v>19</v>
      </c>
    </row>
    <row r="803" spans="1:3" x14ac:dyDescent="0.25">
      <c r="A803" t="s">
        <v>99</v>
      </c>
      <c r="B803" s="9">
        <v>41359</v>
      </c>
      <c r="C803">
        <v>19</v>
      </c>
    </row>
    <row r="804" spans="1:3" x14ac:dyDescent="0.25">
      <c r="A804" t="s">
        <v>96</v>
      </c>
      <c r="B804" s="9">
        <v>41418</v>
      </c>
      <c r="C804">
        <v>11</v>
      </c>
    </row>
    <row r="805" spans="1:3" x14ac:dyDescent="0.25">
      <c r="A805" t="s">
        <v>97</v>
      </c>
      <c r="B805" s="9">
        <v>41539</v>
      </c>
      <c r="C805">
        <v>16</v>
      </c>
    </row>
    <row r="806" spans="1:3" x14ac:dyDescent="0.25">
      <c r="A806" t="s">
        <v>99</v>
      </c>
      <c r="B806" s="9">
        <v>41446</v>
      </c>
      <c r="C806">
        <v>9</v>
      </c>
    </row>
    <row r="807" spans="1:3" x14ac:dyDescent="0.25">
      <c r="A807" t="s">
        <v>97</v>
      </c>
      <c r="B807" s="9">
        <v>41561</v>
      </c>
      <c r="C807">
        <v>17</v>
      </c>
    </row>
    <row r="808" spans="1:3" x14ac:dyDescent="0.25">
      <c r="A808" t="s">
        <v>94</v>
      </c>
      <c r="B808" s="9">
        <v>41300</v>
      </c>
      <c r="C808">
        <v>14</v>
      </c>
    </row>
    <row r="809" spans="1:3" x14ac:dyDescent="0.25">
      <c r="A809" t="s">
        <v>94</v>
      </c>
      <c r="B809" s="9">
        <v>41436</v>
      </c>
      <c r="C809">
        <v>8</v>
      </c>
    </row>
    <row r="810" spans="1:3" x14ac:dyDescent="0.25">
      <c r="A810" t="s">
        <v>100</v>
      </c>
      <c r="B810" s="9">
        <v>41485</v>
      </c>
      <c r="C810">
        <v>9</v>
      </c>
    </row>
    <row r="811" spans="1:3" x14ac:dyDescent="0.25">
      <c r="A811" t="s">
        <v>96</v>
      </c>
      <c r="B811" s="9">
        <v>41385</v>
      </c>
      <c r="C811">
        <v>9</v>
      </c>
    </row>
    <row r="812" spans="1:3" x14ac:dyDescent="0.25">
      <c r="A812" t="s">
        <v>98</v>
      </c>
      <c r="B812" s="9">
        <v>41420</v>
      </c>
      <c r="C812">
        <v>1</v>
      </c>
    </row>
    <row r="813" spans="1:3" x14ac:dyDescent="0.25">
      <c r="A813" t="s">
        <v>98</v>
      </c>
      <c r="B813" s="9">
        <v>41632</v>
      </c>
      <c r="C813">
        <v>6</v>
      </c>
    </row>
    <row r="814" spans="1:3" x14ac:dyDescent="0.25">
      <c r="A814" t="s">
        <v>96</v>
      </c>
      <c r="B814" s="9">
        <v>41518</v>
      </c>
      <c r="C814">
        <v>5</v>
      </c>
    </row>
    <row r="815" spans="1:3" x14ac:dyDescent="0.25">
      <c r="A815" t="s">
        <v>100</v>
      </c>
      <c r="B815" s="9">
        <v>41407</v>
      </c>
      <c r="C815">
        <v>1</v>
      </c>
    </row>
    <row r="816" spans="1:3" x14ac:dyDescent="0.25">
      <c r="A816" t="s">
        <v>99</v>
      </c>
      <c r="B816" s="9">
        <v>41428</v>
      </c>
      <c r="C816">
        <v>15</v>
      </c>
    </row>
    <row r="817" spans="1:3" x14ac:dyDescent="0.25">
      <c r="A817" t="s">
        <v>100</v>
      </c>
      <c r="B817" s="9">
        <v>41636</v>
      </c>
      <c r="C817">
        <v>18</v>
      </c>
    </row>
    <row r="818" spans="1:3" x14ac:dyDescent="0.25">
      <c r="A818" t="s">
        <v>96</v>
      </c>
      <c r="B818" s="9">
        <v>41603</v>
      </c>
      <c r="C818">
        <v>9</v>
      </c>
    </row>
    <row r="819" spans="1:3" x14ac:dyDescent="0.25">
      <c r="A819" t="s">
        <v>96</v>
      </c>
      <c r="B819" s="9">
        <v>41428</v>
      </c>
      <c r="C819">
        <v>1</v>
      </c>
    </row>
    <row r="820" spans="1:3" x14ac:dyDescent="0.25">
      <c r="A820" t="s">
        <v>99</v>
      </c>
      <c r="B820" s="9">
        <v>41425</v>
      </c>
      <c r="C820">
        <v>17</v>
      </c>
    </row>
    <row r="821" spans="1:3" x14ac:dyDescent="0.25">
      <c r="A821" t="s">
        <v>97</v>
      </c>
      <c r="B821" s="9">
        <v>41325</v>
      </c>
      <c r="C821">
        <v>20</v>
      </c>
    </row>
    <row r="822" spans="1:3" x14ac:dyDescent="0.25">
      <c r="A822" t="s">
        <v>98</v>
      </c>
      <c r="B822" s="9">
        <v>41548</v>
      </c>
      <c r="C822">
        <v>20</v>
      </c>
    </row>
    <row r="823" spans="1:3" x14ac:dyDescent="0.25">
      <c r="A823" t="s">
        <v>94</v>
      </c>
      <c r="B823" s="9">
        <v>41517</v>
      </c>
      <c r="C823">
        <v>18</v>
      </c>
    </row>
    <row r="824" spans="1:3" x14ac:dyDescent="0.25">
      <c r="A824" t="s">
        <v>94</v>
      </c>
      <c r="B824" s="9">
        <v>41379</v>
      </c>
      <c r="C824">
        <v>13</v>
      </c>
    </row>
    <row r="825" spans="1:3" x14ac:dyDescent="0.25">
      <c r="A825" t="s">
        <v>94</v>
      </c>
      <c r="B825" s="9">
        <v>41597</v>
      </c>
      <c r="C825">
        <v>13</v>
      </c>
    </row>
    <row r="826" spans="1:3" x14ac:dyDescent="0.25">
      <c r="A826" t="s">
        <v>99</v>
      </c>
      <c r="B826" s="9">
        <v>41377</v>
      </c>
      <c r="C826">
        <v>15</v>
      </c>
    </row>
    <row r="827" spans="1:3" x14ac:dyDescent="0.25">
      <c r="A827" t="s">
        <v>96</v>
      </c>
      <c r="B827" s="9">
        <v>41454</v>
      </c>
      <c r="C827">
        <v>1</v>
      </c>
    </row>
    <row r="828" spans="1:3" x14ac:dyDescent="0.25">
      <c r="A828" t="s">
        <v>99</v>
      </c>
      <c r="B828" s="9">
        <v>41523</v>
      </c>
      <c r="C828">
        <v>2</v>
      </c>
    </row>
    <row r="829" spans="1:3" x14ac:dyDescent="0.25">
      <c r="A829" t="s">
        <v>96</v>
      </c>
      <c r="B829" s="9">
        <v>41428</v>
      </c>
      <c r="C829">
        <v>3</v>
      </c>
    </row>
    <row r="830" spans="1:3" x14ac:dyDescent="0.25">
      <c r="A830" t="s">
        <v>94</v>
      </c>
      <c r="B830" s="9">
        <v>41356</v>
      </c>
      <c r="C830">
        <v>4</v>
      </c>
    </row>
    <row r="831" spans="1:3" x14ac:dyDescent="0.25">
      <c r="A831" t="s">
        <v>98</v>
      </c>
      <c r="B831" s="9">
        <v>41348</v>
      </c>
      <c r="C831">
        <v>9</v>
      </c>
    </row>
    <row r="832" spans="1:3" x14ac:dyDescent="0.25">
      <c r="A832" t="s">
        <v>97</v>
      </c>
      <c r="B832" s="9">
        <v>41549</v>
      </c>
      <c r="C832">
        <v>9</v>
      </c>
    </row>
    <row r="833" spans="1:3" x14ac:dyDescent="0.25">
      <c r="A833" t="s">
        <v>98</v>
      </c>
      <c r="B833" s="9">
        <v>41313</v>
      </c>
      <c r="C833">
        <v>17</v>
      </c>
    </row>
    <row r="834" spans="1:3" x14ac:dyDescent="0.25">
      <c r="A834" t="s">
        <v>99</v>
      </c>
      <c r="B834" s="9">
        <v>41629</v>
      </c>
      <c r="C834">
        <v>7</v>
      </c>
    </row>
    <row r="835" spans="1:3" x14ac:dyDescent="0.25">
      <c r="A835" t="s">
        <v>100</v>
      </c>
      <c r="B835" s="9">
        <v>41323</v>
      </c>
      <c r="C835">
        <v>15</v>
      </c>
    </row>
    <row r="836" spans="1:3" x14ac:dyDescent="0.25">
      <c r="A836" t="s">
        <v>94</v>
      </c>
      <c r="B836" s="9">
        <v>41585</v>
      </c>
      <c r="C836">
        <v>6</v>
      </c>
    </row>
    <row r="837" spans="1:3" x14ac:dyDescent="0.25">
      <c r="A837" t="s">
        <v>95</v>
      </c>
      <c r="B837" s="9">
        <v>41570</v>
      </c>
      <c r="C837">
        <v>20</v>
      </c>
    </row>
    <row r="838" spans="1:3" x14ac:dyDescent="0.25">
      <c r="A838" t="s">
        <v>97</v>
      </c>
      <c r="B838" s="9">
        <v>41384</v>
      </c>
      <c r="C838">
        <v>14</v>
      </c>
    </row>
    <row r="839" spans="1:3" x14ac:dyDescent="0.25">
      <c r="A839" t="s">
        <v>95</v>
      </c>
      <c r="B839" s="9">
        <v>41364</v>
      </c>
      <c r="C839">
        <v>1</v>
      </c>
    </row>
    <row r="840" spans="1:3" x14ac:dyDescent="0.25">
      <c r="A840" t="s">
        <v>95</v>
      </c>
      <c r="B840" s="9">
        <v>41474</v>
      </c>
      <c r="C840">
        <v>9</v>
      </c>
    </row>
    <row r="841" spans="1:3" x14ac:dyDescent="0.25">
      <c r="A841" t="s">
        <v>94</v>
      </c>
      <c r="B841" s="9">
        <v>41543</v>
      </c>
      <c r="C841">
        <v>7</v>
      </c>
    </row>
    <row r="842" spans="1:3" x14ac:dyDescent="0.25">
      <c r="A842" t="s">
        <v>96</v>
      </c>
      <c r="B842" s="9">
        <v>41622</v>
      </c>
      <c r="C842">
        <v>17</v>
      </c>
    </row>
    <row r="843" spans="1:3" x14ac:dyDescent="0.25">
      <c r="A843" t="s">
        <v>100</v>
      </c>
      <c r="B843" s="9">
        <v>41393</v>
      </c>
      <c r="C843">
        <v>14</v>
      </c>
    </row>
    <row r="844" spans="1:3" x14ac:dyDescent="0.25">
      <c r="A844" t="s">
        <v>94</v>
      </c>
      <c r="B844" s="9">
        <v>41572</v>
      </c>
      <c r="C844">
        <v>15</v>
      </c>
    </row>
    <row r="845" spans="1:3" x14ac:dyDescent="0.25">
      <c r="A845" t="s">
        <v>100</v>
      </c>
      <c r="B845" s="9">
        <v>41607</v>
      </c>
      <c r="C845">
        <v>1</v>
      </c>
    </row>
    <row r="846" spans="1:3" x14ac:dyDescent="0.25">
      <c r="A846" t="s">
        <v>97</v>
      </c>
      <c r="B846" s="9">
        <v>41552</v>
      </c>
      <c r="C846">
        <v>17</v>
      </c>
    </row>
    <row r="847" spans="1:3" x14ac:dyDescent="0.25">
      <c r="A847" t="s">
        <v>97</v>
      </c>
      <c r="B847" s="9">
        <v>41482</v>
      </c>
      <c r="C847">
        <v>18</v>
      </c>
    </row>
    <row r="848" spans="1:3" x14ac:dyDescent="0.25">
      <c r="A848" t="s">
        <v>99</v>
      </c>
      <c r="B848" s="9">
        <v>41517</v>
      </c>
      <c r="C848">
        <v>3</v>
      </c>
    </row>
    <row r="849" spans="1:3" x14ac:dyDescent="0.25">
      <c r="A849" t="s">
        <v>95</v>
      </c>
      <c r="B849" s="9">
        <v>41553</v>
      </c>
      <c r="C849">
        <v>6</v>
      </c>
    </row>
    <row r="850" spans="1:3" x14ac:dyDescent="0.25">
      <c r="A850" t="s">
        <v>100</v>
      </c>
      <c r="B850" s="9">
        <v>41334</v>
      </c>
      <c r="C850">
        <v>12</v>
      </c>
    </row>
    <row r="851" spans="1:3" x14ac:dyDescent="0.25">
      <c r="A851" t="s">
        <v>97</v>
      </c>
      <c r="B851" s="9">
        <v>41494</v>
      </c>
      <c r="C851">
        <v>17</v>
      </c>
    </row>
    <row r="852" spans="1:3" x14ac:dyDescent="0.25">
      <c r="A852" t="s">
        <v>100</v>
      </c>
      <c r="B852" s="9">
        <v>41488</v>
      </c>
      <c r="C852">
        <v>16</v>
      </c>
    </row>
    <row r="853" spans="1:3" x14ac:dyDescent="0.25">
      <c r="A853" t="s">
        <v>95</v>
      </c>
      <c r="B853" s="9">
        <v>41527</v>
      </c>
      <c r="C853">
        <v>1</v>
      </c>
    </row>
    <row r="854" spans="1:3" x14ac:dyDescent="0.25">
      <c r="A854" t="s">
        <v>97</v>
      </c>
      <c r="B854" s="9">
        <v>41394</v>
      </c>
      <c r="C854">
        <v>20</v>
      </c>
    </row>
    <row r="855" spans="1:3" x14ac:dyDescent="0.25">
      <c r="A855" t="s">
        <v>95</v>
      </c>
      <c r="B855" s="9">
        <v>41317</v>
      </c>
      <c r="C855">
        <v>19</v>
      </c>
    </row>
    <row r="856" spans="1:3" x14ac:dyDescent="0.25">
      <c r="A856" t="s">
        <v>99</v>
      </c>
      <c r="B856" s="9">
        <v>41342</v>
      </c>
      <c r="C856">
        <v>7</v>
      </c>
    </row>
    <row r="857" spans="1:3" x14ac:dyDescent="0.25">
      <c r="A857" t="s">
        <v>99</v>
      </c>
      <c r="B857" s="9">
        <v>41496</v>
      </c>
      <c r="C857">
        <v>7</v>
      </c>
    </row>
    <row r="858" spans="1:3" x14ac:dyDescent="0.25">
      <c r="A858" t="s">
        <v>99</v>
      </c>
      <c r="B858" s="9">
        <v>41417</v>
      </c>
      <c r="C858">
        <v>1</v>
      </c>
    </row>
    <row r="859" spans="1:3" x14ac:dyDescent="0.25">
      <c r="A859" t="s">
        <v>99</v>
      </c>
      <c r="B859" s="9">
        <v>41615</v>
      </c>
      <c r="C859">
        <v>6</v>
      </c>
    </row>
    <row r="860" spans="1:3" x14ac:dyDescent="0.25">
      <c r="A860" t="s">
        <v>95</v>
      </c>
      <c r="B860" s="9">
        <v>41314</v>
      </c>
      <c r="C860">
        <v>5</v>
      </c>
    </row>
    <row r="861" spans="1:3" x14ac:dyDescent="0.25">
      <c r="A861" t="s">
        <v>98</v>
      </c>
      <c r="B861" s="9">
        <v>41335</v>
      </c>
      <c r="C861">
        <v>5</v>
      </c>
    </row>
    <row r="862" spans="1:3" x14ac:dyDescent="0.25">
      <c r="A862" t="s">
        <v>95</v>
      </c>
      <c r="B862" s="9">
        <v>41496</v>
      </c>
      <c r="C862">
        <v>18</v>
      </c>
    </row>
    <row r="863" spans="1:3" x14ac:dyDescent="0.25">
      <c r="A863" t="s">
        <v>95</v>
      </c>
      <c r="B863" s="9">
        <v>41333</v>
      </c>
      <c r="C863">
        <v>19</v>
      </c>
    </row>
    <row r="864" spans="1:3" x14ac:dyDescent="0.25">
      <c r="A864" t="s">
        <v>99</v>
      </c>
      <c r="B864" s="9">
        <v>41418</v>
      </c>
      <c r="C864">
        <v>10</v>
      </c>
    </row>
    <row r="865" spans="1:3" x14ac:dyDescent="0.25">
      <c r="A865" t="s">
        <v>96</v>
      </c>
      <c r="B865" s="9">
        <v>41524</v>
      </c>
      <c r="C865">
        <v>5</v>
      </c>
    </row>
    <row r="866" spans="1:3" x14ac:dyDescent="0.25">
      <c r="A866" t="s">
        <v>94</v>
      </c>
      <c r="B866" s="9">
        <v>41468</v>
      </c>
      <c r="C866">
        <v>2</v>
      </c>
    </row>
    <row r="867" spans="1:3" x14ac:dyDescent="0.25">
      <c r="A867" t="s">
        <v>100</v>
      </c>
      <c r="B867" s="9">
        <v>41305</v>
      </c>
      <c r="C867">
        <v>2</v>
      </c>
    </row>
    <row r="868" spans="1:3" x14ac:dyDescent="0.25">
      <c r="A868" t="s">
        <v>100</v>
      </c>
      <c r="B868" s="9">
        <v>41419</v>
      </c>
      <c r="C868">
        <v>18</v>
      </c>
    </row>
    <row r="869" spans="1:3" x14ac:dyDescent="0.25">
      <c r="A869" t="s">
        <v>96</v>
      </c>
      <c r="B869" s="9">
        <v>41586</v>
      </c>
      <c r="C869">
        <v>10</v>
      </c>
    </row>
    <row r="870" spans="1:3" x14ac:dyDescent="0.25">
      <c r="A870" t="s">
        <v>96</v>
      </c>
      <c r="B870" s="9">
        <v>41385</v>
      </c>
      <c r="C870">
        <v>16</v>
      </c>
    </row>
    <row r="871" spans="1:3" x14ac:dyDescent="0.25">
      <c r="A871" t="s">
        <v>96</v>
      </c>
      <c r="B871" s="9">
        <v>41464</v>
      </c>
      <c r="C871">
        <v>9</v>
      </c>
    </row>
    <row r="872" spans="1:3" x14ac:dyDescent="0.25">
      <c r="A872" t="s">
        <v>99</v>
      </c>
      <c r="B872" s="9">
        <v>41389</v>
      </c>
      <c r="C872">
        <v>5</v>
      </c>
    </row>
    <row r="873" spans="1:3" x14ac:dyDescent="0.25">
      <c r="A873" t="s">
        <v>96</v>
      </c>
      <c r="B873" s="9">
        <v>41615</v>
      </c>
      <c r="C873">
        <v>10</v>
      </c>
    </row>
    <row r="874" spans="1:3" x14ac:dyDescent="0.25">
      <c r="A874" t="s">
        <v>99</v>
      </c>
      <c r="B874" s="9">
        <v>41615</v>
      </c>
      <c r="C874">
        <v>11</v>
      </c>
    </row>
    <row r="875" spans="1:3" x14ac:dyDescent="0.25">
      <c r="A875" t="s">
        <v>98</v>
      </c>
      <c r="B875" s="9">
        <v>41392</v>
      </c>
      <c r="C875">
        <v>8</v>
      </c>
    </row>
    <row r="876" spans="1:3" x14ac:dyDescent="0.25">
      <c r="A876" t="s">
        <v>100</v>
      </c>
      <c r="B876" s="9">
        <v>41398</v>
      </c>
      <c r="C876">
        <v>9</v>
      </c>
    </row>
    <row r="877" spans="1:3" x14ac:dyDescent="0.25">
      <c r="A877" t="s">
        <v>100</v>
      </c>
      <c r="B877" s="9">
        <v>41439</v>
      </c>
      <c r="C877">
        <v>2</v>
      </c>
    </row>
    <row r="878" spans="1:3" x14ac:dyDescent="0.25">
      <c r="A878" t="s">
        <v>98</v>
      </c>
      <c r="B878" s="9">
        <v>41576</v>
      </c>
      <c r="C878">
        <v>13</v>
      </c>
    </row>
    <row r="879" spans="1:3" x14ac:dyDescent="0.25">
      <c r="A879" t="s">
        <v>100</v>
      </c>
      <c r="B879" s="9">
        <v>41433</v>
      </c>
      <c r="C879">
        <v>1</v>
      </c>
    </row>
    <row r="880" spans="1:3" x14ac:dyDescent="0.25">
      <c r="A880" t="s">
        <v>95</v>
      </c>
      <c r="B880" s="9">
        <v>41298</v>
      </c>
      <c r="C880">
        <v>20</v>
      </c>
    </row>
    <row r="881" spans="1:3" x14ac:dyDescent="0.25">
      <c r="A881" t="s">
        <v>94</v>
      </c>
      <c r="B881" s="9">
        <v>41406</v>
      </c>
      <c r="C881">
        <v>9</v>
      </c>
    </row>
    <row r="882" spans="1:3" x14ac:dyDescent="0.25">
      <c r="A882" t="s">
        <v>94</v>
      </c>
      <c r="B882" s="9">
        <v>41304</v>
      </c>
      <c r="C882">
        <v>1</v>
      </c>
    </row>
    <row r="883" spans="1:3" x14ac:dyDescent="0.25">
      <c r="A883" t="s">
        <v>97</v>
      </c>
      <c r="B883" s="9">
        <v>41550</v>
      </c>
      <c r="C883">
        <v>3</v>
      </c>
    </row>
    <row r="884" spans="1:3" x14ac:dyDescent="0.25">
      <c r="A884" t="s">
        <v>95</v>
      </c>
      <c r="B884" s="9">
        <v>41337</v>
      </c>
      <c r="C884">
        <v>5</v>
      </c>
    </row>
    <row r="885" spans="1:3" x14ac:dyDescent="0.25">
      <c r="A885" t="s">
        <v>95</v>
      </c>
      <c r="B885" s="9">
        <v>41438</v>
      </c>
      <c r="C885">
        <v>4</v>
      </c>
    </row>
    <row r="886" spans="1:3" x14ac:dyDescent="0.25">
      <c r="A886" t="s">
        <v>94</v>
      </c>
      <c r="B886" s="9">
        <v>41311</v>
      </c>
      <c r="C886">
        <v>1</v>
      </c>
    </row>
    <row r="887" spans="1:3" x14ac:dyDescent="0.25">
      <c r="A887" t="s">
        <v>100</v>
      </c>
      <c r="B887" s="9">
        <v>41487</v>
      </c>
      <c r="C887">
        <v>7</v>
      </c>
    </row>
    <row r="888" spans="1:3" x14ac:dyDescent="0.25">
      <c r="A888" t="s">
        <v>94</v>
      </c>
      <c r="B888" s="9">
        <v>41635</v>
      </c>
      <c r="C888">
        <v>7</v>
      </c>
    </row>
    <row r="889" spans="1:3" x14ac:dyDescent="0.25">
      <c r="A889" t="s">
        <v>100</v>
      </c>
      <c r="B889" s="9">
        <v>41590</v>
      </c>
      <c r="C889">
        <v>11</v>
      </c>
    </row>
    <row r="890" spans="1:3" x14ac:dyDescent="0.25">
      <c r="A890" t="s">
        <v>100</v>
      </c>
      <c r="B890" s="9">
        <v>41513</v>
      </c>
      <c r="C890">
        <v>7</v>
      </c>
    </row>
    <row r="891" spans="1:3" x14ac:dyDescent="0.25">
      <c r="A891" t="s">
        <v>96</v>
      </c>
      <c r="B891" s="9">
        <v>41408</v>
      </c>
      <c r="C891">
        <v>7</v>
      </c>
    </row>
    <row r="892" spans="1:3" x14ac:dyDescent="0.25">
      <c r="A892" t="s">
        <v>99</v>
      </c>
      <c r="B892" s="9">
        <v>41560</v>
      </c>
      <c r="C892">
        <v>20</v>
      </c>
    </row>
    <row r="893" spans="1:3" x14ac:dyDescent="0.25">
      <c r="A893" t="s">
        <v>100</v>
      </c>
      <c r="B893" s="9">
        <v>41299</v>
      </c>
      <c r="C893">
        <v>7</v>
      </c>
    </row>
    <row r="894" spans="1:3" x14ac:dyDescent="0.25">
      <c r="A894" t="s">
        <v>98</v>
      </c>
      <c r="B894" s="9">
        <v>41541</v>
      </c>
      <c r="C894">
        <v>1</v>
      </c>
    </row>
    <row r="895" spans="1:3" x14ac:dyDescent="0.25">
      <c r="A895" t="s">
        <v>100</v>
      </c>
      <c r="B895" s="9">
        <v>41628</v>
      </c>
      <c r="C895">
        <v>4</v>
      </c>
    </row>
    <row r="896" spans="1:3" x14ac:dyDescent="0.25">
      <c r="A896" t="s">
        <v>95</v>
      </c>
      <c r="B896" s="9">
        <v>41592</v>
      </c>
      <c r="C896">
        <v>11</v>
      </c>
    </row>
    <row r="897" spans="1:3" x14ac:dyDescent="0.25">
      <c r="A897" t="s">
        <v>94</v>
      </c>
      <c r="B897" s="9">
        <v>41606</v>
      </c>
      <c r="C897">
        <v>1</v>
      </c>
    </row>
    <row r="898" spans="1:3" x14ac:dyDescent="0.25">
      <c r="A898" t="s">
        <v>97</v>
      </c>
      <c r="B898" s="9">
        <v>41542</v>
      </c>
      <c r="C898">
        <v>16</v>
      </c>
    </row>
    <row r="899" spans="1:3" x14ac:dyDescent="0.25">
      <c r="A899" t="s">
        <v>98</v>
      </c>
      <c r="B899" s="9">
        <v>41388</v>
      </c>
      <c r="C899">
        <v>2</v>
      </c>
    </row>
    <row r="900" spans="1:3" x14ac:dyDescent="0.25">
      <c r="A900" t="s">
        <v>98</v>
      </c>
      <c r="B900" s="9">
        <v>41463</v>
      </c>
      <c r="C900">
        <v>15</v>
      </c>
    </row>
    <row r="901" spans="1:3" x14ac:dyDescent="0.25">
      <c r="A901" t="s">
        <v>94</v>
      </c>
      <c r="B901" s="9">
        <v>41537</v>
      </c>
      <c r="C901">
        <v>16</v>
      </c>
    </row>
    <row r="902" spans="1:3" x14ac:dyDescent="0.25">
      <c r="A902" t="s">
        <v>100</v>
      </c>
      <c r="B902" s="9">
        <v>41619</v>
      </c>
      <c r="C902">
        <v>11</v>
      </c>
    </row>
    <row r="903" spans="1:3" x14ac:dyDescent="0.25">
      <c r="A903" t="s">
        <v>94</v>
      </c>
      <c r="B903" s="9">
        <v>41456</v>
      </c>
      <c r="C903">
        <v>4</v>
      </c>
    </row>
    <row r="904" spans="1:3" x14ac:dyDescent="0.25">
      <c r="A904" t="s">
        <v>96</v>
      </c>
      <c r="B904" s="9">
        <v>41307</v>
      </c>
      <c r="C904">
        <v>10</v>
      </c>
    </row>
    <row r="905" spans="1:3" x14ac:dyDescent="0.25">
      <c r="A905" t="s">
        <v>99</v>
      </c>
      <c r="B905" s="9">
        <v>41407</v>
      </c>
      <c r="C905">
        <v>7</v>
      </c>
    </row>
    <row r="906" spans="1:3" x14ac:dyDescent="0.25">
      <c r="A906" t="s">
        <v>96</v>
      </c>
      <c r="B906" s="9">
        <v>41603</v>
      </c>
      <c r="C906">
        <v>11</v>
      </c>
    </row>
    <row r="907" spans="1:3" x14ac:dyDescent="0.25">
      <c r="A907" t="s">
        <v>98</v>
      </c>
      <c r="B907" s="9">
        <v>41357</v>
      </c>
      <c r="C907">
        <v>12</v>
      </c>
    </row>
    <row r="908" spans="1:3" x14ac:dyDescent="0.25">
      <c r="A908" t="s">
        <v>99</v>
      </c>
      <c r="B908" s="9">
        <v>41552</v>
      </c>
      <c r="C908">
        <v>13</v>
      </c>
    </row>
    <row r="909" spans="1:3" x14ac:dyDescent="0.25">
      <c r="A909" t="s">
        <v>99</v>
      </c>
      <c r="B909" s="9">
        <v>41584</v>
      </c>
      <c r="C909">
        <v>1</v>
      </c>
    </row>
    <row r="910" spans="1:3" x14ac:dyDescent="0.25">
      <c r="A910" t="s">
        <v>99</v>
      </c>
      <c r="B910" s="9">
        <v>41517</v>
      </c>
      <c r="C910">
        <v>2</v>
      </c>
    </row>
    <row r="911" spans="1:3" x14ac:dyDescent="0.25">
      <c r="A911" t="s">
        <v>99</v>
      </c>
      <c r="B911" s="9">
        <v>41583</v>
      </c>
      <c r="C911">
        <v>1</v>
      </c>
    </row>
    <row r="912" spans="1:3" x14ac:dyDescent="0.25">
      <c r="A912" t="s">
        <v>94</v>
      </c>
      <c r="B912" s="9">
        <v>41345</v>
      </c>
      <c r="C912">
        <v>17</v>
      </c>
    </row>
    <row r="913" spans="1:3" x14ac:dyDescent="0.25">
      <c r="A913" t="s">
        <v>95</v>
      </c>
      <c r="B913" s="9">
        <v>41426</v>
      </c>
      <c r="C913">
        <v>15</v>
      </c>
    </row>
    <row r="914" spans="1:3" x14ac:dyDescent="0.25">
      <c r="A914" t="s">
        <v>100</v>
      </c>
      <c r="B914" s="9">
        <v>41394</v>
      </c>
      <c r="C914">
        <v>19</v>
      </c>
    </row>
    <row r="915" spans="1:3" x14ac:dyDescent="0.25">
      <c r="A915" t="s">
        <v>99</v>
      </c>
      <c r="B915" s="9">
        <v>41375</v>
      </c>
      <c r="C915">
        <v>15</v>
      </c>
    </row>
    <row r="916" spans="1:3" x14ac:dyDescent="0.25">
      <c r="A916" t="s">
        <v>98</v>
      </c>
      <c r="B916" s="9">
        <v>41316</v>
      </c>
      <c r="C916">
        <v>7</v>
      </c>
    </row>
    <row r="917" spans="1:3" x14ac:dyDescent="0.25">
      <c r="A917" t="s">
        <v>99</v>
      </c>
      <c r="B917" s="9">
        <v>41632</v>
      </c>
      <c r="C917">
        <v>9</v>
      </c>
    </row>
    <row r="918" spans="1:3" x14ac:dyDescent="0.25">
      <c r="A918" t="s">
        <v>94</v>
      </c>
      <c r="B918" s="9">
        <v>41344</v>
      </c>
      <c r="C918">
        <v>19</v>
      </c>
    </row>
    <row r="919" spans="1:3" x14ac:dyDescent="0.25">
      <c r="A919" t="s">
        <v>96</v>
      </c>
      <c r="B919" s="9">
        <v>41537</v>
      </c>
      <c r="C919">
        <v>17</v>
      </c>
    </row>
    <row r="920" spans="1:3" x14ac:dyDescent="0.25">
      <c r="A920" t="s">
        <v>98</v>
      </c>
      <c r="B920" s="9">
        <v>41482</v>
      </c>
      <c r="C920">
        <v>12</v>
      </c>
    </row>
    <row r="921" spans="1:3" x14ac:dyDescent="0.25">
      <c r="A921" t="s">
        <v>100</v>
      </c>
      <c r="B921" s="9">
        <v>41589</v>
      </c>
      <c r="C921">
        <v>5</v>
      </c>
    </row>
    <row r="922" spans="1:3" x14ac:dyDescent="0.25">
      <c r="A922" t="s">
        <v>94</v>
      </c>
      <c r="B922" s="9">
        <v>41398</v>
      </c>
      <c r="C922">
        <v>8</v>
      </c>
    </row>
    <row r="923" spans="1:3" x14ac:dyDescent="0.25">
      <c r="A923" t="s">
        <v>96</v>
      </c>
      <c r="B923" s="9">
        <v>41369</v>
      </c>
      <c r="C923">
        <v>20</v>
      </c>
    </row>
    <row r="924" spans="1:3" x14ac:dyDescent="0.25">
      <c r="A924" t="s">
        <v>97</v>
      </c>
      <c r="B924" s="9">
        <v>41431</v>
      </c>
      <c r="C924">
        <v>5</v>
      </c>
    </row>
    <row r="925" spans="1:3" x14ac:dyDescent="0.25">
      <c r="A925" t="s">
        <v>94</v>
      </c>
      <c r="B925" s="9">
        <v>41532</v>
      </c>
      <c r="C925">
        <v>16</v>
      </c>
    </row>
    <row r="926" spans="1:3" x14ac:dyDescent="0.25">
      <c r="A926" t="s">
        <v>95</v>
      </c>
      <c r="B926" s="9">
        <v>41362</v>
      </c>
      <c r="C926">
        <v>15</v>
      </c>
    </row>
    <row r="927" spans="1:3" x14ac:dyDescent="0.25">
      <c r="A927" t="s">
        <v>96</v>
      </c>
      <c r="B927" s="9">
        <v>41402</v>
      </c>
      <c r="C927">
        <v>6</v>
      </c>
    </row>
    <row r="928" spans="1:3" x14ac:dyDescent="0.25">
      <c r="A928" t="s">
        <v>97</v>
      </c>
      <c r="B928" s="9">
        <v>41591</v>
      </c>
      <c r="C928">
        <v>6</v>
      </c>
    </row>
    <row r="929" spans="1:3" x14ac:dyDescent="0.25">
      <c r="A929" t="s">
        <v>100</v>
      </c>
      <c r="B929" s="9">
        <v>41526</v>
      </c>
      <c r="C929">
        <v>3</v>
      </c>
    </row>
    <row r="930" spans="1:3" x14ac:dyDescent="0.25">
      <c r="A930" t="s">
        <v>97</v>
      </c>
      <c r="B930" s="9">
        <v>41445</v>
      </c>
      <c r="C930">
        <v>18</v>
      </c>
    </row>
    <row r="931" spans="1:3" x14ac:dyDescent="0.25">
      <c r="A931" t="s">
        <v>100</v>
      </c>
      <c r="B931" s="9">
        <v>41396</v>
      </c>
      <c r="C931">
        <v>12</v>
      </c>
    </row>
    <row r="932" spans="1:3" x14ac:dyDescent="0.25">
      <c r="A932" t="s">
        <v>100</v>
      </c>
      <c r="B932" s="9">
        <v>41476</v>
      </c>
      <c r="C932">
        <v>11</v>
      </c>
    </row>
    <row r="933" spans="1:3" x14ac:dyDescent="0.25">
      <c r="A933" t="s">
        <v>96</v>
      </c>
      <c r="B933" s="9">
        <v>41296</v>
      </c>
      <c r="C933">
        <v>10</v>
      </c>
    </row>
    <row r="934" spans="1:3" x14ac:dyDescent="0.25">
      <c r="A934" t="s">
        <v>100</v>
      </c>
      <c r="B934" s="9">
        <v>41286</v>
      </c>
      <c r="C934">
        <v>11</v>
      </c>
    </row>
    <row r="935" spans="1:3" x14ac:dyDescent="0.25">
      <c r="A935" t="s">
        <v>99</v>
      </c>
      <c r="B935" s="9">
        <v>41629</v>
      </c>
      <c r="C935">
        <v>7</v>
      </c>
    </row>
    <row r="936" spans="1:3" x14ac:dyDescent="0.25">
      <c r="A936" t="s">
        <v>94</v>
      </c>
      <c r="B936" s="9">
        <v>41483</v>
      </c>
      <c r="C936">
        <v>18</v>
      </c>
    </row>
    <row r="937" spans="1:3" x14ac:dyDescent="0.25">
      <c r="A937" t="s">
        <v>94</v>
      </c>
      <c r="B937" s="9">
        <v>41513</v>
      </c>
      <c r="C937">
        <v>12</v>
      </c>
    </row>
    <row r="938" spans="1:3" x14ac:dyDescent="0.25">
      <c r="A938" t="s">
        <v>100</v>
      </c>
      <c r="B938" s="9">
        <v>41607</v>
      </c>
      <c r="C938">
        <v>19</v>
      </c>
    </row>
    <row r="939" spans="1:3" x14ac:dyDescent="0.25">
      <c r="A939" t="s">
        <v>96</v>
      </c>
      <c r="B939" s="9">
        <v>41542</v>
      </c>
      <c r="C939">
        <v>9</v>
      </c>
    </row>
    <row r="940" spans="1:3" x14ac:dyDescent="0.25">
      <c r="A940" t="s">
        <v>98</v>
      </c>
      <c r="B940" s="9">
        <v>41535</v>
      </c>
      <c r="C940">
        <v>19</v>
      </c>
    </row>
    <row r="941" spans="1:3" x14ac:dyDescent="0.25">
      <c r="A941" t="s">
        <v>94</v>
      </c>
      <c r="B941" s="9">
        <v>41287</v>
      </c>
      <c r="C941">
        <v>16</v>
      </c>
    </row>
    <row r="942" spans="1:3" x14ac:dyDescent="0.25">
      <c r="A942" t="s">
        <v>95</v>
      </c>
      <c r="B942" s="9">
        <v>41626</v>
      </c>
      <c r="C942">
        <v>18</v>
      </c>
    </row>
    <row r="943" spans="1:3" x14ac:dyDescent="0.25">
      <c r="A943" t="s">
        <v>97</v>
      </c>
      <c r="B943" s="9">
        <v>41530</v>
      </c>
      <c r="C943">
        <v>3</v>
      </c>
    </row>
    <row r="944" spans="1:3" x14ac:dyDescent="0.25">
      <c r="A944" t="s">
        <v>97</v>
      </c>
      <c r="B944" s="9">
        <v>41552</v>
      </c>
      <c r="C944">
        <v>5</v>
      </c>
    </row>
    <row r="945" spans="1:3" x14ac:dyDescent="0.25">
      <c r="A945" t="s">
        <v>100</v>
      </c>
      <c r="B945" s="9">
        <v>41501</v>
      </c>
      <c r="C945">
        <v>17</v>
      </c>
    </row>
    <row r="946" spans="1:3" x14ac:dyDescent="0.25">
      <c r="A946" t="s">
        <v>95</v>
      </c>
      <c r="B946" s="9">
        <v>41386</v>
      </c>
      <c r="C946">
        <v>10</v>
      </c>
    </row>
    <row r="947" spans="1:3" x14ac:dyDescent="0.25">
      <c r="A947" t="s">
        <v>94</v>
      </c>
      <c r="B947" s="9">
        <v>41288</v>
      </c>
      <c r="C947">
        <v>1</v>
      </c>
    </row>
    <row r="948" spans="1:3" x14ac:dyDescent="0.25">
      <c r="A948" t="s">
        <v>99</v>
      </c>
      <c r="B948" s="9">
        <v>41638</v>
      </c>
      <c r="C948">
        <v>20</v>
      </c>
    </row>
    <row r="949" spans="1:3" x14ac:dyDescent="0.25">
      <c r="A949" t="s">
        <v>94</v>
      </c>
      <c r="B949" s="9">
        <v>41424</v>
      </c>
      <c r="C949">
        <v>20</v>
      </c>
    </row>
    <row r="950" spans="1:3" x14ac:dyDescent="0.25">
      <c r="A950" t="s">
        <v>97</v>
      </c>
      <c r="B950" s="9">
        <v>41544</v>
      </c>
      <c r="C950">
        <v>15</v>
      </c>
    </row>
    <row r="951" spans="1:3" x14ac:dyDescent="0.25">
      <c r="A951" t="s">
        <v>94</v>
      </c>
      <c r="B951" s="9">
        <v>41360</v>
      </c>
      <c r="C951">
        <v>19</v>
      </c>
    </row>
    <row r="952" spans="1:3" x14ac:dyDescent="0.25">
      <c r="A952" t="s">
        <v>98</v>
      </c>
      <c r="B952" s="9">
        <v>41484</v>
      </c>
      <c r="C952">
        <v>5</v>
      </c>
    </row>
    <row r="953" spans="1:3" x14ac:dyDescent="0.25">
      <c r="A953" t="s">
        <v>100</v>
      </c>
      <c r="B953" s="9">
        <v>41573</v>
      </c>
      <c r="C953">
        <v>3</v>
      </c>
    </row>
    <row r="954" spans="1:3" x14ac:dyDescent="0.25">
      <c r="A954" t="s">
        <v>98</v>
      </c>
      <c r="B954" s="9">
        <v>41342</v>
      </c>
      <c r="C954">
        <v>2</v>
      </c>
    </row>
    <row r="955" spans="1:3" x14ac:dyDescent="0.25">
      <c r="A955" t="s">
        <v>97</v>
      </c>
      <c r="B955" s="9">
        <v>41332</v>
      </c>
      <c r="C955">
        <v>9</v>
      </c>
    </row>
    <row r="956" spans="1:3" x14ac:dyDescent="0.25">
      <c r="A956" t="s">
        <v>100</v>
      </c>
      <c r="B956" s="9">
        <v>41465</v>
      </c>
      <c r="C956">
        <v>16</v>
      </c>
    </row>
    <row r="957" spans="1:3" x14ac:dyDescent="0.25">
      <c r="A957" t="s">
        <v>95</v>
      </c>
      <c r="B957" s="9">
        <v>41492</v>
      </c>
      <c r="C957">
        <v>16</v>
      </c>
    </row>
    <row r="958" spans="1:3" x14ac:dyDescent="0.25">
      <c r="A958" t="s">
        <v>99</v>
      </c>
      <c r="B958" s="9">
        <v>41492</v>
      </c>
      <c r="C958">
        <v>10</v>
      </c>
    </row>
    <row r="959" spans="1:3" x14ac:dyDescent="0.25">
      <c r="A959" t="s">
        <v>97</v>
      </c>
      <c r="B959" s="9">
        <v>41482</v>
      </c>
      <c r="C959">
        <v>9</v>
      </c>
    </row>
    <row r="960" spans="1:3" x14ac:dyDescent="0.25">
      <c r="A960" t="s">
        <v>98</v>
      </c>
      <c r="B960" s="9">
        <v>41549</v>
      </c>
      <c r="C960">
        <v>3</v>
      </c>
    </row>
    <row r="961" spans="1:3" x14ac:dyDescent="0.25">
      <c r="A961" t="s">
        <v>99</v>
      </c>
      <c r="B961" s="9">
        <v>41296</v>
      </c>
      <c r="C961">
        <v>2</v>
      </c>
    </row>
    <row r="962" spans="1:3" x14ac:dyDescent="0.25">
      <c r="A962" t="s">
        <v>100</v>
      </c>
      <c r="B962" s="9">
        <v>41538</v>
      </c>
      <c r="C962">
        <v>7</v>
      </c>
    </row>
    <row r="963" spans="1:3" x14ac:dyDescent="0.25">
      <c r="A963" t="s">
        <v>96</v>
      </c>
      <c r="B963" s="9">
        <v>41584</v>
      </c>
      <c r="C963">
        <v>19</v>
      </c>
    </row>
    <row r="964" spans="1:3" x14ac:dyDescent="0.25">
      <c r="A964" t="s">
        <v>98</v>
      </c>
      <c r="B964" s="9">
        <v>41300</v>
      </c>
      <c r="C964">
        <v>14</v>
      </c>
    </row>
    <row r="965" spans="1:3" x14ac:dyDescent="0.25">
      <c r="A965" t="s">
        <v>96</v>
      </c>
      <c r="B965" s="9">
        <v>41443</v>
      </c>
      <c r="C965">
        <v>8</v>
      </c>
    </row>
    <row r="966" spans="1:3" x14ac:dyDescent="0.25">
      <c r="A966" t="s">
        <v>100</v>
      </c>
      <c r="B966" s="9">
        <v>41307</v>
      </c>
      <c r="C966">
        <v>8</v>
      </c>
    </row>
    <row r="967" spans="1:3" x14ac:dyDescent="0.25">
      <c r="A967" t="s">
        <v>97</v>
      </c>
      <c r="B967" s="9">
        <v>41536</v>
      </c>
      <c r="C967">
        <v>2</v>
      </c>
    </row>
    <row r="968" spans="1:3" x14ac:dyDescent="0.25">
      <c r="A968" t="s">
        <v>96</v>
      </c>
      <c r="B968" s="9">
        <v>41360</v>
      </c>
      <c r="C968">
        <v>3</v>
      </c>
    </row>
    <row r="969" spans="1:3" x14ac:dyDescent="0.25">
      <c r="A969" t="s">
        <v>99</v>
      </c>
      <c r="B969" s="9">
        <v>41544</v>
      </c>
      <c r="C969">
        <v>17</v>
      </c>
    </row>
    <row r="970" spans="1:3" x14ac:dyDescent="0.25">
      <c r="A970" t="s">
        <v>94</v>
      </c>
      <c r="B970" s="9">
        <v>41341</v>
      </c>
      <c r="C970">
        <v>19</v>
      </c>
    </row>
    <row r="971" spans="1:3" x14ac:dyDescent="0.25">
      <c r="A971" t="s">
        <v>96</v>
      </c>
      <c r="B971" s="9">
        <v>41456</v>
      </c>
      <c r="C971">
        <v>7</v>
      </c>
    </row>
    <row r="972" spans="1:3" x14ac:dyDescent="0.25">
      <c r="A972" t="s">
        <v>94</v>
      </c>
      <c r="B972" s="9">
        <v>41495</v>
      </c>
      <c r="C972">
        <v>10</v>
      </c>
    </row>
    <row r="973" spans="1:3" x14ac:dyDescent="0.25">
      <c r="A973" t="s">
        <v>95</v>
      </c>
      <c r="B973" s="9">
        <v>41508</v>
      </c>
      <c r="C973">
        <v>5</v>
      </c>
    </row>
    <row r="974" spans="1:3" x14ac:dyDescent="0.25">
      <c r="A974" t="s">
        <v>99</v>
      </c>
      <c r="B974" s="9">
        <v>41532</v>
      </c>
      <c r="C974">
        <v>12</v>
      </c>
    </row>
    <row r="975" spans="1:3" x14ac:dyDescent="0.25">
      <c r="A975" t="s">
        <v>100</v>
      </c>
      <c r="B975" s="9">
        <v>41352</v>
      </c>
      <c r="C975">
        <v>13</v>
      </c>
    </row>
    <row r="976" spans="1:3" x14ac:dyDescent="0.25">
      <c r="A976" t="s">
        <v>94</v>
      </c>
      <c r="B976" s="9">
        <v>41521</v>
      </c>
      <c r="C976">
        <v>11</v>
      </c>
    </row>
    <row r="977" spans="1:3" x14ac:dyDescent="0.25">
      <c r="A977" t="s">
        <v>94</v>
      </c>
      <c r="B977" s="9">
        <v>41375</v>
      </c>
      <c r="C977">
        <v>15</v>
      </c>
    </row>
    <row r="978" spans="1:3" x14ac:dyDescent="0.25">
      <c r="A978" t="s">
        <v>98</v>
      </c>
      <c r="B978" s="9">
        <v>41334</v>
      </c>
      <c r="C978">
        <v>11</v>
      </c>
    </row>
    <row r="979" spans="1:3" x14ac:dyDescent="0.25">
      <c r="A979" t="s">
        <v>98</v>
      </c>
      <c r="B979" s="9">
        <v>41391</v>
      </c>
      <c r="C979">
        <v>20</v>
      </c>
    </row>
    <row r="980" spans="1:3" x14ac:dyDescent="0.25">
      <c r="A980" t="s">
        <v>97</v>
      </c>
      <c r="B980" s="9">
        <v>41285</v>
      </c>
      <c r="C980">
        <v>6</v>
      </c>
    </row>
    <row r="981" spans="1:3" x14ac:dyDescent="0.25">
      <c r="A981" t="s">
        <v>96</v>
      </c>
      <c r="B981" s="9">
        <v>41478</v>
      </c>
      <c r="C981">
        <v>7</v>
      </c>
    </row>
    <row r="982" spans="1:3" x14ac:dyDescent="0.25">
      <c r="A982" t="s">
        <v>99</v>
      </c>
      <c r="B982" s="9">
        <v>41496</v>
      </c>
      <c r="C982">
        <v>12</v>
      </c>
    </row>
    <row r="983" spans="1:3" x14ac:dyDescent="0.25">
      <c r="A983" t="s">
        <v>94</v>
      </c>
      <c r="B983" s="9">
        <v>41490</v>
      </c>
      <c r="C983">
        <v>1</v>
      </c>
    </row>
    <row r="984" spans="1:3" x14ac:dyDescent="0.25">
      <c r="A984" t="s">
        <v>95</v>
      </c>
      <c r="B984" s="9">
        <v>41292</v>
      </c>
      <c r="C984">
        <v>7</v>
      </c>
    </row>
    <row r="985" spans="1:3" x14ac:dyDescent="0.25">
      <c r="A985" t="s">
        <v>96</v>
      </c>
      <c r="B985" s="9">
        <v>41283</v>
      </c>
      <c r="C985">
        <v>2</v>
      </c>
    </row>
    <row r="986" spans="1:3" x14ac:dyDescent="0.25">
      <c r="A986" t="s">
        <v>94</v>
      </c>
      <c r="B986" s="9">
        <v>41329</v>
      </c>
      <c r="C986">
        <v>17</v>
      </c>
    </row>
    <row r="987" spans="1:3" x14ac:dyDescent="0.25">
      <c r="A987" t="s">
        <v>95</v>
      </c>
      <c r="B987" s="9">
        <v>41581</v>
      </c>
      <c r="C987">
        <v>10</v>
      </c>
    </row>
    <row r="988" spans="1:3" x14ac:dyDescent="0.25">
      <c r="A988" t="s">
        <v>100</v>
      </c>
      <c r="B988" s="9">
        <v>41319</v>
      </c>
      <c r="C988">
        <v>13</v>
      </c>
    </row>
    <row r="989" spans="1:3" x14ac:dyDescent="0.25">
      <c r="A989" t="s">
        <v>94</v>
      </c>
      <c r="B989" s="9">
        <v>41483</v>
      </c>
      <c r="C989">
        <v>13</v>
      </c>
    </row>
    <row r="990" spans="1:3" x14ac:dyDescent="0.25">
      <c r="A990" t="s">
        <v>99</v>
      </c>
      <c r="B990" s="9">
        <v>41549</v>
      </c>
      <c r="C990">
        <v>3</v>
      </c>
    </row>
    <row r="991" spans="1:3" x14ac:dyDescent="0.25">
      <c r="A991" t="s">
        <v>98</v>
      </c>
      <c r="B991" s="9">
        <v>41378</v>
      </c>
      <c r="C991">
        <v>11</v>
      </c>
    </row>
    <row r="992" spans="1:3" x14ac:dyDescent="0.25">
      <c r="A992" t="s">
        <v>95</v>
      </c>
      <c r="B992" s="9">
        <v>41636</v>
      </c>
      <c r="C992">
        <v>13</v>
      </c>
    </row>
    <row r="993" spans="1:3" x14ac:dyDescent="0.25">
      <c r="A993" t="s">
        <v>99</v>
      </c>
      <c r="B993" s="9">
        <v>41628</v>
      </c>
      <c r="C993">
        <v>8</v>
      </c>
    </row>
    <row r="994" spans="1:3" x14ac:dyDescent="0.25">
      <c r="A994" t="s">
        <v>99</v>
      </c>
      <c r="B994" s="9">
        <v>41317</v>
      </c>
      <c r="C994">
        <v>19</v>
      </c>
    </row>
    <row r="995" spans="1:3" x14ac:dyDescent="0.25">
      <c r="A995" t="s">
        <v>97</v>
      </c>
      <c r="B995" s="9">
        <v>41348</v>
      </c>
      <c r="C995">
        <v>9</v>
      </c>
    </row>
    <row r="996" spans="1:3" x14ac:dyDescent="0.25">
      <c r="A996" t="s">
        <v>94</v>
      </c>
      <c r="B996" s="9">
        <v>41614</v>
      </c>
      <c r="C996">
        <v>14</v>
      </c>
    </row>
    <row r="997" spans="1:3" x14ac:dyDescent="0.25">
      <c r="A997" t="s">
        <v>100</v>
      </c>
      <c r="B997" s="9">
        <v>41480</v>
      </c>
      <c r="C997">
        <v>15</v>
      </c>
    </row>
    <row r="998" spans="1:3" x14ac:dyDescent="0.25">
      <c r="A998" t="s">
        <v>94</v>
      </c>
      <c r="B998" s="9">
        <v>41349</v>
      </c>
      <c r="C998">
        <v>8</v>
      </c>
    </row>
    <row r="999" spans="1:3" x14ac:dyDescent="0.25">
      <c r="A999" t="s">
        <v>99</v>
      </c>
      <c r="B999" s="9">
        <v>41532</v>
      </c>
      <c r="C999">
        <v>14</v>
      </c>
    </row>
    <row r="1000" spans="1:3" x14ac:dyDescent="0.25">
      <c r="A1000" t="s">
        <v>97</v>
      </c>
      <c r="B1000" s="9">
        <v>41538</v>
      </c>
      <c r="C1000">
        <v>17</v>
      </c>
    </row>
    <row r="1001" spans="1:3" x14ac:dyDescent="0.25">
      <c r="A1001" t="s">
        <v>94</v>
      </c>
      <c r="B1001" s="9">
        <v>41290</v>
      </c>
      <c r="C1001">
        <v>17</v>
      </c>
    </row>
    <row r="1002" spans="1:3" x14ac:dyDescent="0.25">
      <c r="A1002" t="s">
        <v>96</v>
      </c>
      <c r="B1002" s="9">
        <v>41466</v>
      </c>
      <c r="C1002">
        <v>15</v>
      </c>
    </row>
    <row r="1003" spans="1:3" x14ac:dyDescent="0.25">
      <c r="A1003" t="s">
        <v>100</v>
      </c>
      <c r="B1003" s="9">
        <v>41465</v>
      </c>
      <c r="C1003">
        <v>9</v>
      </c>
    </row>
    <row r="1004" spans="1:3" x14ac:dyDescent="0.25">
      <c r="A1004" t="s">
        <v>95</v>
      </c>
      <c r="B1004" s="9">
        <v>41564</v>
      </c>
      <c r="C1004">
        <v>8</v>
      </c>
    </row>
    <row r="1005" spans="1:3" x14ac:dyDescent="0.25">
      <c r="A1005" t="s">
        <v>98</v>
      </c>
      <c r="B1005" s="9">
        <v>41497</v>
      </c>
      <c r="C1005">
        <v>1</v>
      </c>
    </row>
    <row r="1006" spans="1:3" x14ac:dyDescent="0.25">
      <c r="A1006" t="s">
        <v>99</v>
      </c>
      <c r="B1006" s="9">
        <v>41425</v>
      </c>
      <c r="C1006">
        <v>7</v>
      </c>
    </row>
    <row r="1007" spans="1:3" x14ac:dyDescent="0.25">
      <c r="A1007" t="s">
        <v>94</v>
      </c>
      <c r="B1007" s="9">
        <v>41456</v>
      </c>
      <c r="C1007">
        <v>9</v>
      </c>
    </row>
    <row r="1008" spans="1:3" x14ac:dyDescent="0.25">
      <c r="A1008" t="s">
        <v>95</v>
      </c>
      <c r="B1008" s="9">
        <v>41483</v>
      </c>
      <c r="C1008">
        <v>8</v>
      </c>
    </row>
    <row r="1009" spans="1:3" x14ac:dyDescent="0.25">
      <c r="A1009" t="s">
        <v>94</v>
      </c>
      <c r="B1009" s="9">
        <v>41304</v>
      </c>
      <c r="C1009">
        <v>14</v>
      </c>
    </row>
    <row r="1010" spans="1:3" x14ac:dyDescent="0.25">
      <c r="A1010" t="s">
        <v>94</v>
      </c>
      <c r="B1010" s="9">
        <v>41397</v>
      </c>
      <c r="C1010">
        <v>5</v>
      </c>
    </row>
    <row r="1011" spans="1:3" x14ac:dyDescent="0.25">
      <c r="A1011" t="s">
        <v>95</v>
      </c>
      <c r="B1011" s="9">
        <v>41595</v>
      </c>
      <c r="C1011">
        <v>16</v>
      </c>
    </row>
    <row r="1012" spans="1:3" x14ac:dyDescent="0.25">
      <c r="A1012" t="s">
        <v>98</v>
      </c>
      <c r="B1012" s="9">
        <v>41306</v>
      </c>
      <c r="C1012">
        <v>17</v>
      </c>
    </row>
    <row r="1013" spans="1:3" x14ac:dyDescent="0.25">
      <c r="A1013" t="s">
        <v>99</v>
      </c>
      <c r="B1013" s="9">
        <v>41623</v>
      </c>
      <c r="C1013">
        <v>2</v>
      </c>
    </row>
    <row r="1014" spans="1:3" x14ac:dyDescent="0.25">
      <c r="A1014" t="s">
        <v>100</v>
      </c>
      <c r="B1014" s="9">
        <v>41346</v>
      </c>
      <c r="C1014">
        <v>10</v>
      </c>
    </row>
    <row r="1015" spans="1:3" x14ac:dyDescent="0.25">
      <c r="A1015" t="s">
        <v>96</v>
      </c>
      <c r="B1015" s="9">
        <v>41300</v>
      </c>
      <c r="C1015">
        <v>19</v>
      </c>
    </row>
    <row r="1016" spans="1:3" x14ac:dyDescent="0.25">
      <c r="A1016" t="s">
        <v>94</v>
      </c>
      <c r="B1016" s="9">
        <v>41538</v>
      </c>
      <c r="C1016">
        <v>2</v>
      </c>
    </row>
    <row r="1017" spans="1:3" x14ac:dyDescent="0.25">
      <c r="A1017" t="s">
        <v>100</v>
      </c>
      <c r="B1017" s="9">
        <v>41613</v>
      </c>
      <c r="C1017">
        <v>9</v>
      </c>
    </row>
    <row r="1018" spans="1:3" x14ac:dyDescent="0.25">
      <c r="A1018" t="s">
        <v>100</v>
      </c>
      <c r="B1018" s="9">
        <v>41288</v>
      </c>
      <c r="C1018">
        <v>10</v>
      </c>
    </row>
    <row r="1019" spans="1:3" x14ac:dyDescent="0.25">
      <c r="A1019" t="s">
        <v>95</v>
      </c>
      <c r="B1019" s="9">
        <v>41325</v>
      </c>
      <c r="C1019">
        <v>6</v>
      </c>
    </row>
    <row r="1020" spans="1:3" x14ac:dyDescent="0.25">
      <c r="A1020" t="s">
        <v>97</v>
      </c>
      <c r="B1020" s="9">
        <v>41568</v>
      </c>
      <c r="C1020">
        <v>3</v>
      </c>
    </row>
    <row r="1021" spans="1:3" x14ac:dyDescent="0.25">
      <c r="A1021" t="s">
        <v>95</v>
      </c>
      <c r="B1021" s="9">
        <v>41489</v>
      </c>
      <c r="C1021">
        <v>10</v>
      </c>
    </row>
    <row r="1022" spans="1:3" x14ac:dyDescent="0.25">
      <c r="A1022" t="s">
        <v>94</v>
      </c>
      <c r="B1022" s="9">
        <v>41277</v>
      </c>
      <c r="C1022">
        <v>10</v>
      </c>
    </row>
    <row r="1023" spans="1:3" x14ac:dyDescent="0.25">
      <c r="A1023" t="s">
        <v>99</v>
      </c>
      <c r="B1023" s="9">
        <v>41614</v>
      </c>
      <c r="C1023">
        <v>14</v>
      </c>
    </row>
    <row r="1024" spans="1:3" x14ac:dyDescent="0.25">
      <c r="A1024" t="s">
        <v>96</v>
      </c>
      <c r="B1024" s="9">
        <v>41297</v>
      </c>
      <c r="C1024">
        <v>13</v>
      </c>
    </row>
    <row r="1025" spans="1:3" x14ac:dyDescent="0.25">
      <c r="A1025" t="s">
        <v>96</v>
      </c>
      <c r="B1025" s="9">
        <v>41503</v>
      </c>
      <c r="C1025">
        <v>1</v>
      </c>
    </row>
    <row r="1026" spans="1:3" x14ac:dyDescent="0.25">
      <c r="A1026" t="s">
        <v>96</v>
      </c>
      <c r="B1026" s="9">
        <v>41429</v>
      </c>
      <c r="C1026">
        <v>12</v>
      </c>
    </row>
    <row r="1027" spans="1:3" x14ac:dyDescent="0.25">
      <c r="A1027" t="s">
        <v>94</v>
      </c>
      <c r="B1027" s="9">
        <v>41453</v>
      </c>
      <c r="C1027">
        <v>18</v>
      </c>
    </row>
    <row r="1028" spans="1:3" x14ac:dyDescent="0.25">
      <c r="A1028" t="s">
        <v>96</v>
      </c>
      <c r="B1028" s="9">
        <v>41570</v>
      </c>
      <c r="C1028">
        <v>20</v>
      </c>
    </row>
    <row r="1029" spans="1:3" x14ac:dyDescent="0.25">
      <c r="A1029" t="s">
        <v>100</v>
      </c>
      <c r="B1029" s="9">
        <v>41395</v>
      </c>
      <c r="C1029">
        <v>17</v>
      </c>
    </row>
    <row r="1030" spans="1:3" x14ac:dyDescent="0.25">
      <c r="A1030" t="s">
        <v>96</v>
      </c>
      <c r="B1030" s="9">
        <v>41549</v>
      </c>
      <c r="C1030">
        <v>16</v>
      </c>
    </row>
    <row r="1031" spans="1:3" x14ac:dyDescent="0.25">
      <c r="A1031" t="s">
        <v>97</v>
      </c>
      <c r="B1031" s="9">
        <v>41342</v>
      </c>
      <c r="C1031">
        <v>1</v>
      </c>
    </row>
    <row r="1032" spans="1:3" x14ac:dyDescent="0.25">
      <c r="A1032" t="s">
        <v>99</v>
      </c>
      <c r="B1032" s="9">
        <v>41590</v>
      </c>
      <c r="C1032">
        <v>15</v>
      </c>
    </row>
    <row r="1033" spans="1:3" x14ac:dyDescent="0.25">
      <c r="A1033" t="s">
        <v>94</v>
      </c>
      <c r="B1033" s="9">
        <v>41294</v>
      </c>
      <c r="C1033">
        <v>1</v>
      </c>
    </row>
    <row r="1034" spans="1:3" x14ac:dyDescent="0.25">
      <c r="A1034" t="s">
        <v>98</v>
      </c>
      <c r="B1034" s="9">
        <v>41605</v>
      </c>
      <c r="C1034">
        <v>18</v>
      </c>
    </row>
    <row r="1035" spans="1:3" x14ac:dyDescent="0.25">
      <c r="A1035" t="s">
        <v>98</v>
      </c>
      <c r="B1035" s="9">
        <v>41337</v>
      </c>
      <c r="C1035">
        <v>18</v>
      </c>
    </row>
    <row r="1036" spans="1:3" x14ac:dyDescent="0.25">
      <c r="A1036" t="s">
        <v>94</v>
      </c>
      <c r="B1036" s="9">
        <v>41576</v>
      </c>
      <c r="C1036">
        <v>13</v>
      </c>
    </row>
    <row r="1037" spans="1:3" x14ac:dyDescent="0.25">
      <c r="A1037" t="s">
        <v>99</v>
      </c>
      <c r="B1037" s="9">
        <v>41447</v>
      </c>
      <c r="C1037">
        <v>2</v>
      </c>
    </row>
    <row r="1038" spans="1:3" x14ac:dyDescent="0.25">
      <c r="A1038" t="s">
        <v>99</v>
      </c>
      <c r="B1038" s="9">
        <v>41601</v>
      </c>
      <c r="C1038">
        <v>13</v>
      </c>
    </row>
    <row r="1039" spans="1:3" x14ac:dyDescent="0.25">
      <c r="A1039" t="s">
        <v>94</v>
      </c>
      <c r="B1039" s="9">
        <v>41636</v>
      </c>
      <c r="C1039">
        <v>19</v>
      </c>
    </row>
    <row r="1040" spans="1:3" x14ac:dyDescent="0.25">
      <c r="A1040" t="s">
        <v>94</v>
      </c>
      <c r="B1040" s="9">
        <v>41374</v>
      </c>
      <c r="C1040">
        <v>17</v>
      </c>
    </row>
    <row r="1041" spans="1:3" x14ac:dyDescent="0.25">
      <c r="A1041" t="s">
        <v>98</v>
      </c>
      <c r="B1041" s="9">
        <v>41626</v>
      </c>
      <c r="C1041">
        <v>6</v>
      </c>
    </row>
    <row r="1042" spans="1:3" x14ac:dyDescent="0.25">
      <c r="A1042" t="s">
        <v>100</v>
      </c>
      <c r="B1042" s="9">
        <v>41548</v>
      </c>
      <c r="C1042">
        <v>8</v>
      </c>
    </row>
    <row r="1043" spans="1:3" x14ac:dyDescent="0.25">
      <c r="A1043" t="s">
        <v>100</v>
      </c>
      <c r="B1043" s="9">
        <v>41501</v>
      </c>
      <c r="C1043">
        <v>1</v>
      </c>
    </row>
    <row r="1044" spans="1:3" x14ac:dyDescent="0.25">
      <c r="A1044" t="s">
        <v>97</v>
      </c>
      <c r="B1044" s="9">
        <v>41500</v>
      </c>
      <c r="C1044">
        <v>13</v>
      </c>
    </row>
    <row r="1045" spans="1:3" x14ac:dyDescent="0.25">
      <c r="A1045" t="s">
        <v>99</v>
      </c>
      <c r="B1045" s="9">
        <v>41488</v>
      </c>
      <c r="C1045">
        <v>12</v>
      </c>
    </row>
    <row r="1046" spans="1:3" x14ac:dyDescent="0.25">
      <c r="A1046" t="s">
        <v>97</v>
      </c>
      <c r="B1046" s="9">
        <v>41599</v>
      </c>
      <c r="C1046">
        <v>11</v>
      </c>
    </row>
    <row r="1047" spans="1:3" x14ac:dyDescent="0.25">
      <c r="A1047" t="s">
        <v>95</v>
      </c>
      <c r="B1047" s="9">
        <v>41333</v>
      </c>
      <c r="C1047">
        <v>17</v>
      </c>
    </row>
    <row r="1048" spans="1:3" x14ac:dyDescent="0.25">
      <c r="A1048" t="s">
        <v>95</v>
      </c>
      <c r="B1048" s="9">
        <v>41560</v>
      </c>
      <c r="C1048">
        <v>9</v>
      </c>
    </row>
    <row r="1049" spans="1:3" x14ac:dyDescent="0.25">
      <c r="A1049" t="s">
        <v>95</v>
      </c>
      <c r="B1049" s="9">
        <v>41351</v>
      </c>
      <c r="C1049">
        <v>17</v>
      </c>
    </row>
    <row r="1050" spans="1:3" x14ac:dyDescent="0.25">
      <c r="A1050" t="s">
        <v>95</v>
      </c>
      <c r="B1050" s="9">
        <v>41422</v>
      </c>
      <c r="C1050">
        <v>1</v>
      </c>
    </row>
    <row r="1051" spans="1:3" x14ac:dyDescent="0.25">
      <c r="A1051" t="s">
        <v>95</v>
      </c>
      <c r="B1051" s="9">
        <v>41326</v>
      </c>
      <c r="C1051">
        <v>12</v>
      </c>
    </row>
    <row r="1052" spans="1:3" x14ac:dyDescent="0.25">
      <c r="A1052" t="s">
        <v>95</v>
      </c>
      <c r="B1052" s="9">
        <v>41395</v>
      </c>
      <c r="C1052">
        <v>2</v>
      </c>
    </row>
    <row r="1053" spans="1:3" x14ac:dyDescent="0.25">
      <c r="A1053" t="s">
        <v>96</v>
      </c>
      <c r="B1053" s="9">
        <v>41420</v>
      </c>
      <c r="C1053">
        <v>6</v>
      </c>
    </row>
    <row r="1054" spans="1:3" x14ac:dyDescent="0.25">
      <c r="A1054" t="s">
        <v>95</v>
      </c>
      <c r="B1054" s="9">
        <v>41551</v>
      </c>
      <c r="C1054">
        <v>6</v>
      </c>
    </row>
    <row r="1055" spans="1:3" x14ac:dyDescent="0.25">
      <c r="A1055" t="s">
        <v>95</v>
      </c>
      <c r="B1055" s="9">
        <v>41384</v>
      </c>
      <c r="C1055">
        <v>20</v>
      </c>
    </row>
    <row r="1056" spans="1:3" x14ac:dyDescent="0.25">
      <c r="A1056" t="s">
        <v>94</v>
      </c>
      <c r="B1056" s="9">
        <v>41343</v>
      </c>
      <c r="C1056">
        <v>13</v>
      </c>
    </row>
    <row r="1057" spans="1:3" x14ac:dyDescent="0.25">
      <c r="A1057" t="s">
        <v>100</v>
      </c>
      <c r="B1057" s="9">
        <v>41568</v>
      </c>
      <c r="C1057">
        <v>20</v>
      </c>
    </row>
    <row r="1058" spans="1:3" x14ac:dyDescent="0.25">
      <c r="A1058" t="s">
        <v>95</v>
      </c>
      <c r="B1058" s="9">
        <v>41291</v>
      </c>
      <c r="C1058">
        <v>14</v>
      </c>
    </row>
    <row r="1059" spans="1:3" x14ac:dyDescent="0.25">
      <c r="A1059" t="s">
        <v>99</v>
      </c>
      <c r="B1059" s="9">
        <v>41631</v>
      </c>
      <c r="C1059">
        <v>9</v>
      </c>
    </row>
    <row r="1060" spans="1:3" x14ac:dyDescent="0.25">
      <c r="A1060" t="s">
        <v>94</v>
      </c>
      <c r="B1060" s="9">
        <v>41526</v>
      </c>
      <c r="C1060">
        <v>17</v>
      </c>
    </row>
    <row r="1061" spans="1:3" x14ac:dyDescent="0.25">
      <c r="A1061" t="s">
        <v>95</v>
      </c>
      <c r="B1061" s="9">
        <v>41523</v>
      </c>
      <c r="C1061">
        <v>7</v>
      </c>
    </row>
    <row r="1062" spans="1:3" x14ac:dyDescent="0.25">
      <c r="A1062" t="s">
        <v>98</v>
      </c>
      <c r="B1062" s="9">
        <v>41327</v>
      </c>
      <c r="C1062">
        <v>11</v>
      </c>
    </row>
    <row r="1063" spans="1:3" x14ac:dyDescent="0.25">
      <c r="A1063" t="s">
        <v>99</v>
      </c>
      <c r="B1063" s="9">
        <v>41387</v>
      </c>
      <c r="C1063">
        <v>7</v>
      </c>
    </row>
    <row r="1064" spans="1:3" x14ac:dyDescent="0.25">
      <c r="A1064" t="s">
        <v>99</v>
      </c>
      <c r="B1064" s="9">
        <v>41586</v>
      </c>
      <c r="C1064">
        <v>8</v>
      </c>
    </row>
    <row r="1065" spans="1:3" x14ac:dyDescent="0.25">
      <c r="A1065" t="s">
        <v>96</v>
      </c>
      <c r="B1065" s="9">
        <v>41292</v>
      </c>
      <c r="C1065">
        <v>4</v>
      </c>
    </row>
    <row r="1066" spans="1:3" x14ac:dyDescent="0.25">
      <c r="A1066" t="s">
        <v>94</v>
      </c>
      <c r="B1066" s="9">
        <v>41399</v>
      </c>
      <c r="C1066">
        <v>14</v>
      </c>
    </row>
    <row r="1067" spans="1:3" x14ac:dyDescent="0.25">
      <c r="A1067" t="s">
        <v>98</v>
      </c>
      <c r="B1067" s="9">
        <v>41489</v>
      </c>
      <c r="C1067">
        <v>1</v>
      </c>
    </row>
    <row r="1068" spans="1:3" x14ac:dyDescent="0.25">
      <c r="A1068" t="s">
        <v>97</v>
      </c>
      <c r="B1068" s="9">
        <v>41491</v>
      </c>
      <c r="C1068">
        <v>17</v>
      </c>
    </row>
    <row r="1069" spans="1:3" x14ac:dyDescent="0.25">
      <c r="A1069" t="s">
        <v>95</v>
      </c>
      <c r="B1069" s="9">
        <v>41393</v>
      </c>
      <c r="C1069">
        <v>13</v>
      </c>
    </row>
    <row r="1070" spans="1:3" x14ac:dyDescent="0.25">
      <c r="A1070" t="s">
        <v>97</v>
      </c>
      <c r="B1070" s="9">
        <v>41374</v>
      </c>
      <c r="C1070">
        <v>10</v>
      </c>
    </row>
    <row r="1071" spans="1:3" x14ac:dyDescent="0.25">
      <c r="A1071" t="s">
        <v>97</v>
      </c>
      <c r="B1071" s="9">
        <v>41345</v>
      </c>
      <c r="C1071">
        <v>15</v>
      </c>
    </row>
    <row r="1072" spans="1:3" x14ac:dyDescent="0.25">
      <c r="A1072" t="s">
        <v>99</v>
      </c>
      <c r="B1072" s="9">
        <v>41635</v>
      </c>
      <c r="C1072">
        <v>19</v>
      </c>
    </row>
    <row r="1073" spans="1:3" x14ac:dyDescent="0.25">
      <c r="A1073" t="s">
        <v>98</v>
      </c>
      <c r="B1073" s="9">
        <v>41486</v>
      </c>
      <c r="C1073">
        <v>11</v>
      </c>
    </row>
    <row r="1074" spans="1:3" x14ac:dyDescent="0.25">
      <c r="A1074" t="s">
        <v>96</v>
      </c>
      <c r="B1074" s="9">
        <v>41537</v>
      </c>
      <c r="C1074">
        <v>3</v>
      </c>
    </row>
    <row r="1075" spans="1:3" x14ac:dyDescent="0.25">
      <c r="A1075" t="s">
        <v>94</v>
      </c>
      <c r="B1075" s="9">
        <v>41423</v>
      </c>
      <c r="C1075">
        <v>13</v>
      </c>
    </row>
    <row r="1076" spans="1:3" x14ac:dyDescent="0.25">
      <c r="A1076" t="s">
        <v>96</v>
      </c>
      <c r="B1076" s="9">
        <v>41409</v>
      </c>
      <c r="C1076">
        <v>6</v>
      </c>
    </row>
    <row r="1077" spans="1:3" x14ac:dyDescent="0.25">
      <c r="A1077" t="s">
        <v>100</v>
      </c>
      <c r="B1077" s="9">
        <v>41298</v>
      </c>
      <c r="C1077">
        <v>17</v>
      </c>
    </row>
    <row r="1078" spans="1:3" x14ac:dyDescent="0.25">
      <c r="A1078" t="s">
        <v>99</v>
      </c>
      <c r="B1078" s="9">
        <v>41468</v>
      </c>
      <c r="C1078">
        <v>13</v>
      </c>
    </row>
    <row r="1079" spans="1:3" x14ac:dyDescent="0.25">
      <c r="A1079" t="s">
        <v>99</v>
      </c>
      <c r="B1079" s="9">
        <v>41457</v>
      </c>
      <c r="C1079">
        <v>13</v>
      </c>
    </row>
    <row r="1080" spans="1:3" x14ac:dyDescent="0.25">
      <c r="A1080" t="s">
        <v>98</v>
      </c>
      <c r="B1080" s="9">
        <v>41370</v>
      </c>
      <c r="C1080">
        <v>4</v>
      </c>
    </row>
    <row r="1081" spans="1:3" x14ac:dyDescent="0.25">
      <c r="A1081" t="s">
        <v>97</v>
      </c>
      <c r="B1081" s="9">
        <v>41361</v>
      </c>
      <c r="C1081">
        <v>20</v>
      </c>
    </row>
    <row r="1082" spans="1:3" x14ac:dyDescent="0.25">
      <c r="A1082" t="s">
        <v>98</v>
      </c>
      <c r="B1082" s="9">
        <v>41376</v>
      </c>
      <c r="C1082">
        <v>8</v>
      </c>
    </row>
    <row r="1083" spans="1:3" x14ac:dyDescent="0.25">
      <c r="A1083" t="s">
        <v>96</v>
      </c>
      <c r="B1083" s="9">
        <v>41315</v>
      </c>
      <c r="C1083">
        <v>3</v>
      </c>
    </row>
    <row r="1084" spans="1:3" x14ac:dyDescent="0.25">
      <c r="A1084" t="s">
        <v>97</v>
      </c>
      <c r="B1084" s="9">
        <v>41546</v>
      </c>
      <c r="C1084">
        <v>7</v>
      </c>
    </row>
    <row r="1085" spans="1:3" x14ac:dyDescent="0.25">
      <c r="A1085" t="s">
        <v>99</v>
      </c>
      <c r="B1085" s="9">
        <v>41436</v>
      </c>
      <c r="C1085">
        <v>6</v>
      </c>
    </row>
    <row r="1086" spans="1:3" x14ac:dyDescent="0.25">
      <c r="A1086" t="s">
        <v>96</v>
      </c>
      <c r="B1086" s="9">
        <v>41322</v>
      </c>
      <c r="C1086">
        <v>8</v>
      </c>
    </row>
    <row r="1087" spans="1:3" x14ac:dyDescent="0.25">
      <c r="A1087" t="s">
        <v>96</v>
      </c>
      <c r="B1087" s="9">
        <v>41554</v>
      </c>
      <c r="C1087">
        <v>7</v>
      </c>
    </row>
    <row r="1088" spans="1:3" x14ac:dyDescent="0.25">
      <c r="A1088" t="s">
        <v>100</v>
      </c>
      <c r="B1088" s="9">
        <v>41482</v>
      </c>
      <c r="C1088">
        <v>12</v>
      </c>
    </row>
    <row r="1089" spans="1:3" x14ac:dyDescent="0.25">
      <c r="A1089" t="s">
        <v>96</v>
      </c>
      <c r="B1089" s="9">
        <v>41317</v>
      </c>
      <c r="C1089">
        <v>1</v>
      </c>
    </row>
    <row r="1090" spans="1:3" x14ac:dyDescent="0.25">
      <c r="A1090" t="s">
        <v>98</v>
      </c>
      <c r="B1090" s="9">
        <v>41298</v>
      </c>
      <c r="C1090">
        <v>10</v>
      </c>
    </row>
    <row r="1091" spans="1:3" x14ac:dyDescent="0.25">
      <c r="A1091" t="s">
        <v>99</v>
      </c>
      <c r="B1091" s="9">
        <v>41429</v>
      </c>
      <c r="C1091">
        <v>9</v>
      </c>
    </row>
    <row r="1092" spans="1:3" x14ac:dyDescent="0.25">
      <c r="A1092" t="s">
        <v>100</v>
      </c>
      <c r="B1092" s="9">
        <v>41378</v>
      </c>
      <c r="C1092">
        <v>12</v>
      </c>
    </row>
    <row r="1093" spans="1:3" x14ac:dyDescent="0.25">
      <c r="A1093" t="s">
        <v>100</v>
      </c>
      <c r="B1093" s="9">
        <v>41566</v>
      </c>
      <c r="C1093">
        <v>18</v>
      </c>
    </row>
    <row r="1094" spans="1:3" x14ac:dyDescent="0.25">
      <c r="A1094" t="s">
        <v>97</v>
      </c>
      <c r="B1094" s="9">
        <v>41312</v>
      </c>
      <c r="C1094">
        <v>5</v>
      </c>
    </row>
    <row r="1095" spans="1:3" x14ac:dyDescent="0.25">
      <c r="A1095" t="s">
        <v>98</v>
      </c>
      <c r="B1095" s="9">
        <v>41363</v>
      </c>
      <c r="C1095">
        <v>19</v>
      </c>
    </row>
    <row r="1096" spans="1:3" x14ac:dyDescent="0.25">
      <c r="A1096" t="s">
        <v>94</v>
      </c>
      <c r="B1096" s="9">
        <v>41325</v>
      </c>
      <c r="C1096">
        <v>5</v>
      </c>
    </row>
    <row r="1097" spans="1:3" x14ac:dyDescent="0.25">
      <c r="A1097" t="s">
        <v>96</v>
      </c>
      <c r="B1097" s="9">
        <v>41322</v>
      </c>
      <c r="C1097">
        <v>1</v>
      </c>
    </row>
    <row r="1098" spans="1:3" x14ac:dyDescent="0.25">
      <c r="A1098" t="s">
        <v>98</v>
      </c>
      <c r="B1098" s="9">
        <v>41424</v>
      </c>
      <c r="C1098">
        <v>2</v>
      </c>
    </row>
    <row r="1099" spans="1:3" x14ac:dyDescent="0.25">
      <c r="A1099" t="s">
        <v>97</v>
      </c>
      <c r="B1099" s="9">
        <v>41354</v>
      </c>
      <c r="C1099">
        <v>4</v>
      </c>
    </row>
    <row r="1100" spans="1:3" x14ac:dyDescent="0.25">
      <c r="A1100" t="s">
        <v>96</v>
      </c>
      <c r="B1100" s="9">
        <v>41399</v>
      </c>
      <c r="C1100">
        <v>14</v>
      </c>
    </row>
    <row r="1101" spans="1:3" x14ac:dyDescent="0.25">
      <c r="A1101" t="s">
        <v>94</v>
      </c>
      <c r="B1101" s="9">
        <v>41549</v>
      </c>
      <c r="C1101">
        <v>5</v>
      </c>
    </row>
    <row r="1102" spans="1:3" x14ac:dyDescent="0.25">
      <c r="A1102" t="s">
        <v>97</v>
      </c>
      <c r="B1102" s="9">
        <v>41413</v>
      </c>
      <c r="C1102">
        <v>3</v>
      </c>
    </row>
    <row r="1103" spans="1:3" x14ac:dyDescent="0.25">
      <c r="A1103" t="s">
        <v>99</v>
      </c>
      <c r="B1103" s="9">
        <v>41544</v>
      </c>
      <c r="C1103">
        <v>3</v>
      </c>
    </row>
    <row r="1104" spans="1:3" x14ac:dyDescent="0.25">
      <c r="A1104" t="s">
        <v>100</v>
      </c>
      <c r="B1104" s="9">
        <v>41410</v>
      </c>
      <c r="C1104">
        <v>1</v>
      </c>
    </row>
    <row r="1105" spans="1:3" x14ac:dyDescent="0.25">
      <c r="A1105" t="s">
        <v>95</v>
      </c>
      <c r="B1105" s="9">
        <v>41505</v>
      </c>
      <c r="C1105">
        <v>6</v>
      </c>
    </row>
    <row r="1106" spans="1:3" x14ac:dyDescent="0.25">
      <c r="A1106" t="s">
        <v>97</v>
      </c>
      <c r="B1106" s="9">
        <v>41583</v>
      </c>
      <c r="C1106">
        <v>14</v>
      </c>
    </row>
    <row r="1107" spans="1:3" x14ac:dyDescent="0.25">
      <c r="A1107" t="s">
        <v>99</v>
      </c>
      <c r="B1107" s="9">
        <v>41394</v>
      </c>
      <c r="C1107">
        <v>10</v>
      </c>
    </row>
    <row r="1108" spans="1:3" x14ac:dyDescent="0.25">
      <c r="A1108" t="s">
        <v>100</v>
      </c>
      <c r="B1108" s="9">
        <v>41426</v>
      </c>
      <c r="C1108">
        <v>12</v>
      </c>
    </row>
    <row r="1109" spans="1:3" x14ac:dyDescent="0.25">
      <c r="A1109" t="s">
        <v>98</v>
      </c>
      <c r="B1109" s="9">
        <v>41539</v>
      </c>
      <c r="C1109">
        <v>8</v>
      </c>
    </row>
    <row r="1110" spans="1:3" x14ac:dyDescent="0.25">
      <c r="A1110" t="s">
        <v>94</v>
      </c>
      <c r="B1110" s="9">
        <v>41555</v>
      </c>
      <c r="C1110">
        <v>14</v>
      </c>
    </row>
    <row r="1111" spans="1:3" x14ac:dyDescent="0.25">
      <c r="A1111" t="s">
        <v>96</v>
      </c>
      <c r="B1111" s="9">
        <v>41377</v>
      </c>
      <c r="C1111">
        <v>9</v>
      </c>
    </row>
    <row r="1112" spans="1:3" x14ac:dyDescent="0.25">
      <c r="A1112" t="s">
        <v>96</v>
      </c>
      <c r="B1112" s="9">
        <v>41608</v>
      </c>
      <c r="C1112">
        <v>13</v>
      </c>
    </row>
    <row r="1113" spans="1:3" x14ac:dyDescent="0.25">
      <c r="A1113" t="s">
        <v>100</v>
      </c>
      <c r="B1113" s="9">
        <v>41365</v>
      </c>
      <c r="C1113">
        <v>18</v>
      </c>
    </row>
    <row r="1114" spans="1:3" x14ac:dyDescent="0.25">
      <c r="A1114" t="s">
        <v>100</v>
      </c>
      <c r="B1114" s="9">
        <v>41293</v>
      </c>
      <c r="C1114">
        <v>10</v>
      </c>
    </row>
    <row r="1115" spans="1:3" x14ac:dyDescent="0.25">
      <c r="A1115" t="s">
        <v>95</v>
      </c>
      <c r="B1115" s="9">
        <v>41279</v>
      </c>
      <c r="C1115">
        <v>12</v>
      </c>
    </row>
    <row r="1116" spans="1:3" x14ac:dyDescent="0.25">
      <c r="A1116" t="s">
        <v>96</v>
      </c>
      <c r="B1116" s="9">
        <v>41427</v>
      </c>
      <c r="C1116">
        <v>14</v>
      </c>
    </row>
    <row r="1117" spans="1:3" x14ac:dyDescent="0.25">
      <c r="A1117" t="s">
        <v>95</v>
      </c>
      <c r="B1117" s="9">
        <v>41622</v>
      </c>
      <c r="C1117">
        <v>2</v>
      </c>
    </row>
    <row r="1118" spans="1:3" x14ac:dyDescent="0.25">
      <c r="A1118" t="s">
        <v>97</v>
      </c>
      <c r="B1118" s="9">
        <v>41493</v>
      </c>
      <c r="C1118">
        <v>8</v>
      </c>
    </row>
    <row r="1119" spans="1:3" x14ac:dyDescent="0.25">
      <c r="A1119" t="s">
        <v>94</v>
      </c>
      <c r="B1119" s="9">
        <v>41628</v>
      </c>
      <c r="C1119">
        <v>20</v>
      </c>
    </row>
    <row r="1120" spans="1:3" x14ac:dyDescent="0.25">
      <c r="A1120" t="s">
        <v>99</v>
      </c>
      <c r="B1120" s="9">
        <v>41574</v>
      </c>
      <c r="C1120">
        <v>6</v>
      </c>
    </row>
    <row r="1121" spans="1:3" x14ac:dyDescent="0.25">
      <c r="A1121" t="s">
        <v>100</v>
      </c>
      <c r="B1121" s="9">
        <v>41405</v>
      </c>
      <c r="C1121">
        <v>15</v>
      </c>
    </row>
    <row r="1122" spans="1:3" x14ac:dyDescent="0.25">
      <c r="A1122" t="s">
        <v>96</v>
      </c>
      <c r="B1122" s="9">
        <v>41555</v>
      </c>
      <c r="C1122">
        <v>15</v>
      </c>
    </row>
    <row r="1123" spans="1:3" x14ac:dyDescent="0.25">
      <c r="A1123" t="s">
        <v>100</v>
      </c>
      <c r="B1123" s="9">
        <v>41635</v>
      </c>
      <c r="C1123">
        <v>18</v>
      </c>
    </row>
    <row r="1124" spans="1:3" x14ac:dyDescent="0.25">
      <c r="A1124" t="s">
        <v>97</v>
      </c>
      <c r="B1124" s="9">
        <v>41338</v>
      </c>
      <c r="C1124">
        <v>17</v>
      </c>
    </row>
    <row r="1125" spans="1:3" x14ac:dyDescent="0.25">
      <c r="A1125" t="s">
        <v>99</v>
      </c>
      <c r="B1125" s="9">
        <v>41413</v>
      </c>
      <c r="C1125">
        <v>7</v>
      </c>
    </row>
    <row r="1126" spans="1:3" x14ac:dyDescent="0.25">
      <c r="A1126" t="s">
        <v>100</v>
      </c>
      <c r="B1126" s="9">
        <v>41519</v>
      </c>
      <c r="C1126">
        <v>14</v>
      </c>
    </row>
    <row r="1127" spans="1:3" x14ac:dyDescent="0.25">
      <c r="A1127" t="s">
        <v>99</v>
      </c>
      <c r="B1127" s="9">
        <v>41638</v>
      </c>
      <c r="C1127">
        <v>18</v>
      </c>
    </row>
    <row r="1128" spans="1:3" x14ac:dyDescent="0.25">
      <c r="A1128" t="s">
        <v>94</v>
      </c>
      <c r="B1128" s="9">
        <v>41471</v>
      </c>
      <c r="C1128">
        <v>8</v>
      </c>
    </row>
    <row r="1129" spans="1:3" x14ac:dyDescent="0.25">
      <c r="A1129" t="s">
        <v>96</v>
      </c>
      <c r="B1129" s="9">
        <v>41358</v>
      </c>
      <c r="C1129">
        <v>3</v>
      </c>
    </row>
    <row r="1130" spans="1:3" x14ac:dyDescent="0.25">
      <c r="A1130" t="s">
        <v>97</v>
      </c>
      <c r="B1130" s="9">
        <v>41346</v>
      </c>
      <c r="C1130">
        <v>2</v>
      </c>
    </row>
    <row r="1131" spans="1:3" x14ac:dyDescent="0.25">
      <c r="A1131" t="s">
        <v>95</v>
      </c>
      <c r="B1131" s="9">
        <v>41607</v>
      </c>
      <c r="C1131">
        <v>4</v>
      </c>
    </row>
    <row r="1132" spans="1:3" x14ac:dyDescent="0.25">
      <c r="A1132" t="s">
        <v>100</v>
      </c>
      <c r="B1132" s="9">
        <v>41592</v>
      </c>
      <c r="C1132">
        <v>12</v>
      </c>
    </row>
    <row r="1133" spans="1:3" x14ac:dyDescent="0.25">
      <c r="A1133" t="s">
        <v>99</v>
      </c>
      <c r="B1133" s="9">
        <v>41423</v>
      </c>
      <c r="C1133">
        <v>3</v>
      </c>
    </row>
    <row r="1134" spans="1:3" x14ac:dyDescent="0.25">
      <c r="A1134" t="s">
        <v>99</v>
      </c>
      <c r="B1134" s="9">
        <v>41425</v>
      </c>
      <c r="C1134">
        <v>10</v>
      </c>
    </row>
    <row r="1135" spans="1:3" x14ac:dyDescent="0.25">
      <c r="A1135" t="s">
        <v>99</v>
      </c>
      <c r="B1135" s="9">
        <v>41476</v>
      </c>
      <c r="C1135">
        <v>2</v>
      </c>
    </row>
    <row r="1136" spans="1:3" x14ac:dyDescent="0.25">
      <c r="A1136" t="s">
        <v>99</v>
      </c>
      <c r="B1136" s="9">
        <v>41476</v>
      </c>
      <c r="C1136">
        <v>18</v>
      </c>
    </row>
    <row r="1137" spans="1:3" x14ac:dyDescent="0.25">
      <c r="A1137" t="s">
        <v>97</v>
      </c>
      <c r="B1137" s="9">
        <v>41358</v>
      </c>
      <c r="C1137">
        <v>17</v>
      </c>
    </row>
    <row r="1138" spans="1:3" x14ac:dyDescent="0.25">
      <c r="A1138" t="s">
        <v>95</v>
      </c>
      <c r="B1138" s="9">
        <v>41286</v>
      </c>
      <c r="C1138">
        <v>19</v>
      </c>
    </row>
    <row r="1139" spans="1:3" x14ac:dyDescent="0.25">
      <c r="A1139" t="s">
        <v>96</v>
      </c>
      <c r="B1139" s="9">
        <v>41557</v>
      </c>
      <c r="C1139">
        <v>17</v>
      </c>
    </row>
    <row r="1140" spans="1:3" x14ac:dyDescent="0.25">
      <c r="A1140" t="s">
        <v>94</v>
      </c>
      <c r="B1140" s="9">
        <v>41471</v>
      </c>
      <c r="C1140">
        <v>16</v>
      </c>
    </row>
    <row r="1141" spans="1:3" x14ac:dyDescent="0.25">
      <c r="A1141" t="s">
        <v>99</v>
      </c>
      <c r="B1141" s="9">
        <v>41282</v>
      </c>
      <c r="C1141">
        <v>13</v>
      </c>
    </row>
    <row r="1142" spans="1:3" x14ac:dyDescent="0.25">
      <c r="A1142" t="s">
        <v>97</v>
      </c>
      <c r="B1142" s="9">
        <v>41625</v>
      </c>
      <c r="C1142">
        <v>16</v>
      </c>
    </row>
    <row r="1143" spans="1:3" x14ac:dyDescent="0.25">
      <c r="A1143" t="s">
        <v>96</v>
      </c>
      <c r="B1143" s="9">
        <v>41395</v>
      </c>
      <c r="C1143">
        <v>5</v>
      </c>
    </row>
    <row r="1144" spans="1:3" x14ac:dyDescent="0.25">
      <c r="A1144" t="s">
        <v>99</v>
      </c>
      <c r="B1144" s="9">
        <v>41300</v>
      </c>
      <c r="C1144">
        <v>5</v>
      </c>
    </row>
    <row r="1145" spans="1:3" x14ac:dyDescent="0.25">
      <c r="A1145" t="s">
        <v>97</v>
      </c>
      <c r="B1145" s="9">
        <v>41430</v>
      </c>
      <c r="C1145">
        <v>1</v>
      </c>
    </row>
    <row r="1146" spans="1:3" x14ac:dyDescent="0.25">
      <c r="A1146" t="s">
        <v>96</v>
      </c>
      <c r="B1146" s="9">
        <v>41631</v>
      </c>
      <c r="C1146">
        <v>14</v>
      </c>
    </row>
    <row r="1147" spans="1:3" x14ac:dyDescent="0.25">
      <c r="A1147" t="s">
        <v>100</v>
      </c>
      <c r="B1147" s="9">
        <v>41456</v>
      </c>
      <c r="C1147">
        <v>15</v>
      </c>
    </row>
    <row r="1148" spans="1:3" x14ac:dyDescent="0.25">
      <c r="A1148" t="s">
        <v>97</v>
      </c>
      <c r="B1148" s="9">
        <v>41597</v>
      </c>
      <c r="C1148">
        <v>5</v>
      </c>
    </row>
    <row r="1149" spans="1:3" x14ac:dyDescent="0.25">
      <c r="A1149" t="s">
        <v>98</v>
      </c>
      <c r="B1149" s="9">
        <v>41332</v>
      </c>
      <c r="C1149">
        <v>12</v>
      </c>
    </row>
    <row r="1150" spans="1:3" x14ac:dyDescent="0.25">
      <c r="A1150" t="s">
        <v>96</v>
      </c>
      <c r="B1150" s="9">
        <v>41575</v>
      </c>
      <c r="C1150">
        <v>3</v>
      </c>
    </row>
    <row r="1151" spans="1:3" x14ac:dyDescent="0.25">
      <c r="A1151" t="s">
        <v>98</v>
      </c>
      <c r="B1151" s="9">
        <v>41460</v>
      </c>
      <c r="C1151">
        <v>13</v>
      </c>
    </row>
    <row r="1152" spans="1:3" x14ac:dyDescent="0.25">
      <c r="A1152" t="s">
        <v>96</v>
      </c>
      <c r="B1152" s="9">
        <v>41623</v>
      </c>
      <c r="C1152">
        <v>12</v>
      </c>
    </row>
    <row r="1153" spans="1:3" x14ac:dyDescent="0.25">
      <c r="A1153" t="s">
        <v>95</v>
      </c>
      <c r="B1153" s="9">
        <v>41589</v>
      </c>
      <c r="C1153">
        <v>1</v>
      </c>
    </row>
    <row r="1154" spans="1:3" x14ac:dyDescent="0.25">
      <c r="A1154" t="s">
        <v>98</v>
      </c>
      <c r="B1154" s="9">
        <v>41398</v>
      </c>
      <c r="C1154">
        <v>7</v>
      </c>
    </row>
    <row r="1155" spans="1:3" x14ac:dyDescent="0.25">
      <c r="A1155" t="s">
        <v>100</v>
      </c>
      <c r="B1155" s="9">
        <v>41368</v>
      </c>
      <c r="C1155">
        <v>18</v>
      </c>
    </row>
    <row r="1156" spans="1:3" x14ac:dyDescent="0.25">
      <c r="A1156" t="s">
        <v>94</v>
      </c>
      <c r="B1156" s="9">
        <v>41589</v>
      </c>
      <c r="C1156">
        <v>8</v>
      </c>
    </row>
    <row r="1157" spans="1:3" x14ac:dyDescent="0.25">
      <c r="A1157" t="s">
        <v>99</v>
      </c>
      <c r="B1157" s="9">
        <v>41392</v>
      </c>
      <c r="C1157">
        <v>18</v>
      </c>
    </row>
    <row r="1158" spans="1:3" x14ac:dyDescent="0.25">
      <c r="A1158" t="s">
        <v>99</v>
      </c>
      <c r="B1158" s="9">
        <v>41503</v>
      </c>
      <c r="C1158">
        <v>13</v>
      </c>
    </row>
    <row r="1159" spans="1:3" x14ac:dyDescent="0.25">
      <c r="A1159" t="s">
        <v>94</v>
      </c>
      <c r="B1159" s="9">
        <v>41491</v>
      </c>
      <c r="C1159">
        <v>6</v>
      </c>
    </row>
    <row r="1160" spans="1:3" x14ac:dyDescent="0.25">
      <c r="A1160" t="s">
        <v>97</v>
      </c>
      <c r="B1160" s="9">
        <v>41309</v>
      </c>
      <c r="C1160">
        <v>13</v>
      </c>
    </row>
    <row r="1161" spans="1:3" x14ac:dyDescent="0.25">
      <c r="A1161" t="s">
        <v>98</v>
      </c>
      <c r="B1161" s="9">
        <v>41637</v>
      </c>
      <c r="C1161">
        <v>1</v>
      </c>
    </row>
    <row r="1162" spans="1:3" x14ac:dyDescent="0.25">
      <c r="A1162" t="s">
        <v>99</v>
      </c>
      <c r="B1162" s="9">
        <v>41286</v>
      </c>
      <c r="C1162">
        <v>5</v>
      </c>
    </row>
    <row r="1163" spans="1:3" x14ac:dyDescent="0.25">
      <c r="A1163" t="s">
        <v>100</v>
      </c>
      <c r="B1163" s="9">
        <v>41328</v>
      </c>
      <c r="C1163">
        <v>18</v>
      </c>
    </row>
    <row r="1164" spans="1:3" x14ac:dyDescent="0.25">
      <c r="A1164" t="s">
        <v>94</v>
      </c>
      <c r="B1164" s="9">
        <v>41369</v>
      </c>
      <c r="C1164">
        <v>8</v>
      </c>
    </row>
    <row r="1165" spans="1:3" x14ac:dyDescent="0.25">
      <c r="A1165" t="s">
        <v>100</v>
      </c>
      <c r="B1165" s="9">
        <v>41392</v>
      </c>
      <c r="C1165">
        <v>15</v>
      </c>
    </row>
    <row r="1166" spans="1:3" x14ac:dyDescent="0.25">
      <c r="A1166" t="s">
        <v>96</v>
      </c>
      <c r="B1166" s="9">
        <v>41561</v>
      </c>
      <c r="C1166">
        <v>14</v>
      </c>
    </row>
    <row r="1167" spans="1:3" x14ac:dyDescent="0.25">
      <c r="A1167" t="s">
        <v>96</v>
      </c>
      <c r="B1167" s="9">
        <v>41302</v>
      </c>
      <c r="C1167">
        <v>14</v>
      </c>
    </row>
    <row r="1168" spans="1:3" x14ac:dyDescent="0.25">
      <c r="A1168" t="s">
        <v>99</v>
      </c>
      <c r="B1168" s="9">
        <v>41329</v>
      </c>
      <c r="C1168">
        <v>4</v>
      </c>
    </row>
    <row r="1169" spans="1:3" x14ac:dyDescent="0.25">
      <c r="A1169" t="s">
        <v>94</v>
      </c>
      <c r="B1169" s="9">
        <v>41373</v>
      </c>
      <c r="C1169">
        <v>7</v>
      </c>
    </row>
    <row r="1170" spans="1:3" x14ac:dyDescent="0.25">
      <c r="A1170" t="s">
        <v>96</v>
      </c>
      <c r="B1170" s="9">
        <v>41485</v>
      </c>
      <c r="C1170">
        <v>9</v>
      </c>
    </row>
    <row r="1171" spans="1:3" x14ac:dyDescent="0.25">
      <c r="A1171" t="s">
        <v>98</v>
      </c>
      <c r="B1171" s="9">
        <v>41408</v>
      </c>
      <c r="C1171">
        <v>1</v>
      </c>
    </row>
    <row r="1172" spans="1:3" x14ac:dyDescent="0.25">
      <c r="A1172" t="s">
        <v>98</v>
      </c>
      <c r="B1172" s="9">
        <v>41492</v>
      </c>
      <c r="C1172">
        <v>6</v>
      </c>
    </row>
    <row r="1173" spans="1:3" x14ac:dyDescent="0.25">
      <c r="A1173" t="s">
        <v>95</v>
      </c>
      <c r="B1173" s="9">
        <v>41616</v>
      </c>
      <c r="C1173">
        <v>10</v>
      </c>
    </row>
    <row r="1174" spans="1:3" x14ac:dyDescent="0.25">
      <c r="A1174" t="s">
        <v>99</v>
      </c>
      <c r="B1174" s="9">
        <v>41576</v>
      </c>
      <c r="C1174">
        <v>16</v>
      </c>
    </row>
    <row r="1175" spans="1:3" x14ac:dyDescent="0.25">
      <c r="A1175" t="s">
        <v>100</v>
      </c>
      <c r="B1175" s="9">
        <v>41352</v>
      </c>
      <c r="C1175">
        <v>11</v>
      </c>
    </row>
    <row r="1176" spans="1:3" x14ac:dyDescent="0.25">
      <c r="A1176" t="s">
        <v>94</v>
      </c>
      <c r="B1176" s="9">
        <v>41527</v>
      </c>
      <c r="C1176">
        <v>5</v>
      </c>
    </row>
    <row r="1177" spans="1:3" x14ac:dyDescent="0.25">
      <c r="A1177" t="s">
        <v>96</v>
      </c>
      <c r="B1177" s="9">
        <v>41602</v>
      </c>
      <c r="C1177">
        <v>19</v>
      </c>
    </row>
    <row r="1178" spans="1:3" x14ac:dyDescent="0.25">
      <c r="A1178" t="s">
        <v>97</v>
      </c>
      <c r="B1178" s="9">
        <v>41567</v>
      </c>
      <c r="C1178">
        <v>14</v>
      </c>
    </row>
    <row r="1179" spans="1:3" x14ac:dyDescent="0.25">
      <c r="A1179" t="s">
        <v>94</v>
      </c>
      <c r="B1179" s="9">
        <v>41556</v>
      </c>
      <c r="C1179">
        <v>3</v>
      </c>
    </row>
    <row r="1180" spans="1:3" x14ac:dyDescent="0.25">
      <c r="A1180" t="s">
        <v>98</v>
      </c>
      <c r="B1180" s="9">
        <v>41315</v>
      </c>
      <c r="C1180">
        <v>3</v>
      </c>
    </row>
    <row r="1181" spans="1:3" x14ac:dyDescent="0.25">
      <c r="A1181" t="s">
        <v>95</v>
      </c>
      <c r="B1181" s="9">
        <v>41318</v>
      </c>
      <c r="C1181">
        <v>20</v>
      </c>
    </row>
    <row r="1182" spans="1:3" x14ac:dyDescent="0.25">
      <c r="A1182" t="s">
        <v>94</v>
      </c>
      <c r="B1182" s="9">
        <v>41495</v>
      </c>
      <c r="C1182">
        <v>17</v>
      </c>
    </row>
    <row r="1183" spans="1:3" x14ac:dyDescent="0.25">
      <c r="A1183" t="s">
        <v>95</v>
      </c>
      <c r="B1183" s="9">
        <v>41468</v>
      </c>
      <c r="C1183">
        <v>9</v>
      </c>
    </row>
    <row r="1184" spans="1:3" x14ac:dyDescent="0.25">
      <c r="A1184" t="s">
        <v>97</v>
      </c>
      <c r="B1184" s="9">
        <v>41294</v>
      </c>
      <c r="C1184">
        <v>19</v>
      </c>
    </row>
    <row r="1185" spans="1:3" x14ac:dyDescent="0.25">
      <c r="A1185" t="s">
        <v>95</v>
      </c>
      <c r="B1185" s="9">
        <v>41435</v>
      </c>
      <c r="C1185">
        <v>2</v>
      </c>
    </row>
    <row r="1186" spans="1:3" x14ac:dyDescent="0.25">
      <c r="A1186" t="s">
        <v>97</v>
      </c>
      <c r="B1186" s="9">
        <v>41578</v>
      </c>
      <c r="C1186">
        <v>17</v>
      </c>
    </row>
    <row r="1187" spans="1:3" x14ac:dyDescent="0.25">
      <c r="A1187" t="s">
        <v>98</v>
      </c>
      <c r="B1187" s="9">
        <v>41291</v>
      </c>
      <c r="C1187">
        <v>13</v>
      </c>
    </row>
    <row r="1188" spans="1:3" x14ac:dyDescent="0.25">
      <c r="A1188" t="s">
        <v>100</v>
      </c>
      <c r="B1188" s="9">
        <v>41440</v>
      </c>
      <c r="C1188">
        <v>9</v>
      </c>
    </row>
    <row r="1189" spans="1:3" x14ac:dyDescent="0.25">
      <c r="A1189" t="s">
        <v>94</v>
      </c>
      <c r="B1189" s="9">
        <v>41475</v>
      </c>
      <c r="C1189">
        <v>10</v>
      </c>
    </row>
    <row r="1190" spans="1:3" x14ac:dyDescent="0.25">
      <c r="A1190" t="s">
        <v>100</v>
      </c>
      <c r="B1190" s="9">
        <v>41442</v>
      </c>
      <c r="C1190">
        <v>12</v>
      </c>
    </row>
    <row r="1191" spans="1:3" x14ac:dyDescent="0.25">
      <c r="A1191" t="s">
        <v>97</v>
      </c>
      <c r="B1191" s="9">
        <v>41610</v>
      </c>
      <c r="C1191">
        <v>20</v>
      </c>
    </row>
    <row r="1192" spans="1:3" x14ac:dyDescent="0.25">
      <c r="A1192" t="s">
        <v>94</v>
      </c>
      <c r="B1192" s="9">
        <v>41451</v>
      </c>
      <c r="C1192">
        <v>20</v>
      </c>
    </row>
    <row r="1193" spans="1:3" x14ac:dyDescent="0.25">
      <c r="A1193" t="s">
        <v>98</v>
      </c>
      <c r="B1193" s="9">
        <v>41599</v>
      </c>
      <c r="C1193">
        <v>20</v>
      </c>
    </row>
    <row r="1194" spans="1:3" x14ac:dyDescent="0.25">
      <c r="A1194" t="s">
        <v>100</v>
      </c>
      <c r="B1194" s="9">
        <v>41521</v>
      </c>
      <c r="C1194">
        <v>20</v>
      </c>
    </row>
    <row r="1195" spans="1:3" x14ac:dyDescent="0.25">
      <c r="A1195" t="s">
        <v>95</v>
      </c>
      <c r="B1195" s="9">
        <v>41593</v>
      </c>
      <c r="C1195">
        <v>9</v>
      </c>
    </row>
    <row r="1196" spans="1:3" x14ac:dyDescent="0.25">
      <c r="A1196" t="s">
        <v>96</v>
      </c>
      <c r="B1196" s="9">
        <v>41388</v>
      </c>
      <c r="C1196">
        <v>16</v>
      </c>
    </row>
    <row r="1197" spans="1:3" x14ac:dyDescent="0.25">
      <c r="A1197" t="s">
        <v>98</v>
      </c>
      <c r="B1197" s="9">
        <v>41346</v>
      </c>
      <c r="C1197">
        <v>5</v>
      </c>
    </row>
    <row r="1198" spans="1:3" x14ac:dyDescent="0.25">
      <c r="A1198" t="s">
        <v>97</v>
      </c>
      <c r="B1198" s="9">
        <v>41290</v>
      </c>
      <c r="C1198">
        <v>17</v>
      </c>
    </row>
    <row r="1199" spans="1:3" x14ac:dyDescent="0.25">
      <c r="A1199" t="s">
        <v>98</v>
      </c>
      <c r="B1199" s="9">
        <v>41559</v>
      </c>
      <c r="C1199">
        <v>7</v>
      </c>
    </row>
    <row r="1200" spans="1:3" x14ac:dyDescent="0.25">
      <c r="A1200" t="s">
        <v>97</v>
      </c>
      <c r="B1200" s="9">
        <v>41523</v>
      </c>
      <c r="C1200">
        <v>17</v>
      </c>
    </row>
    <row r="1201" spans="1:3" x14ac:dyDescent="0.25">
      <c r="A1201" t="s">
        <v>98</v>
      </c>
      <c r="B1201" s="9">
        <v>41371</v>
      </c>
      <c r="C1201">
        <v>18</v>
      </c>
    </row>
    <row r="1202" spans="1:3" x14ac:dyDescent="0.25">
      <c r="A1202" t="s">
        <v>98</v>
      </c>
      <c r="B1202" s="9">
        <v>41340</v>
      </c>
      <c r="C1202">
        <v>15</v>
      </c>
    </row>
    <row r="1203" spans="1:3" x14ac:dyDescent="0.25">
      <c r="A1203" t="s">
        <v>95</v>
      </c>
      <c r="B1203" s="9">
        <v>41422</v>
      </c>
      <c r="C1203">
        <v>7</v>
      </c>
    </row>
    <row r="1204" spans="1:3" x14ac:dyDescent="0.25">
      <c r="A1204" t="s">
        <v>98</v>
      </c>
      <c r="B1204" s="9">
        <v>41450</v>
      </c>
      <c r="C1204">
        <v>2</v>
      </c>
    </row>
    <row r="1205" spans="1:3" x14ac:dyDescent="0.25">
      <c r="A1205" t="s">
        <v>100</v>
      </c>
      <c r="B1205" s="9">
        <v>41638</v>
      </c>
      <c r="C1205">
        <v>6</v>
      </c>
    </row>
    <row r="1206" spans="1:3" x14ac:dyDescent="0.25">
      <c r="A1206" t="s">
        <v>94</v>
      </c>
      <c r="B1206" s="9">
        <v>41564</v>
      </c>
      <c r="C1206">
        <v>2</v>
      </c>
    </row>
    <row r="1207" spans="1:3" x14ac:dyDescent="0.25">
      <c r="A1207" t="s">
        <v>100</v>
      </c>
      <c r="B1207" s="9">
        <v>41440</v>
      </c>
      <c r="C1207">
        <v>7</v>
      </c>
    </row>
    <row r="1208" spans="1:3" x14ac:dyDescent="0.25">
      <c r="A1208" t="s">
        <v>94</v>
      </c>
      <c r="B1208" s="9">
        <v>41425</v>
      </c>
      <c r="C1208">
        <v>15</v>
      </c>
    </row>
    <row r="1209" spans="1:3" x14ac:dyDescent="0.25">
      <c r="A1209" t="s">
        <v>96</v>
      </c>
      <c r="B1209" s="9">
        <v>41365</v>
      </c>
      <c r="C1209">
        <v>17</v>
      </c>
    </row>
    <row r="1210" spans="1:3" x14ac:dyDescent="0.25">
      <c r="A1210" t="s">
        <v>96</v>
      </c>
      <c r="B1210" s="9">
        <v>41550</v>
      </c>
      <c r="C1210">
        <v>7</v>
      </c>
    </row>
    <row r="1211" spans="1:3" x14ac:dyDescent="0.25">
      <c r="A1211" t="s">
        <v>100</v>
      </c>
      <c r="B1211" s="9">
        <v>41470</v>
      </c>
      <c r="C1211">
        <v>3</v>
      </c>
    </row>
    <row r="1212" spans="1:3" x14ac:dyDescent="0.25">
      <c r="A1212" t="s">
        <v>98</v>
      </c>
      <c r="B1212" s="9">
        <v>41434</v>
      </c>
      <c r="C1212">
        <v>10</v>
      </c>
    </row>
    <row r="1213" spans="1:3" x14ac:dyDescent="0.25">
      <c r="A1213" t="s">
        <v>94</v>
      </c>
      <c r="B1213" s="9">
        <v>41561</v>
      </c>
      <c r="C1213">
        <v>9</v>
      </c>
    </row>
    <row r="1214" spans="1:3" x14ac:dyDescent="0.25">
      <c r="A1214" t="s">
        <v>97</v>
      </c>
      <c r="B1214" s="9">
        <v>41547</v>
      </c>
      <c r="C1214">
        <v>1</v>
      </c>
    </row>
    <row r="1215" spans="1:3" x14ac:dyDescent="0.25">
      <c r="A1215" t="s">
        <v>94</v>
      </c>
      <c r="B1215" s="9">
        <v>41585</v>
      </c>
      <c r="C1215">
        <v>4</v>
      </c>
    </row>
    <row r="1216" spans="1:3" x14ac:dyDescent="0.25">
      <c r="A1216" t="s">
        <v>97</v>
      </c>
      <c r="B1216" s="9">
        <v>41497</v>
      </c>
      <c r="C1216">
        <v>5</v>
      </c>
    </row>
    <row r="1217" spans="1:3" x14ac:dyDescent="0.25">
      <c r="A1217" t="s">
        <v>99</v>
      </c>
      <c r="B1217" s="9">
        <v>41630</v>
      </c>
      <c r="C1217">
        <v>5</v>
      </c>
    </row>
    <row r="1218" spans="1:3" x14ac:dyDescent="0.25">
      <c r="A1218" t="s">
        <v>99</v>
      </c>
      <c r="B1218" s="9">
        <v>41537</v>
      </c>
      <c r="C1218">
        <v>1</v>
      </c>
    </row>
    <row r="1219" spans="1:3" x14ac:dyDescent="0.25">
      <c r="A1219" t="s">
        <v>94</v>
      </c>
      <c r="B1219" s="9">
        <v>41550</v>
      </c>
      <c r="C1219">
        <v>2</v>
      </c>
    </row>
    <row r="1220" spans="1:3" x14ac:dyDescent="0.25">
      <c r="A1220" t="s">
        <v>97</v>
      </c>
      <c r="B1220" s="9">
        <v>41323</v>
      </c>
      <c r="C1220">
        <v>4</v>
      </c>
    </row>
    <row r="1221" spans="1:3" x14ac:dyDescent="0.25">
      <c r="A1221" t="s">
        <v>96</v>
      </c>
      <c r="B1221" s="9">
        <v>41487</v>
      </c>
      <c r="C1221">
        <v>6</v>
      </c>
    </row>
    <row r="1222" spans="1:3" x14ac:dyDescent="0.25">
      <c r="A1222" t="s">
        <v>100</v>
      </c>
      <c r="B1222" s="9">
        <v>41427</v>
      </c>
      <c r="C1222">
        <v>15</v>
      </c>
    </row>
    <row r="1223" spans="1:3" x14ac:dyDescent="0.25">
      <c r="A1223" t="s">
        <v>96</v>
      </c>
      <c r="B1223" s="9">
        <v>41304</v>
      </c>
      <c r="C1223">
        <v>2</v>
      </c>
    </row>
    <row r="1224" spans="1:3" x14ac:dyDescent="0.25">
      <c r="A1224" t="s">
        <v>95</v>
      </c>
      <c r="B1224" s="9">
        <v>41619</v>
      </c>
      <c r="C1224">
        <v>15</v>
      </c>
    </row>
    <row r="1225" spans="1:3" x14ac:dyDescent="0.25">
      <c r="A1225" t="s">
        <v>98</v>
      </c>
      <c r="B1225" s="9">
        <v>41454</v>
      </c>
      <c r="C1225">
        <v>11</v>
      </c>
    </row>
    <row r="1226" spans="1:3" x14ac:dyDescent="0.25">
      <c r="A1226" t="s">
        <v>95</v>
      </c>
      <c r="B1226" s="9">
        <v>41569</v>
      </c>
      <c r="C1226">
        <v>8</v>
      </c>
    </row>
    <row r="1227" spans="1:3" x14ac:dyDescent="0.25">
      <c r="A1227" t="s">
        <v>99</v>
      </c>
      <c r="B1227" s="9">
        <v>41507</v>
      </c>
      <c r="C1227">
        <v>4</v>
      </c>
    </row>
    <row r="1228" spans="1:3" x14ac:dyDescent="0.25">
      <c r="A1228" t="s">
        <v>94</v>
      </c>
      <c r="B1228" s="9">
        <v>41539</v>
      </c>
      <c r="C1228">
        <v>16</v>
      </c>
    </row>
    <row r="1229" spans="1:3" x14ac:dyDescent="0.25">
      <c r="A1229" t="s">
        <v>97</v>
      </c>
      <c r="B1229" s="9">
        <v>41605</v>
      </c>
      <c r="C1229">
        <v>15</v>
      </c>
    </row>
    <row r="1230" spans="1:3" x14ac:dyDescent="0.25">
      <c r="A1230" t="s">
        <v>97</v>
      </c>
      <c r="B1230" s="9">
        <v>41555</v>
      </c>
      <c r="C1230">
        <v>18</v>
      </c>
    </row>
    <row r="1231" spans="1:3" x14ac:dyDescent="0.25">
      <c r="A1231" t="s">
        <v>94</v>
      </c>
      <c r="B1231" s="9">
        <v>41423</v>
      </c>
      <c r="C1231">
        <v>15</v>
      </c>
    </row>
    <row r="1232" spans="1:3" x14ac:dyDescent="0.25">
      <c r="A1232" t="s">
        <v>98</v>
      </c>
      <c r="B1232" s="9">
        <v>41448</v>
      </c>
      <c r="C1232">
        <v>18</v>
      </c>
    </row>
    <row r="1233" spans="1:3" x14ac:dyDescent="0.25">
      <c r="A1233" t="s">
        <v>100</v>
      </c>
      <c r="B1233" s="9">
        <v>41622</v>
      </c>
      <c r="C1233">
        <v>4</v>
      </c>
    </row>
    <row r="1234" spans="1:3" x14ac:dyDescent="0.25">
      <c r="A1234" t="s">
        <v>98</v>
      </c>
      <c r="B1234" s="9">
        <v>41375</v>
      </c>
      <c r="C1234">
        <v>17</v>
      </c>
    </row>
    <row r="1235" spans="1:3" x14ac:dyDescent="0.25">
      <c r="A1235" t="s">
        <v>97</v>
      </c>
      <c r="B1235" s="9">
        <v>41414</v>
      </c>
      <c r="C1235">
        <v>19</v>
      </c>
    </row>
    <row r="1236" spans="1:3" x14ac:dyDescent="0.25">
      <c r="A1236" t="s">
        <v>97</v>
      </c>
      <c r="B1236" s="9">
        <v>41479</v>
      </c>
      <c r="C1236">
        <v>10</v>
      </c>
    </row>
    <row r="1237" spans="1:3" x14ac:dyDescent="0.25">
      <c r="A1237" t="s">
        <v>98</v>
      </c>
      <c r="B1237" s="9">
        <v>41389</v>
      </c>
      <c r="C1237">
        <v>8</v>
      </c>
    </row>
    <row r="1238" spans="1:3" x14ac:dyDescent="0.25">
      <c r="A1238" t="s">
        <v>97</v>
      </c>
      <c r="B1238" s="9">
        <v>41425</v>
      </c>
      <c r="C1238">
        <v>7</v>
      </c>
    </row>
    <row r="1239" spans="1:3" x14ac:dyDescent="0.25">
      <c r="A1239" t="s">
        <v>98</v>
      </c>
      <c r="B1239" s="9">
        <v>41492</v>
      </c>
      <c r="C1239">
        <v>5</v>
      </c>
    </row>
    <row r="1240" spans="1:3" x14ac:dyDescent="0.25">
      <c r="A1240" t="s">
        <v>95</v>
      </c>
      <c r="B1240" s="9">
        <v>41467</v>
      </c>
      <c r="C1240">
        <v>20</v>
      </c>
    </row>
    <row r="1241" spans="1:3" x14ac:dyDescent="0.25">
      <c r="A1241" t="s">
        <v>96</v>
      </c>
      <c r="B1241" s="9">
        <v>41547</v>
      </c>
      <c r="C1241">
        <v>8</v>
      </c>
    </row>
    <row r="1242" spans="1:3" x14ac:dyDescent="0.25">
      <c r="A1242" t="s">
        <v>95</v>
      </c>
      <c r="B1242" s="9">
        <v>41308</v>
      </c>
      <c r="C1242">
        <v>7</v>
      </c>
    </row>
    <row r="1243" spans="1:3" x14ac:dyDescent="0.25">
      <c r="A1243" t="s">
        <v>99</v>
      </c>
      <c r="B1243" s="9">
        <v>41317</v>
      </c>
      <c r="C1243">
        <v>15</v>
      </c>
    </row>
    <row r="1244" spans="1:3" x14ac:dyDescent="0.25">
      <c r="A1244" t="s">
        <v>100</v>
      </c>
      <c r="B1244" s="9">
        <v>41639</v>
      </c>
      <c r="C1244">
        <v>13</v>
      </c>
    </row>
    <row r="1245" spans="1:3" x14ac:dyDescent="0.25">
      <c r="A1245" t="s">
        <v>94</v>
      </c>
      <c r="B1245" s="9">
        <v>41327</v>
      </c>
      <c r="C1245">
        <v>17</v>
      </c>
    </row>
    <row r="1246" spans="1:3" x14ac:dyDescent="0.25">
      <c r="A1246" t="s">
        <v>99</v>
      </c>
      <c r="B1246" s="9">
        <v>41623</v>
      </c>
      <c r="C1246">
        <v>12</v>
      </c>
    </row>
    <row r="1247" spans="1:3" x14ac:dyDescent="0.25">
      <c r="A1247" t="s">
        <v>100</v>
      </c>
      <c r="B1247" s="9">
        <v>41492</v>
      </c>
      <c r="C1247">
        <v>8</v>
      </c>
    </row>
    <row r="1248" spans="1:3" x14ac:dyDescent="0.25">
      <c r="A1248" t="s">
        <v>97</v>
      </c>
      <c r="B1248" s="9">
        <v>41326</v>
      </c>
      <c r="C1248">
        <v>7</v>
      </c>
    </row>
    <row r="1249" spans="1:3" x14ac:dyDescent="0.25">
      <c r="A1249" t="s">
        <v>96</v>
      </c>
      <c r="B1249" s="9">
        <v>41307</v>
      </c>
      <c r="C1249">
        <v>7</v>
      </c>
    </row>
    <row r="1250" spans="1:3" x14ac:dyDescent="0.25">
      <c r="A1250" t="s">
        <v>96</v>
      </c>
      <c r="B1250" s="9">
        <v>41424</v>
      </c>
      <c r="C1250">
        <v>3</v>
      </c>
    </row>
    <row r="1251" spans="1:3" x14ac:dyDescent="0.25">
      <c r="A1251" t="s">
        <v>95</v>
      </c>
      <c r="B1251" s="9">
        <v>41481</v>
      </c>
      <c r="C1251">
        <v>8</v>
      </c>
    </row>
    <row r="1252" spans="1:3" x14ac:dyDescent="0.25">
      <c r="A1252" t="s">
        <v>95</v>
      </c>
      <c r="B1252" s="9">
        <v>41531</v>
      </c>
      <c r="C1252">
        <v>15</v>
      </c>
    </row>
    <row r="1253" spans="1:3" x14ac:dyDescent="0.25">
      <c r="A1253" t="s">
        <v>100</v>
      </c>
      <c r="B1253" s="9">
        <v>41336</v>
      </c>
      <c r="C1253">
        <v>10</v>
      </c>
    </row>
    <row r="1254" spans="1:3" x14ac:dyDescent="0.25">
      <c r="A1254" t="s">
        <v>97</v>
      </c>
      <c r="B1254" s="9">
        <v>41467</v>
      </c>
      <c r="C1254">
        <v>14</v>
      </c>
    </row>
    <row r="1255" spans="1:3" x14ac:dyDescent="0.25">
      <c r="A1255" t="s">
        <v>99</v>
      </c>
      <c r="B1255" s="9">
        <v>41391</v>
      </c>
      <c r="C1255">
        <v>20</v>
      </c>
    </row>
    <row r="1256" spans="1:3" x14ac:dyDescent="0.25">
      <c r="A1256" t="s">
        <v>98</v>
      </c>
      <c r="B1256" s="9">
        <v>41609</v>
      </c>
      <c r="C1256">
        <v>12</v>
      </c>
    </row>
    <row r="1257" spans="1:3" x14ac:dyDescent="0.25">
      <c r="A1257" t="s">
        <v>97</v>
      </c>
      <c r="B1257" s="9">
        <v>41575</v>
      </c>
      <c r="C1257">
        <v>14</v>
      </c>
    </row>
    <row r="1258" spans="1:3" x14ac:dyDescent="0.25">
      <c r="A1258" t="s">
        <v>94</v>
      </c>
      <c r="B1258" s="9">
        <v>41300</v>
      </c>
      <c r="C1258">
        <v>4</v>
      </c>
    </row>
    <row r="1259" spans="1:3" x14ac:dyDescent="0.25">
      <c r="A1259" t="s">
        <v>98</v>
      </c>
      <c r="B1259" s="9">
        <v>41590</v>
      </c>
      <c r="C1259">
        <v>14</v>
      </c>
    </row>
    <row r="1260" spans="1:3" x14ac:dyDescent="0.25">
      <c r="A1260" t="s">
        <v>99</v>
      </c>
      <c r="B1260" s="9">
        <v>41576</v>
      </c>
      <c r="C1260">
        <v>5</v>
      </c>
    </row>
    <row r="1261" spans="1:3" x14ac:dyDescent="0.25">
      <c r="A1261" t="s">
        <v>100</v>
      </c>
      <c r="B1261" s="9">
        <v>41322</v>
      </c>
      <c r="C1261">
        <v>4</v>
      </c>
    </row>
    <row r="1262" spans="1:3" x14ac:dyDescent="0.25">
      <c r="A1262" t="s">
        <v>100</v>
      </c>
      <c r="B1262" s="9">
        <v>41483</v>
      </c>
      <c r="C1262">
        <v>14</v>
      </c>
    </row>
    <row r="1263" spans="1:3" x14ac:dyDescent="0.25">
      <c r="A1263" t="s">
        <v>95</v>
      </c>
      <c r="B1263" s="9">
        <v>41465</v>
      </c>
      <c r="C1263">
        <v>10</v>
      </c>
    </row>
    <row r="1264" spans="1:3" x14ac:dyDescent="0.25">
      <c r="A1264" t="s">
        <v>97</v>
      </c>
      <c r="B1264" s="9">
        <v>41530</v>
      </c>
      <c r="C1264">
        <v>11</v>
      </c>
    </row>
    <row r="1265" spans="1:3" x14ac:dyDescent="0.25">
      <c r="A1265" t="s">
        <v>100</v>
      </c>
      <c r="B1265" s="9">
        <v>41327</v>
      </c>
      <c r="C1265">
        <v>17</v>
      </c>
    </row>
    <row r="1266" spans="1:3" x14ac:dyDescent="0.25">
      <c r="A1266" t="s">
        <v>96</v>
      </c>
      <c r="B1266" s="9">
        <v>41514</v>
      </c>
      <c r="C1266">
        <v>8</v>
      </c>
    </row>
    <row r="1267" spans="1:3" x14ac:dyDescent="0.25">
      <c r="A1267" t="s">
        <v>95</v>
      </c>
      <c r="B1267" s="9">
        <v>41403</v>
      </c>
      <c r="C1267">
        <v>8</v>
      </c>
    </row>
    <row r="1268" spans="1:3" x14ac:dyDescent="0.25">
      <c r="A1268" t="s">
        <v>98</v>
      </c>
      <c r="B1268" s="9">
        <v>41619</v>
      </c>
      <c r="C1268">
        <v>20</v>
      </c>
    </row>
    <row r="1269" spans="1:3" x14ac:dyDescent="0.25">
      <c r="A1269" t="s">
        <v>96</v>
      </c>
      <c r="B1269" s="9">
        <v>41318</v>
      </c>
      <c r="C1269">
        <v>10</v>
      </c>
    </row>
    <row r="1270" spans="1:3" x14ac:dyDescent="0.25">
      <c r="A1270" t="s">
        <v>98</v>
      </c>
      <c r="B1270" s="9">
        <v>41326</v>
      </c>
      <c r="C1270">
        <v>1</v>
      </c>
    </row>
    <row r="1271" spans="1:3" x14ac:dyDescent="0.25">
      <c r="A1271" t="s">
        <v>96</v>
      </c>
      <c r="B1271" s="9">
        <v>41309</v>
      </c>
      <c r="C1271">
        <v>9</v>
      </c>
    </row>
    <row r="1272" spans="1:3" x14ac:dyDescent="0.25">
      <c r="A1272" t="s">
        <v>100</v>
      </c>
      <c r="B1272" s="9">
        <v>41294</v>
      </c>
      <c r="C1272">
        <v>12</v>
      </c>
    </row>
    <row r="1273" spans="1:3" x14ac:dyDescent="0.25">
      <c r="A1273" t="s">
        <v>99</v>
      </c>
      <c r="B1273" s="9">
        <v>41417</v>
      </c>
      <c r="C1273">
        <v>19</v>
      </c>
    </row>
    <row r="1274" spans="1:3" x14ac:dyDescent="0.25">
      <c r="A1274" t="s">
        <v>94</v>
      </c>
      <c r="B1274" s="9">
        <v>41316</v>
      </c>
      <c r="C1274">
        <v>10</v>
      </c>
    </row>
    <row r="1275" spans="1:3" x14ac:dyDescent="0.25">
      <c r="A1275" t="s">
        <v>99</v>
      </c>
      <c r="B1275" s="9">
        <v>41586</v>
      </c>
      <c r="C1275">
        <v>7</v>
      </c>
    </row>
    <row r="1276" spans="1:3" x14ac:dyDescent="0.25">
      <c r="A1276" t="s">
        <v>97</v>
      </c>
      <c r="B1276" s="9">
        <v>41380</v>
      </c>
      <c r="C1276">
        <v>16</v>
      </c>
    </row>
    <row r="1277" spans="1:3" x14ac:dyDescent="0.25">
      <c r="A1277" t="s">
        <v>98</v>
      </c>
      <c r="B1277" s="9">
        <v>41408</v>
      </c>
      <c r="C1277">
        <v>18</v>
      </c>
    </row>
    <row r="1278" spans="1:3" x14ac:dyDescent="0.25">
      <c r="A1278" t="s">
        <v>96</v>
      </c>
      <c r="B1278" s="9">
        <v>41504</v>
      </c>
      <c r="C1278">
        <v>16</v>
      </c>
    </row>
    <row r="1279" spans="1:3" x14ac:dyDescent="0.25">
      <c r="A1279" t="s">
        <v>94</v>
      </c>
      <c r="B1279" s="9">
        <v>41322</v>
      </c>
      <c r="C1279">
        <v>10</v>
      </c>
    </row>
    <row r="1280" spans="1:3" x14ac:dyDescent="0.25">
      <c r="A1280" t="s">
        <v>95</v>
      </c>
      <c r="B1280" s="9">
        <v>41608</v>
      </c>
      <c r="C1280">
        <v>11</v>
      </c>
    </row>
    <row r="1281" spans="1:3" x14ac:dyDescent="0.25">
      <c r="A1281" t="s">
        <v>96</v>
      </c>
      <c r="B1281" s="9">
        <v>41558</v>
      </c>
      <c r="C1281">
        <v>20</v>
      </c>
    </row>
    <row r="1282" spans="1:3" x14ac:dyDescent="0.25">
      <c r="A1282" t="s">
        <v>100</v>
      </c>
      <c r="B1282" s="9">
        <v>41555</v>
      </c>
      <c r="C1282">
        <v>18</v>
      </c>
    </row>
    <row r="1283" spans="1:3" x14ac:dyDescent="0.25">
      <c r="A1283" t="s">
        <v>96</v>
      </c>
      <c r="B1283" s="9">
        <v>41445</v>
      </c>
      <c r="C1283">
        <v>12</v>
      </c>
    </row>
    <row r="1284" spans="1:3" x14ac:dyDescent="0.25">
      <c r="A1284" t="s">
        <v>97</v>
      </c>
      <c r="B1284" s="9">
        <v>41412</v>
      </c>
      <c r="C1284">
        <v>20</v>
      </c>
    </row>
    <row r="1285" spans="1:3" x14ac:dyDescent="0.25">
      <c r="A1285" t="s">
        <v>100</v>
      </c>
      <c r="B1285" s="9">
        <v>41592</v>
      </c>
      <c r="C1285">
        <v>5</v>
      </c>
    </row>
    <row r="1286" spans="1:3" x14ac:dyDescent="0.25">
      <c r="A1286" t="s">
        <v>100</v>
      </c>
      <c r="B1286" s="9">
        <v>41614</v>
      </c>
      <c r="C1286">
        <v>2</v>
      </c>
    </row>
    <row r="1287" spans="1:3" x14ac:dyDescent="0.25">
      <c r="A1287" t="s">
        <v>95</v>
      </c>
      <c r="B1287" s="9">
        <v>41309</v>
      </c>
      <c r="C1287">
        <v>12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Count</vt:lpstr>
      <vt:lpstr>CountIFS with Date</vt:lpstr>
      <vt:lpstr>DateRng</vt:lpstr>
      <vt:lpstr>energyList</vt:lpstr>
      <vt:lpstr>myList</vt:lpstr>
      <vt:lpstr>percWater</vt:lpstr>
      <vt:lpstr>WhatList</vt:lpstr>
      <vt:lpstr>WhatRng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2013-12-02T02:33:01Z</dcterms:created>
  <dcterms:modified xsi:type="dcterms:W3CDTF">2013-12-06T22:12:29Z</dcterms:modified>
</cp:coreProperties>
</file>